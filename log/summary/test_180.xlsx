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ile\Documents\DApps Upgrade\dapp_web3\log\test\template\"/>
    </mc:Choice>
  </mc:AlternateContent>
  <xr:revisionPtr revIDLastSave="0" documentId="13_ncr:1_{25B7F034-C4F5-42CA-8F74-E30BDFB01925}" xr6:coauthVersionLast="47" xr6:coauthVersionMax="47" xr10:uidLastSave="{00000000-0000-0000-0000-000000000000}"/>
  <bookViews>
    <workbookView xWindow="-108" yWindow="-108" windowWidth="23256" windowHeight="12456" activeTab="1" xr2:uid="{62EFDC6E-1185-4312-AC63-E081B039B8A0}"/>
  </bookViews>
  <sheets>
    <sheet name="test_180" sheetId="1" r:id="rId1"/>
    <sheet name="Sheet1" sheetId="2" r:id="rId2"/>
  </sheets>
  <definedNames>
    <definedName name="_xlnm._FilterDatabase" localSheetId="0" hidden="1">test_180!$A$1:$D$12413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4" i="2" l="1"/>
  <c r="D184" i="2"/>
  <c r="C184" i="2"/>
  <c r="B184" i="2"/>
  <c r="E183" i="2"/>
  <c r="D183" i="2"/>
  <c r="C183" i="2"/>
  <c r="B183" i="2"/>
  <c r="E182" i="2"/>
  <c r="D182" i="2"/>
  <c r="C182" i="2"/>
  <c r="B182" i="2"/>
  <c r="F4" i="2"/>
  <c r="G4" i="2"/>
  <c r="H4" i="2"/>
  <c r="I4" i="2"/>
  <c r="F5" i="2"/>
  <c r="G5" i="2"/>
  <c r="H5" i="2"/>
  <c r="I5" i="2"/>
  <c r="F6" i="2"/>
  <c r="G6" i="2"/>
  <c r="H6" i="2"/>
  <c r="I6" i="2"/>
  <c r="F7" i="2"/>
  <c r="G7" i="2"/>
  <c r="H7" i="2"/>
  <c r="I7" i="2"/>
  <c r="F8" i="2"/>
  <c r="G8" i="2"/>
  <c r="H8" i="2"/>
  <c r="I8" i="2"/>
  <c r="F9" i="2"/>
  <c r="G9" i="2"/>
  <c r="H9" i="2"/>
  <c r="I9" i="2"/>
  <c r="F10" i="2"/>
  <c r="G10" i="2"/>
  <c r="H10" i="2"/>
  <c r="I10" i="2"/>
  <c r="F11" i="2"/>
  <c r="G11" i="2"/>
  <c r="H11" i="2"/>
  <c r="I11" i="2"/>
  <c r="F12" i="2"/>
  <c r="G12" i="2"/>
  <c r="H12" i="2"/>
  <c r="I12" i="2"/>
  <c r="F13" i="2"/>
  <c r="G13" i="2"/>
  <c r="H13" i="2"/>
  <c r="I13" i="2"/>
  <c r="F14" i="2"/>
  <c r="G14" i="2"/>
  <c r="H14" i="2"/>
  <c r="I14" i="2"/>
  <c r="F15" i="2"/>
  <c r="G15" i="2"/>
  <c r="H15" i="2"/>
  <c r="I15" i="2"/>
  <c r="F16" i="2"/>
  <c r="G16" i="2"/>
  <c r="H16" i="2"/>
  <c r="I16" i="2"/>
  <c r="F17" i="2"/>
  <c r="G17" i="2"/>
  <c r="H17" i="2"/>
  <c r="I17" i="2"/>
  <c r="F18" i="2"/>
  <c r="G18" i="2"/>
  <c r="H18" i="2"/>
  <c r="I18" i="2"/>
  <c r="F19" i="2"/>
  <c r="G19" i="2"/>
  <c r="H19" i="2"/>
  <c r="I19" i="2"/>
  <c r="F20" i="2"/>
  <c r="G20" i="2"/>
  <c r="H20" i="2"/>
  <c r="I20" i="2"/>
  <c r="F21" i="2"/>
  <c r="G21" i="2"/>
  <c r="H21" i="2"/>
  <c r="I21" i="2"/>
  <c r="F22" i="2"/>
  <c r="G22" i="2"/>
  <c r="H22" i="2"/>
  <c r="I22" i="2"/>
  <c r="F23" i="2"/>
  <c r="G23" i="2"/>
  <c r="H23" i="2"/>
  <c r="I23" i="2"/>
  <c r="F24" i="2"/>
  <c r="G24" i="2"/>
  <c r="H24" i="2"/>
  <c r="I24" i="2"/>
  <c r="F25" i="2"/>
  <c r="G25" i="2"/>
  <c r="H25" i="2"/>
  <c r="I25" i="2"/>
  <c r="F26" i="2"/>
  <c r="G26" i="2"/>
  <c r="H26" i="2"/>
  <c r="I26" i="2"/>
  <c r="F27" i="2"/>
  <c r="G27" i="2"/>
  <c r="H27" i="2"/>
  <c r="I27" i="2"/>
  <c r="F28" i="2"/>
  <c r="G28" i="2"/>
  <c r="H28" i="2"/>
  <c r="I28" i="2"/>
  <c r="F29" i="2"/>
  <c r="G29" i="2"/>
  <c r="H29" i="2"/>
  <c r="I29" i="2"/>
  <c r="F30" i="2"/>
  <c r="G30" i="2"/>
  <c r="H30" i="2"/>
  <c r="I30" i="2"/>
  <c r="F31" i="2"/>
  <c r="G31" i="2"/>
  <c r="H31" i="2"/>
  <c r="I31" i="2"/>
  <c r="F32" i="2"/>
  <c r="G32" i="2"/>
  <c r="H32" i="2"/>
  <c r="I32" i="2"/>
  <c r="F33" i="2"/>
  <c r="G33" i="2"/>
  <c r="H33" i="2"/>
  <c r="I33" i="2"/>
  <c r="F34" i="2"/>
  <c r="G34" i="2"/>
  <c r="H34" i="2"/>
  <c r="I34" i="2"/>
  <c r="F35" i="2"/>
  <c r="G35" i="2"/>
  <c r="H35" i="2"/>
  <c r="I35" i="2"/>
  <c r="F36" i="2"/>
  <c r="G36" i="2"/>
  <c r="H36" i="2"/>
  <c r="I36" i="2"/>
  <c r="F37" i="2"/>
  <c r="G37" i="2"/>
  <c r="H37" i="2"/>
  <c r="I37" i="2"/>
  <c r="F38" i="2"/>
  <c r="G38" i="2"/>
  <c r="H38" i="2"/>
  <c r="I38" i="2"/>
  <c r="F39" i="2"/>
  <c r="G39" i="2"/>
  <c r="H39" i="2"/>
  <c r="I39" i="2"/>
  <c r="F40" i="2"/>
  <c r="G40" i="2"/>
  <c r="H40" i="2"/>
  <c r="I40" i="2"/>
  <c r="F41" i="2"/>
  <c r="G41" i="2"/>
  <c r="H41" i="2"/>
  <c r="I41" i="2"/>
  <c r="F42" i="2"/>
  <c r="G42" i="2"/>
  <c r="H42" i="2"/>
  <c r="I42" i="2"/>
  <c r="F43" i="2"/>
  <c r="G43" i="2"/>
  <c r="H43" i="2"/>
  <c r="I43" i="2"/>
  <c r="F44" i="2"/>
  <c r="G44" i="2"/>
  <c r="H44" i="2"/>
  <c r="I44" i="2"/>
  <c r="F45" i="2"/>
  <c r="G45" i="2"/>
  <c r="H45" i="2"/>
  <c r="I45" i="2"/>
  <c r="F46" i="2"/>
  <c r="G46" i="2"/>
  <c r="H46" i="2"/>
  <c r="I46" i="2"/>
  <c r="F47" i="2"/>
  <c r="G47" i="2"/>
  <c r="H47" i="2"/>
  <c r="I47" i="2"/>
  <c r="F48" i="2"/>
  <c r="G48" i="2"/>
  <c r="H48" i="2"/>
  <c r="I48" i="2"/>
  <c r="F49" i="2"/>
  <c r="G49" i="2"/>
  <c r="H49" i="2"/>
  <c r="I49" i="2"/>
  <c r="F50" i="2"/>
  <c r="G50" i="2"/>
  <c r="H50" i="2"/>
  <c r="I50" i="2"/>
  <c r="F51" i="2"/>
  <c r="G51" i="2"/>
  <c r="H51" i="2"/>
  <c r="I51" i="2"/>
  <c r="F52" i="2"/>
  <c r="G52" i="2"/>
  <c r="H52" i="2"/>
  <c r="I52" i="2"/>
  <c r="F53" i="2"/>
  <c r="G53" i="2"/>
  <c r="H53" i="2"/>
  <c r="I53" i="2"/>
  <c r="F54" i="2"/>
  <c r="G54" i="2"/>
  <c r="H54" i="2"/>
  <c r="I54" i="2"/>
  <c r="F55" i="2"/>
  <c r="G55" i="2"/>
  <c r="H55" i="2"/>
  <c r="I55" i="2"/>
  <c r="F56" i="2"/>
  <c r="G56" i="2"/>
  <c r="H56" i="2"/>
  <c r="I56" i="2"/>
  <c r="F57" i="2"/>
  <c r="G57" i="2"/>
  <c r="H57" i="2"/>
  <c r="I57" i="2"/>
  <c r="F58" i="2"/>
  <c r="G58" i="2"/>
  <c r="H58" i="2"/>
  <c r="I58" i="2"/>
  <c r="F59" i="2"/>
  <c r="G59" i="2"/>
  <c r="H59" i="2"/>
  <c r="I59" i="2"/>
  <c r="F60" i="2"/>
  <c r="G60" i="2"/>
  <c r="H60" i="2"/>
  <c r="I60" i="2"/>
  <c r="F61" i="2"/>
  <c r="G61" i="2"/>
  <c r="H61" i="2"/>
  <c r="I61" i="2"/>
  <c r="F62" i="2"/>
  <c r="G62" i="2"/>
  <c r="H62" i="2"/>
  <c r="I62" i="2"/>
  <c r="F63" i="2"/>
  <c r="G63" i="2"/>
  <c r="H63" i="2"/>
  <c r="I63" i="2"/>
  <c r="F64" i="2"/>
  <c r="G64" i="2"/>
  <c r="H64" i="2"/>
  <c r="I64" i="2"/>
  <c r="F65" i="2"/>
  <c r="G65" i="2"/>
  <c r="H65" i="2"/>
  <c r="I65" i="2"/>
  <c r="F66" i="2"/>
  <c r="G66" i="2"/>
  <c r="H66" i="2"/>
  <c r="I66" i="2"/>
  <c r="F67" i="2"/>
  <c r="G67" i="2"/>
  <c r="H67" i="2"/>
  <c r="I67" i="2"/>
  <c r="F68" i="2"/>
  <c r="G68" i="2"/>
  <c r="H68" i="2"/>
  <c r="I68" i="2"/>
  <c r="F69" i="2"/>
  <c r="G69" i="2"/>
  <c r="H69" i="2"/>
  <c r="I69" i="2"/>
  <c r="F70" i="2"/>
  <c r="G70" i="2"/>
  <c r="H70" i="2"/>
  <c r="I70" i="2"/>
  <c r="F71" i="2"/>
  <c r="G71" i="2"/>
  <c r="H71" i="2"/>
  <c r="I71" i="2"/>
  <c r="F72" i="2"/>
  <c r="G72" i="2"/>
  <c r="H72" i="2"/>
  <c r="I72" i="2"/>
  <c r="F73" i="2"/>
  <c r="G73" i="2"/>
  <c r="H73" i="2"/>
  <c r="I73" i="2"/>
  <c r="F74" i="2"/>
  <c r="G74" i="2"/>
  <c r="H74" i="2"/>
  <c r="I74" i="2"/>
  <c r="F75" i="2"/>
  <c r="G75" i="2"/>
  <c r="H75" i="2"/>
  <c r="I75" i="2"/>
  <c r="F76" i="2"/>
  <c r="G76" i="2"/>
  <c r="H76" i="2"/>
  <c r="I76" i="2"/>
  <c r="F77" i="2"/>
  <c r="G77" i="2"/>
  <c r="H77" i="2"/>
  <c r="I77" i="2"/>
  <c r="F78" i="2"/>
  <c r="G78" i="2"/>
  <c r="H78" i="2"/>
  <c r="I78" i="2"/>
  <c r="F79" i="2"/>
  <c r="G79" i="2"/>
  <c r="H79" i="2"/>
  <c r="I79" i="2"/>
  <c r="F80" i="2"/>
  <c r="G80" i="2"/>
  <c r="H80" i="2"/>
  <c r="I80" i="2"/>
  <c r="F81" i="2"/>
  <c r="G81" i="2"/>
  <c r="H81" i="2"/>
  <c r="I81" i="2"/>
  <c r="F82" i="2"/>
  <c r="G82" i="2"/>
  <c r="H82" i="2"/>
  <c r="I82" i="2"/>
  <c r="F83" i="2"/>
  <c r="G83" i="2"/>
  <c r="H83" i="2"/>
  <c r="I83" i="2"/>
  <c r="F84" i="2"/>
  <c r="G84" i="2"/>
  <c r="H84" i="2"/>
  <c r="I84" i="2"/>
  <c r="F85" i="2"/>
  <c r="G85" i="2"/>
  <c r="H85" i="2"/>
  <c r="I85" i="2"/>
  <c r="F86" i="2"/>
  <c r="G86" i="2"/>
  <c r="H86" i="2"/>
  <c r="I86" i="2"/>
  <c r="F87" i="2"/>
  <c r="G87" i="2"/>
  <c r="H87" i="2"/>
  <c r="I87" i="2"/>
  <c r="F88" i="2"/>
  <c r="G88" i="2"/>
  <c r="H88" i="2"/>
  <c r="I88" i="2"/>
  <c r="F89" i="2"/>
  <c r="G89" i="2"/>
  <c r="H89" i="2"/>
  <c r="I89" i="2"/>
  <c r="F90" i="2"/>
  <c r="G90" i="2"/>
  <c r="H90" i="2"/>
  <c r="I90" i="2"/>
  <c r="F91" i="2"/>
  <c r="G91" i="2"/>
  <c r="H91" i="2"/>
  <c r="I91" i="2"/>
  <c r="F92" i="2"/>
  <c r="G92" i="2"/>
  <c r="H92" i="2"/>
  <c r="I92" i="2"/>
  <c r="F93" i="2"/>
  <c r="G93" i="2"/>
  <c r="H93" i="2"/>
  <c r="I93" i="2"/>
  <c r="F94" i="2"/>
  <c r="G94" i="2"/>
  <c r="H94" i="2"/>
  <c r="I94" i="2"/>
  <c r="F95" i="2"/>
  <c r="G95" i="2"/>
  <c r="H95" i="2"/>
  <c r="I95" i="2"/>
  <c r="F96" i="2"/>
  <c r="G96" i="2"/>
  <c r="H96" i="2"/>
  <c r="I96" i="2"/>
  <c r="F97" i="2"/>
  <c r="G97" i="2"/>
  <c r="H97" i="2"/>
  <c r="I97" i="2"/>
  <c r="F98" i="2"/>
  <c r="G98" i="2"/>
  <c r="H98" i="2"/>
  <c r="I98" i="2"/>
  <c r="F99" i="2"/>
  <c r="G99" i="2"/>
  <c r="H99" i="2"/>
  <c r="I99" i="2"/>
  <c r="F100" i="2"/>
  <c r="G100" i="2"/>
  <c r="H100" i="2"/>
  <c r="I100" i="2"/>
  <c r="F101" i="2"/>
  <c r="G101" i="2"/>
  <c r="H101" i="2"/>
  <c r="I101" i="2"/>
  <c r="F102" i="2"/>
  <c r="G102" i="2"/>
  <c r="H102" i="2"/>
  <c r="I102" i="2"/>
  <c r="F103" i="2"/>
  <c r="G103" i="2"/>
  <c r="H103" i="2"/>
  <c r="I103" i="2"/>
  <c r="F104" i="2"/>
  <c r="G104" i="2"/>
  <c r="H104" i="2"/>
  <c r="I104" i="2"/>
  <c r="F105" i="2"/>
  <c r="G105" i="2"/>
  <c r="H105" i="2"/>
  <c r="I105" i="2"/>
  <c r="F106" i="2"/>
  <c r="G106" i="2"/>
  <c r="H106" i="2"/>
  <c r="I106" i="2"/>
  <c r="F107" i="2"/>
  <c r="G107" i="2"/>
  <c r="H107" i="2"/>
  <c r="I107" i="2"/>
  <c r="F108" i="2"/>
  <c r="G108" i="2"/>
  <c r="H108" i="2"/>
  <c r="I108" i="2"/>
  <c r="F109" i="2"/>
  <c r="G109" i="2"/>
  <c r="H109" i="2"/>
  <c r="I109" i="2"/>
  <c r="F110" i="2"/>
  <c r="G110" i="2"/>
  <c r="H110" i="2"/>
  <c r="I110" i="2"/>
  <c r="F111" i="2"/>
  <c r="G111" i="2"/>
  <c r="H111" i="2"/>
  <c r="I111" i="2"/>
  <c r="F112" i="2"/>
  <c r="G112" i="2"/>
  <c r="H112" i="2"/>
  <c r="I112" i="2"/>
  <c r="F113" i="2"/>
  <c r="G113" i="2"/>
  <c r="H113" i="2"/>
  <c r="I113" i="2"/>
  <c r="F114" i="2"/>
  <c r="G114" i="2"/>
  <c r="H114" i="2"/>
  <c r="I114" i="2"/>
  <c r="F115" i="2"/>
  <c r="G115" i="2"/>
  <c r="H115" i="2"/>
  <c r="I115" i="2"/>
  <c r="F116" i="2"/>
  <c r="G116" i="2"/>
  <c r="H116" i="2"/>
  <c r="I116" i="2"/>
  <c r="F117" i="2"/>
  <c r="G117" i="2"/>
  <c r="H117" i="2"/>
  <c r="I117" i="2"/>
  <c r="F118" i="2"/>
  <c r="G118" i="2"/>
  <c r="H118" i="2"/>
  <c r="I118" i="2"/>
  <c r="F119" i="2"/>
  <c r="G119" i="2"/>
  <c r="H119" i="2"/>
  <c r="I119" i="2"/>
  <c r="F120" i="2"/>
  <c r="G120" i="2"/>
  <c r="H120" i="2"/>
  <c r="I120" i="2"/>
  <c r="F121" i="2"/>
  <c r="G121" i="2"/>
  <c r="H121" i="2"/>
  <c r="I121" i="2"/>
  <c r="F122" i="2"/>
  <c r="G122" i="2"/>
  <c r="H122" i="2"/>
  <c r="I122" i="2"/>
  <c r="F123" i="2"/>
  <c r="G123" i="2"/>
  <c r="H123" i="2"/>
  <c r="I123" i="2"/>
  <c r="F124" i="2"/>
  <c r="G124" i="2"/>
  <c r="H124" i="2"/>
  <c r="I124" i="2"/>
  <c r="F125" i="2"/>
  <c r="G125" i="2"/>
  <c r="H125" i="2"/>
  <c r="I125" i="2"/>
  <c r="F126" i="2"/>
  <c r="G126" i="2"/>
  <c r="H126" i="2"/>
  <c r="I126" i="2"/>
  <c r="F127" i="2"/>
  <c r="G127" i="2"/>
  <c r="H127" i="2"/>
  <c r="I127" i="2"/>
  <c r="F128" i="2"/>
  <c r="G128" i="2"/>
  <c r="H128" i="2"/>
  <c r="I128" i="2"/>
  <c r="F129" i="2"/>
  <c r="G129" i="2"/>
  <c r="H129" i="2"/>
  <c r="I129" i="2"/>
  <c r="F130" i="2"/>
  <c r="G130" i="2"/>
  <c r="H130" i="2"/>
  <c r="I130" i="2"/>
  <c r="F131" i="2"/>
  <c r="G131" i="2"/>
  <c r="H131" i="2"/>
  <c r="I131" i="2"/>
  <c r="F132" i="2"/>
  <c r="G132" i="2"/>
  <c r="H132" i="2"/>
  <c r="I132" i="2"/>
  <c r="F133" i="2"/>
  <c r="G133" i="2"/>
  <c r="H133" i="2"/>
  <c r="I133" i="2"/>
  <c r="F134" i="2"/>
  <c r="G134" i="2"/>
  <c r="H134" i="2"/>
  <c r="I134" i="2"/>
  <c r="F135" i="2"/>
  <c r="G135" i="2"/>
  <c r="H135" i="2"/>
  <c r="I135" i="2"/>
  <c r="F136" i="2"/>
  <c r="G136" i="2"/>
  <c r="H136" i="2"/>
  <c r="I136" i="2"/>
  <c r="F137" i="2"/>
  <c r="G137" i="2"/>
  <c r="H137" i="2"/>
  <c r="I137" i="2"/>
  <c r="F138" i="2"/>
  <c r="G138" i="2"/>
  <c r="H138" i="2"/>
  <c r="I138" i="2"/>
  <c r="F139" i="2"/>
  <c r="G139" i="2"/>
  <c r="H139" i="2"/>
  <c r="I139" i="2"/>
  <c r="F140" i="2"/>
  <c r="G140" i="2"/>
  <c r="H140" i="2"/>
  <c r="I140" i="2"/>
  <c r="F141" i="2"/>
  <c r="G141" i="2"/>
  <c r="H141" i="2"/>
  <c r="I141" i="2"/>
  <c r="F142" i="2"/>
  <c r="G142" i="2"/>
  <c r="H142" i="2"/>
  <c r="I142" i="2"/>
  <c r="F143" i="2"/>
  <c r="G143" i="2"/>
  <c r="H143" i="2"/>
  <c r="I143" i="2"/>
  <c r="F144" i="2"/>
  <c r="G144" i="2"/>
  <c r="H144" i="2"/>
  <c r="I144" i="2"/>
  <c r="F145" i="2"/>
  <c r="G145" i="2"/>
  <c r="H145" i="2"/>
  <c r="I145" i="2"/>
  <c r="F146" i="2"/>
  <c r="G146" i="2"/>
  <c r="H146" i="2"/>
  <c r="I146" i="2"/>
  <c r="F147" i="2"/>
  <c r="G147" i="2"/>
  <c r="H147" i="2"/>
  <c r="I147" i="2"/>
  <c r="F148" i="2"/>
  <c r="G148" i="2"/>
  <c r="H148" i="2"/>
  <c r="I148" i="2"/>
  <c r="F149" i="2"/>
  <c r="G149" i="2"/>
  <c r="H149" i="2"/>
  <c r="I149" i="2"/>
  <c r="F150" i="2"/>
  <c r="G150" i="2"/>
  <c r="H150" i="2"/>
  <c r="I150" i="2"/>
  <c r="F151" i="2"/>
  <c r="G151" i="2"/>
  <c r="H151" i="2"/>
  <c r="I151" i="2"/>
  <c r="F152" i="2"/>
  <c r="G152" i="2"/>
  <c r="H152" i="2"/>
  <c r="I152" i="2"/>
  <c r="F153" i="2"/>
  <c r="G153" i="2"/>
  <c r="H153" i="2"/>
  <c r="I153" i="2"/>
  <c r="F154" i="2"/>
  <c r="G154" i="2"/>
  <c r="H154" i="2"/>
  <c r="I154" i="2"/>
  <c r="F155" i="2"/>
  <c r="G155" i="2"/>
  <c r="H155" i="2"/>
  <c r="I155" i="2"/>
  <c r="F156" i="2"/>
  <c r="G156" i="2"/>
  <c r="H156" i="2"/>
  <c r="I156" i="2"/>
  <c r="F157" i="2"/>
  <c r="G157" i="2"/>
  <c r="H157" i="2"/>
  <c r="I157" i="2"/>
  <c r="F158" i="2"/>
  <c r="G158" i="2"/>
  <c r="H158" i="2"/>
  <c r="I158" i="2"/>
  <c r="F159" i="2"/>
  <c r="G159" i="2"/>
  <c r="H159" i="2"/>
  <c r="I159" i="2"/>
  <c r="F160" i="2"/>
  <c r="G160" i="2"/>
  <c r="H160" i="2"/>
  <c r="I160" i="2"/>
  <c r="F161" i="2"/>
  <c r="G161" i="2"/>
  <c r="H161" i="2"/>
  <c r="I161" i="2"/>
  <c r="F162" i="2"/>
  <c r="G162" i="2"/>
  <c r="H162" i="2"/>
  <c r="I162" i="2"/>
  <c r="F163" i="2"/>
  <c r="G163" i="2"/>
  <c r="H163" i="2"/>
  <c r="I163" i="2"/>
  <c r="F164" i="2"/>
  <c r="G164" i="2"/>
  <c r="H164" i="2"/>
  <c r="I164" i="2"/>
  <c r="F165" i="2"/>
  <c r="G165" i="2"/>
  <c r="H165" i="2"/>
  <c r="I165" i="2"/>
  <c r="F166" i="2"/>
  <c r="G166" i="2"/>
  <c r="H166" i="2"/>
  <c r="I166" i="2"/>
  <c r="F167" i="2"/>
  <c r="G167" i="2"/>
  <c r="H167" i="2"/>
  <c r="I167" i="2"/>
  <c r="F168" i="2"/>
  <c r="G168" i="2"/>
  <c r="H168" i="2"/>
  <c r="I168" i="2"/>
  <c r="F169" i="2"/>
  <c r="G169" i="2"/>
  <c r="H169" i="2"/>
  <c r="I169" i="2"/>
  <c r="F170" i="2"/>
  <c r="G170" i="2"/>
  <c r="H170" i="2"/>
  <c r="I170" i="2"/>
  <c r="F171" i="2"/>
  <c r="G171" i="2"/>
  <c r="H171" i="2"/>
  <c r="I171" i="2"/>
  <c r="F172" i="2"/>
  <c r="G172" i="2"/>
  <c r="H172" i="2"/>
  <c r="I172" i="2"/>
  <c r="F173" i="2"/>
  <c r="G173" i="2"/>
  <c r="H173" i="2"/>
  <c r="I173" i="2"/>
  <c r="F174" i="2"/>
  <c r="G174" i="2"/>
  <c r="H174" i="2"/>
  <c r="I174" i="2"/>
  <c r="F175" i="2"/>
  <c r="G175" i="2"/>
  <c r="H175" i="2"/>
  <c r="I175" i="2"/>
  <c r="F176" i="2"/>
  <c r="G176" i="2"/>
  <c r="H176" i="2"/>
  <c r="I176" i="2"/>
  <c r="F177" i="2"/>
  <c r="G177" i="2"/>
  <c r="H177" i="2"/>
  <c r="I177" i="2"/>
  <c r="F178" i="2"/>
  <c r="G178" i="2"/>
  <c r="H178" i="2"/>
  <c r="I178" i="2"/>
  <c r="F179" i="2"/>
  <c r="G179" i="2"/>
  <c r="H179" i="2"/>
  <c r="I179" i="2"/>
  <c r="F180" i="2"/>
  <c r="G180" i="2"/>
  <c r="H180" i="2"/>
  <c r="I180" i="2"/>
  <c r="F181" i="2"/>
  <c r="G181" i="2"/>
  <c r="H181" i="2"/>
  <c r="I181" i="2"/>
  <c r="I3" i="2"/>
  <c r="E185" i="2" s="1"/>
  <c r="E186" i="2" s="1"/>
  <c r="E187" i="2" s="1"/>
  <c r="H3" i="2"/>
  <c r="D185" i="2" s="1"/>
  <c r="D186" i="2" s="1"/>
  <c r="D187" i="2" s="1"/>
  <c r="G3" i="2"/>
  <c r="C185" i="2" s="1"/>
  <c r="C186" i="2" s="1"/>
  <c r="C187" i="2" s="1"/>
  <c r="F3" i="2"/>
  <c r="B185" i="2" s="1"/>
  <c r="B186" i="2" s="1"/>
  <c r="B187" i="2" s="1"/>
</calcChain>
</file>

<file path=xl/sharedStrings.xml><?xml version="1.0" encoding="utf-8"?>
<sst xmlns="http://schemas.openxmlformats.org/spreadsheetml/2006/main" count="29526" uniqueCount="16214">
  <si>
    <t>string</t>
  </si>
  <si>
    <t>name</t>
  </si>
  <si>
    <t>value</t>
  </si>
  <si>
    <t xml:space="preserve">date is: 2022-06-24 00:00:00
</t>
  </si>
  <si>
    <t>date is</t>
  </si>
  <si>
    <t xml:space="preserve"> 2022-06-24 00</t>
  </si>
  <si>
    <t>current price of gold is: 1826.88</t>
  </si>
  <si>
    <t>current price of gold is</t>
  </si>
  <si>
    <t xml:space="preserve"> predicted price of gold is: 1831.8650747858303</t>
  </si>
  <si>
    <t xml:space="preserve"> predicted price of gold is</t>
  </si>
  <si>
    <t xml:space="preserve">profit is: 4.985074785830193
</t>
  </si>
  <si>
    <t>profit is</t>
  </si>
  <si>
    <t xml:space="preserve"> 4.985074785830193
</t>
  </si>
  <si>
    <t>current price of tb is: 90.67578125</t>
  </si>
  <si>
    <t>current price of tb is</t>
  </si>
  <si>
    <t xml:space="preserve"> current price of tb option is: 4.2709836985238745</t>
  </si>
  <si>
    <t xml:space="preserve"> current price of tb option is</t>
  </si>
  <si>
    <t>predicted price of tb is: 90.91260263304822</t>
  </si>
  <si>
    <t>predicted price of tb is</t>
  </si>
  <si>
    <t xml:space="preserve">profit is: 4.507805081572101
</t>
  </si>
  <si>
    <t xml:space="preserve"> 4.507805081572101
</t>
  </si>
  <si>
    <t>current price of reit is: 63.75</t>
  </si>
  <si>
    <t>current price of reit is</t>
  </si>
  <si>
    <t xml:space="preserve"> current price of reit option is: 5.410282647271387</t>
  </si>
  <si>
    <t xml:space="preserve"> current price of reit option is</t>
  </si>
  <si>
    <t>predicted price of reit is: 64.59161035675962</t>
  </si>
  <si>
    <t>predicted price of reit is</t>
  </si>
  <si>
    <t xml:space="preserve">profit is: 6.251893004031004
</t>
  </si>
  <si>
    <t xml:space="preserve"> 6.251893004031004
</t>
  </si>
  <si>
    <t>value_ratio_tb_to_total is: 0.2863048656453398</t>
  </si>
  <si>
    <t>value_ratio_tb_to_total is</t>
  </si>
  <si>
    <t xml:space="preserve"> risk_ratio_tb_to_gold is: 0.3684521846413362
</t>
  </si>
  <si>
    <t xml:space="preserve"> risk_ratio_tb_to_gold is</t>
  </si>
  <si>
    <t xml:space="preserve"> 0.3684521846413362
</t>
  </si>
  <si>
    <t>value_ratio_gold_to_total is: 0.3166177642914696</t>
  </si>
  <si>
    <t>value_ratio_gold_to_total is</t>
  </si>
  <si>
    <t xml:space="preserve"> risk_ratio_gold_to_total is: 0.5686505269494011
</t>
  </si>
  <si>
    <t xml:space="preserve"> risk_ratio_gold_to_total is</t>
  </si>
  <si>
    <t xml:space="preserve"> 0.5686505269494011
</t>
  </si>
  <si>
    <t>value_ratio_reit_to_total is: 0.3970773700631906</t>
  </si>
  <si>
    <t>value_ratio_reit_to_total is</t>
  </si>
  <si>
    <t xml:space="preserve"> risk_ratio_reit_to_gold is: 0.39009713978227545
</t>
  </si>
  <si>
    <t xml:space="preserve"> risk_ratio_reit_to_gold is</t>
  </si>
  <si>
    <t xml:space="preserve"> 0.39009713978227545
</t>
  </si>
  <si>
    <t>average_risk_gold is: 0.008608354552153592</t>
  </si>
  <si>
    <t>average_risk_gold is</t>
  </si>
  <si>
    <t xml:space="preserve"> average_risk_tb is: 1.0969246192973405</t>
  </si>
  <si>
    <t xml:space="preserve"> average_risk_tb is</t>
  </si>
  <si>
    <t xml:space="preserve"> average_risk_reit is: 1.1613641454214558
</t>
  </si>
  <si>
    <t xml:space="preserve"> average_risk_reit is</t>
  </si>
  <si>
    <t xml:space="preserve"> 1.1613641454214558
</t>
  </si>
  <si>
    <t xml:space="preserve">collateral_ratio_tranche_tb is: 0.35
</t>
  </si>
  <si>
    <t>collateral_ratio_tranche_tb is</t>
  </si>
  <si>
    <t xml:space="preserve"> 0.35
</t>
  </si>
  <si>
    <t xml:space="preserve">collateral_ratio_tranche_gold is: 0.8
</t>
  </si>
  <si>
    <t>collateral_ratio_tranche_gold is</t>
  </si>
  <si>
    <t xml:space="preserve"> 0.8
</t>
  </si>
  <si>
    <t xml:space="preserve">collateral_ratio_tranche_reit is: 0.3913835894345417
</t>
  </si>
  <si>
    <t>collateral_ratio_tranche_reit is</t>
  </si>
  <si>
    <t xml:space="preserve"> 0.3913835894345417
</t>
  </si>
  <si>
    <t>Total plot size is: 154138358.94345418</t>
  </si>
  <si>
    <t>Total plot size is</t>
  </si>
  <si>
    <t xml:space="preserve"> plot size of gold is: 80000000.0</t>
  </si>
  <si>
    <t xml:space="preserve"> plot size of gold is</t>
  </si>
  <si>
    <t xml:space="preserve"> plot size of TB is: 35000000.0</t>
  </si>
  <si>
    <t xml:space="preserve"> plot size of TB is</t>
  </si>
  <si>
    <t xml:space="preserve"> plot size of REIT is: 39138358.94345417
</t>
  </si>
  <si>
    <t xml:space="preserve"> plot size of REIT is</t>
  </si>
  <si>
    <t xml:space="preserve"> 39138358.94345417
</t>
  </si>
  <si>
    <t xml:space="preserve">collateral ratio is: 1.5413835894345418
</t>
  </si>
  <si>
    <t>collateral ratio is</t>
  </si>
  <si>
    <t xml:space="preserve"> 1.5413835894345418
</t>
  </si>
  <si>
    <t>S_gtbcps_0 is: 1.0</t>
  </si>
  <si>
    <t>S_gtbcps_0 is</t>
  </si>
  <si>
    <t>T is: 0.0027397260273972603</t>
  </si>
  <si>
    <t>T is</t>
  </si>
  <si>
    <t>t is: 0.0</t>
  </si>
  <si>
    <t>t is</t>
  </si>
  <si>
    <t>change_of_collaterals is: 0.0</t>
  </si>
  <si>
    <t>change_of_collaterals is</t>
  </si>
  <si>
    <t xml:space="preserve">stdev_gtbcps is: 0.009054242157503188
</t>
  </si>
  <si>
    <t>stdev_gtbcps is</t>
  </si>
  <si>
    <t xml:space="preserve"> 0.009054242157503188
</t>
  </si>
  <si>
    <t>predicted price of GTBCPS is: 0.9999923473226506</t>
  </si>
  <si>
    <t>predicted price of GTBCPS is</t>
  </si>
  <si>
    <t xml:space="preserve"> actual price is: 1.0
</t>
  </si>
  <si>
    <t xml:space="preserve"> actual price is</t>
  </si>
  <si>
    <t xml:space="preserve"> 1.0
</t>
  </si>
  <si>
    <t>predicted amount of GTBCPS is: 102759692.34907286</t>
  </si>
  <si>
    <t>predicted amount of GTBCPS is</t>
  </si>
  <si>
    <t xml:space="preserve"> actual amount is: 100000000
</t>
  </si>
  <si>
    <t xml:space="preserve"> actual amount is</t>
  </si>
  <si>
    <t xml:space="preserve"> 100000000
</t>
  </si>
  <si>
    <t>plot sizes of gold is: 80000000.0</t>
  </si>
  <si>
    <t>plot sizes of gold is</t>
  </si>
  <si>
    <t xml:space="preserve"> plot sizes of tb is: 35000000.0 </t>
  </si>
  <si>
    <t xml:space="preserve"> plot sizes of tb is</t>
  </si>
  <si>
    <t xml:space="preserve"> plot sizes of reit is: 39138358.94345417</t>
  </si>
  <si>
    <t xml:space="preserve"> plot sizes of reit is</t>
  </si>
  <si>
    <t xml:space="preserve"> plot sizes of total is: 154138358.94345418.
</t>
  </si>
  <si>
    <t xml:space="preserve"> plot sizes of total is</t>
  </si>
  <si>
    <t xml:space="preserve"> 154138358.94345418.
</t>
  </si>
  <si>
    <t>predicted stdevs of gold is: 0.010178377489492255</t>
  </si>
  <si>
    <t>predicted stdevs of gold is</t>
  </si>
  <si>
    <t xml:space="preserve"> predicted stdevs of tb is: 0.0031717670409081825</t>
  </si>
  <si>
    <t xml:space="preserve"> predicted stdevs of tb is</t>
  </si>
  <si>
    <t xml:space="preserve"> predicted stdevs of reit is: 0.012016957142289068</t>
  </si>
  <si>
    <t xml:space="preserve"> predicted stdevs of reit is</t>
  </si>
  <si>
    <t xml:space="preserve"> predicted stdevs of GTBCPS is: 0.009054242157503188.
</t>
  </si>
  <si>
    <t xml:space="preserve"> predicted stdevs of GTBCPS is</t>
  </si>
  <si>
    <t xml:space="preserve"> 0.009054242157503188.
</t>
  </si>
  <si>
    <t>payout of tranche of gold is: -204.07295768764544</t>
  </si>
  <si>
    <t>payout of tranche of gold is</t>
  </si>
  <si>
    <t xml:space="preserve"> payout of tranche of Treausry Bill Option is: -30.02421895297235</t>
  </si>
  <si>
    <t xml:space="preserve"> payout of tranche of Treausry Bill Option is</t>
  </si>
  <si>
    <t xml:space="preserve"> payout of tranche of Collar of REIT is: -35.60824931743656
</t>
  </si>
  <si>
    <t xml:space="preserve"> payout of tranche of Collar of REIT is</t>
  </si>
  <si>
    <t xml:space="preserve"> -35.60824931743656
</t>
  </si>
  <si>
    <t>Collateral size of tranche of gold is: 79999795.9270423</t>
  </si>
  <si>
    <t>Collateral size of tranche of gold is</t>
  </si>
  <si>
    <t xml:space="preserve"> collateral size of tranche of Treausry Bill Option is: 34999969.975781046</t>
  </si>
  <si>
    <t xml:space="preserve"> collateral size of tranche of Treausry Bill Option is</t>
  </si>
  <si>
    <t xml:space="preserve"> collateral size of tranche of Collar of REIT is: 39138323.335204855
</t>
  </si>
  <si>
    <t xml:space="preserve"> collateral size of tranche of Collar of REIT is</t>
  </si>
  <si>
    <t xml:space="preserve"> 39138323.335204855
</t>
  </si>
  <si>
    <t>Collateral ratio of tranche of gold is: 0.7785193427068046</t>
  </si>
  <si>
    <t>Collateral ratio of tranche of gold is</t>
  </si>
  <si>
    <t xml:space="preserve"> collateral ratio of tranche of Treausry Bill Option is: 0.34060278910151903</t>
  </si>
  <si>
    <t xml:space="preserve"> collateral ratio of tranche of Treausry Bill Option is</t>
  </si>
  <si>
    <t xml:space="preserve"> collateral ratio of tranche of Collar of REIT is: 0.3808752435488442
</t>
  </si>
  <si>
    <t xml:space="preserve"> collateral ratio of tranche of Collar of REIT is</t>
  </si>
  <si>
    <t xml:space="preserve"> 0.3808752435488442
</t>
  </si>
  <si>
    <t xml:space="preserve">date is: 2022-06-27 00:00:00
</t>
  </si>
  <si>
    <t xml:space="preserve"> 2022-06-27 00</t>
  </si>
  <si>
    <t>current price of gold is: 1822.85</t>
  </si>
  <si>
    <t xml:space="preserve"> predicted price of gold is: 1820.8851833596136
</t>
  </si>
  <si>
    <t xml:space="preserve"> 1820.8851833596136
</t>
  </si>
  <si>
    <t>current price of tb is: 90.50390625</t>
  </si>
  <si>
    <t xml:space="preserve"> current price of tb option is: 4.266298375999059</t>
  </si>
  <si>
    <t xml:space="preserve"> predicted price of tb is: 90.7455720778945
</t>
  </si>
  <si>
    <t xml:space="preserve"> predicted price of tb is</t>
  </si>
  <si>
    <t xml:space="preserve"> 90.7455720778945
</t>
  </si>
  <si>
    <t>current price of reit is: 64.8</t>
  </si>
  <si>
    <t xml:space="preserve"> current price of reit option is: 5.29356239136095</t>
  </si>
  <si>
    <t xml:space="preserve"> predicted price of reit is: 65.25160214201978
</t>
  </si>
  <si>
    <t xml:space="preserve"> predicted price of reit is</t>
  </si>
  <si>
    <t xml:space="preserve"> 65.25160214201978
</t>
  </si>
  <si>
    <t>value_ratio_gold_to_total is: -0.2370587180379003</t>
  </si>
  <si>
    <t xml:space="preserve"> risk_ratio_to_gold is: 0.5630664252736487</t>
  </si>
  <si>
    <t xml:space="preserve"> risk_ratio_to_gold is</t>
  </si>
  <si>
    <t xml:space="preserve"> risk_ratio_to_gold_before is: 0.5686505269494011
</t>
  </si>
  <si>
    <t xml:space="preserve"> risk_ratio_to_gold_before is</t>
  </si>
  <si>
    <t>value_ratio_tb_to_total is: 0.5438941187538237</t>
  </si>
  <si>
    <t xml:space="preserve"> risk_ratio_tb_to_gold is: 0.3685244992075321</t>
  </si>
  <si>
    <t xml:space="preserve"> risk_ratio_tb_to_gold_before is: 0.3684521846413362
</t>
  </si>
  <si>
    <t xml:space="preserve"> risk_ratio_tb_to_gold_before is</t>
  </si>
  <si>
    <t>value_ratio_reit_to_total is: 0.6931645992840767</t>
  </si>
  <si>
    <t xml:space="preserve"> risk_ratio_reit_to_gold is: 0.40746489585185697</t>
  </si>
  <si>
    <t xml:space="preserve"> risk_ratio_reit_to_gold_before is: 0.39009713978227545
</t>
  </si>
  <si>
    <t xml:space="preserve"> risk_ratio_reit_to_gold_before is</t>
  </si>
  <si>
    <t>delta_gold is: 0.9977940532492554</t>
  </si>
  <si>
    <t>delta_gold is</t>
  </si>
  <si>
    <t xml:space="preserve"> delta_tb is: 0.9981404282429155</t>
  </si>
  <si>
    <t xml:space="preserve"> delta_tb is</t>
  </si>
  <si>
    <t xml:space="preserve"> delta_reit is: 1.013494446644318
</t>
  </si>
  <si>
    <t xml:space="preserve"> delta_reit is</t>
  </si>
  <si>
    <t xml:space="preserve"> 1.013494446644318
</t>
  </si>
  <si>
    <t>delta_gold_risk is: 0.9964401875498605</t>
  </si>
  <si>
    <t>delta_gold_risk is</t>
  </si>
  <si>
    <t xml:space="preserve"> delta_tb_risk is: 1.0000528440576935</t>
  </si>
  <si>
    <t xml:space="preserve"> delta_tb_risk is</t>
  </si>
  <si>
    <t xml:space="preserve"> delta_reit_risk is: 1.0124939154052945
</t>
  </si>
  <si>
    <t xml:space="preserve"> delta_reit_risk is</t>
  </si>
  <si>
    <t xml:space="preserve"> 1.0124939154052945
</t>
  </si>
  <si>
    <t xml:space="preserve">collateral_ratio_tranche_gold is: 0.7795771188258087
</t>
  </si>
  <si>
    <t xml:space="preserve"> 0.7795771188258087
</t>
  </si>
  <si>
    <t xml:space="preserve">collateral_ratio_tranche_tb is: 0.3407030220850561
</t>
  </si>
  <si>
    <t xml:space="preserve"> 0.3407030220850561
</t>
  </si>
  <si>
    <t xml:space="preserve">collateral_ratio_tranche_reit is: 0.3820944988467383
</t>
  </si>
  <si>
    <t xml:space="preserve"> 0.3820944988467383
</t>
  </si>
  <si>
    <t>Total plot size is: 154424948.68840528</t>
  </si>
  <si>
    <t xml:space="preserve"> plot size of gold is: 79823524.25994043</t>
  </si>
  <si>
    <t xml:space="preserve"> plot size of TB is: 34934914.98850204</t>
  </si>
  <si>
    <t xml:space="preserve"> plot size of REIT is: 39666509.43996278
</t>
  </si>
  <si>
    <t xml:space="preserve"> 39666509.43996278
</t>
  </si>
  <si>
    <t xml:space="preserve">collateral ratio is: 1.502788952862696
</t>
  </si>
  <si>
    <t xml:space="preserve"> 1.502788952862696
</t>
  </si>
  <si>
    <t>S_gtbcps_0 is: 0.9999923473226506</t>
  </si>
  <si>
    <t>change_of_collaterals is: -2.220446049250313e-16</t>
  </si>
  <si>
    <t xml:space="preserve">stdev_gtbcps is: 0.009083903172671964
</t>
  </si>
  <si>
    <t xml:space="preserve"> 0.009083903172671964
</t>
  </si>
  <si>
    <t>predicted price of GTBCPS is: 0.999984814353653</t>
  </si>
  <si>
    <t xml:space="preserve"> actual price is: 0.9999923473226506
</t>
  </si>
  <si>
    <t xml:space="preserve"> 0.9999923473226506
</t>
  </si>
  <si>
    <t>predicted amount of GTBCPS is: 102951529.17778315</t>
  </si>
  <si>
    <t xml:space="preserve"> actual amount is: 102759692.34907286
</t>
  </si>
  <si>
    <t xml:space="preserve"> 102759692.34907286
</t>
  </si>
  <si>
    <t>plot sizes of gold is: 79823524.25994043</t>
  </si>
  <si>
    <t xml:space="preserve"> plot sizes of tb is: 34934914.98850204 </t>
  </si>
  <si>
    <t xml:space="preserve"> plot sizes of reit is: 39666509.43996278</t>
  </si>
  <si>
    <t xml:space="preserve"> plot sizes of total is: 154424948.68840525.
</t>
  </si>
  <si>
    <t xml:space="preserve"> 154424948.68840525.
</t>
  </si>
  <si>
    <t>predicted stdevs of gold is: 0.010178738660976742</t>
  </si>
  <si>
    <t xml:space="preserve"> predicted stdevs of tb is: 0.0031697458273489297</t>
  </si>
  <si>
    <t xml:space="preserve"> predicted stdevs of reit is: 0.012089384587833677</t>
  </si>
  <si>
    <t xml:space="preserve"> predicted stdevs of GTBCPS is: 0.009083903172671964.
</t>
  </si>
  <si>
    <t xml:space="preserve"> 0.009083903172671964.
</t>
  </si>
  <si>
    <t>total_value_of_collaterals is: 154424683.1034444</t>
  </si>
  <si>
    <t>total_value_of_collaterals is</t>
  </si>
  <si>
    <t xml:space="preserve"> createdtionValue_gold is: 148740.4585144785</t>
  </si>
  <si>
    <t xml:space="preserve"> createdtionValue_gold is</t>
  </si>
  <si>
    <t xml:space="preserve"> createdValue_tb is: 65096.6160700008</t>
  </si>
  <si>
    <t xml:space="preserve"> createdValue_tb is</t>
  </si>
  <si>
    <t xml:space="preserve"> createdValue_reit is: 73913.30384845073
</t>
  </si>
  <si>
    <t xml:space="preserve"> createdValue_reit is</t>
  </si>
  <si>
    <t xml:space="preserve"> 73913.30384845073
</t>
  </si>
  <si>
    <t>plotValue_gold_after_creation is: 79674606.06790237</t>
  </si>
  <si>
    <t>plotValue_gold_after_creation is</t>
  </si>
  <si>
    <t xml:space="preserve"> plotValue_tb_after_creation  is: 34869781.184827626</t>
  </si>
  <si>
    <t xml:space="preserve"> plotValue_tb_after_creation  is</t>
  </si>
  <si>
    <t xml:space="preserve"> plotValue_reit_after_creation  is: 39592545.47228146</t>
  </si>
  <si>
    <t xml:space="preserve"> plotValue_reit_after_creation  is</t>
  </si>
  <si>
    <t xml:space="preserve">total_value_after_creation is: 154136932.72501147
</t>
  </si>
  <si>
    <t>total_value_after_creation is</t>
  </si>
  <si>
    <t xml:space="preserve"> 154136932.72501147
</t>
  </si>
  <si>
    <t>total_amount_gtncps_before_creation is: 102759692.34907286</t>
  </si>
  <si>
    <t>total_amount_gtncps_before_creation is</t>
  </si>
  <si>
    <t>creation_amount_gtbcps is: 191836.8287102878</t>
  </si>
  <si>
    <t>creation_amount_gtbcps is</t>
  </si>
  <si>
    <t xml:space="preserve">total_amount_gtbcps_new is: 102951529.17778315
</t>
  </si>
  <si>
    <t>total_amount_gtbcps_new is</t>
  </si>
  <si>
    <t xml:space="preserve"> 102951529.17778315
</t>
  </si>
  <si>
    <t>payout of tranche of gold is: -177.7335235810961</t>
  </si>
  <si>
    <t xml:space="preserve"> payout of tranche of Treausry Bill Option is: -37.18760441551132</t>
  </si>
  <si>
    <t xml:space="preserve"> payout of tranche of Collar of REIT is: -50.66383286817567
</t>
  </si>
  <si>
    <t xml:space="preserve"> -50.66383286817567
</t>
  </si>
  <si>
    <t>Collateral size of tranche of gold is: 79674606.06790237</t>
  </si>
  <si>
    <t xml:space="preserve"> collateral size of tranche of Treausry Bill Option is: 34869781.184827626</t>
  </si>
  <si>
    <t xml:space="preserve"> collateral size of tranche of Collar of REIT is: 39592545.47228146
</t>
  </si>
  <si>
    <t xml:space="preserve"> 39592545.47228146
</t>
  </si>
  <si>
    <t>Collateral ratio of tranche of gold is: 0.7753605930038129</t>
  </si>
  <si>
    <t xml:space="preserve"> collateral ratio of tranche of Treausry Bill Option is: 0.33933841096546197</t>
  </si>
  <si>
    <t xml:space="preserve"> collateral ratio of tranche of Collar of REIT is: 0.38529841628279793
</t>
  </si>
  <si>
    <t xml:space="preserve"> 0.38529841628279793
</t>
  </si>
  <si>
    <t xml:space="preserve">date is: 2022-06-28 00:00:00
</t>
  </si>
  <si>
    <t xml:space="preserve"> 2022-06-28 00</t>
  </si>
  <si>
    <t>current price of gold is: 1820.01</t>
  </si>
  <si>
    <t xml:space="preserve"> predicted price of gold is: 1824.3259223165458
</t>
  </si>
  <si>
    <t xml:space="preserve"> 1824.3259223165458
</t>
  </si>
  <si>
    <t>current price of tb is: 90.5546875</t>
  </si>
  <si>
    <t xml:space="preserve"> current price of tb option is: 4.266167480447818</t>
  </si>
  <si>
    <t xml:space="preserve"> predicted price of tb is: 90.79648892527732
</t>
  </si>
  <si>
    <t xml:space="preserve"> 90.79648892527732
</t>
  </si>
  <si>
    <t>current price of reit is: 65.25</t>
  </si>
  <si>
    <t xml:space="preserve"> current price of reit option is: 5.2647690457505405</t>
  </si>
  <si>
    <t xml:space="preserve"> predicted price of reit is: 65.81209417208008
</t>
  </si>
  <si>
    <t xml:space="preserve"> 65.81209417208008
</t>
  </si>
  <si>
    <t>value_ratio_gold_to_total is: 0.294587035376989</t>
  </si>
  <si>
    <t xml:space="preserve"> risk_ratio_to_gold is: 0.5629387080907096</t>
  </si>
  <si>
    <t xml:space="preserve"> risk_ratio_to_gold_before is: 0.5630664252736487
</t>
  </si>
  <si>
    <t xml:space="preserve"> 0.5630664252736487
</t>
  </si>
  <si>
    <t>value_ratio_tb_to_total is: 0.30769534252694075</t>
  </si>
  <si>
    <t xml:space="preserve"> risk_ratio_tb_to_gold is: 0.3683348326093813</t>
  </si>
  <si>
    <t xml:space="preserve"> risk_ratio_tb_to_gold_before is: 0.3685244992075321
</t>
  </si>
  <si>
    <t xml:space="preserve"> 0.3685244992075321
</t>
  </si>
  <si>
    <t>value_ratio_reit_to_total is: 0.39771762209607026</t>
  </si>
  <si>
    <t xml:space="preserve"> risk_ratio_reit_to_gold is: 0.40805749150641596</t>
  </si>
  <si>
    <t xml:space="preserve"> risk_ratio_reit_to_gold_before is: 0.40746489585185697
</t>
  </si>
  <si>
    <t xml:space="preserve"> 0.40746489585185697
</t>
  </si>
  <si>
    <t>delta_gold is: 0.9984420001645775</t>
  </si>
  <si>
    <t xml:space="preserve"> delta_tb is: 1.0005344544168566</t>
  </si>
  <si>
    <t xml:space="preserve"> delta_reit is: 1.0060092059815398
</t>
  </si>
  <si>
    <t xml:space="preserve"> 1.0060092059815398
</t>
  </si>
  <si>
    <t>delta_gold_risk is: 0.9999182906235626</t>
  </si>
  <si>
    <t xml:space="preserve"> delta_tb_risk is: 0.9998614079629116</t>
  </si>
  <si>
    <t xml:space="preserve"> delta_reit_risk is: 1.0004210376090412
</t>
  </si>
  <si>
    <t xml:space="preserve"> 1.0004210376090412
</t>
  </si>
  <si>
    <t xml:space="preserve">collateral_ratio_tranche_gold is: 0.7742158420211993
</t>
  </si>
  <si>
    <t xml:space="preserve"> 0.7742158420211993
</t>
  </si>
  <si>
    <t xml:space="preserve">collateral_ratio_tranche_tb is: 0.34009670374560713
</t>
  </si>
  <si>
    <t xml:space="preserve"> 0.34009670374560713
</t>
  </si>
  <si>
    <t xml:space="preserve">collateral_ratio_tranche_reit is: 0.38805521250407987
</t>
  </si>
  <si>
    <t xml:space="preserve"> 0.38805521250407987
</t>
  </si>
  <si>
    <t>Total plot size is: 154269355.7715158</t>
  </si>
  <si>
    <t xml:space="preserve"> plot size of gold is: 79550473.04476123</t>
  </si>
  <si>
    <t xml:space="preserve"> plot size of TB is: 34888417.493396685</t>
  </si>
  <si>
    <t xml:space="preserve"> plot size of REIT is: 39830465.233357884
</t>
  </si>
  <si>
    <t xml:space="preserve"> 39830465.233357884
</t>
  </si>
  <si>
    <t xml:space="preserve">collateral ratio is: 1.498488654991849
</t>
  </si>
  <si>
    <t xml:space="preserve"> 1.498488654991849
</t>
  </si>
  <si>
    <t>S_gtbcps_0 is: 0.999984814353653</t>
  </si>
  <si>
    <t xml:space="preserve">stdev_gtbcps is: 0.009089334787965204
</t>
  </si>
  <si>
    <t xml:space="preserve"> 0.009089334787965204
</t>
  </si>
  <si>
    <t>predicted price of GTBCPS is: 0.999988435709934</t>
  </si>
  <si>
    <t xml:space="preserve"> actual price is: 0.999984814353653
</t>
  </si>
  <si>
    <t xml:space="preserve"> 0.999984814353653
</t>
  </si>
  <si>
    <t>predicted amount of GTBCPS is: 102951156.34930483</t>
  </si>
  <si>
    <t xml:space="preserve"> actual amount is: 102951529.17778315
</t>
  </si>
  <si>
    <t>plot sizes of gold is: 79550473.04476123</t>
  </si>
  <si>
    <t xml:space="preserve"> plot sizes of tb is: 34888417.493396685 </t>
  </si>
  <si>
    <t xml:space="preserve"> plot sizes of reit is: 39830465.233357884</t>
  </si>
  <si>
    <t xml:space="preserve"> plot sizes of total is: 154269355.7715158.
</t>
  </si>
  <si>
    <t xml:space="preserve"> 154269355.7715158.
</t>
  </si>
  <si>
    <t>predicted stdevs of gold is: 0.010172219874920115</t>
  </si>
  <si>
    <t xml:space="preserve"> predicted stdevs of tb is: 0.0031692407000831826</t>
  </si>
  <si>
    <t xml:space="preserve"> predicted stdevs of reit is: 0.012112113771651377</t>
  </si>
  <si>
    <t xml:space="preserve"> predicted stdevs of GTBCPS is: 0.009089334787965204.
</t>
  </si>
  <si>
    <t xml:space="preserve"> 0.009089334787965204.
</t>
  </si>
  <si>
    <t>total_value_of_collaterals is: 154269483.56988278</t>
  </si>
  <si>
    <t xml:space="preserve"> createdtionValue_gold is: -288.08532807998085</t>
  </si>
  <si>
    <t xml:space="preserve"> createdValue_tb is: -126.34535975776087</t>
  </si>
  <si>
    <t xml:space="preserve"> createdValue_reit is: -144.24255926640402
</t>
  </si>
  <si>
    <t xml:space="preserve"> -144.24255926640402
</t>
  </si>
  <si>
    <t>plotValue_gold_after_creation is: 79550857.25492007</t>
  </si>
  <si>
    <t xml:space="preserve"> plotValue_tb_after_creation  is: 34888558.00431718</t>
  </si>
  <si>
    <t xml:space="preserve"> plotValue_reit_after_creation  is: 39830626.98389266</t>
  </si>
  <si>
    <t xml:space="preserve">total_value_after_creation is: 154270042.2431299
</t>
  </si>
  <si>
    <t xml:space="preserve"> 154270042.2431299
</t>
  </si>
  <si>
    <t>total_amount_gtncps_before_creation is: 102951529.17778315</t>
  </si>
  <si>
    <t>creation_amount_gtbcps is: -372.82847832143307</t>
  </si>
  <si>
    <t xml:space="preserve">total_amount_gtbcps_new is: 102951156.34930483
</t>
  </si>
  <si>
    <t xml:space="preserve"> 102951156.34930483
</t>
  </si>
  <si>
    <t>payout of tranche of gold is: 96.12483075543584</t>
  </si>
  <si>
    <t xml:space="preserve"> payout of tranche of Treausry Bill Option is: 14.165560740389763</t>
  </si>
  <si>
    <t xml:space="preserve"> payout of tranche of Collar of REIT is: 17.50797550346205
</t>
  </si>
  <si>
    <t xml:space="preserve"> 17.50797550346205
</t>
  </si>
  <si>
    <t>Collateral size of tranche of gold is: 79550857.25492007</t>
  </si>
  <si>
    <t xml:space="preserve"> collateral size of tranche of Treausry Bill Option is: 34888558.00431718</t>
  </si>
  <si>
    <t xml:space="preserve"> collateral size of tranche of Collar of REIT is: 39830626.98389266
</t>
  </si>
  <si>
    <t xml:space="preserve"> 39830626.98389266
</t>
  </si>
  <si>
    <t>Collateral ratio of tranche of gold is: 0.7727109820522632</t>
  </si>
  <si>
    <t xml:space="preserve"> collateral ratio of tranche of Treausry Bill Option is: 0.33888725839262945</t>
  </si>
  <si>
    <t xml:space="preserve"> collateral ratio of tranche of Collar of REIT is: 0.38689165591081714
</t>
  </si>
  <si>
    <t xml:space="preserve"> 0.38689165591081714
</t>
  </si>
  <si>
    <t xml:space="preserve">date is: 2022-06-29 00:00:00
</t>
  </si>
  <si>
    <t xml:space="preserve"> 2022-06-29 00</t>
  </si>
  <si>
    <t>current price of gold is: 1817.73</t>
  </si>
  <si>
    <t xml:space="preserve"> predicted price of gold is: 1821.1207045249043
</t>
  </si>
  <si>
    <t xml:space="preserve"> 1821.1207045249043
</t>
  </si>
  <si>
    <t>current price of tb is: 90.82421875</t>
  </si>
  <si>
    <t xml:space="preserve"> current price of tb option is: 4.2728108300744125</t>
  </si>
  <si>
    <t xml:space="preserve"> predicted price of tb is: 91.05915130566788
</t>
  </si>
  <si>
    <t xml:space="preserve"> 91.05915130566788
</t>
  </si>
  <si>
    <t>current price of reit is: 65.05</t>
  </si>
  <si>
    <t xml:space="preserve"> current price of reit option is: 5.350721324415531</t>
  </si>
  <si>
    <t xml:space="preserve"> predicted price of reit is: 65.69500455095316
</t>
  </si>
  <si>
    <t xml:space="preserve"> 65.69500455095316
</t>
  </si>
  <si>
    <t>value_ratio_gold_to_total is: 0.2440378663117859</t>
  </si>
  <si>
    <t xml:space="preserve"> risk_ratio_to_gold is: 0.564474077677756</t>
  </si>
  <si>
    <t xml:space="preserve"> risk_ratio_to_gold_before is: 0.5629387080907096
</t>
  </si>
  <si>
    <t xml:space="preserve"> 0.5629387080907096
</t>
  </si>
  <si>
    <t>value_ratio_tb_to_total is: 0.3244340725232184</t>
  </si>
  <si>
    <t xml:space="preserve"> risk_ratio_tb_to_gold is: 0.37017982237208175</t>
  </si>
  <si>
    <t xml:space="preserve"> risk_ratio_tb_to_gold_before is: 0.3683348326093813
</t>
  </si>
  <si>
    <t xml:space="preserve"> 0.3683348326093813
</t>
  </si>
  <si>
    <t>value_ratio_reit_to_total is: 0.43152806116499576</t>
  </si>
  <si>
    <t xml:space="preserve"> risk_ratio_reit_to_gold is: 0.40138071432075606</t>
  </si>
  <si>
    <t xml:space="preserve"> risk_ratio_reit_to_gold_before is: 0.40805749150641596
</t>
  </si>
  <si>
    <t xml:space="preserve"> 0.40805749150641596
</t>
  </si>
  <si>
    <t>delta_gold is: 0.9987472596304416</t>
  </si>
  <si>
    <t xml:space="preserve"> delta_tb is: 1.002912593434045</t>
  </si>
  <si>
    <t xml:space="preserve"> delta_reit is: 0.9983826406456636
</t>
  </si>
  <si>
    <t xml:space="preserve"> 0.9983826406456636
</t>
  </si>
  <si>
    <t>delta_gold_risk is: 1.0009823607151698</t>
  </si>
  <si>
    <t xml:space="preserve"> delta_tb_risk is: 1.0013483467048647</t>
  </si>
  <si>
    <t xml:space="preserve"> delta_reit_risk is: 0.9952581643676234
</t>
  </si>
  <si>
    <t xml:space="preserve"> 0.9952581643676234
</t>
  </si>
  <si>
    <t xml:space="preserve">collateral_ratio_tranche_gold is: 0.770985589855609
</t>
  </si>
  <si>
    <t xml:space="preserve"> 0.770985589855609
</t>
  </si>
  <si>
    <t xml:space="preserve">collateral_ratio_tranche_tb is: 0.33984238214896834
</t>
  </si>
  <si>
    <t xml:space="preserve"> 0.33984238214896834
</t>
  </si>
  <si>
    <t xml:space="preserve">collateral_ratio_tranche_reit is: 0.38859305532093863
</t>
  </si>
  <si>
    <t xml:space="preserve"> 0.38859305532093863
</t>
  </si>
  <si>
    <t>Total plot size is: 154207581.4206389</t>
  </si>
  <si>
    <t xml:space="preserve"> plot size of gold is: 79451200.68460386</t>
  </si>
  <si>
    <t xml:space="preserve"> plot size of TB is: 34990174.189283855</t>
  </si>
  <si>
    <t xml:space="preserve"> plot size of REIT is: 39766206.54675118
</t>
  </si>
  <si>
    <t xml:space="preserve"> 39766206.54675118
</t>
  </si>
  <si>
    <t xml:space="preserve">collateral ratio is: 1.497888612530431
</t>
  </si>
  <si>
    <t xml:space="preserve"> 1.497888612530431
</t>
  </si>
  <si>
    <t>S_gtbcps_0 is: 0.999988435709934</t>
  </si>
  <si>
    <t xml:space="preserve">stdev_gtbcps is: 0.009075434310650382
</t>
  </si>
  <si>
    <t xml:space="preserve"> 0.009075434310650382
</t>
  </si>
  <si>
    <t>predicted price of GTBCPS is: 0.9999541168554489</t>
  </si>
  <si>
    <t xml:space="preserve"> actual price is: 0.999988435709934
</t>
  </si>
  <si>
    <t xml:space="preserve"> 0.999988435709934
</t>
  </si>
  <si>
    <t>predicted amount of GTBCPS is: 102954689.67717884</t>
  </si>
  <si>
    <t xml:space="preserve"> actual amount is: 102951156.34930483
</t>
  </si>
  <si>
    <t>plot sizes of gold is: 79451200.68460386</t>
  </si>
  <si>
    <t xml:space="preserve"> plot sizes of tb is: 34990174.189283855 </t>
  </si>
  <si>
    <t xml:space="preserve"> plot sizes of reit is: 39766206.54675118</t>
  </si>
  <si>
    <t xml:space="preserve"> plot sizes of total is: 154207581.4206389.
</t>
  </si>
  <si>
    <t xml:space="preserve"> 154207581.4206389.
</t>
  </si>
  <si>
    <t>predicted stdevs of gold is: 0.010169453691764871</t>
  </si>
  <si>
    <t xml:space="preserve"> predicted stdevs of tb is: 0.0031890492249543757</t>
  </si>
  <si>
    <t xml:space="preserve"> predicted stdevs of reit is: 0.01206904361939794</t>
  </si>
  <si>
    <t xml:space="preserve"> predicted stdevs of GTBCPS is: 0.009075434310650382.
</t>
  </si>
  <si>
    <t xml:space="preserve"> 0.009075434310650382.
</t>
  </si>
  <si>
    <t>total_value_of_collaterals is: 154206370.02063847</t>
  </si>
  <si>
    <t xml:space="preserve"> createdtionValue_gold is: 2726.6760959864846</t>
  </si>
  <si>
    <t xml:space="preserve"> createdValue_tb is: 1200.8303471625463</t>
  </si>
  <si>
    <t xml:space="preserve"> createdValue_reit is: 1364.7407313485423
</t>
  </si>
  <si>
    <t xml:space="preserve"> 1364.7407313485423
</t>
  </si>
  <si>
    <t>plotValue_gold_after_creation is: 79447610.60412368</t>
  </si>
  <si>
    <t xml:space="preserve"> plotValue_tb_after_creation  is: 34988791.65127559</t>
  </si>
  <si>
    <t xml:space="preserve"> plotValue_reit_after_creation  is: 39764675.51806469</t>
  </si>
  <si>
    <t xml:space="preserve">total_value_after_creation is: 154201077.77346396
</t>
  </si>
  <si>
    <t xml:space="preserve"> 154201077.77346396
</t>
  </si>
  <si>
    <t>total_amount_gtncps_before_creation is: 102951156.34930483</t>
  </si>
  <si>
    <t>creation_amount_gtbcps is: 3533.327874019742</t>
  </si>
  <si>
    <t xml:space="preserve">total_amount_gtbcps_new is: 102954689.67717884
</t>
  </si>
  <si>
    <t xml:space="preserve"> 102954689.67717884
</t>
  </si>
  <si>
    <t>payout of tranche of gold is: -863.40438418256</t>
  </si>
  <si>
    <t xml:space="preserve"> payout of tranche of Treausry Bill Option is: -181.70766109646408</t>
  </si>
  <si>
    <t xml:space="preserve"> payout of tranche of Collar of REIT is: -166.28795513444777
</t>
  </si>
  <si>
    <t xml:space="preserve"> -166.28795513444777
</t>
  </si>
  <si>
    <t>Collateral size of tranche of gold is: 79447610.60412368</t>
  </si>
  <si>
    <t xml:space="preserve"> collateral size of tranche of Treausry Bill Option is: 34988791.65127559</t>
  </si>
  <si>
    <t xml:space="preserve"> collateral size of tranche of Collar of REIT is: 39764675.51806469
</t>
  </si>
  <si>
    <t xml:space="preserve"> 39764675.51806469
</t>
  </si>
  <si>
    <t>Collateral ratio of tranche of gold is: 0.771737383968952</t>
  </si>
  <si>
    <t xml:space="preserve"> collateral ratio of tranche of Treausry Bill Option is: 0.33987376501148797</t>
  </si>
  <si>
    <t xml:space="preserve"> collateral ratio of tranche of Collar of REIT is: 0.3862656966689523
</t>
  </si>
  <si>
    <t xml:space="preserve"> 0.3862656966689523
</t>
  </si>
  <si>
    <t xml:space="preserve">date is: 2022-06-30 00:00:00
</t>
  </si>
  <si>
    <t xml:space="preserve"> 2022-06-30 00</t>
  </si>
  <si>
    <t>current price of gold is: 1807.27</t>
  </si>
  <si>
    <t xml:space="preserve"> predicted price of gold is: 1806.8757449171023
</t>
  </si>
  <si>
    <t xml:space="preserve"> 1806.8757449171023
</t>
  </si>
  <si>
    <t>current price of tb is: 91.13671875</t>
  </si>
  <si>
    <t xml:space="preserve"> current price of tb option is: 4.280865710032642</t>
  </si>
  <si>
    <t xml:space="preserve"> predicted price of tb is: 91.36332285186776
</t>
  </si>
  <si>
    <t xml:space="preserve"> 91.36332285186776
</t>
  </si>
  <si>
    <t>current price of reit is: 64.0</t>
  </si>
  <si>
    <t xml:space="preserve"> current price of reit option is: 5.477288250523614</t>
  </si>
  <si>
    <t xml:space="preserve"> predicted price of reit is: 64.54819540210055
</t>
  </si>
  <si>
    <t xml:space="preserve"> 64.54819540210055
</t>
  </si>
  <si>
    <t>value_ratio_gold_to_total is: -0.03888616349531633</t>
  </si>
  <si>
    <t xml:space="preserve"> risk_ratio_to_gold is: 0.5669996416292685</t>
  </si>
  <si>
    <t xml:space="preserve"> risk_ratio_to_gold_before is: 0.564474077677756
</t>
  </si>
  <si>
    <t xml:space="preserve"> 0.564474077677756
</t>
  </si>
  <si>
    <t>value_ratio_tb_to_total is: 0.4445807185731772</t>
  </si>
  <si>
    <t xml:space="preserve"> risk_ratio_tb_to_gold is: 0.3711386015178556</t>
  </si>
  <si>
    <t xml:space="preserve"> risk_ratio_tb_to_gold_before is: 0.37017982237208175
</t>
  </si>
  <si>
    <t xml:space="preserve"> 0.37017982237208175
</t>
  </si>
  <si>
    <t>value_ratio_reit_to_total is: 0.5943054449221391</t>
  </si>
  <si>
    <t xml:space="preserve"> risk_ratio_reit_to_gold is: 0.39253094353954265</t>
  </si>
  <si>
    <t xml:space="preserve"> risk_ratio_reit_to_gold_before is: 0.40138071432075606
</t>
  </si>
  <si>
    <t xml:space="preserve"> 0.40138071432075606
</t>
  </si>
  <si>
    <t>delta_gold is: 0.9942455700241509</t>
  </si>
  <si>
    <t xml:space="preserve"> delta_tb is: 1.003370819061055</t>
  </si>
  <si>
    <t xml:space="preserve"> delta_reit is: 0.9868831873236552
</t>
  </si>
  <si>
    <t xml:space="preserve"> 0.9868831873236552
</t>
  </si>
  <si>
    <t>delta_gold_risk is: 1.0016143213796558</t>
  </si>
  <si>
    <t xml:space="preserve"> delta_tb_risk is: 1.0006997469457068</t>
  </si>
  <si>
    <t xml:space="preserve"> delta_reit_risk is: 0.9936849632003801
</t>
  </si>
  <si>
    <t xml:space="preserve"> 0.9936849632003801
</t>
  </si>
  <si>
    <t xml:space="preserve">collateral_ratio_tranche_gold is: 0.7660598085061912
</t>
  </si>
  <si>
    <t xml:space="preserve"> 0.7660598085061912
</t>
  </si>
  <si>
    <t xml:space="preserve">collateral_ratio_tranche_tb is: 0.3427533074494542
</t>
  </si>
  <si>
    <t xml:space="preserve"> 0.3427533074494542
</t>
  </si>
  <si>
    <t xml:space="preserve">collateral_ratio_tranche_reit is: 0.38584200789596806
</t>
  </si>
  <si>
    <t xml:space="preserve"> 0.38584200789596806
</t>
  </si>
  <si>
    <t>Total plot size is: 153340257.14740932</t>
  </si>
  <si>
    <t xml:space="preserve"> plot size of gold is: 78990434.89215373</t>
  </si>
  <si>
    <t xml:space="preserve"> plot size of TB is: 35106732.53709699</t>
  </si>
  <si>
    <t xml:space="preserve"> plot size of REIT is: 39243089.7181586
</t>
  </si>
  <si>
    <t xml:space="preserve"> 39243089.7181586
</t>
  </si>
  <si>
    <t xml:space="preserve">collateral ratio is: 1.4894638960523348
</t>
  </si>
  <si>
    <t xml:space="preserve"> 1.4894638960523348
</t>
  </si>
  <si>
    <t>S_gtbcps_0 is: 0.9999541168554489</t>
  </si>
  <si>
    <t xml:space="preserve">stdev_gtbcps is: 0.00902145538404775
</t>
  </si>
  <si>
    <t xml:space="preserve"> 0.00902145538404775
</t>
  </si>
  <si>
    <t>predicted price of GTBCPS is: 0.9999609309501795</t>
  </si>
  <si>
    <t xml:space="preserve"> actual price is: 0.9999541168554489
</t>
  </si>
  <si>
    <t xml:space="preserve"> 0.9999541168554489
</t>
  </si>
  <si>
    <t>predicted amount of GTBCPS is: 102953988.10676074</t>
  </si>
  <si>
    <t xml:space="preserve"> actual amount is: 102954689.67717884
</t>
  </si>
  <si>
    <t>plot sizes of gold is: 78990434.89215373</t>
  </si>
  <si>
    <t xml:space="preserve"> plot sizes of tb is: 35106732.53709699 </t>
  </si>
  <si>
    <t xml:space="preserve"> plot sizes of reit is: 39243089.7181586</t>
  </si>
  <si>
    <t xml:space="preserve"> plot sizes of total is: 153340257.14740932.
</t>
  </si>
  <si>
    <t xml:space="preserve"> 153340257.14740932.
</t>
  </si>
  <si>
    <t>predicted stdevs of gold is: 0.010051268948675524</t>
  </si>
  <si>
    <t xml:space="preserve"> predicted stdevs of tb is: 0.003183829882096239</t>
  </si>
  <si>
    <t xml:space="preserve"> predicted stdevs of reit is: 0.012170915243314939</t>
  </si>
  <si>
    <t xml:space="preserve"> predicted stdevs of GTBCPS is: 0.00902145538404775.
</t>
  </si>
  <si>
    <t xml:space="preserve"> 0.00902145538404775.
</t>
  </si>
  <si>
    <t>total_value_of_collaterals is: 153340497.78852704</t>
  </si>
  <si>
    <t xml:space="preserve"> createdtionValue_gold is: -538.2741537843714</t>
  </si>
  <si>
    <t xml:space="preserve"> createdValue_tb is: -239.23175191680855</t>
  </si>
  <si>
    <t xml:space="preserve"> createdValue_reit is: -267.4187166873832
</t>
  </si>
  <si>
    <t xml:space="preserve"> -267.4187166873832
</t>
  </si>
  <si>
    <t>plotValue_gold_after_creation is: 78991141.9210653</t>
  </si>
  <si>
    <t xml:space="preserve"> plotValue_tb_after_creation  is: 35106997.30765037</t>
  </si>
  <si>
    <t xml:space="preserve"> plotValue_reit_after_creation  is: 39243403.48443376</t>
  </si>
  <si>
    <t xml:space="preserve">total_value_after_creation is: 153341542.71314943
</t>
  </si>
  <si>
    <t xml:space="preserve"> 153341542.71314943
</t>
  </si>
  <si>
    <t>total_amount_gtncps_before_creation is: 102954689.67717884</t>
  </si>
  <si>
    <t>creation_amount_gtbcps is: -701.5704181045294</t>
  </si>
  <si>
    <t xml:space="preserve">total_amount_gtbcps_new is: 102953988.10676074
</t>
  </si>
  <si>
    <t xml:space="preserve"> 102953988.10676074
</t>
  </si>
  <si>
    <t>payout of tranche of gold is: 168.754757797211</t>
  </si>
  <si>
    <t xml:space="preserve"> payout of tranche of Treausry Bill Option is: 25.538801465163115</t>
  </si>
  <si>
    <t xml:space="preserve"> payout of tranche of Collar of REIT is: 46.34755847867798
</t>
  </si>
  <si>
    <t xml:space="preserve"> 46.34755847867798
</t>
  </si>
  <si>
    <t>Collateral size of tranche of gold is: 78991141.9210653</t>
  </si>
  <si>
    <t xml:space="preserve"> collateral size of tranche of Treausry Bill Option is: 35106997.30765037</t>
  </si>
  <si>
    <t xml:space="preserve"> collateral size of tranche of Collar of REIT is: 39243403.48443376
</t>
  </si>
  <si>
    <t xml:space="preserve"> 39243403.48443376
</t>
  </si>
  <si>
    <t>Collateral ratio of tranche of gold is: 0.7672717813845296</t>
  </si>
  <si>
    <t xml:space="preserve"> collateral ratio of tranche of Treausry Bill Option is: 0.34100796251584947</t>
  </si>
  <si>
    <t xml:space="preserve"> collateral ratio of tranche of Collar of REIT is: 0.38118648960895124
</t>
  </si>
  <si>
    <t xml:space="preserve"> 0.38118648960895124
</t>
  </si>
  <si>
    <t xml:space="preserve">date is: 2022-07-05 00:00:00
</t>
  </si>
  <si>
    <t xml:space="preserve"> 2022-07-05 00</t>
  </si>
  <si>
    <t>current price of gold is: 1764.76</t>
  </si>
  <si>
    <t xml:space="preserve"> predicted price of gold is: 1776.9834438603723
</t>
  </si>
  <si>
    <t xml:space="preserve"> 1776.9834438603723
</t>
  </si>
  <si>
    <t>current price of tb is: 91.7890625</t>
  </si>
  <si>
    <t xml:space="preserve"> current price of tb option is: 4.291163036489591</t>
  </si>
  <si>
    <t xml:space="preserve"> predicted price of tb is: 92.00502044807837
</t>
  </si>
  <si>
    <t xml:space="preserve"> 92.00502044807837
</t>
  </si>
  <si>
    <t>current price of reit is: 63.65</t>
  </si>
  <si>
    <t xml:space="preserve"> current price of reit option is: 5.604594922833762</t>
  </si>
  <si>
    <t xml:space="preserve"> predicted price of reit is: 64.08230469065683
</t>
  </si>
  <si>
    <t xml:space="preserve"> 64.08230469065683
</t>
  </si>
  <si>
    <t>value_ratio_gold_to_total is: 0.5368820881521535</t>
  </si>
  <si>
    <t xml:space="preserve"> risk_ratio_to_gold is: 0.563574988505438</t>
  </si>
  <si>
    <t xml:space="preserve"> risk_ratio_to_gold_before is: 0.5669996416292685
</t>
  </si>
  <si>
    <t xml:space="preserve"> 0.5669996416292685
</t>
  </si>
  <si>
    <t>value_ratio_tb_to_total is: 0.19796323797044346</t>
  </si>
  <si>
    <t xml:space="preserve"> risk_ratio_tb_to_gold is: 0.382875092093848</t>
  </si>
  <si>
    <t xml:space="preserve"> risk_ratio_tb_to_gold_before is: 0.3711386015178556
</t>
  </si>
  <si>
    <t xml:space="preserve"> 0.3711386015178556
</t>
  </si>
  <si>
    <t>value_ratio_reit_to_total is: 0.26515467387740294</t>
  </si>
  <si>
    <t xml:space="preserve"> risk_ratio_reit_to_gold is: 0.39151167168346424</t>
  </si>
  <si>
    <t xml:space="preserve"> risk_ratio_reit_to_gold_before is: 0.39253094353954265
</t>
  </si>
  <si>
    <t xml:space="preserve"> 0.39253094353954265
</t>
  </si>
  <si>
    <t>delta_gold is: 0.9764783347258572</t>
  </si>
  <si>
    <t xml:space="preserve"> delta_tb is: 1.0069446431725015</t>
  </si>
  <si>
    <t xml:space="preserve"> delta_reit is: 0.9967947320153479
</t>
  </si>
  <si>
    <t xml:space="preserve"> 0.9967947320153479
</t>
  </si>
  <si>
    <t>delta_gold_risk is: 0.9978145156942922</t>
  </si>
  <si>
    <t xml:space="preserve"> delta_tb_risk is: 1.0085596675368922</t>
  </si>
  <si>
    <t xml:space="preserve"> delta_reit_risk is: 0.9992680436576241
</t>
  </si>
  <si>
    <t xml:space="preserve"> 0.9992680436576241
</t>
  </si>
  <si>
    <t xml:space="preserve">collateral_ratio_tranche_gold is: 0.7508652756441286
</t>
  </si>
  <si>
    <t xml:space="preserve"> 0.7508652756441286
</t>
  </si>
  <si>
    <t xml:space="preserve">collateral_ratio_tranche_tb is: 0.34866303567625156
</t>
  </si>
  <si>
    <t xml:space="preserve"> 0.34866303567625156
</t>
  </si>
  <si>
    <t xml:space="preserve">collateral_ratio_tranche_reit is: 0.38940239892192885
</t>
  </si>
  <si>
    <t xml:space="preserve"> 0.38940239892192885
</t>
  </si>
  <si>
    <t>Total plot size is: 151601559.457622</t>
  </si>
  <si>
    <t xml:space="preserve"> plot size of gold is: 77133138.7211757</t>
  </si>
  <si>
    <t xml:space="preserve"> plot size of TB is: 35350802.87680998</t>
  </si>
  <si>
    <t xml:space="preserve"> plot size of REIT is: 39117617.85963632
</t>
  </si>
  <si>
    <t xml:space="preserve"> 39117617.85963632
</t>
  </si>
  <si>
    <t xml:space="preserve">collateral ratio is: 1.4725751319191283
</t>
  </si>
  <si>
    <t xml:space="preserve"> 1.4725751319191283
</t>
  </si>
  <si>
    <t>S_gtbcps_0 is: 0.9999609309501795</t>
  </si>
  <si>
    <t xml:space="preserve">stdev_gtbcps is: 0.008986303807338723
</t>
  </si>
  <si>
    <t xml:space="preserve"> 0.008986303807338723
</t>
  </si>
  <si>
    <t>predicted price of GTBCPS is: 0.9999676132812011</t>
  </si>
  <si>
    <t xml:space="preserve"> actual price is: 0.9999609309501795
</t>
  </si>
  <si>
    <t xml:space="preserve"> 0.9999609309501795
</t>
  </si>
  <si>
    <t>predicted amount of GTBCPS is: 102953300.1118503</t>
  </si>
  <si>
    <t xml:space="preserve"> actual amount is: 102953988.10676074
</t>
  </si>
  <si>
    <t>plot sizes of gold is: 77133138.7211757</t>
  </si>
  <si>
    <t xml:space="preserve"> plot sizes of tb is: 35350802.87680998 </t>
  </si>
  <si>
    <t xml:space="preserve"> plot sizes of reit is: 39117617.85963632</t>
  </si>
  <si>
    <t xml:space="preserve"> plot sizes of total is: 151601559.457622.
</t>
  </si>
  <si>
    <t xml:space="preserve"> 151601559.457622.
</t>
  </si>
  <si>
    <t>predicted stdevs of gold is: 0.009992141111584531</t>
  </si>
  <si>
    <t xml:space="preserve"> predicted stdevs of tb is: 0.0032734647794778115</t>
  </si>
  <si>
    <t xml:space="preserve"> predicted stdevs of reit is: 0.012165691122481549</t>
  </si>
  <si>
    <t xml:space="preserve"> predicted stdevs of GTBCPS is: 0.008986303807338723.
</t>
  </si>
  <si>
    <t xml:space="preserve"> 0.008986303807338723.
</t>
  </si>
  <si>
    <t>total_value_of_collaterals is: 151601795.20752412</t>
  </si>
  <si>
    <t xml:space="preserve"> createdtionValue_gold is: -515.450473348849</t>
  </si>
  <si>
    <t xml:space="preserve"> createdValue_tb is: -236.23517072802377</t>
  </si>
  <si>
    <t xml:space="preserve"> createdValue_reit is: -261.4073155669901
</t>
  </si>
  <si>
    <t xml:space="preserve"> -261.4073155669901
</t>
  </si>
  <si>
    <t>plotValue_gold_after_creation is: 77133829.18678007</t>
  </si>
  <si>
    <t xml:space="preserve"> plotValue_tb_after_creation  is: 35351065.23127204</t>
  </si>
  <si>
    <t xml:space="preserve"> plotValue_reit_after_creation  is: 39117913.882431686</t>
  </si>
  <si>
    <t xml:space="preserve">total_value_after_creation is: 151602808.3004838
</t>
  </si>
  <si>
    <t xml:space="preserve"> 151602808.3004838
</t>
  </si>
  <si>
    <t>total_amount_gtncps_before_creation is: 102953988.10676074</t>
  </si>
  <si>
    <t>creation_amount_gtbcps is: -687.9949104338884</t>
  </si>
  <si>
    <t xml:space="preserve">total_amount_gtbcps_new is: 102953300.1118503
</t>
  </si>
  <si>
    <t xml:space="preserve"> 102953300.1118503
</t>
  </si>
  <si>
    <t>payout of tranche of gold is: 175.01513101097484</t>
  </si>
  <si>
    <t xml:space="preserve"> payout of tranche of Treausry Bill Option is: 26.11929133652534</t>
  </si>
  <si>
    <t xml:space="preserve"> payout of tranche of Collar of REIT is: 34.615479795182594
</t>
  </si>
  <si>
    <t xml:space="preserve"> 34.615479795182594
</t>
  </si>
  <si>
    <t>Collateral size of tranche of gold is: 77133829.18678007</t>
  </si>
  <si>
    <t xml:space="preserve"> collateral size of tranche of Treausry Bill Option is: 35351065.23127204</t>
  </si>
  <si>
    <t xml:space="preserve"> collateral size of tranche of Collar of REIT is: 39117913.882431686
</t>
  </si>
  <si>
    <t xml:space="preserve"> 39117913.882431686
</t>
  </si>
  <si>
    <t>Collateral ratio of tranche of gold is: 0.7492310768897618</t>
  </si>
  <si>
    <t xml:space="preserve"> collateral ratio of tranche of Treausry Bill Option is: 0.3433787347480165</t>
  </si>
  <si>
    <t xml:space="preserve"> collateral ratio of tranche of Collar of REIT is: 0.3799676102277365
</t>
  </si>
  <si>
    <t xml:space="preserve"> 0.3799676102277365
</t>
  </si>
  <si>
    <t xml:space="preserve">date is: 2022-07-06 00:00:00
</t>
  </si>
  <si>
    <t xml:space="preserve"> 2022-07-06 00</t>
  </si>
  <si>
    <t>current price of gold is: 1738.86</t>
  </si>
  <si>
    <t xml:space="preserve"> predicted price of gold is: 1750.6603010904494
</t>
  </si>
  <si>
    <t xml:space="preserve"> 1750.6603010904494
</t>
  </si>
  <si>
    <t>current price of tb is: 91.25</t>
  </si>
  <si>
    <t xml:space="preserve"> current price of tb option is: 4.284279455451692</t>
  </si>
  <si>
    <t xml:space="preserve"> predicted price of tb is: 91.4730743090598
</t>
  </si>
  <si>
    <t xml:space="preserve"> 91.4730743090598
</t>
  </si>
  <si>
    <t>current price of reit is: 64.4</t>
  </si>
  <si>
    <t xml:space="preserve"> current price of reit option is: 5.489884436070113</t>
  </si>
  <si>
    <t xml:space="preserve"> predicted price of reit is: 64.81583481374443
</t>
  </si>
  <si>
    <t xml:space="preserve"> 64.81583481374443
</t>
  </si>
  <si>
    <t>value_ratio_gold_to_total is: 0.5312250644494662</t>
  </si>
  <si>
    <t xml:space="preserve"> risk_ratio_to_gold is: 0.5650610860070615</t>
  </si>
  <si>
    <t xml:space="preserve"> risk_ratio_to_gold_before is: 0.563574988505438
</t>
  </si>
  <si>
    <t xml:space="preserve"> 0.563574988505438
</t>
  </si>
  <si>
    <t>value_ratio_tb_to_total is: 0.2029117118025977</t>
  </si>
  <si>
    <t xml:space="preserve"> risk_ratio_tb_to_gold is: 0.37510335476583245</t>
  </si>
  <si>
    <t xml:space="preserve"> risk_ratio_tb_to_gold_before is: 0.382875092093848
</t>
  </si>
  <si>
    <t xml:space="preserve"> 0.382875092093848
</t>
  </si>
  <si>
    <t>value_ratio_reit_to_total is: 0.26586322374793614</t>
  </si>
  <si>
    <t xml:space="preserve"> risk_ratio_reit_to_gold is: 0.3946168131303215</t>
  </si>
  <si>
    <t xml:space="preserve"> risk_ratio_reit_to_gold_before is: 0.39151167168346424
</t>
  </si>
  <si>
    <t xml:space="preserve"> 0.39151167168346424
</t>
  </si>
  <si>
    <t>delta_gold is: 0.9853237834039755</t>
  </si>
  <si>
    <t xml:space="preserve"> delta_tb is: 0.9943178101634393</t>
  </si>
  <si>
    <t xml:space="preserve"> delta_reit is: 1.00917324711731
</t>
  </si>
  <si>
    <t xml:space="preserve"> 1.00917324711731
</t>
  </si>
  <si>
    <t>delta_gold_risk is: 1.0009504484994634</t>
  </si>
  <si>
    <t xml:space="preserve"> delta_tb_risk is: 0.9943800149612586</t>
  </si>
  <si>
    <t xml:space="preserve"> delta_reit_risk is: 1.0022314878919416
</t>
  </si>
  <si>
    <t xml:space="preserve"> 1.0022314878919416
</t>
  </si>
  <si>
    <t xml:space="preserve">collateral_ratio_tranche_gold is: 0.7375342110406684
</t>
  </si>
  <si>
    <t xml:space="preserve"> 0.7375342110406684
</t>
  </si>
  <si>
    <t xml:space="preserve">collateral_ratio_tranche_tb is: 0.3484714973963467
</t>
  </si>
  <si>
    <t xml:space="preserve"> 0.3484714973963467
</t>
  </si>
  <si>
    <t xml:space="preserve">collateral_ratio_tranche_reit is: 0.388298128565134
</t>
  </si>
  <si>
    <t xml:space="preserve"> 0.388298128565134
</t>
  </si>
  <si>
    <t>Total plot size is: 150628742.34364635</t>
  </si>
  <si>
    <t xml:space="preserve"> plot size of gold is: 76001796.40275413</t>
  </si>
  <si>
    <t xml:space="preserve"> plot size of TB is: 35150193.76770332</t>
  </si>
  <si>
    <t xml:space="preserve"> plot size of REIT is: 39476752.17318889
</t>
  </si>
  <si>
    <t xml:space="preserve"> 39476752.17318889
</t>
  </si>
  <si>
    <t xml:space="preserve">collateral ratio is: 1.4631257153361392
</t>
  </si>
  <si>
    <t xml:space="preserve"> 1.4631257153361392
</t>
  </si>
  <si>
    <t>S_gtbcps_0 is: 0.9999676132812011</t>
  </si>
  <si>
    <t xml:space="preserve">stdev_gtbcps is: 0.009140619368267863
</t>
  </si>
  <si>
    <t xml:space="preserve"> 0.009140619368267863
</t>
  </si>
  <si>
    <t>predicted price of GTBCPS is: 0.9999343069181229</t>
  </si>
  <si>
    <t xml:space="preserve"> actual price is: 0.9999676132812011
</t>
  </si>
  <si>
    <t xml:space="preserve"> 0.9999676132812011
</t>
  </si>
  <si>
    <t>predicted amount of GTBCPS is: 102956729.33712031</t>
  </si>
  <si>
    <t xml:space="preserve"> actual amount is: 102953300.1118503
</t>
  </si>
  <si>
    <t>plot sizes of gold is: 76001796.40275413</t>
  </si>
  <si>
    <t xml:space="preserve"> plot sizes of tb is: 35150193.76770332 </t>
  </si>
  <si>
    <t xml:space="preserve"> plot sizes of reit is: 39476752.17318889</t>
  </si>
  <si>
    <t xml:space="preserve"> plot sizes of total is: 150628742.34364635.
</t>
  </si>
  <si>
    <t xml:space="preserve"> 150628742.34364635.
</t>
  </si>
  <si>
    <t>predicted stdevs of gold is: 0.010265455748940791</t>
  </si>
  <si>
    <t xml:space="preserve"> predicted stdevs of tb is: 0.0033107208972429883</t>
  </si>
  <si>
    <t xml:space="preserve"> predicted stdevs of reit is: 0.012166006937850167</t>
  </si>
  <si>
    <t xml:space="preserve"> predicted stdevs of GTBCPS is: 0.009140619368267863.
</t>
  </si>
  <si>
    <t xml:space="preserve"> 0.009140619368267863.
</t>
  </si>
  <si>
    <t>total_value_of_collaterals is: 150627568.59614074</t>
  </si>
  <si>
    <t xml:space="preserve"> createdtionValue_gold is: 2531.4000643194195</t>
  </si>
  <si>
    <t xml:space="preserve"> createdValue_tb is: 1170.7571681651928</t>
  </si>
  <si>
    <t xml:space="preserve"> createdValue_reit is: 1314.8617415512604
</t>
  </si>
  <si>
    <t xml:space="preserve"> 1314.8617415512604
</t>
  </si>
  <si>
    <t>plotValue_gold_after_creation is: 75998504.03668587</t>
  </si>
  <si>
    <t xml:space="preserve"> plotValue_tb_after_creation  is: 35148846.9266129</t>
  </si>
  <si>
    <t xml:space="preserve"> plotValue_reit_after_creation  is: 39475200.61386794</t>
  </si>
  <si>
    <t xml:space="preserve">total_value_after_creation is: 150622551.5771667
</t>
  </si>
  <si>
    <t xml:space="preserve"> 150622551.5771667
</t>
  </si>
  <si>
    <t>total_amount_gtncps_before_creation is: 102953300.1118503</t>
  </si>
  <si>
    <t>creation_amount_gtbcps is: 3429.2252700030804</t>
  </si>
  <si>
    <t xml:space="preserve">total_amount_gtbcps_new is: 102956729.33712031
</t>
  </si>
  <si>
    <t xml:space="preserve"> 102956729.33712031
</t>
  </si>
  <si>
    <t>payout of tranche of gold is: -760.9660039422392</t>
  </si>
  <si>
    <t xml:space="preserve"> payout of tranche of Treausry Bill Option is: -176.08392224905583</t>
  </si>
  <si>
    <t xml:space="preserve"> payout of tranche of Collar of REIT is: -236.69757939861077
</t>
  </si>
  <si>
    <t xml:space="preserve"> -236.69757939861077
</t>
  </si>
  <si>
    <t>Collateral size of tranche of gold is: 75998504.03668587</t>
  </si>
  <si>
    <t xml:space="preserve"> collateral size of tranche of Treausry Bill Option is: 35148846.9266129</t>
  </si>
  <si>
    <t xml:space="preserve"> collateral size of tranche of Collar of REIT is: 39475200.61386794
</t>
  </si>
  <si>
    <t xml:space="preserve"> 39475200.61386794
</t>
  </si>
  <si>
    <t>Collateral ratio of tranche of gold is: 0.7382327410394983</t>
  </si>
  <si>
    <t xml:space="preserve"> collateral ratio of tranche of Treausry Bill Option is: 0.34142816282917354</t>
  </si>
  <si>
    <t xml:space="preserve"> collateral ratio of tranche of Collar of REIT is: 0.38345341032229385
</t>
  </si>
  <si>
    <t xml:space="preserve"> 0.38345341032229385
</t>
  </si>
  <si>
    <t xml:space="preserve">date is: 2022-07-07 00:00:00
</t>
  </si>
  <si>
    <t xml:space="preserve"> 2022-07-07 00</t>
  </si>
  <si>
    <t>current price of gold is: 1740.16</t>
  </si>
  <si>
    <t xml:space="preserve"> predicted price of gold is: 1746.5294210675197
</t>
  </si>
  <si>
    <t xml:space="preserve"> 1746.5294210675197
</t>
  </si>
  <si>
    <t>current price of tb is: 91.15234375</t>
  </si>
  <si>
    <t xml:space="preserve"> current price of tb option is: 4.278619111695404</t>
  </si>
  <si>
    <t xml:space="preserve"> predicted price of tb is: 91.38127120539397
</t>
  </si>
  <si>
    <t xml:space="preserve"> 91.38127120539397
</t>
  </si>
  <si>
    <t>current price of reit is: 64.75</t>
  </si>
  <si>
    <t xml:space="preserve"> current price of reit option is: 5.4143749305184485</t>
  </si>
  <si>
    <t xml:space="preserve"> predicted price of reit is: 65.3734812072814
</t>
  </si>
  <si>
    <t xml:space="preserve"> 65.3734812072814
</t>
  </si>
  <si>
    <t>value_ratio_gold_to_total is: 0.3765585236489018</t>
  </si>
  <si>
    <t xml:space="preserve"> risk_ratio_to_gold is: 0.5649936844608827</t>
  </si>
  <si>
    <t xml:space="preserve"> risk_ratio_to_gold_before is: 0.5650610860070615
</t>
  </si>
  <si>
    <t xml:space="preserve"> 0.5650610860070615
</t>
  </si>
  <si>
    <t>value_ratio_tb_to_total is: 0.26648498546239685</t>
  </si>
  <si>
    <t xml:space="preserve"> risk_ratio_tb_to_gold is: 0.37394126978057735</t>
  </si>
  <si>
    <t xml:space="preserve"> risk_ratio_tb_to_gold_before is: 0.37510335476583245
</t>
  </si>
  <si>
    <t xml:space="preserve"> 0.37510335476583245
</t>
  </si>
  <si>
    <t>value_ratio_reit_to_total is: 0.35695649088870135</t>
  </si>
  <si>
    <t xml:space="preserve"> risk_ratio_reit_to_gold is: 0.39599001883940194</t>
  </si>
  <si>
    <t xml:space="preserve"> risk_ratio_reit_to_gold_before is: 0.3946168131303215
</t>
  </si>
  <si>
    <t xml:space="preserve"> 0.3946168131303215
</t>
  </si>
  <si>
    <t>delta_gold is: 1.0007476162543276</t>
  </si>
  <si>
    <t xml:space="preserve"> delta_tb is: 0.9989185390380794</t>
  </si>
  <si>
    <t xml:space="preserve"> delta_reit is: 1.003927471001893
</t>
  </si>
  <si>
    <t xml:space="preserve"> 1.003927471001893
</t>
  </si>
  <si>
    <t>delta_gold_risk is: 0.9999569336003677</t>
  </si>
  <si>
    <t xml:space="preserve"> delta_tb_risk is: 0.9991549108063568</t>
  </si>
  <si>
    <t xml:space="preserve"> delta_reit_risk is: 1.0009846473211508
</t>
  </si>
  <si>
    <t xml:space="preserve"> 1.0009846473211508
</t>
  </si>
  <si>
    <t xml:space="preserve">collateral_ratio_tranche_gold is: 0.7388164740017006
</t>
  </si>
  <si>
    <t xml:space="preserve"> 0.7388164740017006
</t>
  </si>
  <si>
    <t xml:space="preserve">collateral_ratio_tranche_tb is: 0.3410923843800503
</t>
  </si>
  <si>
    <t xml:space="preserve"> 0.3410923843800503
</t>
  </si>
  <si>
    <t xml:space="preserve">collateral_ratio_tranche_reit is: 0.3842934320641214
</t>
  </si>
  <si>
    <t xml:space="preserve"> 0.3842934320641214
</t>
  </si>
  <si>
    <t>Total plot size is: 150796394.89398634</t>
  </si>
  <si>
    <t xml:space="preserve"> plot size of gold is: 76055321.75360827</t>
  </si>
  <si>
    <t xml:space="preserve"> plot size of TB is: 35110834.820805244</t>
  </si>
  <si>
    <t xml:space="preserve"> plot size of REIT is: 39630238.319572814
</t>
  </si>
  <si>
    <t xml:space="preserve"> 39630238.319572814
</t>
  </si>
  <si>
    <t xml:space="preserve">collateral ratio is: 1.4647542010675312
</t>
  </si>
  <si>
    <t xml:space="preserve"> 1.4647542010675312
</t>
  </si>
  <si>
    <t>S_gtbcps_0 is: 0.9999343069181229</t>
  </si>
  <si>
    <t xml:space="preserve">stdev_gtbcps is: 0.009198688261835558
</t>
  </si>
  <si>
    <t xml:space="preserve"> 0.009198688261835558
</t>
  </si>
  <si>
    <t>predicted price of GTBCPS is: 0.9998783676684603</t>
  </si>
  <si>
    <t xml:space="preserve"> actual price is: 0.9999343069181229
</t>
  </si>
  <si>
    <t xml:space="preserve"> 0.9999343069181229
</t>
  </si>
  <si>
    <t>predicted amount of GTBCPS is: 102962489.35991211</t>
  </si>
  <si>
    <t xml:space="preserve"> actual amount is: 102956729.33712031
</t>
  </si>
  <si>
    <t>plot sizes of gold is: 76055321.75360827</t>
  </si>
  <si>
    <t xml:space="preserve"> plot sizes of tb is: 35110834.820805244 </t>
  </si>
  <si>
    <t xml:space="preserve"> plot sizes of reit is: 39630238.319572814</t>
  </si>
  <si>
    <t xml:space="preserve"> plot sizes of total is: 150796394.8939863.
</t>
  </si>
  <si>
    <t xml:space="preserve"> 150796394.8939863.
</t>
  </si>
  <si>
    <t>predicted stdevs of gold is: 0.010363715393485243</t>
  </si>
  <si>
    <t xml:space="preserve"> predicted stdevs of tb is: 0.003310639964248812</t>
  </si>
  <si>
    <t xml:space="preserve"> predicted stdevs of reit is: 0.012179436873328259</t>
  </si>
  <si>
    <t xml:space="preserve"> predicted stdevs of GTBCPS is: 0.009198688261835558.
</t>
  </si>
  <si>
    <t xml:space="preserve"> 0.009198688261835558.
</t>
  </si>
  <si>
    <t>total_value_of_collaterals is: 150794427.83335024</t>
  </si>
  <si>
    <t xml:space="preserve"> createdtionValue_gold is: 4254.681489574005</t>
  </si>
  <si>
    <t xml:space="preserve"> createdValue_tb is: 1964.1906213867865</t>
  </si>
  <si>
    <t xml:space="preserve"> createdValue_reit is: 2217.0092143323086
</t>
  </si>
  <si>
    <t xml:space="preserve"> 2217.0092143323086
</t>
  </si>
  <si>
    <t>plotValue_gold_after_creation is: 76049714.79646145</t>
  </si>
  <si>
    <t xml:space="preserve"> plotValue_tb_after_creation  is: 35108653.12207086</t>
  </si>
  <si>
    <t xml:space="preserve"> plotValue_reit_after_creation  is: 39627624.03349264</t>
  </si>
  <si>
    <t xml:space="preserve">total_value_after_creation is: 150785991.95202494
</t>
  </si>
  <si>
    <t xml:space="preserve"> 150785991.95202494
</t>
  </si>
  <si>
    <t>total_amount_gtncps_before_creation is: 102956729.33712031</t>
  </si>
  <si>
    <t>creation_amount_gtbcps is: 5760.022791802883</t>
  </si>
  <si>
    <t xml:space="preserve">total_amount_gtbcps_new is: 102962489.35991211
</t>
  </si>
  <si>
    <t xml:space="preserve"> 102962489.35991211
</t>
  </si>
  <si>
    <t>payout of tranche of gold is: -1352.275657255956</t>
  </si>
  <si>
    <t xml:space="preserve"> payout of tranche of Treausry Bill Option is: -217.50811300221994</t>
  </si>
  <si>
    <t xml:space="preserve"> payout of tranche of Collar of REIT is: -397.2768658371659
</t>
  </si>
  <si>
    <t xml:space="preserve"> -397.2768658371659
</t>
  </si>
  <si>
    <t>Collateral size of tranche of gold is: 76049714.79646145</t>
  </si>
  <si>
    <t xml:space="preserve"> collateral size of tranche of Treausry Bill Option is: 35108653.12207086</t>
  </si>
  <si>
    <t xml:space="preserve"> collateral size of tranche of Collar of REIT is: 39627624.03349264
</t>
  </si>
  <si>
    <t xml:space="preserve"> 39627624.03349264
</t>
  </si>
  <si>
    <t>Collateral ratio of tranche of gold is: 0.7387469135386681</t>
  </si>
  <si>
    <t xml:space="preserve"> collateral ratio of tranche of Treausry Bill Option is: 0.34104544904402945</t>
  </si>
  <si>
    <t xml:space="preserve"> collateral ratio of tranche of Collar of REIT is: 0.38494273152718744
</t>
  </si>
  <si>
    <t xml:space="preserve"> 0.38494273152718744
</t>
  </si>
  <si>
    <t xml:space="preserve">date is: 2022-07-08 00:00:00
</t>
  </si>
  <si>
    <t xml:space="preserve"> 2022-07-08 00</t>
  </si>
  <si>
    <t>current price of gold is: 1742.48</t>
  </si>
  <si>
    <t xml:space="preserve"> predicted price of gold is: 1745.8169750264256
</t>
  </si>
  <si>
    <t xml:space="preserve"> 1745.8169750264256
</t>
  </si>
  <si>
    <t>current price of tb is: 90.875</t>
  </si>
  <si>
    <t xml:space="preserve"> current price of tb option is: 4.273418217538001</t>
  </si>
  <si>
    <t xml:space="preserve"> predicted price of tb is: 91.10930466278784
</t>
  </si>
  <si>
    <t xml:space="preserve"> 91.10930466278784
</t>
  </si>
  <si>
    <t>current price of reit is: 64.85</t>
  </si>
  <si>
    <t xml:space="preserve"> current price of reit option is: 5.355129316029405</t>
  </si>
  <si>
    <t xml:space="preserve"> predicted price of reit is: 65.33116432735721
</t>
  </si>
  <si>
    <t xml:space="preserve"> 65.33116432735721
</t>
  </si>
  <si>
    <t>value_ratio_gold_to_total is: 0.24391324372917061</t>
  </si>
  <si>
    <t xml:space="preserve"> risk_ratio_to_gold is: 0.565450806680742</t>
  </si>
  <si>
    <t xml:space="preserve"> risk_ratio_to_gold_before is: 0.5649936844608827
</t>
  </si>
  <si>
    <t xml:space="preserve"> 0.5649936844608827
</t>
  </si>
  <si>
    <t>value_ratio_tb_to_total is: 0.32948802459280613</t>
  </si>
  <si>
    <t xml:space="preserve"> risk_ratio_tb_to_gold is: 0.3697987789043379</t>
  </si>
  <si>
    <t xml:space="preserve"> risk_ratio_tb_to_gold_before is: 0.37394126978057735
</t>
  </si>
  <si>
    <t xml:space="preserve"> 0.37394126978057735
</t>
  </si>
  <si>
    <t>value_ratio_reit_to_total is: 0.42659873167802326</t>
  </si>
  <si>
    <t xml:space="preserve"> risk_ratio_reit_to_gold is: 0.39870166036483423</t>
  </si>
  <si>
    <t xml:space="preserve"> risk_ratio_reit_to_gold_before is: 0.39599001883940194
</t>
  </si>
  <si>
    <t xml:space="preserve"> 0.39599001883940194
</t>
  </si>
  <si>
    <t>delta_gold is: 1.0013332107392423</t>
  </si>
  <si>
    <t xml:space="preserve"> delta_tb is: 0.9970392770261902</t>
  </si>
  <si>
    <t xml:space="preserve"> delta_reit is: 1.0005808415674096
</t>
  </si>
  <si>
    <t xml:space="preserve"> 1.0005808415674096
</t>
  </si>
  <si>
    <t>delta_gold_risk is: 1.0002920920540435</t>
  </si>
  <si>
    <t xml:space="preserve"> delta_tb_risk is: 0.9969849578236331</t>
  </si>
  <si>
    <t xml:space="preserve"> delta_reit_risk is: 1.0019424505109906
</t>
  </si>
  <si>
    <t xml:space="preserve"> 1.0019424505109906
</t>
  </si>
  <si>
    <t xml:space="preserve">collateral_ratio_tranche_gold is: 0.739515812164807
</t>
  </si>
  <si>
    <t xml:space="preserve"> 0.739515812164807
</t>
  </si>
  <si>
    <t xml:space="preserve">collateral_ratio_tranche_tb is: 0.3406099255737147
</t>
  </si>
  <si>
    <t xml:space="preserve"> 0.3406099255737147
</t>
  </si>
  <si>
    <t xml:space="preserve">collateral_ratio_tranche_reit is: 0.383907776236064
</t>
  </si>
  <si>
    <t xml:space="preserve"> 0.383907776236064
</t>
  </si>
  <si>
    <t>Total plot size is: 150806452.62388617</t>
  </si>
  <si>
    <t xml:space="preserve"> plot size of gold is: 76151105.0929444</t>
  </si>
  <si>
    <t xml:space="preserve"> plot size of TB is: 35004706.12619282</t>
  </si>
  <si>
    <t xml:space="preserve"> plot size of REIT is: 39650641.40474897
</t>
  </si>
  <si>
    <t xml:space="preserve"> 39650641.40474897
</t>
  </si>
  <si>
    <t xml:space="preserve">collateral ratio is: 1.4648518963879953
</t>
  </si>
  <si>
    <t xml:space="preserve"> 1.4648518963879953
</t>
  </si>
  <si>
    <t>S_gtbcps_0 is: 0.9998783676684603</t>
  </si>
  <si>
    <t>change_of_collaterals is: 2.220446049250313e-16</t>
  </si>
  <si>
    <t xml:space="preserve">stdev_gtbcps is: 0.009182282287407499
</t>
  </si>
  <si>
    <t xml:space="preserve"> 0.009182282287407499
</t>
  </si>
  <si>
    <t>predicted price of GTBCPS is: 0.9998741476619235</t>
  </si>
  <si>
    <t xml:space="preserve"> actual price is: 0.9998783676684603
</t>
  </si>
  <si>
    <t xml:space="preserve"> 0.9998783676684603
</t>
  </si>
  <si>
    <t>predicted amount of GTBCPS is: 102962923.91698031</t>
  </si>
  <si>
    <t xml:space="preserve"> actual amount is: 102962489.35991211
</t>
  </si>
  <si>
    <t>plot sizes of gold is: 76151105.0929444</t>
  </si>
  <si>
    <t xml:space="preserve"> plot sizes of tb is: 35004706.12619282 </t>
  </si>
  <si>
    <t xml:space="preserve"> plot sizes of reit is: 39650641.40474897</t>
  </si>
  <si>
    <t xml:space="preserve"> plot sizes of total is: 150806452.6238862.
</t>
  </si>
  <si>
    <t xml:space="preserve"> 150806452.6238862.
</t>
  </si>
  <si>
    <t>predicted stdevs of gold is: 0.01034349642615509</t>
  </si>
  <si>
    <t xml:space="preserve"> predicted stdevs of tb is: 0.0032702264901298974</t>
  </si>
  <si>
    <t xml:space="preserve"> predicted stdevs of reit is: 0.012171440386019774</t>
  </si>
  <si>
    <t xml:space="preserve"> predicted stdevs of GTBCPS is: 0.009182282287407499.
</t>
  </si>
  <si>
    <t xml:space="preserve"> 0.009182282287407499.
</t>
  </si>
  <si>
    <t>total_value_of_collaterals is: 150806304.19616866</t>
  </si>
  <si>
    <t xml:space="preserve"> createdtionValue_gold is: 321.3967905920279</t>
  </si>
  <si>
    <t xml:space="preserve"> createdValue_tb is: 147.73798948255623</t>
  </si>
  <si>
    <t xml:space="preserve"> createdValue_reit is: 167.3462261392826
</t>
  </si>
  <si>
    <t xml:space="preserve"> 167.3462261392826
</t>
  </si>
  <si>
    <t>plotValue_gold_after_creation is: 76150673.992705</t>
  </si>
  <si>
    <t xml:space="preserve"> plotValue_tb_after_creation  is: 35004542.05749893</t>
  </si>
  <si>
    <t xml:space="preserve"> plotValue_reit_after_creation  is: 39650451.664958514</t>
  </si>
  <si>
    <t xml:space="preserve">total_value_after_creation is: 150805667.71516246
</t>
  </si>
  <si>
    <t xml:space="preserve"> 150805667.71516246
</t>
  </si>
  <si>
    <t>total_amount_gtncps_before_creation is: 102962489.35991211</t>
  </si>
  <si>
    <t>creation_amount_gtbcps is: 434.5570681989193</t>
  </si>
  <si>
    <t xml:space="preserve">total_amount_gtbcps_new is: 102962923.91698031
</t>
  </si>
  <si>
    <t xml:space="preserve"> 102962923.91698031
</t>
  </si>
  <si>
    <t>payout of tranche of gold is: -109.70344880377944</t>
  </si>
  <si>
    <t xml:space="preserve"> payout of tranche of Treausry Bill Option is: -16.33070440936441</t>
  </si>
  <si>
    <t xml:space="preserve"> payout of tranche of Collar of REIT is: -22.393564310084997
</t>
  </si>
  <si>
    <t xml:space="preserve"> -22.393564310084997
</t>
  </si>
  <si>
    <t>Collateral size of tranche of gold is: 76150673.992705</t>
  </si>
  <si>
    <t xml:space="preserve"> collateral size of tranche of Treausry Bill Option is: 35004542.05749893</t>
  </si>
  <si>
    <t xml:space="preserve"> collateral size of tranche of Collar of REIT is: 39650451.664958514
</t>
  </si>
  <si>
    <t xml:space="preserve"> 39650451.664958514
</t>
  </si>
  <si>
    <t>Collateral ratio of tranche of gold is: 0.7396893704962578</t>
  </si>
  <si>
    <t xml:space="preserve"> collateral ratio of tranche of Treausry Bill Option is: 0.3400165267283332</t>
  </si>
  <si>
    <t xml:space="preserve"> collateral ratio of tranche of Collar of REIT is: 0.3851445574172474
</t>
  </si>
  <si>
    <t xml:space="preserve"> 0.3851445574172474
</t>
  </si>
  <si>
    <t xml:space="preserve">date is: 2022-07-11 00:00:00
</t>
  </si>
  <si>
    <t xml:space="preserve"> 2022-07-11 00</t>
  </si>
  <si>
    <t>current price of gold is: 1733.96</t>
  </si>
  <si>
    <t xml:space="preserve"> predicted price of gold is: 1733.4942621992286
</t>
  </si>
  <si>
    <t xml:space="preserve"> 1733.4942621992286
</t>
  </si>
  <si>
    <t>current price of tb is: 91.03125</t>
  </si>
  <si>
    <t xml:space="preserve"> current price of tb option is: 4.280383474645358</t>
  </si>
  <si>
    <t xml:space="preserve"> predicted price of tb is: 91.2583523454268
</t>
  </si>
  <si>
    <t xml:space="preserve"> 91.2583523454268
</t>
  </si>
  <si>
    <t>current price of reit is: 64.15</t>
  </si>
  <si>
    <t xml:space="preserve"> current price of reit option is: 5.456572115962771</t>
  </si>
  <si>
    <t xml:space="preserve"> predicted price of reit is: 64.81128869486982
</t>
  </si>
  <si>
    <t xml:space="preserve"> 64.81128869486982
</t>
  </si>
  <si>
    <t>value_ratio_gold_to_total is: -0.04584209968695317</t>
  </si>
  <si>
    <t xml:space="preserve"> risk_ratio_to_gold is: 0.5682247526930316</t>
  </si>
  <si>
    <t xml:space="preserve"> risk_ratio_to_gold_before is: 0.565450806680742
</t>
  </si>
  <si>
    <t xml:space="preserve"> 0.565450806680742
</t>
  </si>
  <si>
    <t>value_ratio_tb_to_total is: 0.4436672607613586</t>
  </si>
  <si>
    <t xml:space="preserve"> risk_ratio_tb_to_gold is: 0.3710035784928648</t>
  </si>
  <si>
    <t xml:space="preserve"> risk_ratio_tb_to_gold_before is: 0.3697987789043379
</t>
  </si>
  <si>
    <t xml:space="preserve"> 0.3697987789043379
</t>
  </si>
  <si>
    <t>value_ratio_reit_to_total is: 0.6021748389255945</t>
  </si>
  <si>
    <t xml:space="preserve"> risk_ratio_reit_to_gold is: 0.38886343761409387</t>
  </si>
  <si>
    <t xml:space="preserve"> risk_ratio_reit_to_gold_before is: 0.39870166036483423
</t>
  </si>
  <si>
    <t xml:space="preserve"> 0.39870166036483423
</t>
  </si>
  <si>
    <t>delta_gold is: 0.9951104173362104</t>
  </si>
  <si>
    <t xml:space="preserve"> delta_tb is: 1.0017153754120662</t>
  </si>
  <si>
    <t xml:space="preserve"> delta_reit is: 0.9914741671171602
</t>
  </si>
  <si>
    <t xml:space="preserve"> 0.9914741671171602
</t>
  </si>
  <si>
    <t>delta_gold_risk is: 1.0017719790366146</t>
  </si>
  <si>
    <t xml:space="preserve"> delta_tb_risk is: 1.0008795449427181</t>
  </si>
  <si>
    <t xml:space="preserve"> delta_reit_risk is: 0.992966174968167
</t>
  </si>
  <si>
    <t xml:space="preserve"> 0.992966174968167
</t>
  </si>
  <si>
    <t xml:space="preserve">collateral_ratio_tranche_gold is: 0.7347706000736386
</t>
  </si>
  <si>
    <t xml:space="preserve"> 0.7347706000736386
</t>
  </si>
  <si>
    <t xml:space="preserve">collateral_ratio_tranche_tb is: 0.34197257633856515
</t>
  </si>
  <si>
    <t xml:space="preserve"> 0.34197257633856515
</t>
  </si>
  <si>
    <t xml:space="preserve">collateral_ratio_tranche_reit is: 0.38645545406276094
</t>
  </si>
  <si>
    <t xml:space="preserve"> 0.38645545406276094
</t>
  </si>
  <si>
    <t>Total plot size is: 150155315.50590333</t>
  </si>
  <si>
    <t xml:space="preserve"> plot size of gold is: 75778328.97731438</t>
  </si>
  <si>
    <t xml:space="preserve"> plot size of TB is: 35064587.988255</t>
  </si>
  <si>
    <t xml:space="preserve"> plot size of REIT is: 39312398.540333964
</t>
  </si>
  <si>
    <t xml:space="preserve"> 39312398.540333964
</t>
  </si>
  <si>
    <t xml:space="preserve">collateral ratio is: 1.4585271044080084
</t>
  </si>
  <si>
    <t xml:space="preserve"> 1.4585271044080084
</t>
  </si>
  <si>
    <t>S_gtbcps_0 is: 0.9998741476619235</t>
  </si>
  <si>
    <t xml:space="preserve">stdev_gtbcps is: 0.009171073438386516
</t>
  </si>
  <si>
    <t xml:space="preserve"> 0.009171073438386516
</t>
  </si>
  <si>
    <t>predicted price of GTBCPS is: 0.9998949081888682</t>
  </si>
  <si>
    <t xml:space="preserve"> actual price is: 0.9998741476619235
</t>
  </si>
  <si>
    <t xml:space="preserve"> 0.9998741476619235
</t>
  </si>
  <si>
    <t>predicted amount of GTBCPS is: 102960786.1277599</t>
  </si>
  <si>
    <t xml:space="preserve"> actual amount is: 102962923.91698031
</t>
  </si>
  <si>
    <t>plot sizes of gold is: 75778328.97731438</t>
  </si>
  <si>
    <t xml:space="preserve"> plot sizes of tb is: 35064587.988255 </t>
  </si>
  <si>
    <t xml:space="preserve"> plot sizes of reit is: 39312398.540333964</t>
  </si>
  <si>
    <t xml:space="preserve"> plot sizes of total is: 150155315.50590333.
</t>
  </si>
  <si>
    <t xml:space="preserve"> 150155315.50590333.
</t>
  </si>
  <si>
    <t>predicted stdevs of gold is: 0.010319979879555378</t>
  </si>
  <si>
    <t xml:space="preserve"> predicted stdevs of tb is: 0.0032765184838228567</t>
  </si>
  <si>
    <t xml:space="preserve"> predicted stdevs of reit is: 0.012214081116234404</t>
  </si>
  <si>
    <t xml:space="preserve"> predicted stdevs of GTBCPS is: 0.009171073438386516.
</t>
  </si>
  <si>
    <t xml:space="preserve"> 0.009171073438386516.
</t>
  </si>
  <si>
    <t>total_value_of_collaterals is: 150156046.5758141</t>
  </si>
  <si>
    <t xml:space="preserve"> createdtionValue_gold is: -1573.406480679647</t>
  </si>
  <si>
    <t xml:space="preserve"> createdValue_tb is: -728.0526364497482</t>
  </si>
  <si>
    <t xml:space="preserve"> createdValue_reit is: -816.2519049142712
</t>
  </si>
  <si>
    <t xml:space="preserve"> -816.2519049142712
</t>
  </si>
  <si>
    <t>plotValue_gold_after_creation is: 75780404.4543801</t>
  </si>
  <si>
    <t xml:space="preserve"> plotValue_tb_after_creation  is: 35065397.23314701</t>
  </si>
  <si>
    <t xml:space="preserve"> plotValue_reit_after_creation  is: 39313362.59930903</t>
  </si>
  <si>
    <t xml:space="preserve">total_value_after_creation is: 150159164.28683615
</t>
  </si>
  <si>
    <t xml:space="preserve"> 150159164.28683615
</t>
  </si>
  <si>
    <t>total_amount_gtncps_before_creation is: 102962923.91698031</t>
  </si>
  <si>
    <t>creation_amount_gtbcps is: -2137.789220407605</t>
  </si>
  <si>
    <t xml:space="preserve">total_amount_gtbcps_new is: 102960786.1277599
</t>
  </si>
  <si>
    <t xml:space="preserve"> 102960786.1277599
</t>
  </si>
  <si>
    <t>payout of tranche of gold is: 502.070585031214</t>
  </si>
  <si>
    <t xml:space="preserve"> payout of tranche of Treausry Bill Option is: 81.19225555759827</t>
  </si>
  <si>
    <t xml:space="preserve"> payout of tranche of Collar of REIT is: 147.80707015016122
</t>
  </si>
  <si>
    <t xml:space="preserve"> 147.80707015016122
</t>
  </si>
  <si>
    <t>Collateral size of tranche of gold is: 75780404.4543801</t>
  </si>
  <si>
    <t xml:space="preserve"> collateral size of tranche of Treausry Bill Option is: 35065397.23314701</t>
  </si>
  <si>
    <t xml:space="preserve"> collateral size of tranche of Collar of REIT is: 39313362.59930903
</t>
  </si>
  <si>
    <t xml:space="preserve"> 39313362.59930903
</t>
  </si>
  <si>
    <t>Collateral ratio of tranche of gold is: 0.736074368405367</t>
  </si>
  <si>
    <t xml:space="preserve"> collateral ratio of tranche of Treausry Bill Option is: 0.3405991338672531</t>
  </si>
  <si>
    <t xml:space="preserve"> collateral ratio of tranche of Collar of REIT is: 0.3818607033510625
</t>
  </si>
  <si>
    <t xml:space="preserve"> 0.3818607033510625
</t>
  </si>
  <si>
    <t xml:space="preserve">date is: 2022-07-12 00:00:00
</t>
  </si>
  <si>
    <t xml:space="preserve"> 2022-07-12 00</t>
  </si>
  <si>
    <t>current price of gold is: 1726.0</t>
  </si>
  <si>
    <t xml:space="preserve"> predicted price of gold is: 1728.8369175728906
</t>
  </si>
  <si>
    <t xml:space="preserve"> 1728.8369175728906
</t>
  </si>
  <si>
    <t>current price of tb is: 91.12109375</t>
  </si>
  <si>
    <t xml:space="preserve"> current price of tb option is: 4.282375409789583</t>
  </si>
  <si>
    <t xml:space="preserve"> predicted price of tb is: 91.346136553269
</t>
  </si>
  <si>
    <t xml:space="preserve"> 91.346136553269
</t>
  </si>
  <si>
    <t>current price of reit is: 63.9</t>
  </si>
  <si>
    <t xml:space="preserve"> current price of reit option is: 5.493346673539172</t>
  </si>
  <si>
    <t xml:space="preserve"> predicted price of reit is: 64.42579781302591
</t>
  </si>
  <si>
    <t xml:space="preserve"> 64.42579781302591
</t>
  </si>
  <si>
    <t>value_ratio_gold_to_total is: 0.21228882858647924</t>
  </si>
  <si>
    <t xml:space="preserve"> risk_ratio_to_gold is: 0.5680162407045867</t>
  </si>
  <si>
    <t xml:space="preserve"> risk_ratio_to_gold_before is: 0.5682247526930316
</t>
  </si>
  <si>
    <t xml:space="preserve"> 0.5682247526930316
</t>
  </si>
  <si>
    <t>value_ratio_tb_to_total is: 0.3372937379441015</t>
  </si>
  <si>
    <t xml:space="preserve"> risk_ratio_tb_to_gold is: 0.3719328728745399</t>
  </si>
  <si>
    <t xml:space="preserve"> risk_ratio_tb_to_gold_before is: 0.3710035784928648
</t>
  </si>
  <si>
    <t xml:space="preserve"> 0.3710035784928648
</t>
  </si>
  <si>
    <t>value_ratio_reit_to_total is: 0.45041743346941926</t>
  </si>
  <si>
    <t xml:space="preserve"> risk_ratio_reit_to_gold is: 0.38858016942785256</t>
  </si>
  <si>
    <t xml:space="preserve"> risk_ratio_reit_to_gold_before is: 0.38886343761409387
</t>
  </si>
  <si>
    <t xml:space="preserve"> 0.38886343761409387
</t>
  </si>
  <si>
    <t>delta_gold is: 0.9954093520035064</t>
  </si>
  <si>
    <t xml:space="preserve"> delta_tb is: 1.0009635307023528</t>
  </si>
  <si>
    <t xml:space="preserve"> delta_reit is: 0.9969367053147169
</t>
  </si>
  <si>
    <t xml:space="preserve"> 0.9969367053147169
</t>
  </si>
  <si>
    <t>delta_gold_risk is: 0.9998670394737189</t>
  </si>
  <si>
    <t xml:space="preserve"> delta_tb_risk is: 1.000677820536907</t>
  </si>
  <si>
    <t xml:space="preserve"> delta_reit_risk is: 0.9997960431684141
</t>
  </si>
  <si>
    <t xml:space="preserve"> 0.9997960431684141
</t>
  </si>
  <si>
    <t xml:space="preserve">collateral_ratio_tranche_gold is: 0.7327927425894863
</t>
  </si>
  <si>
    <t xml:space="preserve"> 0.7327927425894863
</t>
  </si>
  <si>
    <t xml:space="preserve">collateral_ratio_tranche_tb is: 0.3422676107076776
</t>
  </si>
  <si>
    <t xml:space="preserve"> 0.3422676107076776
</t>
  </si>
  <si>
    <t xml:space="preserve">collateral_ratio_tranche_reit is: 0.3825246478558977
</t>
  </si>
  <si>
    <t xml:space="preserve"> 0.3825246478558977
</t>
  </si>
  <si>
    <t>Total plot size is: 149724641.29706743</t>
  </si>
  <si>
    <t xml:space="preserve"> plot size of gold is: 75432523.29249813</t>
  </si>
  <si>
    <t xml:space="preserve"> plot size of TB is: 35099183.819971345</t>
  </si>
  <si>
    <t xml:space="preserve"> plot size of REIT is: 39192934.184597954
</t>
  </si>
  <si>
    <t xml:space="preserve"> 39192934.184597954
</t>
  </si>
  <si>
    <t xml:space="preserve">collateral ratio is: 1.4543437692750476
</t>
  </si>
  <si>
    <t xml:space="preserve"> 1.4543437692750476
</t>
  </si>
  <si>
    <t>S_gtbcps_0 is: 0.9998949081888682</t>
  </si>
  <si>
    <t xml:space="preserve">stdev_gtbcps is: 0.009161079358019204
</t>
  </si>
  <si>
    <t xml:space="preserve"> 0.009161079358019204
</t>
  </si>
  <si>
    <t>predicted price of GTBCPS is: 0.9999221827558917</t>
  </si>
  <si>
    <t xml:space="preserve"> actual price is: 0.9998949081888682
</t>
  </si>
  <si>
    <t xml:space="preserve"> 0.9998949081888682
</t>
  </si>
  <si>
    <t>predicted amount of GTBCPS is: 102957977.69835362</t>
  </si>
  <si>
    <t xml:space="preserve"> actual amount is: 102960786.1277599
</t>
  </si>
  <si>
    <t>plot sizes of gold is: 75432523.29249813</t>
  </si>
  <si>
    <t xml:space="preserve"> plot sizes of tb is: 35099183.819971345 </t>
  </si>
  <si>
    <t xml:space="preserve"> plot sizes of reit is: 39192934.184597954</t>
  </si>
  <si>
    <t xml:space="preserve"> plot sizes of total is: 149724641.2970674.
</t>
  </si>
  <si>
    <t xml:space="preserve"> 149724641.2970674.
</t>
  </si>
  <si>
    <t>predicted stdevs of gold is: 0.010323989132477857</t>
  </si>
  <si>
    <t xml:space="preserve"> predicted stdevs of tb is: 0.0032760552623469718</t>
  </si>
  <si>
    <t xml:space="preserve"> predicted stdevs of reit is: 0.012193215796447306</t>
  </si>
  <si>
    <t xml:space="preserve"> predicted stdevs of GTBCPS is: 0.009161079358019204.
</t>
  </si>
  <si>
    <t xml:space="preserve"> 0.009161079358019204.
</t>
  </si>
  <si>
    <t>total_value_of_collaterals is: 149725600.690516</t>
  </si>
  <si>
    <t xml:space="preserve"> createdtionValue_gold is: -2057.6249453391615</t>
  </si>
  <si>
    <t xml:space="preserve"> createdValue_tb is: -957.4185958026227</t>
  </si>
  <si>
    <t xml:space="preserve"> createdValue_reit is: -1069.0865986802773
</t>
  </si>
  <si>
    <t xml:space="preserve"> -1069.0865986802773
</t>
  </si>
  <si>
    <t>plotValue_gold_after_creation is: 75435288.29817717</t>
  </si>
  <si>
    <t xml:space="preserve"> plotValue_tb_after_creation  is: 35100248.93506632</t>
  </si>
  <si>
    <t xml:space="preserve"> plotValue_reit_after_creation  is: 39194147.58741234</t>
  </si>
  <si>
    <t xml:space="preserve">total_value_after_creation is: 149729684.82065582
</t>
  </si>
  <si>
    <t xml:space="preserve"> 149729684.82065582
</t>
  </si>
  <si>
    <t>total_amount_gtncps_before_creation is: 102960786.1277599</t>
  </si>
  <si>
    <t>creation_amount_gtbcps is: -2808.429406285286</t>
  </si>
  <si>
    <t xml:space="preserve">total_amount_gtbcps_new is: 102957977.69835362
</t>
  </si>
  <si>
    <t xml:space="preserve"> 102957977.69835362
</t>
  </si>
  <si>
    <t>payout of tranche of gold is: 707.3807337026127</t>
  </si>
  <si>
    <t xml:space="preserve"> payout of tranche of Treausry Bill Option is: 107.6964991666453</t>
  </si>
  <si>
    <t xml:space="preserve"> payout of tranche of Collar of REIT is: 144.3162157054122
</t>
  </si>
  <si>
    <t xml:space="preserve"> 144.3162157054122
</t>
  </si>
  <si>
    <t>Collateral size of tranche of gold is: 75435288.29817717</t>
  </si>
  <si>
    <t xml:space="preserve"> collateral size of tranche of Treausry Bill Option is: 35100248.93506632</t>
  </si>
  <si>
    <t xml:space="preserve"> collateral size of tranche of Collar of REIT is: 39194147.58741234
</t>
  </si>
  <si>
    <t xml:space="preserve"> 39194147.58741234
</t>
  </si>
  <si>
    <t>Collateral ratio of tranche of gold is: 0.7327173942479892</t>
  </si>
  <si>
    <t xml:space="preserve"> collateral ratio of tranche of Treausry Bill Option is: 0.3409354364166859</t>
  </si>
  <si>
    <t xml:space="preserve"> collateral ratio of tranche of Collar of REIT is: 0.38070025763676757
</t>
  </si>
  <si>
    <t xml:space="preserve"> 0.38070025763676757
</t>
  </si>
  <si>
    <t xml:space="preserve">date is: 2022-07-13 00:00:00
</t>
  </si>
  <si>
    <t xml:space="preserve"> 2022-07-13 00</t>
  </si>
  <si>
    <t>current price of gold is: 1735.51</t>
  </si>
  <si>
    <t xml:space="preserve"> predicted price of gold is: 1737.8556495050661
</t>
  </si>
  <si>
    <t xml:space="preserve"> 1737.8556495050661
</t>
  </si>
  <si>
    <t>current price of tb is: 90.984375</t>
  </si>
  <si>
    <t xml:space="preserve"> current price of tb option is: 4.2863762339663385</t>
  </si>
  <si>
    <t xml:space="preserve"> predicted price of tb is: 91.20527984824862
</t>
  </si>
  <si>
    <t xml:space="preserve"> 91.20527984824862
</t>
  </si>
  <si>
    <t xml:space="preserve"> current price of reit option is: 5.4712580212109145</t>
  </si>
  <si>
    <t xml:space="preserve"> predicted price of reit is: 65.2334648601145
</t>
  </si>
  <si>
    <t xml:space="preserve"> 65.2334648601145
</t>
  </si>
  <si>
    <t>value_ratio_gold_to_total is: 0.18386214289627958</t>
  </si>
  <si>
    <t xml:space="preserve"> risk_ratio_to_gold is: 0.5653319228195127</t>
  </si>
  <si>
    <t xml:space="preserve"> risk_ratio_to_gold_before is: 0.5680162407045867
</t>
  </si>
  <si>
    <t xml:space="preserve"> 0.5680162407045867
</t>
  </si>
  <si>
    <t>value_ratio_tb_to_total is: 0.353300165528581</t>
  </si>
  <si>
    <t xml:space="preserve"> risk_ratio_tb_to_gold is: 0.3731503838524479</t>
  </si>
  <si>
    <t xml:space="preserve"> risk_ratio_tb_to_gold_before is: 0.3719328728745399
</t>
  </si>
  <si>
    <t xml:space="preserve"> 0.3719328728745399
</t>
  </si>
  <si>
    <t>value_ratio_reit_to_total is: 0.46283769157513943</t>
  </si>
  <si>
    <t xml:space="preserve"> risk_ratio_reit_to_gold is: 0.39572195403472094</t>
  </si>
  <si>
    <t xml:space="preserve"> risk_ratio_reit_to_gold_before is: 0.38858016942785256
</t>
  </si>
  <si>
    <t xml:space="preserve"> 0.38858016942785256
</t>
  </si>
  <si>
    <t>delta_gold is: 1.0055098493626884</t>
  </si>
  <si>
    <t xml:space="preserve"> delta_tb is: 0.9986088773606234</t>
  </si>
  <si>
    <t xml:space="preserve"> delta_reit is: 1.012651232283145
</t>
  </si>
  <si>
    <t xml:space="preserve"> 1.012651232283145
</t>
  </si>
  <si>
    <t>delta_gold_risk is: 0.9982880803046609</t>
  </si>
  <si>
    <t xml:space="preserve"> delta_tb_risk is: 1.0008874420913592</t>
  </si>
  <si>
    <t xml:space="preserve"> delta_reit_risk is: 1.005143228143472
</t>
  </si>
  <si>
    <t xml:space="preserve"> 1.005143228143472
</t>
  </si>
  <si>
    <t xml:space="preserve">collateral_ratio_tranche_gold is: 0.7380179842384494
</t>
  </si>
  <si>
    <t xml:space="preserve"> 0.7380179842384494
</t>
  </si>
  <si>
    <t xml:space="preserve">collateral_ratio_tranche_tb is: 0.33829532546471885
</t>
  </si>
  <si>
    <t xml:space="preserve"> 0.33829532546471885
</t>
  </si>
  <si>
    <t xml:space="preserve">collateral_ratio_tranche_reit is: 0.38144224179292013
</t>
  </si>
  <si>
    <t xml:space="preserve"> 0.38144224179292013
</t>
  </si>
  <si>
    <t>Total plot size is: 150592347.41013667</t>
  </si>
  <si>
    <t xml:space="preserve"> plot size of gold is: 75850925.3733311</t>
  </si>
  <si>
    <t xml:space="preserve"> plot size of TB is: 35051420.184125</t>
  </si>
  <si>
    <t xml:space="preserve"> plot size of REIT is: 39690001.85268056
</t>
  </si>
  <si>
    <t xml:space="preserve"> 39690001.85268056
</t>
  </si>
  <si>
    <t xml:space="preserve">collateral ratio is: 1.4627721947377632
</t>
  </si>
  <si>
    <t xml:space="preserve"> 1.4627721947377632
</t>
  </si>
  <si>
    <t>S_gtbcps_0 is: 0.9999221827558917</t>
  </si>
  <si>
    <t xml:space="preserve">stdev_gtbcps is: 0.009189071099935333
</t>
  </si>
  <si>
    <t xml:space="preserve"> 0.009189071099935333
</t>
  </si>
  <si>
    <t>predicted price of GTBCPS is: 0.9999147893276349</t>
  </si>
  <si>
    <t xml:space="preserve"> actual price is: 0.9999221827558917
</t>
  </si>
  <si>
    <t xml:space="preserve"> 0.9999221827558917
</t>
  </si>
  <si>
    <t>predicted amount of GTBCPS is: 102958738.97564414</t>
  </si>
  <si>
    <t xml:space="preserve"> actual amount is: 102957977.69835362
</t>
  </si>
  <si>
    <t>plot sizes of gold is: 75850925.3733311</t>
  </si>
  <si>
    <t xml:space="preserve"> plot sizes of tb is: 35051420.184125 </t>
  </si>
  <si>
    <t xml:space="preserve"> plot sizes of reit is: 39690001.85268056</t>
  </si>
  <si>
    <t xml:space="preserve"> plot sizes of total is: 150592347.41013667.
</t>
  </si>
  <si>
    <t xml:space="preserve"> 150592347.41013667.
</t>
  </si>
  <si>
    <t>predicted stdevs of gold is: 0.010321762840439471</t>
  </si>
  <si>
    <t xml:space="preserve"> predicted stdevs of tb is: 0.0032777927866037416</t>
  </si>
  <si>
    <t xml:space="preserve"> predicted stdevs of reit is: 0.012244827654346587</t>
  </si>
  <si>
    <t xml:space="preserve"> predicted stdevs of GTBCPS is: 0.009189071099935333.
</t>
  </si>
  <si>
    <t xml:space="preserve"> 0.009189071099935333.
</t>
  </si>
  <si>
    <t>total_value_of_collaterals is: 150592087.78710753</t>
  </si>
  <si>
    <t xml:space="preserve"> createdtionValue_gold is: 560.8406984120865</t>
  </si>
  <si>
    <t xml:space="preserve"> createdValue_tb is: 259.1701165802677</t>
  </si>
  <si>
    <t xml:space="preserve"> createdValue_reit is: 293.4676299204042
</t>
  </si>
  <si>
    <t xml:space="preserve"> 293.4676299204042
</t>
  </si>
  <si>
    <t>plotValue_gold_after_creation is: 75850186.04688321</t>
  </si>
  <si>
    <t xml:space="preserve"> plotValue_tb_after_creation  is: 35051132.37335286</t>
  </si>
  <si>
    <t xml:space="preserve"> plotValue_reit_after_creation  is: 39689655.88842656</t>
  </si>
  <si>
    <t xml:space="preserve">total_value_after_creation is: 150590974.30866265
</t>
  </si>
  <si>
    <t xml:space="preserve"> 150590974.30866265
</t>
  </si>
  <si>
    <t>total_amount_gtncps_before_creation is: 102957977.69835362</t>
  </si>
  <si>
    <t>creation_amount_gtbcps is: 761.2772905230522</t>
  </si>
  <si>
    <t xml:space="preserve">total_amount_gtbcps_new is: 102958738.97564414
</t>
  </si>
  <si>
    <t xml:space="preserve"> 102958738.97564414
</t>
  </si>
  <si>
    <t>payout of tranche of gold is: -178.48574948995764</t>
  </si>
  <si>
    <t xml:space="preserve"> payout of tranche of Treausry Bill Option is: -28.64065555377301</t>
  </si>
  <si>
    <t xml:space="preserve"> payout of tranche of Collar of REIT is: -52.49662408538724
</t>
  </si>
  <si>
    <t xml:space="preserve"> -52.49662408538724
</t>
  </si>
  <si>
    <t>Collateral size of tranche of gold is: 75850186.04688321</t>
  </si>
  <si>
    <t xml:space="preserve"> collateral size of tranche of Treausry Bill Option is: 35051132.37335286</t>
  </si>
  <si>
    <t xml:space="preserve"> collateral size of tranche of Collar of REIT is: 39689655.88842656
</t>
  </si>
  <si>
    <t xml:space="preserve"> 39689655.88842656
</t>
  </si>
  <si>
    <t>Collateral ratio of tranche of gold is: 0.7367729197757222</t>
  </si>
  <si>
    <t xml:space="preserve"> collateral ratio of tranche of Treausry Bill Option is: 0.34047016211928866</t>
  </si>
  <si>
    <t xml:space="preserve"> collateral ratio of tranche of Collar of REIT is: 0.3855265910057887
</t>
  </si>
  <si>
    <t xml:space="preserve"> 0.3855265910057887
</t>
  </si>
  <si>
    <t xml:space="preserve">date is: 2022-07-14 00:00:00
</t>
  </si>
  <si>
    <t xml:space="preserve"> 2022-07-14 00</t>
  </si>
  <si>
    <t>current price of gold is: 1709.94</t>
  </si>
  <si>
    <t xml:space="preserve"> predicted price of gold is: 1717.863086825227
</t>
  </si>
  <si>
    <t xml:space="preserve"> 1717.863086825227
</t>
  </si>
  <si>
    <t>current price of tb is: 90.9453125</t>
  </si>
  <si>
    <t xml:space="preserve"> current price of tb option is: 4.2827944868006975</t>
  </si>
  <si>
    <t xml:space="preserve"> predicted price of tb is: 91.16992117431342
</t>
  </si>
  <si>
    <t xml:space="preserve"> 91.16992117431342
</t>
  </si>
  <si>
    <t>current price of reit is: 64.3</t>
  </si>
  <si>
    <t xml:space="preserve"> current price of reit option is: 5.462556153045881</t>
  </si>
  <si>
    <t xml:space="preserve"> predicted price of reit is: 64.79801745830949
</t>
  </si>
  <si>
    <t xml:space="preserve"> 64.79801745830949
</t>
  </si>
  <si>
    <t>value_ratio_gold_to_total is: 0.4308117789456883</t>
  </si>
  <si>
    <t xml:space="preserve"> risk_ratio_to_gold is: 0.5706381024861228</t>
  </si>
  <si>
    <t xml:space="preserve"> risk_ratio_to_gold_before is: 0.5653319228195127
</t>
  </si>
  <si>
    <t xml:space="preserve"> 0.5653319228195127
</t>
  </si>
  <si>
    <t>value_ratio_tb_to_total is: 0.24508659530048663</t>
  </si>
  <si>
    <t xml:space="preserve"> risk_ratio_tb_to_gold is: 0.3659991498404385</t>
  </si>
  <si>
    <t xml:space="preserve"> risk_ratio_tb_to_gold_before is: 0.3731503838524479
</t>
  </si>
  <si>
    <t xml:space="preserve"> 0.3731503838524479
</t>
  </si>
  <si>
    <t>value_ratio_reit_to_total is: 0.32410162575382506</t>
  </si>
  <si>
    <t xml:space="preserve"> risk_ratio_reit_to_gold is: 0.38642501469266655</t>
  </si>
  <si>
    <t xml:space="preserve"> risk_ratio_reit_to_gold_before is: 0.39572195403472094
</t>
  </si>
  <si>
    <t xml:space="preserve"> 0.39572195403472094
</t>
  </si>
  <si>
    <t>delta_gold is: 0.9852665787002092</t>
  </si>
  <si>
    <t xml:space="preserve"> delta_tb is: 0.9995523888852212</t>
  </si>
  <si>
    <t xml:space="preserve"> delta_reit is: 0.9927608828632115
</t>
  </si>
  <si>
    <t xml:space="preserve"> 0.9927608828632115
</t>
  </si>
  <si>
    <t>delta_gold_risk is: 1.003389811189088</t>
  </si>
  <si>
    <t xml:space="preserve"> delta_tb_risk is: 0.9947920969938149</t>
  </si>
  <si>
    <t xml:space="preserve"> delta_reit_risk is: 0.9933389746323191
</t>
  </si>
  <si>
    <t xml:space="preserve"> 0.9933389746323191
</t>
  </si>
  <si>
    <t xml:space="preserve">collateral_ratio_tranche_gold is: 0.7234653230992306
</t>
  </si>
  <si>
    <t xml:space="preserve"> 0.7234653230992306
</t>
  </si>
  <si>
    <t xml:space="preserve">collateral_ratio_tranche_tb is: 0.34721504991441304
</t>
  </si>
  <si>
    <t xml:space="preserve"> 0.34721504991441304
</t>
  </si>
  <si>
    <t xml:space="preserve">collateral_ratio_tranche_reit is: 0.3910639364923249
</t>
  </si>
  <si>
    <t xml:space="preserve"> 0.3910639364923249
</t>
  </si>
  <si>
    <t>Total plot size is: 149170434.21743533</t>
  </si>
  <si>
    <t xml:space="preserve"> plot size of gold is: 74732653.30018696</t>
  </si>
  <si>
    <t xml:space="preserve"> plot size of TB is: 35035443.096916966</t>
  </si>
  <si>
    <t xml:space="preserve"> plot size of REIT is: 39402337.82033141
</t>
  </si>
  <si>
    <t xml:space="preserve"> 39402337.82033141
</t>
  </si>
  <si>
    <t xml:space="preserve">collateral ratio is: 1.4489605029925667
</t>
  </si>
  <si>
    <t xml:space="preserve"> 1.4489605029925667
</t>
  </si>
  <si>
    <t>S_gtbcps_0 is: 0.9999147893276349</t>
  </si>
  <si>
    <t xml:space="preserve">stdev_gtbcps is: 0.009173109579919906
</t>
  </si>
  <si>
    <t xml:space="preserve"> 0.009173109579919906
</t>
  </si>
  <si>
    <t>predicted price of GTBCPS is: 0.9999037612737663</t>
  </si>
  <si>
    <t xml:space="preserve"> actual price is: 0.9999147893276349
</t>
  </si>
  <si>
    <t xml:space="preserve"> 0.9999147893276349
</t>
  </si>
  <si>
    <t>predicted amount of GTBCPS is: 102959874.51944713</t>
  </si>
  <si>
    <t xml:space="preserve"> actual amount is: 102958738.97564414
</t>
  </si>
  <si>
    <t>plot sizes of gold is: 74732653.30018696</t>
  </si>
  <si>
    <t xml:space="preserve"> plot sizes of tb is: 35035443.096916966 </t>
  </si>
  <si>
    <t xml:space="preserve"> plot sizes of reit is: 39402337.82033141</t>
  </si>
  <si>
    <t xml:space="preserve"> plot sizes of total is: 149170434.21743536.
</t>
  </si>
  <si>
    <t xml:space="preserve"> 149170434.21743536.
</t>
  </si>
  <si>
    <t>predicted stdevs of gold is: 0.01033514892400264</t>
  </si>
  <si>
    <t xml:space="preserve"> predicted stdevs of tb is: 0.0032226291036020547</t>
  </si>
  <si>
    <t xml:space="preserve"> predicted stdevs of reit is: 0.012260120235467221</t>
  </si>
  <si>
    <t xml:space="preserve"> predicted stdevs of GTBCPS is: 0.009173109579919906.
</t>
  </si>
  <si>
    <t xml:space="preserve"> 0.009173109579919906.
</t>
  </si>
  <si>
    <t>total_value_of_collaterals is: 149170048.0616195</t>
  </si>
  <si>
    <t xml:space="preserve"> createdtionValue_gold is: 824.2232345225087</t>
  </si>
  <si>
    <t xml:space="preserve"> createdValue_tb is: 386.40498104091046</t>
  </si>
  <si>
    <t xml:space="preserve"> createdValue_reit is: 434.567298309544
</t>
  </si>
  <si>
    <t xml:space="preserve"> 434.567298309544
</t>
  </si>
  <si>
    <t>plotValue_gold_after_creation is: 74731582.02907178</t>
  </si>
  <si>
    <t xml:space="preserve"> plotValue_tb_after_creation  is: 35034993.34598305</t>
  </si>
  <si>
    <t xml:space="preserve"> plotValue_reit_after_creation  is: 39401827.491050795</t>
  </si>
  <si>
    <t xml:space="preserve">total_value_after_creation is: 149168402.86610562
</t>
  </si>
  <si>
    <t xml:space="preserve"> 149168402.86610562
</t>
  </si>
  <si>
    <t>total_amount_gtncps_before_creation is: 102958738.97564414</t>
  </si>
  <si>
    <t>creation_amount_gtbcps is: 1135.5438029915094</t>
  </si>
  <si>
    <t xml:space="preserve">total_amount_gtbcps_new is: 102959874.51944713
</t>
  </si>
  <si>
    <t xml:space="preserve"> 102959874.51944713
</t>
  </si>
  <si>
    <t>payout of tranche of gold is: -247.04788066198117</t>
  </si>
  <si>
    <t xml:space="preserve"> payout of tranche of Treausry Bill Option is: -63.345952878936586</t>
  </si>
  <si>
    <t xml:space="preserve"> payout of tranche of Collar of REIT is: -75.7619823091884
</t>
  </si>
  <si>
    <t xml:space="preserve"> -75.7619823091884
</t>
  </si>
  <si>
    <t>Collateral size of tranche of gold is: 74731582.02907178</t>
  </si>
  <si>
    <t xml:space="preserve"> collateral size of tranche of Treausry Bill Option is: 35034993.34598305</t>
  </si>
  <si>
    <t xml:space="preserve"> collateral size of tranche of Collar of REIT is: 39401827.491050795
</t>
  </si>
  <si>
    <t xml:space="preserve"> 39401827.491050795
</t>
  </si>
  <si>
    <t>Collateral ratio of tranche of gold is: 0.7259099668192162</t>
  </si>
  <si>
    <t xml:space="preserve"> collateral ratio of tranche of Treausry Bill Option is: 0.34031463227154035</t>
  </si>
  <si>
    <t xml:space="preserve"> collateral ratio of tranche of Collar of REIT is: 0.38273215299414454
</t>
  </si>
  <si>
    <t xml:space="preserve"> 0.38273215299414454
</t>
  </si>
  <si>
    <t xml:space="preserve">date is: 2022-07-15 00:00:00
</t>
  </si>
  <si>
    <t xml:space="preserve"> 2022-07-15 00</t>
  </si>
  <si>
    <t>current price of gold is: 1708.17</t>
  </si>
  <si>
    <t xml:space="preserve"> predicted price of gold is: 1710.1098424283439
</t>
  </si>
  <si>
    <t xml:space="preserve"> 1710.1098424283439
</t>
  </si>
  <si>
    <t>current price of tb is: 91.05859375</t>
  </si>
  <si>
    <t xml:space="preserve"> current price of tb option is: 4.2847311533508075</t>
  </si>
  <si>
    <t xml:space="preserve"> predicted price of tb is: 91.28120013777796
</t>
  </si>
  <si>
    <t xml:space="preserve"> 91.28120013777796
</t>
  </si>
  <si>
    <t xml:space="preserve"> current price of reit option is: 5.5144747206089875</t>
  </si>
  <si>
    <t xml:space="preserve"> predicted price of reit is: 64.57056370113936
</t>
  </si>
  <si>
    <t xml:space="preserve"> 64.57056370113936
</t>
  </si>
  <si>
    <t>value_ratio_gold_to_total is: 0.15478843152802926</t>
  </si>
  <si>
    <t xml:space="preserve"> risk_ratio_to_gold is: 0.5724955617164601</t>
  </si>
  <si>
    <t xml:space="preserve"> risk_ratio_to_gold_before is: 0.5706381024861228
</t>
  </si>
  <si>
    <t xml:space="preserve"> 0.5706381024861228
</t>
  </si>
  <si>
    <t>value_ratio_tb_to_total is: 0.35965998998918225</t>
  </si>
  <si>
    <t xml:space="preserve"> risk_ratio_tb_to_gold is: 0.3659128473384898</t>
  </si>
  <si>
    <t xml:space="preserve"> risk_ratio_tb_to_gold_before is: 0.3659991498404385
</t>
  </si>
  <si>
    <t xml:space="preserve"> 0.3659991498404385
</t>
  </si>
  <si>
    <t>value_ratio_reit_to_total is: 0.48555157848278846</t>
  </si>
  <si>
    <t xml:space="preserve"> risk_ratio_reit_to_gold is: 0.3808255850116111</t>
  </si>
  <si>
    <t xml:space="preserve"> risk_ratio_reit_to_gold_before is: 0.38642501469266655
</t>
  </si>
  <si>
    <t xml:space="preserve"> 0.38642501469266655
</t>
  </si>
  <si>
    <t>delta_gold is: 0.99896487596056</t>
  </si>
  <si>
    <t xml:space="preserve"> delta_tb is: 1.001209915015596</t>
  </si>
  <si>
    <t xml:space="preserve"> delta_reit is: 0.9964439171080164
</t>
  </si>
  <si>
    <t xml:space="preserve"> 0.9964439171080164
</t>
  </si>
  <si>
    <t>delta_gold_risk is: 1.0011826143956377</t>
  </si>
  <si>
    <t xml:space="preserve"> delta_tb_risk is: 0.9999368209695015</t>
  </si>
  <si>
    <t xml:space="preserve"> delta_reit_risk is: 0.9959612459226316
</t>
  </si>
  <si>
    <t xml:space="preserve"> 0.9959612459226316
</t>
  </si>
  <si>
    <t xml:space="preserve">collateral_ratio_tranche_gold is: 0.7243019900019272
</t>
  </si>
  <si>
    <t xml:space="preserve"> 0.7243019900019272
</t>
  </si>
  <si>
    <t xml:space="preserve">collateral_ratio_tranche_tb is: 0.341100994016672
</t>
  </si>
  <si>
    <t xml:space="preserve"> 0.341100994016672
</t>
  </si>
  <si>
    <t xml:space="preserve">collateral_ratio_tranche_reit is: 0.3833144138603918
</t>
  </si>
  <si>
    <t xml:space="preserve"> 0.3833144138603918
</t>
  </si>
  <si>
    <t>Total plot size is: 148993319.60890874</t>
  </si>
  <si>
    <t xml:space="preserve"> plot size of gold is: 74654225.5720081</t>
  </si>
  <si>
    <t xml:space="preserve"> plot size of TB is: 35077382.71050366</t>
  </si>
  <si>
    <t xml:space="preserve"> plot size of REIT is: 39261711.32639698
</t>
  </si>
  <si>
    <t xml:space="preserve"> 39261711.32639698
</t>
  </si>
  <si>
    <t xml:space="preserve">collateral ratio is: 1.447240107971902
</t>
  </si>
  <si>
    <t xml:space="preserve"> 1.447240107971902
</t>
  </si>
  <si>
    <t>S_gtbcps_0 is: 0.9999037612737663</t>
  </si>
  <si>
    <t xml:space="preserve">stdev_gtbcps is: 0.009100911288864482
</t>
  </si>
  <si>
    <t xml:space="preserve"> 0.009100911288864482
</t>
  </si>
  <si>
    <t>predicted price of GTBCPS is: 0.9999014735053867</t>
  </si>
  <si>
    <t xml:space="preserve"> actual price is: 0.9999037612737663
</t>
  </si>
  <si>
    <t xml:space="preserve"> 0.9999037612737663
</t>
  </si>
  <si>
    <t>predicted amount of GTBCPS is: 102960110.09100246</t>
  </si>
  <si>
    <t xml:space="preserve"> actual amount is: 102959874.51944713
</t>
  </si>
  <si>
    <t>plot sizes of gold is: 74654225.5720081</t>
  </si>
  <si>
    <t xml:space="preserve"> plot sizes of tb is: 35077382.71050366 </t>
  </si>
  <si>
    <t xml:space="preserve"> plot sizes of reit is: 39261711.32639698</t>
  </si>
  <si>
    <t xml:space="preserve"> plot sizes of total is: 148993319.60890874.
</t>
  </si>
  <si>
    <t xml:space="preserve"> 148993319.60890874.
</t>
  </si>
  <si>
    <t>predicted stdevs of gold is: 0.010271340303119176</t>
  </si>
  <si>
    <t xml:space="preserve"> predicted stdevs of tb is: 0.0032029348660593117</t>
  </si>
  <si>
    <t xml:space="preserve"> predicted stdevs of reit is: 0.012144795534269798</t>
  </si>
  <si>
    <t xml:space="preserve"> predicted stdevs of GTBCPS is: 0.009100911288864482.
</t>
  </si>
  <si>
    <t xml:space="preserve"> 0.009100911288864482.
</t>
  </si>
  <si>
    <t>total_value_of_collaterals is: 148993239.18906575</t>
  </si>
  <si>
    <t xml:space="preserve"> createdtionValue_gold is: 170.80788748798636</t>
  </si>
  <si>
    <t xml:space="preserve"> createdValue_tb is: 80.25662092750107</t>
  </si>
  <si>
    <t xml:space="preserve"> createdValue_reit is: 89.8303202574977
</t>
  </si>
  <si>
    <t xml:space="preserve"> 89.8303202574977
</t>
  </si>
  <si>
    <t>plotValue_gold_after_creation is: 74653999.02784681</t>
  </si>
  <si>
    <t xml:space="preserve"> plotValue_tb_after_creation  is: 35077289.396962665</t>
  </si>
  <si>
    <t xml:space="preserve"> plotValue_reit_after_creation  is: 39261609.86942759</t>
  </si>
  <si>
    <t xml:space="preserve">total_value_after_creation is: 148992898.29423708
</t>
  </si>
  <si>
    <t xml:space="preserve"> 148992898.29423708
</t>
  </si>
  <si>
    <t>total_amount_gtncps_before_creation is: 102959874.51944713</t>
  </si>
  <si>
    <t>creation_amount_gtbcps is: 235.57155533134937</t>
  </si>
  <si>
    <t xml:space="preserve">total_amount_gtbcps_new is: 102960110.09100246
</t>
  </si>
  <si>
    <t xml:space="preserve"> 102960110.09100246
</t>
  </si>
  <si>
    <t>payout of tranche of gold is: -55.73627379845485</t>
  </si>
  <si>
    <t xml:space="preserve"> payout of tranche of Treausry Bill Option is: -13.05692006633866</t>
  </si>
  <si>
    <t xml:space="preserve"> payout of tranche of Collar of REIT is: -11.626649132195913
</t>
  </si>
  <si>
    <t xml:space="preserve"> -11.626649132195913
</t>
  </si>
  <si>
    <t>Collateral size of tranche of gold is: 74653999.02784681</t>
  </si>
  <si>
    <t xml:space="preserve"> collateral size of tranche of Treausry Bill Option is: 35077289.396962665</t>
  </si>
  <si>
    <t xml:space="preserve"> collateral size of tranche of Collar of REIT is: 39261609.86942759
</t>
  </si>
  <si>
    <t xml:space="preserve"> 39261609.86942759
</t>
  </si>
  <si>
    <t>Collateral ratio of tranche of gold is: 0.7251500208010713</t>
  </si>
  <si>
    <t xml:space="preserve"> collateral ratio of tranche of Treausry Bill Option is: 0.340722499358201</t>
  </si>
  <si>
    <t xml:space="preserve"> collateral ratio of tranche of Collar of REIT is: 0.3813668066579944
</t>
  </si>
  <si>
    <t xml:space="preserve"> 0.3813668066579944
</t>
  </si>
  <si>
    <t xml:space="preserve">date is: 2022-07-18 00:00:00
</t>
  </si>
  <si>
    <t xml:space="preserve"> 2022-07-18 00</t>
  </si>
  <si>
    <t>current price of gold is: 1709.22</t>
  </si>
  <si>
    <t xml:space="preserve"> predicted price of gold is: 1701.8525799494685
</t>
  </si>
  <si>
    <t xml:space="preserve"> 1701.8525799494685
</t>
  </si>
  <si>
    <t>current price of tb is: 90.890625</t>
  </si>
  <si>
    <t xml:space="preserve"> current price of tb option is: 4.282924866315267</t>
  </si>
  <si>
    <t xml:space="preserve"> predicted price of tb is: 91.11509861197167
</t>
  </si>
  <si>
    <t xml:space="preserve"> 91.11509861197167
</t>
  </si>
  <si>
    <t xml:space="preserve"> current price of reit option is: 5.4385047310928485</t>
  </si>
  <si>
    <t xml:space="preserve"> predicted price of reit is: 65.45150633275325
</t>
  </si>
  <si>
    <t xml:space="preserve"> 65.45150633275325
</t>
  </si>
  <si>
    <t>value_ratio_gold_to_total is: -2.3168064139800735</t>
  </si>
  <si>
    <t xml:space="preserve"> risk_ratio_to_gold is: 0.5706266060152635</t>
  </si>
  <si>
    <t xml:space="preserve"> risk_ratio_to_gold_before is: 0.5724955617164601
</t>
  </si>
  <si>
    <t xml:space="preserve"> 0.5724955617164601
</t>
  </si>
  <si>
    <t>value_ratio_tb_to_total is: 1.4174255890439917</t>
  </si>
  <si>
    <t xml:space="preserve"> risk_ratio_tb_to_gold is: 0.3653562730173839</t>
  </si>
  <si>
    <t xml:space="preserve"> risk_ratio_tb_to_gold_before is: 0.3659128473384898
</t>
  </si>
  <si>
    <t xml:space="preserve"> 0.3659128473384898
</t>
  </si>
  <si>
    <t>value_ratio_reit_to_total is: 1.899380824936082</t>
  </si>
  <si>
    <t xml:space="preserve"> risk_ratio_reit_to_gold is: 0.3871031977792711</t>
  </si>
  <si>
    <t xml:space="preserve"> risk_ratio_reit_to_gold_before is: 0.3808255850116111
</t>
  </si>
  <si>
    <t xml:space="preserve"> 0.3808255850116111
</t>
  </si>
  <si>
    <t>delta_gold is: 1.0006146929169812</t>
  </si>
  <si>
    <t xml:space="preserve"> delta_tb is: 0.9982193295943095</t>
  </si>
  <si>
    <t xml:space="preserve"> delta_reit is: 1.01113480341461
</t>
  </si>
  <si>
    <t xml:space="preserve"> 1.01113480341461
</t>
  </si>
  <si>
    <t>delta_gold_risk is: 0.9988114715572511</t>
  </si>
  <si>
    <t xml:space="preserve"> delta_tb_risk is: 0.9995925257440909</t>
  </si>
  <si>
    <t xml:space="preserve"> delta_reit_risk is: 1.0045462749501468
</t>
  </si>
  <si>
    <t xml:space="preserve"> 1.0045462749501468
</t>
  </si>
  <si>
    <t xml:space="preserve">collateral_ratio_tranche_gold is: 0.7264591827838413
</t>
  </si>
  <si>
    <t xml:space="preserve"> 0.7264591827838413
</t>
  </si>
  <si>
    <t xml:space="preserve">collateral_ratio_tranche_tb is: 0.34004540630493896
</t>
  </si>
  <si>
    <t xml:space="preserve"> 0.34004540630493896
</t>
  </si>
  <si>
    <t xml:space="preserve">collateral_ratio_tranche_reit is: 0.3836322652009551
</t>
  </si>
  <si>
    <t xml:space="preserve"> 0.3836322652009551
</t>
  </si>
  <si>
    <t>Total plot size is: 149413496.79516</t>
  </si>
  <si>
    <t xml:space="preserve"> plot size of gold is: 74699888.31227356</t>
  </si>
  <si>
    <t xml:space="preserve"> plot size of TB is: 35014828.30582165</t>
  </si>
  <si>
    <t xml:space="preserve"> plot size of REIT is: 39698780.17706478
</t>
  </si>
  <si>
    <t xml:space="preserve"> 39698780.17706478
</t>
  </si>
  <si>
    <t xml:space="preserve">collateral ratio is: 1.4513214807340755
</t>
  </si>
  <si>
    <t xml:space="preserve"> 1.4513214807340755
</t>
  </si>
  <si>
    <t>S_gtbcps_0 is: 0.9999014735053867</t>
  </si>
  <si>
    <t xml:space="preserve">stdev_gtbcps is: 0.009115751889413047
</t>
  </si>
  <si>
    <t xml:space="preserve"> 0.009115751889413047
</t>
  </si>
  <si>
    <t>predicted price of GTBCPS is: 0.9999197299216297</t>
  </si>
  <si>
    <t xml:space="preserve"> actual price is: 0.9999014735053867
</t>
  </si>
  <si>
    <t xml:space="preserve"> 0.9999014735053867
</t>
  </si>
  <si>
    <t>predicted amount of GTBCPS is: 102958230.25748181</t>
  </si>
  <si>
    <t xml:space="preserve"> actual amount is: 102960110.09100246
</t>
  </si>
  <si>
    <t>plot sizes of gold is: 74699888.31227356</t>
  </si>
  <si>
    <t xml:space="preserve"> plot sizes of tb is: 35014828.30582165 </t>
  </si>
  <si>
    <t xml:space="preserve"> plot sizes of reit is: 39698780.17706478</t>
  </si>
  <si>
    <t xml:space="preserve"> plot sizes of total is: 149413496.79516.
</t>
  </si>
  <si>
    <t xml:space="preserve"> 149413496.79516.
</t>
  </si>
  <si>
    <t>predicted stdevs of gold is: 0.010243235027524627</t>
  </si>
  <si>
    <t xml:space="preserve"> predicted stdevs of tb is: 0.003198218994627377</t>
  </si>
  <si>
    <t xml:space="preserve"> predicted stdevs of reit is: 0.012213543138049798</t>
  </si>
  <si>
    <t xml:space="preserve"> predicted stdevs of GTBCPS is: 0.009115751889413047.
</t>
  </si>
  <si>
    <t xml:space="preserve"> 0.009115751889413047.
</t>
  </si>
  <si>
    <t>total_value_of_collaterals is: 149414137.78337222</t>
  </si>
  <si>
    <t xml:space="preserve"> createdtionValue_gold is: -1363.8947408476554</t>
  </si>
  <si>
    <t xml:space="preserve"> createdValue_tb is: -639.310154965501</t>
  </si>
  <si>
    <t xml:space="preserve"> createdValue_reit is: -724.8305799512414
</t>
  </si>
  <si>
    <t xml:space="preserve"> -724.8305799512414
</t>
  </si>
  <si>
    <t>plotValue_gold_after_creation is: 74701696.25531162</t>
  </si>
  <si>
    <t xml:space="preserve"> plotValue_tb_after_creation  is: 35015570.90797779</t>
  </si>
  <si>
    <t xml:space="preserve"> plotValue_reit_after_creation  is: 39699598.65555858</t>
  </si>
  <si>
    <t xml:space="preserve">total_value_after_creation is: 149416865.81884798
</t>
  </si>
  <si>
    <t xml:space="preserve"> 149416865.81884798
</t>
  </si>
  <si>
    <t>total_amount_gtncps_before_creation is: 102960110.09100246</t>
  </si>
  <si>
    <t>creation_amount_gtbcps is: -1879.8335206508636</t>
  </si>
  <si>
    <t xml:space="preserve">total_amount_gtbcps_new is: 102958230.25748181
</t>
  </si>
  <si>
    <t xml:space="preserve"> 102958230.25748181
</t>
  </si>
  <si>
    <t>payout of tranche of gold is: 444.0482972112489</t>
  </si>
  <si>
    <t xml:space="preserve"> payout of tranche of Treausry Bill Option is: 103.29200117371259</t>
  </si>
  <si>
    <t xml:space="preserve"> payout of tranche of Collar of REIT is: 93.64791385272018
</t>
  </si>
  <si>
    <t xml:space="preserve"> 93.64791385272018
</t>
  </si>
  <si>
    <t>Collateral size of tranche of gold is: 74701696.25531162</t>
  </si>
  <si>
    <t xml:space="preserve"> collateral size of tranche of Treausry Bill Option is: 35015570.90797779</t>
  </si>
  <si>
    <t xml:space="preserve"> collateral size of tranche of Collar of REIT is: 39699598.65555858
</t>
  </si>
  <si>
    <t xml:space="preserve"> 39699598.65555858
</t>
  </si>
  <si>
    <t>Collateral ratio of tranche of gold is: 0.7255984184715437</t>
  </si>
  <si>
    <t xml:space="preserve"> collateral ratio of tranche of Treausry Bill Option is: 0.34011601002835745</t>
  </si>
  <si>
    <t xml:space="preserve"> collateral ratio of tranche of Collar of REIT is: 0.38561327844520127
</t>
  </si>
  <si>
    <t xml:space="preserve"> 0.38561327844520127
</t>
  </si>
  <si>
    <t xml:space="preserve">date is: 2022-07-19 00:00:00
</t>
  </si>
  <si>
    <t xml:space="preserve"> 2022-07-19 00</t>
  </si>
  <si>
    <t>current price of gold is: 1711.67</t>
  </si>
  <si>
    <t xml:space="preserve"> predicted price of gold is: 1715.2847404953257
</t>
  </si>
  <si>
    <t xml:space="preserve"> 1715.2847404953257
</t>
  </si>
  <si>
    <t>current price of tb is: 90.71875</t>
  </si>
  <si>
    <t xml:space="preserve"> current price of tb option is: 4.279670317681587</t>
  </si>
  <si>
    <t xml:space="preserve"> predicted price of tb is: 90.9465884925678
</t>
  </si>
  <si>
    <t xml:space="preserve"> 90.9465884925678
</t>
  </si>
  <si>
    <t>current price of reit is: 64.35</t>
  </si>
  <si>
    <t xml:space="preserve"> current price of reit option is: 5.428948681736472</t>
  </si>
  <si>
    <t xml:space="preserve"> predicted price of reit is: 64.98432387596691
</t>
  </si>
  <si>
    <t xml:space="preserve"> 64.98432387596691
</t>
  </si>
  <si>
    <t>value_ratio_gold_to_total is: 0.25481899997510493</t>
  </si>
  <si>
    <t xml:space="preserve"> risk_ratio_to_gold is: 0.571172104487954</t>
  </si>
  <si>
    <t xml:space="preserve"> risk_ratio_to_gold_before is: 0.5706266060152635
</t>
  </si>
  <si>
    <t xml:space="preserve"> 0.5706266060152635
</t>
  </si>
  <si>
    <t>value_ratio_tb_to_total is: 0.31775417596146727</t>
  </si>
  <si>
    <t xml:space="preserve"> risk_ratio_tb_to_gold is: 0.3647874840710458</t>
  </si>
  <si>
    <t xml:space="preserve"> risk_ratio_tb_to_gold_before is: 0.3653562730173839
</t>
  </si>
  <si>
    <t xml:space="preserve"> 0.3653562730173839
</t>
  </si>
  <si>
    <t>value_ratio_reit_to_total is: 0.4274268240634278</t>
  </si>
  <si>
    <t xml:space="preserve"> risk_ratio_reit_to_gold is: 0.38599829860733453</t>
  </si>
  <si>
    <t xml:space="preserve"> risk_ratio_reit_to_gold_before is: 0.3871031977792711
</t>
  </si>
  <si>
    <t xml:space="preserve"> 0.3871031977792711
</t>
  </si>
  <si>
    <t>delta_gold is: 1.0014334023706721</t>
  </si>
  <si>
    <t xml:space="preserve"> delta_tb is: 0.9981598926500097</t>
  </si>
  <si>
    <t xml:space="preserve"> delta_reit is: 0.9927505066254316
</t>
  </si>
  <si>
    <t xml:space="preserve"> 0.9927505066254316
</t>
  </si>
  <si>
    <t>delta_gold_risk is: 1.0003473126398097</t>
  </si>
  <si>
    <t xml:space="preserve"> delta_tb_risk is: 0.9995834135327323</t>
  </si>
  <si>
    <t xml:space="preserve"> delta_reit_risk is: 0.9992034484718184
</t>
  </si>
  <si>
    <t xml:space="preserve"> 0.9992034484718184
</t>
  </si>
  <si>
    <t xml:space="preserve">collateral_ratio_tranche_gold is: 0.7263862098526714
</t>
  </si>
  <si>
    <t xml:space="preserve"> 0.7263862098526714
</t>
  </si>
  <si>
    <t xml:space="preserve">collateral_ratio_tranche_tb is: 0.3391455140222346
</t>
  </si>
  <si>
    <t xml:space="preserve"> 0.3391455140222346
</t>
  </si>
  <si>
    <t xml:space="preserve">collateral_ratio_tranche_reit is: 0.3825745714153996
</t>
  </si>
  <si>
    <t xml:space="preserve"> 0.3825745714153996
</t>
  </si>
  <si>
    <t>Total plot size is: 149171709.02053523</t>
  </si>
  <si>
    <t xml:space="preserve"> plot size of gold is: 74808773.84381722</t>
  </si>
  <si>
    <t xml:space="preserve"> plot size of TB is: 34951138.49858592</t>
  </si>
  <si>
    <t xml:space="preserve"> plot size of REIT is: 39411796.67813209
</t>
  </si>
  <si>
    <t xml:space="preserve"> 39411796.67813209
</t>
  </si>
  <si>
    <t xml:space="preserve">collateral ratio is: 1.4489728857368451
</t>
  </si>
  <si>
    <t xml:space="preserve"> 1.4489728857368451
</t>
  </si>
  <si>
    <t>S_gtbcps_0 is: 0.9999197299216297</t>
  </si>
  <si>
    <t xml:space="preserve">stdev_gtbcps is: 0.009102175199884894
</t>
  </si>
  <si>
    <t xml:space="preserve"> 0.009102175199884894
</t>
  </si>
  <si>
    <t>predicted price of GTBCPS is: 0.9999504779323494</t>
  </si>
  <si>
    <t xml:space="preserve"> actual price is: 0.9999197299216297
</t>
  </si>
  <si>
    <t xml:space="preserve"> 0.9999197299216297
</t>
  </si>
  <si>
    <t>predicted amount of GTBCPS is: 102955064.33993141</t>
  </si>
  <si>
    <t xml:space="preserve"> actual amount is: 102958230.25748181
</t>
  </si>
  <si>
    <t>plot sizes of gold is: 74808773.84381722</t>
  </si>
  <si>
    <t xml:space="preserve"> plot sizes of tb is: 34951138.49858592 </t>
  </si>
  <si>
    <t xml:space="preserve"> plot sizes of reit is: 39411796.67813209</t>
  </si>
  <si>
    <t xml:space="preserve"> plot sizes of total is: 149171709.02053523.
</t>
  </si>
  <si>
    <t xml:space="preserve"> 149171709.02053523.
</t>
  </si>
  <si>
    <t>predicted stdevs of gold is: 0.010207677402413186</t>
  </si>
  <si>
    <t xml:space="preserve"> predicted stdevs of tb is: 0.0032013950488825934</t>
  </si>
  <si>
    <t xml:space="preserve"> predicted stdevs of reit is: 0.012236711822600018</t>
  </si>
  <si>
    <t xml:space="preserve"> predicted stdevs of GTBCPS is: 0.009102175199884894.
</t>
  </si>
  <si>
    <t xml:space="preserve"> 0.009102175199884894.
</t>
  </si>
  <si>
    <t>total_value_of_collaterals is: 149172789.42728645</t>
  </si>
  <si>
    <t xml:space="preserve"> createdtionValue_gold is: -2300.427093277497</t>
  </si>
  <si>
    <t xml:space="preserve"> createdValue_tb is: -1074.7692214458882</t>
  </si>
  <si>
    <t xml:space="preserve"> createdValue_reit is: -1211.9384233079911
</t>
  </si>
  <si>
    <t xml:space="preserve"> -1211.9384233079911
</t>
  </si>
  <si>
    <t>plotValue_gold_after_creation is: 74811772.12915635</t>
  </si>
  <si>
    <t xml:space="preserve"> plotValue_tb_after_creation  is: 34952374.853003606</t>
  </si>
  <si>
    <t xml:space="preserve"> plotValue_reit_after_creation  is: 39413229.57986455</t>
  </si>
  <si>
    <t xml:space="preserve">total_value_after_creation is: 149177376.5620245
</t>
  </si>
  <si>
    <t xml:space="preserve"> 149177376.5620245
</t>
  </si>
  <si>
    <t>total_amount_gtncps_before_creation is: 102958230.25748181</t>
  </si>
  <si>
    <t>creation_amount_gtbcps is: -3165.9175503998995</t>
  </si>
  <si>
    <t xml:space="preserve">total_amount_gtbcps_new is: 102955064.33993141
</t>
  </si>
  <si>
    <t xml:space="preserve"> 102955064.33993141
</t>
  </si>
  <si>
    <t>payout of tranche of gold is: 697.8582458502505</t>
  </si>
  <si>
    <t xml:space="preserve"> payout of tranche of Treausry Bill Option is: 161.58519624067787</t>
  </si>
  <si>
    <t xml:space="preserve"> payout of tranche of Collar of REIT is: 220.96330915714395
</t>
  </si>
  <si>
    <t xml:space="preserve"> 220.96330915714395
</t>
  </si>
  <si>
    <t>Collateral size of tranche of gold is: 74811772.12915635</t>
  </si>
  <si>
    <t xml:space="preserve"> collateral size of tranche of Treausry Bill Option is: 34952374.853003606</t>
  </si>
  <si>
    <t xml:space="preserve"> collateral size of tranche of Collar of REIT is: 39413229.57986455
</t>
  </si>
  <si>
    <t xml:space="preserve"> 39413229.57986455
</t>
  </si>
  <si>
    <t>Collateral ratio of tranche of gold is: 0.7266585387023022</t>
  </si>
  <si>
    <t xml:space="preserve"> collateral ratio of tranche of Treausry Bill Option is: 0.33949792809359447</t>
  </si>
  <si>
    <t xml:space="preserve"> collateral ratio of tranche of Collar of REIT is: 0.38282691342477765
</t>
  </si>
  <si>
    <t xml:space="preserve"> 0.38282691342477765
</t>
  </si>
  <si>
    <t xml:space="preserve">date is: 2022-07-20 00:00:00
</t>
  </si>
  <si>
    <t xml:space="preserve"> 2022-07-20 00</t>
  </si>
  <si>
    <t>current price of gold is: 1696.58</t>
  </si>
  <si>
    <t xml:space="preserve"> predicted price of gold is: 1697.2844467169398
</t>
  </si>
  <si>
    <t xml:space="preserve"> 1697.2844467169398
</t>
  </si>
  <si>
    <t>current price of tb is: 90.7421875</t>
  </si>
  <si>
    <t xml:space="preserve"> current price of tb option is: 4.27741427039901</t>
  </si>
  <si>
    <t xml:space="preserve"> predicted price of tb is: 90.97235913597304
</t>
  </si>
  <si>
    <t xml:space="preserve"> 90.97235913597304
</t>
  </si>
  <si>
    <t xml:space="preserve"> current price of reit option is: 5.411401952457183</t>
  </si>
  <si>
    <t xml:space="preserve"> predicted price of reit is: 64.82763393887399
</t>
  </si>
  <si>
    <t xml:space="preserve"> 64.82763393887399
</t>
  </si>
  <si>
    <t>value_ratio_gold_to_total is: 0.06317302382411234</t>
  </si>
  <si>
    <t xml:space="preserve"> risk_ratio_to_gold is: 0.5701800592161063</t>
  </si>
  <si>
    <t xml:space="preserve"> risk_ratio_to_gold_before is: 0.571172104487954
</t>
  </si>
  <si>
    <t xml:space="preserve"> 0.571172104487954
</t>
  </si>
  <si>
    <t>value_ratio_tb_to_total is: 0.40422905665523334</t>
  </si>
  <si>
    <t xml:space="preserve"> risk_ratio_tb_to_gold is: 0.3650962970496636</t>
  </si>
  <si>
    <t xml:space="preserve"> risk_ratio_tb_to_gold_before is: 0.3647874840710458
</t>
  </si>
  <si>
    <t xml:space="preserve"> 0.3647874840710458
</t>
  </si>
  <si>
    <t>value_ratio_reit_to_total is: 0.5325979195206543</t>
  </si>
  <si>
    <t xml:space="preserve"> risk_ratio_reit_to_gold is: 0.38873564399509664</t>
  </si>
  <si>
    <t xml:space="preserve"> risk_ratio_reit_to_gold_before is: 0.38599829860733453
</t>
  </si>
  <si>
    <t xml:space="preserve"> 0.38599829860733453
</t>
  </si>
  <si>
    <t>delta_gold is: 0.9911840483270723</t>
  </si>
  <si>
    <t xml:space="preserve"> delta_tb is: 1.0002229663677205</t>
  </si>
  <si>
    <t xml:space="preserve"> delta_reit is: 0.999031989868644
</t>
  </si>
  <si>
    <t xml:space="preserve"> 0.999031989868644
</t>
  </si>
  <si>
    <t>delta_gold_risk is: 0.9993685954142044</t>
  </si>
  <si>
    <t xml:space="preserve"> delta_tb_risk is: 1.0002262718424826</t>
  </si>
  <si>
    <t xml:space="preserve"> delta_reit_risk is: 1.001974999096689
</t>
  </si>
  <si>
    <t xml:space="preserve"> 1.001974999096689
</t>
  </si>
  <si>
    <t xml:space="preserve">collateral_ratio_tranche_gold is: 0.7207074101061404
</t>
  </si>
  <si>
    <t xml:space="preserve"> 0.7207074101061404
</t>
  </si>
  <si>
    <t xml:space="preserve">collateral_ratio_tranche_tb is: 0.34251641430129126
</t>
  </si>
  <si>
    <t xml:space="preserve"> 0.34251641430129126
</t>
  </si>
  <si>
    <t xml:space="preserve">collateral_ratio_tranche_reit is: 0.3850974717588752
</t>
  </si>
  <si>
    <t xml:space="preserve"> 0.3850974717588752
</t>
  </si>
  <si>
    <t>Total plot size is: 148487480.3928892</t>
  </si>
  <si>
    <t xml:space="preserve"> plot size of gold is: 74152235.16149963</t>
  </si>
  <si>
    <t xml:space="preserve"> plot size of TB is: 34960168.05706778</t>
  </si>
  <si>
    <t xml:space="preserve"> plot size of REIT is: 39375077.17432178
</t>
  </si>
  <si>
    <t xml:space="preserve"> 39375077.17432178
</t>
  </si>
  <si>
    <t xml:space="preserve">collateral ratio is: 1.4423266608218543
</t>
  </si>
  <si>
    <t xml:space="preserve"> 1.4423266608218543
</t>
  </si>
  <si>
    <t>S_gtbcps_0 is: 0.9999504779323494</t>
  </si>
  <si>
    <t xml:space="preserve">stdev_gtbcps is: 0.009073319081298903
</t>
  </si>
  <si>
    <t xml:space="preserve"> 0.009073319081298903
</t>
  </si>
  <si>
    <t>predicted price of GTBCPS is: 0.9999427351914679</t>
  </si>
  <si>
    <t xml:space="preserve"> actual price is: 0.9999504779323494
</t>
  </si>
  <si>
    <t xml:space="preserve"> 0.9999504779323494
</t>
  </si>
  <si>
    <t>predicted amount of GTBCPS is: 102955861.53996854</t>
  </si>
  <si>
    <t xml:space="preserve"> actual amount is: 102955064.33993141
</t>
  </si>
  <si>
    <t>plot sizes of gold is: 74152235.16149963</t>
  </si>
  <si>
    <t xml:space="preserve"> plot sizes of tb is: 34960168.05706778 </t>
  </si>
  <si>
    <t xml:space="preserve"> plot sizes of reit is: 39375077.17432178</t>
  </si>
  <si>
    <t xml:space="preserve"> plot sizes of total is: 148487480.3928892.
</t>
  </si>
  <si>
    <t xml:space="preserve"> 148487480.3928892.
</t>
  </si>
  <si>
    <t>predicted stdevs of gold is: 0.010164555333937026</t>
  </si>
  <si>
    <t xml:space="preserve"> predicted stdevs of tb is: 0.0031962333548282446</t>
  </si>
  <si>
    <t xml:space="preserve"> predicted stdevs of reit is: 0.012236393452161468</t>
  </si>
  <si>
    <t xml:space="preserve"> predicted stdevs of GTBCPS is: 0.009073319081298903.
</t>
  </si>
  <si>
    <t xml:space="preserve"> 0.009073319081298903.
</t>
  </si>
  <si>
    <t>total_value_of_collaterals is: 148487209.05459204</t>
  </si>
  <si>
    <t xml:space="preserve"> createdtionValue_gold is: 574.1686303762654</t>
  </si>
  <si>
    <t xml:space="preserve"> createdValue_tb is: 270.70058442027033</t>
  </si>
  <si>
    <t xml:space="preserve"> createdValue_reit is: 304.885707359841
</t>
  </si>
  <si>
    <t xml:space="preserve"> 304.885707359841
</t>
  </si>
  <si>
    <t>plotValue_gold_after_creation is: 74151487.11706477</t>
  </si>
  <si>
    <t xml:space="preserve"> plotValue_tb_after_creation  is: 34959852.970489524</t>
  </si>
  <si>
    <t xml:space="preserve"> plotValue_reit_after_creation  is: 39374719.21211559</t>
  </si>
  <si>
    <t xml:space="preserve">total_value_after_creation is: 148486059.2996699
</t>
  </si>
  <si>
    <t xml:space="preserve"> 148486059.2996699
</t>
  </si>
  <si>
    <t>total_amount_gtncps_before_creation is: 102955064.33993141</t>
  </si>
  <si>
    <t>creation_amount_gtbcps is: 797.2000371217728</t>
  </si>
  <si>
    <t xml:space="preserve">total_amount_gtbcps_new is: 102955861.53996854
</t>
  </si>
  <si>
    <t xml:space="preserve"> 102955861.53996854
</t>
  </si>
  <si>
    <t>payout of tranche of gold is: -173.87580448711486</t>
  </si>
  <si>
    <t xml:space="preserve"> payout of tranche of Treausry Bill Option is: -44.38599383540715</t>
  </si>
  <si>
    <t xml:space="preserve"> payout of tranche of Collar of REIT is: -53.076498818343346
</t>
  </si>
  <si>
    <t xml:space="preserve"> -53.076498818343346
</t>
  </si>
  <si>
    <t>Collateral size of tranche of gold is: 74151487.11706477</t>
  </si>
  <si>
    <t xml:space="preserve"> collateral size of tranche of Treausry Bill Option is: 34959852.970489524</t>
  </si>
  <si>
    <t xml:space="preserve"> collateral size of tranche of Collar of REIT is: 39374719.21211559
</t>
  </si>
  <si>
    <t xml:space="preserve"> 39374719.21211559
</t>
  </si>
  <si>
    <t>Collateral ratio of tranche of gold is: 0.7202728113122182</t>
  </si>
  <si>
    <t xml:space="preserve"> collateral ratio of tranche of Treausry Bill Option is: 0.33958363562369304</t>
  </si>
  <si>
    <t xml:space="preserve"> collateral ratio of tranche of Collar of REIT is: 0.3824675782532349
</t>
  </si>
  <si>
    <t xml:space="preserve"> 0.3824675782532349
</t>
  </si>
  <si>
    <t xml:space="preserve">date is: 2022-07-21 00:00:00
</t>
  </si>
  <si>
    <t xml:space="preserve"> 2022-07-21 00</t>
  </si>
  <si>
    <t>current price of gold is: 1718.81</t>
  </si>
  <si>
    <t xml:space="preserve"> predicted price of gold is: 1725.4491279089912
</t>
  </si>
  <si>
    <t xml:space="preserve"> 1725.4491279089912
</t>
  </si>
  <si>
    <t>current price of tb is: 91.26953125</t>
  </si>
  <si>
    <t xml:space="preserve"> current price of tb option is: 4.285707895089945</t>
  </si>
  <si>
    <t xml:space="preserve"> predicted price of tb is: 91.49112844128152
</t>
  </si>
  <si>
    <t xml:space="preserve"> 91.49112844128152
</t>
  </si>
  <si>
    <t>current price of reit is: 63.3</t>
  </si>
  <si>
    <t xml:space="preserve"> current price of reit option is: 5.550938174848113</t>
  </si>
  <si>
    <t xml:space="preserve"> predicted price of reit is: 63.85578536285169
</t>
  </si>
  <si>
    <t xml:space="preserve"> 63.85578536285169
</t>
  </si>
  <si>
    <t>value_ratio_gold_to_total is: 0.38480656546925507</t>
  </si>
  <si>
    <t xml:space="preserve"> risk_ratio_to_gold is: 0.5684391480053639</t>
  </si>
  <si>
    <t xml:space="preserve"> risk_ratio_to_gold_before is: 0.5701800592161063
</t>
  </si>
  <si>
    <t xml:space="preserve"> 0.5701800592161063
</t>
  </si>
  <si>
    <t>value_ratio_tb_to_total is: 0.26124524389111314</t>
  </si>
  <si>
    <t xml:space="preserve"> risk_ratio_tb_to_gold is: 0.3741276528725299</t>
  </si>
  <si>
    <t xml:space="preserve"> risk_ratio_tb_to_gold_before is: 0.3650962970496636
</t>
  </si>
  <si>
    <t xml:space="preserve"> 0.3650962970496636
</t>
  </si>
  <si>
    <t>value_ratio_reit_to_total is: 0.3539481906396318</t>
  </si>
  <si>
    <t xml:space="preserve"> risk_ratio_reit_to_gold is: 0.38507560311180955</t>
  </si>
  <si>
    <t xml:space="preserve"> risk_ratio_reit_to_gold_before is: 0.38873564399509664
</t>
  </si>
  <si>
    <t xml:space="preserve"> 0.38873564399509664
</t>
  </si>
  <si>
    <t>delta_gold is: 1.0131028303999812</t>
  </si>
  <si>
    <t xml:space="preserve"> delta_tb is: 1.00563712502169</t>
  </si>
  <si>
    <t xml:space="preserve"> delta_reit is: 0.9876567712955207
</t>
  </si>
  <si>
    <t xml:space="preserve"> 0.9876567712955207
</t>
  </si>
  <si>
    <t>delta_gold_risk is: 0.9988912665139744</t>
  </si>
  <si>
    <t xml:space="preserve"> delta_tb_risk is: 1.0066159111576125</t>
  </si>
  <si>
    <t xml:space="preserve"> delta_reit_risk is: 0.9973644797704205
</t>
  </si>
  <si>
    <t xml:space="preserve"> 0.9973644797704205
</t>
  </si>
  <si>
    <t xml:space="preserve">collateral_ratio_tranche_gold is: 0.7305203762038811
</t>
  </si>
  <si>
    <t xml:space="preserve"> 0.7305203762038811
</t>
  </si>
  <si>
    <t xml:space="preserve">collateral_ratio_tranche_tb is: 0.3348657512657505
</t>
  </si>
  <si>
    <t xml:space="preserve"> 0.3348657512657505
</t>
  </si>
  <si>
    <t xml:space="preserve">collateral_ratio_tranche_reit is: 0.3738464368073759
</t>
  </si>
  <si>
    <t xml:space="preserve"> 0.3738464368073759
</t>
  </si>
  <si>
    <t>Total plot size is: 149168715.55679595</t>
  </si>
  <si>
    <t xml:space="preserve"> plot size of gold is: 75123081.47666606</t>
  </si>
  <si>
    <t xml:space="preserve"> plot size of TB is: 35156926.03242408</t>
  </si>
  <si>
    <t xml:space="preserve"> plot size of REIT is: 38888708.04770579
</t>
  </si>
  <si>
    <t xml:space="preserve"> 38888708.04770579
</t>
  </si>
  <si>
    <t xml:space="preserve">collateral ratio is: 1.448943808857448
</t>
  </si>
  <si>
    <t xml:space="preserve"> 1.448943808857448
</t>
  </si>
  <si>
    <t>S_gtbcps_0 is: 0.9999427351914679</t>
  </si>
  <si>
    <t xml:space="preserve">stdev_gtbcps is: 0.009027417734013955
</t>
  </si>
  <si>
    <t xml:space="preserve"> 0.009027417734013955
</t>
  </si>
  <si>
    <t>predicted price of GTBCPS is: 0.9999231633332588</t>
  </si>
  <si>
    <t xml:space="preserve"> actual price is: 0.9999427351914679
</t>
  </si>
  <si>
    <t xml:space="preserve"> 0.9999427351914679
</t>
  </si>
  <si>
    <t>predicted amount of GTBCPS is: 102957876.73233303</t>
  </si>
  <si>
    <t xml:space="preserve"> actual amount is: 102955861.53996854
</t>
  </si>
  <si>
    <t>plot sizes of gold is: 75123081.47666606</t>
  </si>
  <si>
    <t xml:space="preserve"> plot sizes of tb is: 35156926.03242408 </t>
  </si>
  <si>
    <t xml:space="preserve"> plot sizes of reit is: 38888708.04770579</t>
  </si>
  <si>
    <t xml:space="preserve"> plot sizes of total is: 149168715.55679592.
</t>
  </si>
  <si>
    <t xml:space="preserve"> 149168715.55679592.
</t>
  </si>
  <si>
    <t>predicted stdevs of gold is: 0.010061810845339622</t>
  </si>
  <si>
    <t xml:space="preserve"> predicted stdevs of tb is: 0.003241159131992647</t>
  </si>
  <si>
    <t xml:space="preserve"> predicted stdevs of reit is: 0.012260239650866945</t>
  </si>
  <si>
    <t xml:space="preserve"> predicted stdevs of GTBCPS is: 0.009027417734013955.
</t>
  </si>
  <si>
    <t xml:space="preserve"> 0.009027417734013955.
</t>
  </si>
  <si>
    <t>total_value_of_collaterals is: 149168028.97437727</t>
  </si>
  <si>
    <t xml:space="preserve"> createdtionValue_gold is: 1470.3725685632596</t>
  </si>
  <si>
    <t xml:space="preserve"> createdValue_tb is: 688.1241585444956</t>
  </si>
  <si>
    <t xml:space="preserve"> createdValue_reit is: 761.165979204885
</t>
  </si>
  <si>
    <t xml:space="preserve"> 761.165979204885
</t>
  </si>
  <si>
    <t>plotValue_gold_after_creation is: 75121103.69612509</t>
  </si>
  <si>
    <t xml:space="preserve"> plotValue_tb_after_creation  is: 35156155.23237089</t>
  </si>
  <si>
    <t xml:space="preserve"> plotValue_reit_after_creation  is: 38887850.383175</t>
  </si>
  <si>
    <t xml:space="preserve">total_value_after_creation is: 149165109.31167096
</t>
  </si>
  <si>
    <t xml:space="preserve"> 149165109.31167096
</t>
  </si>
  <si>
    <t>total_amount_gtncps_before_creation is: 102955861.53996854</t>
  </si>
  <si>
    <t>creation_amount_gtbcps is: 2015.192364498973</t>
  </si>
  <si>
    <t xml:space="preserve">total_amount_gtbcps_new is: 102957876.73233303
</t>
  </si>
  <si>
    <t xml:space="preserve"> 102957876.73233303
</t>
  </si>
  <si>
    <t>payout of tranche of gold is: -507.4079724160584</t>
  </si>
  <si>
    <t xml:space="preserve"> payout of tranche of Treausry Bill Option is: -82.67589463826047</t>
  </si>
  <si>
    <t xml:space="preserve"> payout of tranche of Collar of REIT is: -96.4985515882544
</t>
  </si>
  <si>
    <t xml:space="preserve"> -96.4985515882544
</t>
  </si>
  <si>
    <t>Collateral size of tranche of gold is: 75121103.69612509</t>
  </si>
  <si>
    <t xml:space="preserve"> collateral size of tranche of Treausry Bill Option is: 35156155.23237089</t>
  </si>
  <si>
    <t xml:space="preserve"> collateral size of tranche of Collar of REIT is: 38887850.383175
</t>
  </si>
  <si>
    <t xml:space="preserve"> 38887850.383175
</t>
  </si>
  <si>
    <t>Collateral ratio of tranche of gold is: 0.7296998448768218</t>
  </si>
  <si>
    <t xml:space="preserve"> collateral ratio of tranche of Treausry Bill Option is: 0.34149446370354336</t>
  </si>
  <si>
    <t xml:space="preserve"> collateral ratio of tranche of Collar of REIT is: 0.37774283118872193
</t>
  </si>
  <si>
    <t xml:space="preserve"> 0.37774283118872193
</t>
  </si>
  <si>
    <t xml:space="preserve">date is: 2022-07-22 00:00:00
</t>
  </si>
  <si>
    <t xml:space="preserve"> 2022-07-22 00</t>
  </si>
  <si>
    <t>current price of gold is: 1727.64</t>
  </si>
  <si>
    <t xml:space="preserve"> predicted price of gold is: 1712.076977991493
</t>
  </si>
  <si>
    <t xml:space="preserve"> 1712.076977991493
</t>
  </si>
  <si>
    <t>current price of tb is: 91.72265625</t>
  </si>
  <si>
    <t xml:space="preserve"> current price of tb option is: 4.295018083522432</t>
  </si>
  <si>
    <t xml:space="preserve"> predicted price of tb is: 91.9346272706078
</t>
  </si>
  <si>
    <t xml:space="preserve"> 91.9346272706078
</t>
  </si>
  <si>
    <t>current price of reit is: 63.85</t>
  </si>
  <si>
    <t xml:space="preserve"> current price of reit option is: 5.612100440416491</t>
  </si>
  <si>
    <t xml:space="preserve"> predicted price of reit is: 64.37803249367161
</t>
  </si>
  <si>
    <t xml:space="preserve"> 64.37803249367161
</t>
  </si>
  <si>
    <t>value_ratio_gold_to_total is: 3.1658540862443876</t>
  </si>
  <si>
    <t xml:space="preserve"> risk_ratio_to_gold is: 0.5678216564831425</t>
  </si>
  <si>
    <t xml:space="preserve"> risk_ratio_to_gold_before is: 0.5684391480053639
</t>
  </si>
  <si>
    <t xml:space="preserve"> 0.5684391480053639
</t>
  </si>
  <si>
    <t>value_ratio_tb_to_total is: -0.9168187170955792</t>
  </si>
  <si>
    <t xml:space="preserve"> risk_ratio_tb_to_gold is: 0.37670049872702943</t>
  </si>
  <si>
    <t xml:space="preserve"> risk_ratio_tb_to_gold_before is: 0.3741276528725299
</t>
  </si>
  <si>
    <t xml:space="preserve"> 0.3741276528725299
</t>
  </si>
  <si>
    <t>value_ratio_reit_to_total is: -1.2490353691488083</t>
  </si>
  <si>
    <t xml:space="preserve"> risk_ratio_reit_to_gold is: 0.3844158457843706</t>
  </si>
  <si>
    <t xml:space="preserve"> risk_ratio_reit_to_gold_before is: 0.38507560311180955
</t>
  </si>
  <si>
    <t xml:space="preserve"> 0.38507560311180955
</t>
  </si>
  <si>
    <t>delta_gold is: 1.0051372752078473</t>
  </si>
  <si>
    <t xml:space="preserve"> delta_tb is: 1.0048394540432297</t>
  </si>
  <si>
    <t xml:space="preserve"> delta_reit is: 1.00887660040327
</t>
  </si>
  <si>
    <t xml:space="preserve"> 1.00887660040327
</t>
  </si>
  <si>
    <t>delta_gold_risk is: 0.9996063018938244</t>
  </si>
  <si>
    <t xml:space="preserve"> delta_tb_risk is: 1.0018723485035188</t>
  </si>
  <si>
    <t xml:space="preserve"> delta_reit_risk is: 0.9995236669204508
</t>
  </si>
  <si>
    <t xml:space="preserve"> 0.9995236669204508
</t>
  </si>
  <si>
    <t xml:space="preserve">collateral_ratio_tranche_gold is: 0.7337373848179106
</t>
  </si>
  <si>
    <t xml:space="preserve"> 0.7337373848179106
</t>
  </si>
  <si>
    <t xml:space="preserve">collateral_ratio_tranche_tb is: 0.34075526662357475
</t>
  </si>
  <si>
    <t xml:space="preserve"> 0.34075526662357475
</t>
  </si>
  <si>
    <t xml:space="preserve">collateral_ratio_tranche_reit is: 0.3793288020007697
</t>
  </si>
  <si>
    <t xml:space="preserve"> 0.3793288020007697
</t>
  </si>
  <si>
    <t>Total plot size is: 150066355.60125253</t>
  </si>
  <si>
    <t xml:space="preserve"> plot size of gold is: 75507021.47972932</t>
  </si>
  <si>
    <t xml:space="preserve"> plot size of TB is: 35326291.8299546</t>
  </si>
  <si>
    <t xml:space="preserve"> plot size of REIT is: 39233042.2915686
</t>
  </si>
  <si>
    <t xml:space="preserve"> 39233042.2915686
</t>
  </si>
  <si>
    <t xml:space="preserve">collateral ratio is: 1.4576629962563816
</t>
  </si>
  <si>
    <t xml:space="preserve"> 1.4576629962563816
</t>
  </si>
  <si>
    <t>S_gtbcps_0 is: 0.9999231633332588</t>
  </si>
  <si>
    <t xml:space="preserve">stdev_gtbcps is: 0.009097189734358366
</t>
  </si>
  <si>
    <t xml:space="preserve"> 0.009097189734358366
</t>
  </si>
  <si>
    <t>predicted price of GTBCPS is: 0.9999145618409676</t>
  </si>
  <si>
    <t xml:space="preserve"> actual price is: 0.9999231633332588
</t>
  </si>
  <si>
    <t xml:space="preserve"> 0.9999231633332588
</t>
  </si>
  <si>
    <t>predicted amount of GTBCPS is: 102958762.39938582</t>
  </si>
  <si>
    <t xml:space="preserve"> actual amount is: 102957876.73233303
</t>
  </si>
  <si>
    <t>plot sizes of gold is: 75507021.47972932</t>
  </si>
  <si>
    <t xml:space="preserve"> plot sizes of tb is: 35326291.8299546 </t>
  </si>
  <si>
    <t xml:space="preserve"> plot sizes of reit is: 39233042.2915686</t>
  </si>
  <si>
    <t xml:space="preserve"> plot sizes of total is: 150066355.60125253.
</t>
  </si>
  <si>
    <t xml:space="preserve"> 150066355.60125253.
</t>
  </si>
  <si>
    <t>predicted stdevs of gold is: 0.010162037606269056</t>
  </si>
  <si>
    <t xml:space="preserve"> predicted stdevs of tb is: 0.0032823260587360715</t>
  </si>
  <si>
    <t xml:space="preserve"> predicted stdevs of reit is: 0.012283638521336519</t>
  </si>
  <si>
    <t xml:space="preserve"> predicted stdevs of GTBCPS is: 0.009097189734358366.
</t>
  </si>
  <si>
    <t xml:space="preserve"> 0.009097189734358366.
</t>
  </si>
  <si>
    <t>total_value_of_collaterals is: 150066053.5152697</t>
  </si>
  <si>
    <t xml:space="preserve"> createdtionValue_gold is: 649.5211845599615</t>
  </si>
  <si>
    <t xml:space="preserve"> createdValue_tb is: 303.88188301938726</t>
  </si>
  <si>
    <t xml:space="preserve"> createdValue_reit is: 337.4881226741828
</t>
  </si>
  <si>
    <t xml:space="preserve"> 337.4881226741828
</t>
  </si>
  <si>
    <t>plotValue_gold_after_creation is: 75506164.35856092</t>
  </si>
  <si>
    <t xml:space="preserve"> plotValue_tb_after_creation  is: 35325953.87230614</t>
  </si>
  <si>
    <t xml:space="preserve"> plotValue_reit_after_creation  is: 39232644.39321236</t>
  </si>
  <si>
    <t xml:space="preserve">total_value_after_creation is: 150064762.6240794
</t>
  </si>
  <si>
    <t xml:space="preserve"> 150064762.6240794
</t>
  </si>
  <si>
    <t>total_amount_gtncps_before_creation is: 102957876.73233303</t>
  </si>
  <si>
    <t>creation_amount_gtbcps is: 885.6670527905226</t>
  </si>
  <si>
    <t xml:space="preserve">total_amount_gtbcps_new is: 102958762.39938582
</t>
  </si>
  <si>
    <t xml:space="preserve"> 102958762.39938582
</t>
  </si>
  <si>
    <t>payout of tranche of gold is: -207.59998383550695</t>
  </si>
  <si>
    <t xml:space="preserve"> payout of tranche of Treausry Bill Option is: -34.075765446177684</t>
  </si>
  <si>
    <t xml:space="preserve"> payout of tranche of Collar of REIT is: -60.41023356787824
</t>
  </si>
  <si>
    <t xml:space="preserve"> -60.41023356787824
</t>
  </si>
  <si>
    <t>Collateral size of tranche of gold is: 75506164.35856092</t>
  </si>
  <si>
    <t xml:space="preserve"> collateral size of tranche of Treausry Bill Option is: 35325953.87230614</t>
  </si>
  <si>
    <t xml:space="preserve"> collateral size of tranche of Collar of REIT is: 39232644.39321236
</t>
  </si>
  <si>
    <t xml:space="preserve"> 39232644.39321236
</t>
  </si>
  <si>
    <t>Collateral ratio of tranche of gold is: 0.733432141513298</t>
  </si>
  <si>
    <t xml:space="preserve"> collateral ratio of tranche of Treausry Bill Option is: 0.34314006306198863</t>
  </si>
  <si>
    <t xml:space="preserve"> collateral ratio of tranche of Collar of REIT is: 0.38108785738208356
</t>
  </si>
  <si>
    <t xml:space="preserve"> 0.38108785738208356
</t>
  </si>
  <si>
    <t xml:space="preserve">date is: 2022-07-25 00:00:00
</t>
  </si>
  <si>
    <t xml:space="preserve"> 2022-07-25 00</t>
  </si>
  <si>
    <t>current price of gold is: 1719.78</t>
  </si>
  <si>
    <t xml:space="preserve"> predicted price of gold is: 1722.347996067899
</t>
  </si>
  <si>
    <t xml:space="preserve"> 1722.347996067899
</t>
  </si>
  <si>
    <t>current price of tb is: 91.59375</t>
  </si>
  <si>
    <t xml:space="preserve"> current price of tb option is: 4.292346446696904</t>
  </si>
  <si>
    <t xml:space="preserve"> predicted price of tb is: 91.80848335009163
</t>
  </si>
  <si>
    <t xml:space="preserve"> 91.80848335009163
</t>
  </si>
  <si>
    <t xml:space="preserve"> current price of reit option is: 5.5694601221019155</t>
  </si>
  <si>
    <t xml:space="preserve"> predicted price of reit is: 64.92644820337969
</t>
  </si>
  <si>
    <t xml:space="preserve"> 64.92644820337969
</t>
  </si>
  <si>
    <t>value_ratio_gold_to_total is: 0.19497374158384936</t>
  </si>
  <si>
    <t xml:space="preserve"> risk_ratio_to_gold is: 0.5669124193071287</t>
  </si>
  <si>
    <t xml:space="preserve"> risk_ratio_to_gold_before is: 0.5678216564831425
</t>
  </si>
  <si>
    <t xml:space="preserve"> 0.5678216564831425
</t>
  </si>
  <si>
    <t>value_ratio_tb_to_total is: 0.3421976468662554</t>
  </si>
  <si>
    <t xml:space="preserve"> risk_ratio_tb_to_gold is: 0.37600964619880667</t>
  </si>
  <si>
    <t xml:space="preserve"> risk_ratio_tb_to_gold_before is: 0.37670049872702943
</t>
  </si>
  <si>
    <t xml:space="preserve"> 0.37670049872702943
</t>
  </si>
  <si>
    <t>value_ratio_reit_to_total is: 0.4628286115498952</t>
  </si>
  <si>
    <t xml:space="preserve"> risk_ratio_reit_to_gold is: 0.387931248273366</t>
  </si>
  <si>
    <t xml:space="preserve"> risk_ratio_reit_to_gold_before is: 0.3844158457843706
</t>
  </si>
  <si>
    <t xml:space="preserve"> 0.3844158457843706
</t>
  </si>
  <si>
    <t>delta_gold is: 0.9954504410641105</t>
  </si>
  <si>
    <t xml:space="preserve"> delta_tb is: 0.9986296493042679</t>
  </si>
  <si>
    <t xml:space="preserve"> delta_reit is: 1.0073041223698762
</t>
  </si>
  <si>
    <t xml:space="preserve"> 1.0073041223698762
</t>
  </si>
  <si>
    <t>delta_gold_risk is: 0.9994200633903391</t>
  </si>
  <si>
    <t xml:space="preserve"> delta_tb_risk is: 0.9994981824086927</t>
  </si>
  <si>
    <t xml:space="preserve"> delta_reit_risk is: 1.0025392677349798
</t>
  </si>
  <si>
    <t xml:space="preserve"> 1.0025392677349798
</t>
  </si>
  <si>
    <t xml:space="preserve">collateral_ratio_tranche_gold is: 0.7305190034741754
</t>
  </si>
  <si>
    <t xml:space="preserve"> 0.7305190034741754
</t>
  </si>
  <si>
    <t xml:space="preserve">collateral_ratio_tranche_tb is: 0.34440879302865374
</t>
  </si>
  <si>
    <t xml:space="preserve"> 0.34440879302865374
</t>
  </si>
  <si>
    <t xml:space="preserve">collateral_ratio_tranche_reit is: 0.38464907004395094
</t>
  </si>
  <si>
    <t xml:space="preserve"> 0.38464907004395094
</t>
  </si>
  <si>
    <t>Total plot size is: 149959393.96938273</t>
  </si>
  <si>
    <t xml:space="preserve"> plot size of gold is: 75162644.6137887</t>
  </si>
  <si>
    <t xml:space="preserve"> plot size of TB is: 35277544.92683982</t>
  </si>
  <si>
    <t xml:space="preserve"> plot size of REIT is: 39519204.428754225
</t>
  </si>
  <si>
    <t xml:space="preserve"> 39519204.428754225
</t>
  </si>
  <si>
    <t xml:space="preserve">collateral ratio is: 1.4566240291130061
</t>
  </si>
  <si>
    <t xml:space="preserve"> 1.4566240291130061
</t>
  </si>
  <si>
    <t>S_gtbcps_0 is: 0.9999145618409676</t>
  </si>
  <si>
    <t xml:space="preserve">stdev_gtbcps is: 0.009083817427568662
</t>
  </si>
  <si>
    <t xml:space="preserve"> 0.009083817427568662
</t>
  </si>
  <si>
    <t>predicted price of GTBCPS is: 0.9999129588102332</t>
  </si>
  <si>
    <t xml:space="preserve"> actual price is: 0.9999145618409676
</t>
  </si>
  <si>
    <t xml:space="preserve"> 0.9999145618409676
</t>
  </si>
  <si>
    <t>predicted amount of GTBCPS is: 102958927.45981342</t>
  </si>
  <si>
    <t xml:space="preserve"> actual amount is: 102958762.39938582
</t>
  </si>
  <si>
    <t>plot sizes of gold is: 75162644.6137887</t>
  </si>
  <si>
    <t xml:space="preserve"> plot sizes of tb is: 35277544.92683982 </t>
  </si>
  <si>
    <t xml:space="preserve"> plot sizes of reit is: 39519204.428754225</t>
  </si>
  <si>
    <t xml:space="preserve"> plot sizes of total is: 149959393.96938276.
</t>
  </si>
  <si>
    <t xml:space="preserve"> 149959393.96938276.
</t>
  </si>
  <si>
    <t>predicted stdevs of gold is: 0.010179991670270632</t>
  </si>
  <si>
    <t xml:space="preserve"> predicted stdevs of tb is: 0.0032796818644091393</t>
  </si>
  <si>
    <t xml:space="preserve"> predicted stdevs of reit is: 0.012180142361751786</t>
  </si>
  <si>
    <t xml:space="preserve"> predicted stdevs of GTBCPS is: 0.009083817427568662.
</t>
  </si>
  <si>
    <t xml:space="preserve"> 0.009083817427568662.
</t>
  </si>
  <si>
    <t>total_value_of_collaterals is: 149959337.6283767</t>
  </si>
  <si>
    <t xml:space="preserve"> createdtionValue_gold is: 120.49826629385117</t>
  </si>
  <si>
    <t xml:space="preserve"> createdValue_tb is: 56.55580712075533</t>
  </si>
  <si>
    <t xml:space="preserve"> createdValue_reit is: 63.35589394732949
</t>
  </si>
  <si>
    <t xml:space="preserve"> 63.35589394732949
</t>
  </si>
  <si>
    <t>plotValue_gold_after_creation is: 75162487.76243705</t>
  </si>
  <si>
    <t xml:space="preserve"> plotValue_tb_after_creation  is: 35277479.845578805</t>
  </si>
  <si>
    <t xml:space="preserve"> plotValue_reit_after_creation  is: 39519129.61039348</t>
  </si>
  <si>
    <t xml:space="preserve">total_value_after_creation is: 149959097.21840933
</t>
  </si>
  <si>
    <t xml:space="preserve"> 149959097.21840933
</t>
  </si>
  <si>
    <t>total_amount_gtncps_before_creation is: 102958762.39938582</t>
  </si>
  <si>
    <t>creation_amount_gtbcps is: 165.06042759120464</t>
  </si>
  <si>
    <t xml:space="preserve">total_amount_gtbcps_new is: 102958927.45981342
</t>
  </si>
  <si>
    <t xml:space="preserve"> 102958927.45981342
</t>
  </si>
  <si>
    <t>payout of tranche of gold is: -36.35308535899068</t>
  </si>
  <si>
    <t xml:space="preserve"> payout of tranche of Treausry Bill Option is: -8.525453892741421</t>
  </si>
  <si>
    <t xml:space="preserve"> payout of tranche of Collar of REIT is: -11.462466796528744
</t>
  </si>
  <si>
    <t xml:space="preserve"> -11.462466796528744
</t>
  </si>
  <si>
    <t>Collateral size of tranche of gold is: 75162487.76243705</t>
  </si>
  <si>
    <t xml:space="preserve"> collateral size of tranche of Treausry Bill Option is: 35277479.845578805</t>
  </si>
  <si>
    <t xml:space="preserve"> collateral size of tranche of Collar of REIT is: 39519129.61039348
</t>
  </si>
  <si>
    <t xml:space="preserve"> 39519129.61039348
</t>
  </si>
  <si>
    <t>Collateral ratio of tranche of gold is: 0.7300887152538207</t>
  </si>
  <si>
    <t xml:space="preserve"> collateral ratio of tranche of Treausry Bill Option is: 0.3426668103277279</t>
  </si>
  <si>
    <t xml:space="preserve"> collateral ratio of tranche of Collar of REIT is: 0.3838679562655537
</t>
  </si>
  <si>
    <t xml:space="preserve"> 0.3838679562655537
</t>
  </si>
  <si>
    <t xml:space="preserve">date is: 2022-07-26 00:00:00
</t>
  </si>
  <si>
    <t xml:space="preserve"> 2022-07-26 00</t>
  </si>
  <si>
    <t>current price of gold is: 1717.32</t>
  </si>
  <si>
    <t xml:space="preserve"> predicted price of gold is: 1719.6903557205048
</t>
  </si>
  <si>
    <t xml:space="preserve"> 1719.6903557205048
</t>
  </si>
  <si>
    <t>current price of tb is: 91.4921875</t>
  </si>
  <si>
    <t xml:space="preserve"> current price of tb option is: 4.292576295934381</t>
  </si>
  <si>
    <t xml:space="preserve"> predicted price of tb is: 91.70668274589927
</t>
  </si>
  <si>
    <t xml:space="preserve"> 91.70668274589927
</t>
  </si>
  <si>
    <t xml:space="preserve"> current price of reit option is: 5.546856149238565</t>
  </si>
  <si>
    <t xml:space="preserve"> predicted price of reit is: 65.36828140236555
</t>
  </si>
  <si>
    <t xml:space="preserve"> 65.36828140236555
</t>
  </si>
  <si>
    <t>value_ratio_gold_to_total is: 0.18243939933716627</t>
  </si>
  <si>
    <t xml:space="preserve"> risk_ratio_to_gold is: 0.5653563859634579</t>
  </si>
  <si>
    <t xml:space="preserve"> risk_ratio_to_gold_before is: 0.5669124193071287
</t>
  </si>
  <si>
    <t xml:space="preserve"> 0.5669124193071287
</t>
  </si>
  <si>
    <t>value_ratio_tb_to_total is: 0.34689621382507874</t>
  </si>
  <si>
    <t xml:space="preserve"> risk_ratio_tb_to_gold is: 0.3773213883989498</t>
  </si>
  <si>
    <t xml:space="preserve"> risk_ratio_tb_to_gold_before is: 0.37600964619880667
</t>
  </si>
  <si>
    <t xml:space="preserve"> 0.37600964619880667
</t>
  </si>
  <si>
    <t>value_ratio_reit_to_total is: 0.470664386837755</t>
  </si>
  <si>
    <t xml:space="preserve"> risk_ratio_reit_to_gold is: 0.39147440984049114</t>
  </si>
  <si>
    <t xml:space="preserve"> risk_ratio_reit_to_gold_before is: 0.387931248273366
</t>
  </si>
  <si>
    <t xml:space="preserve"> 0.387931248273366
</t>
  </si>
  <si>
    <t>delta_gold is: 0.998569584481736</t>
  </si>
  <si>
    <t xml:space="preserve"> delta_tb is: 0.9989431976635021</t>
  </si>
  <si>
    <t xml:space="preserve"> delta_reit is: 1.0053937250119989
</t>
  </si>
  <si>
    <t xml:space="preserve"> 1.0053937250119989
</t>
  </si>
  <si>
    <t>delta_gold_risk is: 0.9990069430017291</t>
  </si>
  <si>
    <t xml:space="preserve"> delta_tb_risk is: 1.0009532943346484</t>
  </si>
  <si>
    <t xml:space="preserve"> delta_reit_risk is: 1.002552836512279
</t>
  </si>
  <si>
    <t xml:space="preserve"> 1.002552836512279
</t>
  </si>
  <si>
    <t xml:space="preserve">collateral_ratio_tranche_gold is: 0.7297690873251023
</t>
  </si>
  <si>
    <t xml:space="preserve"> 0.7297690873251023
</t>
  </si>
  <si>
    <t xml:space="preserve">collateral_ratio_tranche_tb is: 0.34246854523209436
</t>
  </si>
  <si>
    <t xml:space="preserve"> 0.34246854523209436
</t>
  </si>
  <si>
    <t xml:space="preserve">collateral_ratio_tranche_reit is: 0.38550714087871796
</t>
  </si>
  <si>
    <t xml:space="preserve"> 0.38550714087871796
</t>
  </si>
  <si>
    <t>Total plot size is: 150027457.62422806</t>
  </si>
  <si>
    <t xml:space="preserve"> plot size of gold is: 75054974.17355034</t>
  </si>
  <si>
    <t xml:space="preserve"> plot size of TB is: 35240198.52245224</t>
  </si>
  <si>
    <t xml:space="preserve"> plot size of REIT is: 39732284.92822548
</t>
  </si>
  <si>
    <t xml:space="preserve"> 39732284.92822548
</t>
  </si>
  <si>
    <t xml:space="preserve">collateral ratio is: 1.4572851624540568
</t>
  </si>
  <si>
    <t xml:space="preserve"> 1.4572851624540568
</t>
  </si>
  <si>
    <t>S_gtbcps_0 is: 0.9999129588102332</t>
  </si>
  <si>
    <t xml:space="preserve">stdev_gtbcps is: 0.00908445012918526
</t>
  </si>
  <si>
    <t xml:space="preserve"> 0.00908445012918526
</t>
  </si>
  <si>
    <t>predicted price of GTBCPS is: 0.999927129798479</t>
  </si>
  <si>
    <t xml:space="preserve"> actual price is: 0.9999129588102332
</t>
  </si>
  <si>
    <t xml:space="preserve"> 0.9999129588102332
</t>
  </si>
  <si>
    <t>predicted amount of GTBCPS is: 102957468.32373504</t>
  </si>
  <si>
    <t xml:space="preserve"> actual amount is: 102958927.45981342
</t>
  </si>
  <si>
    <t>plot sizes of gold is: 75054974.17355034</t>
  </si>
  <si>
    <t xml:space="preserve"> plot sizes of tb is: 35240198.52245224 </t>
  </si>
  <si>
    <t xml:space="preserve"> plot sizes of reit is: 39732284.92822548</t>
  </si>
  <si>
    <t xml:space="preserve"> plot sizes of total is: 150027457.62422806.
</t>
  </si>
  <si>
    <t xml:space="preserve"> 150027457.62422806.
</t>
  </si>
  <si>
    <t>predicted stdevs of gold is: 0.010165753976825335</t>
  </si>
  <si>
    <t xml:space="preserve"> predicted stdevs of tb is: 0.003280181735971573</t>
  </si>
  <si>
    <t xml:space="preserve"> predicted stdevs of reit is: 0.012189892927628648</t>
  </si>
  <si>
    <t xml:space="preserve"> predicted stdevs of GTBCPS is: 0.00908445012918526.
</t>
  </si>
  <si>
    <t xml:space="preserve"> 0.00908445012918526.
</t>
  </si>
  <si>
    <t>total_value_of_collaterals is: 150027955.34596637</t>
  </si>
  <si>
    <t xml:space="preserve"> createdtionValue_gold is: -1063.700914337018</t>
  </si>
  <si>
    <t xml:space="preserve"> createdValue_tb is: -499.432765815582</t>
  </si>
  <si>
    <t xml:space="preserve"> createdValue_reit is: -563.0957811375473
</t>
  </si>
  <si>
    <t xml:space="preserve"> -563.0957811375473
</t>
  </si>
  <si>
    <t>plotValue_gold_after_creation is: 75056402.82728751</t>
  </si>
  <si>
    <t xml:space="preserve"> plotValue_tb_after_creation  is: 35240758.32873064</t>
  </si>
  <si>
    <t xml:space="preserve"> plotValue_reit_after_creation  is: 39732920.41940951</t>
  </si>
  <si>
    <t xml:space="preserve">total_value_after_creation is: 150030081.57542765
</t>
  </si>
  <si>
    <t xml:space="preserve"> 150030081.57542765
</t>
  </si>
  <si>
    <t>total_amount_gtncps_before_creation is: 102958927.45981342</t>
  </si>
  <si>
    <t>creation_amount_gtbcps is: -1459.1360783725977</t>
  </si>
  <si>
    <t xml:space="preserve">total_amount_gtbcps_new is: 102957468.32373504
</t>
  </si>
  <si>
    <t xml:space="preserve"> 102957468.32373504
</t>
  </si>
  <si>
    <t>payout of tranche of gold is: 364.95282283368886</t>
  </si>
  <si>
    <t xml:space="preserve"> payout of tranche of Treausry Bill Option is: 60.37351258259475</t>
  </si>
  <si>
    <t xml:space="preserve"> payout of tranche of Collar of REIT is: 72.39540289117423
</t>
  </si>
  <si>
    <t xml:space="preserve"> 72.39540289117423
</t>
  </si>
  <si>
    <t>Collateral size of tranche of gold is: 75056402.82728751</t>
  </si>
  <si>
    <t xml:space="preserve"> collateral size of tranche of Treausry Bill Option is: 35240758.32873064</t>
  </si>
  <si>
    <t xml:space="preserve"> collateral size of tranche of Collar of REIT is: 39732920.41940951
</t>
  </si>
  <si>
    <t xml:space="preserve"> 39732920.41940951
</t>
  </si>
  <si>
    <t>Collateral ratio of tranche of gold is: 0.7290467611987158</t>
  </si>
  <si>
    <t xml:space="preserve"> collateral ratio of tranche of Treausry Bill Option is: 0.34230471690560554</t>
  </si>
  <si>
    <t xml:space="preserve"> collateral ratio of tranche of Collar of REIT is: 0.38593851894812
</t>
  </si>
  <si>
    <t xml:space="preserve"> 0.38593851894812
</t>
  </si>
  <si>
    <t xml:space="preserve">date is: 2022-07-27 00:00:00
</t>
  </si>
  <si>
    <t xml:space="preserve"> 2022-07-27 00</t>
  </si>
  <si>
    <t>current price of gold is: 1734.19</t>
  </si>
  <si>
    <t xml:space="preserve"> predicted price of gold is: 1734.606110561883
</t>
  </si>
  <si>
    <t xml:space="preserve"> 1734.606110561883
</t>
  </si>
  <si>
    <t>current price of tb is: 91.6640625</t>
  </si>
  <si>
    <t xml:space="preserve"> current price of tb option is: 4.294408438338895</t>
  </si>
  <si>
    <t xml:space="preserve"> predicted price of tb is: 91.87666374615021
</t>
  </si>
  <si>
    <t xml:space="preserve"> 91.87666374615021
</t>
  </si>
  <si>
    <t xml:space="preserve"> current price of reit option is: 5.589066542259175</t>
  </si>
  <si>
    <t xml:space="preserve"> predicted price of reit is: 65.27535246428947
</t>
  </si>
  <si>
    <t xml:space="preserve"> 65.27535246428947
</t>
  </si>
  <si>
    <t>value_ratio_gold_to_total is: 0.037699577083984304</t>
  </si>
  <si>
    <t xml:space="preserve"> risk_ratio_to_gold is: 0.5664734473531838</t>
  </si>
  <si>
    <t xml:space="preserve"> risk_ratio_to_gold_before is: 0.5653563859634579
</t>
  </si>
  <si>
    <t xml:space="preserve"> 0.5653563859634579
</t>
  </si>
  <si>
    <t>value_ratio_tb_to_total is: 0.4083346460848569</t>
  </si>
  <si>
    <t xml:space="preserve"> risk_ratio_tb_to_gold is: 0.3770225033535416</t>
  </si>
  <si>
    <t xml:space="preserve"> risk_ratio_tb_to_gold_before is: 0.3773213883989498
</t>
  </si>
  <si>
    <t xml:space="preserve"> 0.3773213883989498
</t>
  </si>
  <si>
    <t>value_ratio_reit_to_total is: 0.5539657768311588</t>
  </si>
  <si>
    <t xml:space="preserve"> risk_ratio_reit_to_gold is: 0.38828530528681954</t>
  </si>
  <si>
    <t xml:space="preserve"> risk_ratio_reit_to_gold_before is: 0.39147440984049114
</t>
  </si>
  <si>
    <t xml:space="preserve"> 0.39147440984049114
</t>
  </si>
  <si>
    <t>delta_gold is: 1.0098234458342068</t>
  </si>
  <si>
    <t xml:space="preserve"> delta_tb is: 1.001813515380949</t>
  </si>
  <si>
    <t xml:space="preserve"> delta_reit is: 0.9998892685841871
</t>
  </si>
  <si>
    <t xml:space="preserve"> 0.9998892685841871
</t>
  </si>
  <si>
    <t>delta_gold_risk is: 1.0007136147395843</t>
  </si>
  <si>
    <t xml:space="preserve"> delta_tb_risk is: 0.9997829954229089</t>
  </si>
  <si>
    <t xml:space="preserve"> delta_reit_risk is: 0.9977081112443619
</t>
  </si>
  <si>
    <t xml:space="preserve"> 0.9977081112443619
</t>
  </si>
  <si>
    <t xml:space="preserve">collateral_ratio_tranche_gold is: 0.7356835179658656
</t>
  </si>
  <si>
    <t xml:space="preserve"> 0.7356835179658656
</t>
  </si>
  <si>
    <t xml:space="preserve">collateral_ratio_tranche_tb is: 0.33966326068499725
</t>
  </si>
  <si>
    <t xml:space="preserve"> 0.33966326068499725
</t>
  </si>
  <si>
    <t xml:space="preserve">collateral_ratio_tranche_reit is: 0.38301967230408807
</t>
  </si>
  <si>
    <t xml:space="preserve"> 0.38301967230408807
</t>
  </si>
  <si>
    <t>Total plot size is: 150826904.05784497</t>
  </si>
  <si>
    <t xml:space="preserve"> plot size of gold is: 75793715.33497177</t>
  </si>
  <si>
    <t xml:space="preserve"> plot size of TB is: 35304667.985996105</t>
  </si>
  <si>
    <t xml:space="preserve"> plot size of REIT is: 39728520.73687709
</t>
  </si>
  <si>
    <t xml:space="preserve"> 39728520.73687709
</t>
  </si>
  <si>
    <t xml:space="preserve">collateral ratio is: 1.4650505504992555
</t>
  </si>
  <si>
    <t xml:space="preserve"> 1.4650505504992555
</t>
  </si>
  <si>
    <t>S_gtbcps_0 is: 0.999927129798479</t>
  </si>
  <si>
    <t xml:space="preserve">stdev_gtbcps is: 0.00904916622405759
</t>
  </si>
  <si>
    <t xml:space="preserve"> 0.00904916622405759
</t>
  </si>
  <si>
    <t>predicted price of GTBCPS is: 0.9999209177276925</t>
  </si>
  <si>
    <t xml:space="preserve"> actual price is: 0.999927129798479
</t>
  </si>
  <si>
    <t xml:space="preserve"> 0.999927129798479
</t>
  </si>
  <si>
    <t>predicted amount of GTBCPS is: 102958107.95339963</t>
  </si>
  <si>
    <t xml:space="preserve"> actual amount is: 102957468.32373504
</t>
  </si>
  <si>
    <t>plot sizes of gold is: 75793715.33497177</t>
  </si>
  <si>
    <t xml:space="preserve"> plot sizes of tb is: 35304667.985996105 </t>
  </si>
  <si>
    <t xml:space="preserve"> plot sizes of reit is: 39728520.73687709</t>
  </si>
  <si>
    <t xml:space="preserve"> plot sizes of total is: 150826904.05784497.
</t>
  </si>
  <si>
    <t xml:space="preserve"> 150826904.05784497.
</t>
  </si>
  <si>
    <t>predicted stdevs of gold is: 0.010164434950301065</t>
  </si>
  <si>
    <t xml:space="preserve"> predicted stdevs of tb is: 0.003282346948634479</t>
  </si>
  <si>
    <t xml:space="preserve"> predicted stdevs of reit is: 0.012046138607795027</t>
  </si>
  <si>
    <t xml:space="preserve"> predicted stdevs of GTBCPS is: 0.00904916622405759.
</t>
  </si>
  <si>
    <t xml:space="preserve"> 0.00904916622405759.
</t>
  </si>
  <si>
    <t>total_value_of_collaterals is: 150826685.9257734</t>
  </si>
  <si>
    <t xml:space="preserve"> createdtionValue_gold is: 470.8692388706555</t>
  </si>
  <si>
    <t xml:space="preserve"> createdValue_tb is: 219.33091712747765</t>
  </si>
  <si>
    <t xml:space="preserve"> createdValue_reit is: 246.81417387702274
</t>
  </si>
  <si>
    <t xml:space="preserve"> 246.81417387702274
</t>
  </si>
  <si>
    <t>plotValue_gold_after_creation is: 75793083.76371399</t>
  </si>
  <si>
    <t xml:space="preserve"> plotValue_tb_after_creation  is: 35304422.547724664</t>
  </si>
  <si>
    <t xml:space="preserve"> plotValue_reit_after_creation  is: 39728242.600004874</t>
  </si>
  <si>
    <t xml:space="preserve">total_value_after_creation is: 150825748.91144353
</t>
  </si>
  <si>
    <t xml:space="preserve"> 150825748.91144353
</t>
  </si>
  <si>
    <t>total_amount_gtncps_before_creation is: 102957468.32373504</t>
  </si>
  <si>
    <t>creation_amount_gtbcps is: 639.6296645849943</t>
  </si>
  <si>
    <t xml:space="preserve">total_amount_gtbcps_new is: 102958107.95339963
</t>
  </si>
  <si>
    <t xml:space="preserve"> 102958107.95339963
</t>
  </si>
  <si>
    <t>payout of tranche of gold is: -160.702018912301</t>
  </si>
  <si>
    <t xml:space="preserve"> payout of tranche of Treausry Bill Option is: -26.107354314499347</t>
  </si>
  <si>
    <t xml:space="preserve"> payout of tranche of Collar of REIT is: -31.322698340099745
</t>
  </si>
  <si>
    <t xml:space="preserve"> -31.322698340099745
</t>
  </si>
  <si>
    <t>Collateral size of tranche of gold is: 75793083.76371399</t>
  </si>
  <si>
    <t xml:space="preserve"> collateral size of tranche of Treausry Bill Option is: 35304422.547724664</t>
  </si>
  <si>
    <t xml:space="preserve"> collateral size of tranche of Collar of REIT is: 39728242.600004874
</t>
  </si>
  <si>
    <t xml:space="preserve"> 39728242.600004874
</t>
  </si>
  <si>
    <t>Collateral ratio of tranche of gold is: 0.7362173853062481</t>
  </si>
  <si>
    <t xml:space="preserve"> collateral ratio of tranche of Treausry Bill Option is: 0.3429300981981732</t>
  </si>
  <si>
    <t xml:space="preserve"> collateral ratio of tranche of Collar of REIT is: 0.38590094817847614
</t>
  </si>
  <si>
    <t xml:space="preserve"> 0.38590094817847614
</t>
  </si>
  <si>
    <t xml:space="preserve">date is: 2022-07-28 00:00:00
</t>
  </si>
  <si>
    <t xml:space="preserve"> 2022-07-28 00</t>
  </si>
  <si>
    <t>current price of gold is: 1755.84</t>
  </si>
  <si>
    <t xml:space="preserve"> predicted price of gold is: 1755.1594346289307
</t>
  </si>
  <si>
    <t xml:space="preserve"> 1755.1594346289307
</t>
  </si>
  <si>
    <t>current price of tb is: 92.13671875</t>
  </si>
  <si>
    <t xml:space="preserve"> current price of tb option is: 4.300791636186254</t>
  </si>
  <si>
    <t xml:space="preserve"> predicted price of tb is: 92.34272070510053
</t>
  </si>
  <si>
    <t xml:space="preserve"> 92.34272070510053
</t>
  </si>
  <si>
    <t>current price of reit is: 65.15</t>
  </si>
  <si>
    <t xml:space="preserve"> current price of reit option is: 5.635981716024574</t>
  </si>
  <si>
    <t xml:space="preserve"> predicted price of reit is: 65.67603645187383
</t>
  </si>
  <si>
    <t xml:space="preserve"> 65.67603645187383
</t>
  </si>
  <si>
    <t>value_ratio_gold_to_total is: -0.06813662224821701</t>
  </si>
  <si>
    <t xml:space="preserve"> risk_ratio_to_gold is: 0.5656825279782958</t>
  </si>
  <si>
    <t xml:space="preserve"> risk_ratio_to_gold_before is: 0.5664734473531838
</t>
  </si>
  <si>
    <t xml:space="preserve"> 0.5664734473531838
</t>
  </si>
  <si>
    <t>value_ratio_tb_to_total is: 0.4512096934902372</t>
  </si>
  <si>
    <t xml:space="preserve"> risk_ratio_tb_to_gold is: 0.3798318408670467</t>
  </si>
  <si>
    <t xml:space="preserve"> risk_ratio_tb_to_gold_before is: 0.3770225033535416
</t>
  </si>
  <si>
    <t xml:space="preserve"> 0.3770225033535416
</t>
  </si>
  <si>
    <t>value_ratio_reit_to_total is: 0.6169269287579798</t>
  </si>
  <si>
    <t xml:space="preserve"> risk_ratio_reit_to_gold is: 0.38794416517987923</t>
  </si>
  <si>
    <t xml:space="preserve"> risk_ratio_reit_to_gold_before is: 0.38828530528681954
</t>
  </si>
  <si>
    <t xml:space="preserve"> 0.38828530528681954
</t>
  </si>
  <si>
    <t>delta_gold is: 1.0124842145324329</t>
  </si>
  <si>
    <t xml:space="preserve"> delta_tb is: 1.0049921538261608</t>
  </si>
  <si>
    <t xml:space="preserve"> delta_reit is: 1.0063537262539146
</t>
  </si>
  <si>
    <t xml:space="preserve"> 1.0063537262539146
</t>
  </si>
  <si>
    <t>delta_gold_risk is: 0.9994950955752079</t>
  </si>
  <si>
    <t xml:space="preserve"> delta_tb_risk is: 1.002040153669721</t>
  </si>
  <si>
    <t xml:space="preserve"> delta_reit_risk is: 0.9997542723346265
</t>
  </si>
  <si>
    <t xml:space="preserve"> 0.9997542723346265
</t>
  </si>
  <si>
    <t xml:space="preserve">collateral_ratio_tranche_gold is: 0.7457850312491395
</t>
  </si>
  <si>
    <t xml:space="preserve"> 0.7457850312491395
</t>
  </si>
  <si>
    <t xml:space="preserve">collateral_ratio_tranche_tb is: 0.3396994855444162
</t>
  </si>
  <si>
    <t xml:space="preserve"> 0.3396994855444162
</t>
  </si>
  <si>
    <t xml:space="preserve">collateral_ratio_tranche_reit is: 0.3836586329792466
</t>
  </si>
  <si>
    <t xml:space="preserve"> 0.3836586329792466
</t>
  </si>
  <si>
    <t>Total plot size is: 152200633.51535594</t>
  </si>
  <si>
    <t xml:space="preserve"> plot size of gold is: 76739300.88149485</t>
  </si>
  <si>
    <t xml:space="preserve"> plot size of TB is: 35480667.65582669</t>
  </si>
  <si>
    <t xml:space="preserve"> plot size of REIT is: 39980664.978034414
</t>
  </si>
  <si>
    <t xml:space="preserve"> 39980664.978034414
</t>
  </si>
  <si>
    <t xml:space="preserve">collateral ratio is: 1.478394211635412
</t>
  </si>
  <si>
    <t xml:space="preserve"> 1.478394211635412
</t>
  </si>
  <si>
    <t>S_gtbcps_0 is: 0.9999209177276925</t>
  </si>
  <si>
    <t xml:space="preserve">stdev_gtbcps is: 0.0090837042286802
</t>
  </si>
  <si>
    <t xml:space="preserve"> 0.0090837042286802
</t>
  </si>
  <si>
    <t>predicted price of GTBCPS is: 0.9999033980358438</t>
  </si>
  <si>
    <t xml:space="preserve"> actual price is: 0.9999209177276925
</t>
  </si>
  <si>
    <t xml:space="preserve"> 0.9999209177276925
</t>
  </si>
  <si>
    <t>predicted amount of GTBCPS is: 102959911.92199121</t>
  </si>
  <si>
    <t xml:space="preserve"> actual amount is: 102958107.95339963
</t>
  </si>
  <si>
    <t>plot sizes of gold is: 76739300.88149485</t>
  </si>
  <si>
    <t xml:space="preserve"> plot sizes of tb is: 35480667.65582669 </t>
  </si>
  <si>
    <t xml:space="preserve"> plot sizes of reit is: 39980664.978034414</t>
  </si>
  <si>
    <t xml:space="preserve"> plot sizes of total is: 152200633.51535594.
</t>
  </si>
  <si>
    <t xml:space="preserve"> 152200633.51535594.
</t>
  </si>
  <si>
    <t>predicted stdevs of gold is: 0.010199468097901827</t>
  </si>
  <si>
    <t xml:space="preserve"> predicted stdevs of tb is: 0.0033275798187443408</t>
  </si>
  <si>
    <t xml:space="preserve"> predicted stdevs of reit is: 0.012050343176951578</t>
  </si>
  <si>
    <t xml:space="preserve"> predicted stdevs of GTBCPS is: 0.0090837042286802.
</t>
  </si>
  <si>
    <t xml:space="preserve"> 0.0090837042286802.
</t>
  </si>
  <si>
    <t>total_value_of_collaterals is: 152200018.49725148</t>
  </si>
  <si>
    <t xml:space="preserve"> createdtionValue_gold is: 1344.5472670303996</t>
  </si>
  <si>
    <t xml:space="preserve"> createdValue_tb is: 621.6583394625558</t>
  </si>
  <si>
    <t xml:space="preserve"> createdValue_reit is: 700.5027063097923
</t>
  </si>
  <si>
    <t xml:space="preserve"> 700.5027063097923
</t>
  </si>
  <si>
    <t>plotValue_gold_after_creation is: 76737501.591243</t>
  </si>
  <si>
    <t xml:space="preserve"> plotValue_tb_after_creation  is: 35479978.267390124</t>
  </si>
  <si>
    <t xml:space="preserve"> plotValue_reit_after_creation  is: 39979871.93030555</t>
  </si>
  <si>
    <t xml:space="preserve">total_value_after_creation is: 152197351.78893867
</t>
  </si>
  <si>
    <t xml:space="preserve"> 152197351.78893867
</t>
  </si>
  <si>
    <t>total_amount_gtncps_before_creation is: 102958107.95339963</t>
  </si>
  <si>
    <t>creation_amount_gtbcps is: 1803.9685915857553</t>
  </si>
  <si>
    <t xml:space="preserve">total_amount_gtbcps_new is: 102959911.92199121
</t>
  </si>
  <si>
    <t xml:space="preserve"> 102959911.92199121
</t>
  </si>
  <si>
    <t>payout of tranche of gold is: -454.7429848207682</t>
  </si>
  <si>
    <t xml:space="preserve"> payout of tranche of Treausry Bill Option is: -67.7300971011486</t>
  </si>
  <si>
    <t xml:space="preserve"> payout of tranche of Collar of REIT is: -92.54502255703228
</t>
  </si>
  <si>
    <t xml:space="preserve"> -92.54502255703228
</t>
  </si>
  <si>
    <t>Collateral size of tranche of gold is: 76737501.591243</t>
  </si>
  <si>
    <t xml:space="preserve"> collateral size of tranche of Treausry Bill Option is: 35479978.267390124</t>
  </si>
  <si>
    <t xml:space="preserve"> collateral size of tranche of Collar of REIT is: 39979871.93030555
</t>
  </si>
  <si>
    <t xml:space="preserve"> 39979871.93030555
</t>
  </si>
  <si>
    <t>Collateral ratio of tranche of gold is: 0.7453994330930785</t>
  </si>
  <si>
    <t xml:space="preserve"> collateral ratio of tranche of Treausry Bill Option is: 0.34463925900977405</t>
  </si>
  <si>
    <t xml:space="preserve"> collateral ratio of tranche of Collar of REIT is: 0.3883495455810411
</t>
  </si>
  <si>
    <t xml:space="preserve"> 0.3883495455810411
</t>
  </si>
  <si>
    <t xml:space="preserve">date is: 2022-07-29 00:00:00
</t>
  </si>
  <si>
    <t xml:space="preserve"> 2022-07-29 00</t>
  </si>
  <si>
    <t>current price of gold is: 1765.94</t>
  </si>
  <si>
    <t xml:space="preserve"> predicted price of gold is: 1763.0987403962145
</t>
  </si>
  <si>
    <t xml:space="preserve"> 1763.0987403962145
</t>
  </si>
  <si>
    <t>current price of tb is: 92.1796875</t>
  </si>
  <si>
    <t xml:space="preserve"> current price of tb option is: 4.3014433543058095</t>
  </si>
  <si>
    <t xml:space="preserve"> predicted price of tb is: 92.3850156475431
</t>
  </si>
  <si>
    <t xml:space="preserve"> 92.3850156475431
</t>
  </si>
  <si>
    <t>current price of reit is: 65.7</t>
  </si>
  <si>
    <t xml:space="preserve"> current price of reit option is: 5.61338547038487</t>
  </si>
  <si>
    <t xml:space="preserve"> predicted price of reit is: 66.26417993177968
</t>
  </si>
  <si>
    <t xml:space="preserve"> 66.26417993177968
</t>
  </si>
  <si>
    <t>value_ratio_gold_to_total is: -0.3622633687038965</t>
  </si>
  <si>
    <t xml:space="preserve"> risk_ratio_to_gold is: 0.5691349209060967</t>
  </si>
  <si>
    <t xml:space="preserve"> risk_ratio_to_gold_before is: 0.5656825279782958
</t>
  </si>
  <si>
    <t xml:space="preserve"> 0.5656825279782958
</t>
  </si>
  <si>
    <t>value_ratio_tb_to_total is: 0.5746177589908463</t>
  </si>
  <si>
    <t xml:space="preserve"> risk_ratio_tb_to_gold is: 0.3734766420192475</t>
  </si>
  <si>
    <t xml:space="preserve"> risk_ratio_tb_to_gold_before is: 0.3798318408670467
</t>
  </si>
  <si>
    <t xml:space="preserve"> 0.3798318408670467
</t>
  </si>
  <si>
    <t>value_ratio_reit_to_total is: 0.7876456097130502</t>
  </si>
  <si>
    <t xml:space="preserve"> risk_ratio_reit_to_gold is: 0.3835759711079534</t>
  </si>
  <si>
    <t xml:space="preserve"> risk_ratio_reit_to_gold_before is: 0.38794416517987923
</t>
  </si>
  <si>
    <t xml:space="preserve"> 0.38794416517987923
</t>
  </si>
  <si>
    <t>delta_gold is: 1.0057522325496628</t>
  </si>
  <si>
    <t xml:space="preserve"> delta_tb is: 1.0004523184800693</t>
  </si>
  <si>
    <t xml:space="preserve"> delta_reit is: 1.0074506807926478
</t>
  </si>
  <si>
    <t xml:space="preserve"> 1.0074506807926478
</t>
  </si>
  <si>
    <t>delta_gold_risk is: 1.0022050402084124</t>
  </si>
  <si>
    <t xml:space="preserve"> delta_tb_risk is: 0.9953942222091311</t>
  </si>
  <si>
    <t xml:space="preserve"> delta_reit_risk is: 0.9968527595118644
</t>
  </si>
  <si>
    <t xml:space="preserve"> 0.9968527595118644
</t>
  </si>
  <si>
    <t xml:space="preserve">collateral_ratio_tranche_gold is: 0.748037690789019
</t>
  </si>
  <si>
    <t xml:space="preserve"> 0.748037690789019
</t>
  </si>
  <si>
    <t xml:space="preserve">collateral_ratio_tranche_tb is: 0.3444094205091439
</t>
  </si>
  <si>
    <t xml:space="preserve"> 0.3444094205091439
</t>
  </si>
  <si>
    <t xml:space="preserve">collateral_ratio_tranche_reit is: 0.3902335235049722
</t>
  </si>
  <si>
    <t xml:space="preserve"> 0.3902335235049722
</t>
  </si>
  <si>
    <t>Total plot size is: 152952689.25709808</t>
  </si>
  <si>
    <t xml:space="preserve"> plot size of gold is: 77178913.54567595</t>
  </si>
  <si>
    <t xml:space="preserve"> plot size of TB is: 35496026.517232925</t>
  </si>
  <si>
    <t xml:space="preserve"> plot size of REIT is: 40277749.19418919
</t>
  </si>
  <si>
    <t xml:space="preserve"> 40277749.19418919
</t>
  </si>
  <si>
    <t xml:space="preserve">collateral ratio is: 1.4856992722632087
</t>
  </si>
  <si>
    <t xml:space="preserve"> 1.4856992722632087
</t>
  </si>
  <si>
    <t>S_gtbcps_0 is: 0.9999033980358438</t>
  </si>
  <si>
    <t xml:space="preserve">stdev_gtbcps is: 0.00909531782218087
</t>
  </si>
  <si>
    <t xml:space="preserve"> 0.00909531782218087
</t>
  </si>
  <si>
    <t>predicted price of GTBCPS is: 0.9999166595545352</t>
  </si>
  <si>
    <t xml:space="preserve"> actual price is: 0.9999033980358438
</t>
  </si>
  <si>
    <t xml:space="preserve"> 0.9999033980358438
</t>
  </si>
  <si>
    <t>predicted amount of GTBCPS is: 102958546.40339187</t>
  </si>
  <si>
    <t xml:space="preserve"> actual amount is: 102959911.92199121
</t>
  </si>
  <si>
    <t>plot sizes of gold is: 77178913.54567595</t>
  </si>
  <si>
    <t xml:space="preserve"> plot sizes of tb is: 35496026.517232925 </t>
  </si>
  <si>
    <t xml:space="preserve"> plot sizes of reit is: 40277749.19418919</t>
  </si>
  <si>
    <t xml:space="preserve"> plot sizes of total is: 152952689.25709808.
</t>
  </si>
  <si>
    <t xml:space="preserve"> 152952689.25709808.
</t>
  </si>
  <si>
    <t>predicted stdevs of gold is: 0.010224980997525331</t>
  </si>
  <si>
    <t xml:space="preserve"> predicted stdevs of tb is: 0.003276668281574139</t>
  </si>
  <si>
    <t xml:space="preserve"> predicted stdevs of reit is: 0.01205856090874929</t>
  </si>
  <si>
    <t xml:space="preserve"> predicted stdevs of GTBCPS is: 0.00909531782218087.
</t>
  </si>
  <si>
    <t xml:space="preserve"> 0.00909531782218087.
</t>
  </si>
  <si>
    <t>total_value_of_collaterals is: 152953155.71688372</t>
  </si>
  <si>
    <t xml:space="preserve"> createdtionValue_gold is: -1023.6128096677128</t>
  </si>
  <si>
    <t xml:space="preserve"> createdValue_tb is: -470.7776732869099</t>
  </si>
  <si>
    <t xml:space="preserve"> createdValue_reit is: -534.1966159909765
</t>
  </si>
  <si>
    <t xml:space="preserve"> -534.1966159909765
</t>
  </si>
  <si>
    <t>plotValue_gold_after_creation is: 77180263.07079518</t>
  </si>
  <si>
    <t xml:space="preserve"> plotValue_tb_after_creation  is: 35496570.899631105</t>
  </si>
  <si>
    <t xml:space="preserve"> plotValue_reit_after_creation  is: 40278350.3335564</t>
  </si>
  <si>
    <t xml:space="preserve">total_value_after_creation is: 152955184.30398268
</t>
  </si>
  <si>
    <t xml:space="preserve"> 152955184.30398268
</t>
  </si>
  <si>
    <t>total_amount_gtncps_before_creation is: 102959911.92199121</t>
  </si>
  <si>
    <t>creation_amount_gtbcps is: -1365.51859934628</t>
  </si>
  <si>
    <t xml:space="preserve">total_amount_gtbcps_new is: 102958546.40339187
</t>
  </si>
  <si>
    <t xml:space="preserve"> 102958546.40339187
</t>
  </si>
  <si>
    <t>payout of tranche of gold is: 325.9123095562098</t>
  </si>
  <si>
    <t xml:space="preserve"> payout of tranche of Treausry Bill Option is: 73.60472489304624</t>
  </si>
  <si>
    <t xml:space="preserve"> payout of tranche of Collar of REIT is: 66.9427512171006
</t>
  </si>
  <si>
    <t xml:space="preserve"> 66.9427512171006
</t>
  </si>
  <si>
    <t>Collateral size of tranche of gold is: 77180263.07079518</t>
  </si>
  <si>
    <t xml:space="preserve"> collateral size of tranche of Treausry Bill Option is: 35496570.899631105</t>
  </si>
  <si>
    <t xml:space="preserve"> collateral size of tranche of Collar of REIT is: 40278350.3335564
</t>
  </si>
  <si>
    <t xml:space="preserve"> 40278350.3335564
</t>
  </si>
  <si>
    <t>Collateral ratio of tranche of gold is: 0.7496771743830959</t>
  </si>
  <si>
    <t xml:space="preserve"> collateral ratio of tranche of Treausry Bill Option is: 0.3447898194894104</t>
  </si>
  <si>
    <t xml:space="preserve"> collateral ratio of tranche of Collar of REIT is: 0.3912368093274742
</t>
  </si>
  <si>
    <t xml:space="preserve"> 0.3912368093274742
</t>
  </si>
  <si>
    <t xml:space="preserve">date is: 2022-08-01 00:00:00
</t>
  </si>
  <si>
    <t xml:space="preserve"> 2022-08-01 00</t>
  </si>
  <si>
    <t>current price of gold is: 1772.17</t>
  </si>
  <si>
    <t xml:space="preserve"> predicted price of gold is: 1766.482068558025
</t>
  </si>
  <si>
    <t xml:space="preserve"> 1766.482068558025
</t>
  </si>
  <si>
    <t>current price of tb is: 92.24609375</t>
  </si>
  <si>
    <t xml:space="preserve"> current price of tb option is: 4.306515352406589</t>
  </si>
  <si>
    <t xml:space="preserve"> predicted price of tb is: 92.4461769650013
</t>
  </si>
  <si>
    <t xml:space="preserve"> 92.4461769650013
</t>
  </si>
  <si>
    <t>current price of reit is: 66.25</t>
  </si>
  <si>
    <t xml:space="preserve"> current price of reit option is: 5.640348712831937</t>
  </si>
  <si>
    <t xml:space="preserve"> predicted price of reit is: 66.82620327840678
</t>
  </si>
  <si>
    <t xml:space="preserve"> 66.82620327840678
</t>
  </si>
  <si>
    <t>value_ratio_gold_to_total is: -1.1296293786187603</t>
  </si>
  <si>
    <t xml:space="preserve"> risk_ratio_to_gold is: 0.5689294250019463</t>
  </si>
  <si>
    <t xml:space="preserve"> risk_ratio_to_gold_before is: 0.5691349209060967
</t>
  </si>
  <si>
    <t xml:space="preserve"> 0.5691349209060967
</t>
  </si>
  <si>
    <t>value_ratio_tb_to_total is: 0.8950153832405361</t>
  </si>
  <si>
    <t xml:space="preserve"> risk_ratio_tb_to_gold is: 0.3729923110532646</t>
  </si>
  <si>
    <t xml:space="preserve"> risk_ratio_tb_to_gold_before is: 0.3734766420192475
</t>
  </si>
  <si>
    <t xml:space="preserve"> 0.3734766420192475
</t>
  </si>
  <si>
    <t>value_ratio_reit_to_total is: 1.234613995378224</t>
  </si>
  <si>
    <t xml:space="preserve"> risk_ratio_reit_to_gold is: 0.3846949451412606</t>
  </si>
  <si>
    <t xml:space="preserve"> risk_ratio_reit_to_gold_before is: 0.3835759711079534
</t>
  </si>
  <si>
    <t xml:space="preserve"> 0.3835759711079534
</t>
  </si>
  <si>
    <t>delta_gold is: 1.0035278661789189</t>
  </si>
  <si>
    <t xml:space="preserve"> delta_tb is: 1.0007408520968595</t>
  </si>
  <si>
    <t xml:space="preserve"> delta_reit is: 1.0080905322141334
</t>
  </si>
  <si>
    <t xml:space="preserve"> 1.0080905322141334
</t>
  </si>
  <si>
    <t>delta_gold_risk is: 0.9998690387286571</t>
  </si>
  <si>
    <t xml:space="preserve"> delta_tb_risk is: 0.9996473686183182</t>
  </si>
  <si>
    <t xml:space="preserve"> delta_reit_risk is: 1.0008087550352665
</t>
  </si>
  <si>
    <t xml:space="preserve"> 1.0008087550352665
</t>
  </si>
  <si>
    <t xml:space="preserve">collateral_ratio_tranche_gold is: 0.7524204730734477
</t>
  </si>
  <si>
    <t xml:space="preserve"> 0.7524204730734477
</t>
  </si>
  <si>
    <t xml:space="preserve">collateral_ratio_tranche_tb is: 0.3439535523528043
</t>
  </si>
  <si>
    <t xml:space="preserve"> 0.3439535523528043
</t>
  </si>
  <si>
    <t xml:space="preserve">collateral_ratio_tranche_reit is: 0.3926980203329928
</t>
  </si>
  <si>
    <t xml:space="preserve"> 0.3926980203329928
</t>
  </si>
  <si>
    <t>Total plot size is: 153579636.9436383</t>
  </si>
  <si>
    <t xml:space="preserve"> plot size of gold is: 77452544.71056269</t>
  </si>
  <si>
    <t xml:space="preserve"> plot size of TB is: 35522868.60861342</t>
  </si>
  <si>
    <t xml:space="preserve"> plot size of REIT is: 40604223.62446219
</t>
  </si>
  <si>
    <t xml:space="preserve"> 40604223.62446219
</t>
  </si>
  <si>
    <t xml:space="preserve">collateral ratio is: 1.4917891012565012
</t>
  </si>
  <si>
    <t xml:space="preserve"> 1.4917891012565012
</t>
  </si>
  <si>
    <t>S_gtbcps_0 is: 0.9999166595545352</t>
  </si>
  <si>
    <t xml:space="preserve">stdev_gtbcps is: 0.008992025175103334
</t>
  </si>
  <si>
    <t xml:space="preserve"> 0.008992025175103334
</t>
  </si>
  <si>
    <t>predicted price of GTBCPS is: 0.9999108517031321</t>
  </si>
  <si>
    <t xml:space="preserve"> actual price is: 0.9999166595545352
</t>
  </si>
  <si>
    <t xml:space="preserve"> 0.9999166595545352
</t>
  </si>
  <si>
    <t>predicted amount of GTBCPS is: 102959144.42464264</t>
  </si>
  <si>
    <t xml:space="preserve"> actual amount is: 102958546.40339187
</t>
  </si>
  <si>
    <t>plot sizes of gold is: 77452544.71056269</t>
  </si>
  <si>
    <t xml:space="preserve"> plot sizes of tb is: 35522868.60861342 </t>
  </si>
  <si>
    <t xml:space="preserve"> plot sizes of reit is: 40604223.62446219</t>
  </si>
  <si>
    <t xml:space="preserve"> plot sizes of total is: 153579636.9436383.
</t>
  </si>
  <si>
    <t xml:space="preserve"> 153579636.9436383.
</t>
  </si>
  <si>
    <t>predicted stdevs of gold is: 0.010048154370683687</t>
  </si>
  <si>
    <t xml:space="preserve"> predicted stdevs of tb is: 0.0032394415553992973</t>
  </si>
  <si>
    <t xml:space="preserve"> predicted stdevs of reit is: 0.01201014416379299</t>
  </si>
  <si>
    <t xml:space="preserve"> predicted stdevs of GTBCPS is: 0.008992025175103334.
</t>
  </si>
  <si>
    <t xml:space="preserve"> 0.008992025175103334.
</t>
  </si>
  <si>
    <t>total_value_of_collaterals is: 153579432.75498378</t>
  </si>
  <si>
    <t xml:space="preserve"> createdtionValue_gold is: 449.86954813540507</t>
  </si>
  <si>
    <t xml:space="preserve"> createdValue_tb is: 206.32860872482328</t>
  </si>
  <si>
    <t xml:space="preserve"> createdValue_reit is: 235.84271024144968
</t>
  </si>
  <si>
    <t xml:space="preserve"> 235.84271024144968
</t>
  </si>
  <si>
    <t>plotValue_gold_after_creation is: 77451954.57113448</t>
  </si>
  <si>
    <t xml:space="preserve"> plotValue_tb_after_creation  is: 35522640.05402395</t>
  </si>
  <si>
    <t xml:space="preserve"> plotValue_reit_after_creation  is: 40603946.08895825</t>
  </si>
  <si>
    <t xml:space="preserve">total_value_after_creation is: 153578540.7141167
</t>
  </si>
  <si>
    <t xml:space="preserve"> 153578540.7141167
</t>
  </si>
  <si>
    <t>total_amount_gtncps_before_creation is: 102958546.40339187</t>
  </si>
  <si>
    <t>creation_amount_gtbcps is: 598.021250769496</t>
  </si>
  <si>
    <t xml:space="preserve">total_amount_gtbcps_new is: 102959144.42464264
</t>
  </si>
  <si>
    <t xml:space="preserve"> 102959144.42464264
</t>
  </si>
  <si>
    <t>payout of tranche of gold is: -140.26988006946146</t>
  </si>
  <si>
    <t xml:space="preserve"> payout of tranche of Treausry Bill Option is: -22.225980746076832</t>
  </si>
  <si>
    <t xml:space="preserve"> payout of tranche of Collar of REIT is: -41.69279369390587
</t>
  </si>
  <si>
    <t xml:space="preserve"> -41.69279369390587
</t>
  </si>
  <si>
    <t>Collateral size of tranche of gold is: 77451954.57113448</t>
  </si>
  <si>
    <t xml:space="preserve"> collateral size of tranche of Treausry Bill Option is: 35522640.05402395</t>
  </si>
  <si>
    <t xml:space="preserve"> collateral size of tranche of Collar of REIT is: 40603946.08895825
</t>
  </si>
  <si>
    <t xml:space="preserve"> 40603946.08895825
</t>
  </si>
  <si>
    <t>Collateral ratio of tranche of gold is: 0.7523305505216398</t>
  </si>
  <si>
    <t xml:space="preserve"> collateral ratio of tranche of Treausry Bill Option is: 0.34504961812527224</t>
  </si>
  <si>
    <t xml:space="preserve"> collateral ratio of tranche of Collar of REIT is: 0.3944069492320043
</t>
  </si>
  <si>
    <t xml:space="preserve"> 0.3944069492320043
</t>
  </si>
  <si>
    <t xml:space="preserve">date is: 2022-08-02 00:00:00
</t>
  </si>
  <si>
    <t xml:space="preserve"> 2022-08-02 00</t>
  </si>
  <si>
    <t>current price of gold is: 1760.39</t>
  </si>
  <si>
    <t xml:space="preserve"> predicted price of gold is: 1757.8235056544936
</t>
  </si>
  <si>
    <t xml:space="preserve"> 1757.8235056544936
</t>
  </si>
  <si>
    <t>current price of tb is: 91.55859375</t>
  </si>
  <si>
    <t xml:space="preserve"> current price of tb option is: 4.29686309024729</t>
  </si>
  <si>
    <t xml:space="preserve"> predicted price of tb is: 91.76865613189034
</t>
  </si>
  <si>
    <t xml:space="preserve"> 91.76865613189034
</t>
  </si>
  <si>
    <t>current price of reit is: 64.95</t>
  </si>
  <si>
    <t xml:space="preserve"> current price of reit option is: 5.585963458991529</t>
  </si>
  <si>
    <t xml:space="preserve"> predicted price of reit is: 65.51997906138723
</t>
  </si>
  <si>
    <t xml:space="preserve"> 65.51997906138723
</t>
  </si>
  <si>
    <t>value_ratio_gold_to_total is: -0.3169930708983947</t>
  </si>
  <si>
    <t xml:space="preserve"> risk_ratio_to_gold is: 0.5672865584187463</t>
  </si>
  <si>
    <t xml:space="preserve"> risk_ratio_to_gold_before is: 0.5689294250019463
</t>
  </si>
  <si>
    <t xml:space="preserve"> 0.5689294250019463
</t>
  </si>
  <si>
    <t>value_ratio_tb_to_total is: 0.5566597675246994</t>
  </si>
  <si>
    <t xml:space="preserve"> risk_ratio_tb_to_gold is: 0.37447816590577776</t>
  </si>
  <si>
    <t xml:space="preserve"> risk_ratio_tb_to_gold_before is: 0.3729923110532646
</t>
  </si>
  <si>
    <t xml:space="preserve"> 0.3729923110532646
</t>
  </si>
  <si>
    <t>value_ratio_reit_to_total is: 0.7603333033736954</t>
  </si>
  <si>
    <t xml:space="preserve"> risk_ratio_reit_to_gold is: 0.3882993671762654</t>
  </si>
  <si>
    <t xml:space="preserve"> risk_ratio_reit_to_gold_before is: 0.3846949451412606
</t>
  </si>
  <si>
    <t xml:space="preserve"> 0.3846949451412606
</t>
  </si>
  <si>
    <t>delta_gold is: 0.9933527821822963</t>
  </si>
  <si>
    <t xml:space="preserve"> delta_tb is: 0.9927795606080423</t>
  </si>
  <si>
    <t xml:space="preserve"> delta_reit is: 0.9811604022224104
</t>
  </si>
  <si>
    <t xml:space="preserve"> 0.9811604022224104
</t>
  </si>
  <si>
    <t>delta_gold_risk is: 0.9989528741337756</t>
  </si>
  <si>
    <t xml:space="preserve"> delta_tb_risk is: 1.001082201874367</t>
  </si>
  <si>
    <t xml:space="preserve"> delta_reit_risk is: 1.002603044120044
</t>
  </si>
  <si>
    <t xml:space="preserve"> 1.002603044120044
</t>
  </si>
  <si>
    <t xml:space="preserve">collateral_ratio_tranche_gold is: 0.7481130139691957
</t>
  </si>
  <si>
    <t xml:space="preserve"> 0.7481130139691957
</t>
  </si>
  <si>
    <t xml:space="preserve">collateral_ratio_tranche_tb is: 0.34447771026587
</t>
  </si>
  <si>
    <t xml:space="preserve"> 0.34447771026587
</t>
  </si>
  <si>
    <t xml:space="preserve">collateral_ratio_tranche_reit is: 0.38855458634648987
</t>
  </si>
  <si>
    <t xml:space="preserve"> 0.38855458634648987
</t>
  </si>
  <si>
    <t>Total plot size is: 152042249.61962414</t>
  </si>
  <si>
    <t xml:space="preserve"> plot size of gold is: 76937114.55869326</t>
  </si>
  <si>
    <t xml:space="preserve"> plot size of TB is: 35266150.984471545</t>
  </si>
  <si>
    <t xml:space="preserve"> plot size of REIT is: 39838984.07645934
</t>
  </si>
  <si>
    <t xml:space="preserve"> 39838984.07645934
</t>
  </si>
  <si>
    <t xml:space="preserve">collateral ratio is: 1.476855756576074
</t>
  </si>
  <si>
    <t xml:space="preserve"> 1.476855756576074
</t>
  </si>
  <si>
    <t>S_gtbcps_0 is: 0.9999108517031321</t>
  </si>
  <si>
    <t xml:space="preserve">stdev_gtbcps is: 0.009013713122867879
</t>
  </si>
  <si>
    <t xml:space="preserve"> 0.009013713122867879
</t>
  </si>
  <si>
    <t>predicted price of GTBCPS is: 0.9999443211398189</t>
  </si>
  <si>
    <t xml:space="preserve"> actual price is: 0.9999108517031321
</t>
  </si>
  <si>
    <t xml:space="preserve"> 0.9999108517031321
</t>
  </si>
  <si>
    <t>predicted amount of GTBCPS is: 102955698.24819781</t>
  </si>
  <si>
    <t xml:space="preserve"> actual amount is: 102959144.42464264
</t>
  </si>
  <si>
    <t>plot sizes of gold is: 76937114.55869326</t>
  </si>
  <si>
    <t xml:space="preserve"> plot sizes of tb is: 35266150.984471545 </t>
  </si>
  <si>
    <t xml:space="preserve"> plot sizes of reit is: 39838984.07645934</t>
  </si>
  <si>
    <t xml:space="preserve"> plot sizes of total is: 152042249.61962414.
</t>
  </si>
  <si>
    <t xml:space="preserve"> 152042249.61962414.
</t>
  </si>
  <si>
    <t>predicted stdevs of gold is: 0.010028348488851592</t>
  </si>
  <si>
    <t xml:space="preserve"> predicted stdevs of tb is: 0.0032636082634297783</t>
  </si>
  <si>
    <t xml:space="preserve"> predicted stdevs of reit is: 0.012144338856750331</t>
  </si>
  <si>
    <t xml:space="preserve"> predicted stdevs of GTBCPS is: 0.009013713122867879.
</t>
  </si>
  <si>
    <t xml:space="preserve"> 0.009013713122867879.
</t>
  </si>
  <si>
    <t>total_value_of_collaterals is: 152043427.7133125</t>
  </si>
  <si>
    <t xml:space="preserve"> createdtionValue_gold is: -2575.29717644094</t>
  </si>
  <si>
    <t xml:space="preserve"> createdValue_tb is: -1180.4492365718643</t>
  </si>
  <si>
    <t xml:space="preserve"> createdValue_reit is: -1333.5151634903266
</t>
  </si>
  <si>
    <t xml:space="preserve"> -1333.5151634903266
</t>
  </si>
  <si>
    <t>plotValue_gold_after_creation is: 76940457.97435994</t>
  </si>
  <si>
    <t xml:space="preserve"> plotValue_tb_after_creation  is: 35267504.54595767</t>
  </si>
  <si>
    <t xml:space="preserve"> plotValue_reit_after_creation  is: 39840554.45457138</t>
  </si>
  <si>
    <t xml:space="preserve">total_value_after_creation is: 152048516.97488898
</t>
  </si>
  <si>
    <t xml:space="preserve"> 152048516.97488898
</t>
  </si>
  <si>
    <t>total_amount_gtncps_before_creation is: 102959144.42464264</t>
  </si>
  <si>
    <t>creation_amount_gtbcps is: -3446.1764448285103</t>
  </si>
  <si>
    <t xml:space="preserve">total_amount_gtbcps_new is: 102955698.24819781
</t>
  </si>
  <si>
    <t xml:space="preserve"> 102955698.24819781
</t>
  </si>
  <si>
    <t>payout of tranche of gold is: 768.118490248899</t>
  </si>
  <si>
    <t xml:space="preserve"> payout of tranche of Treausry Bill Option is: 173.11224954984368</t>
  </si>
  <si>
    <t xml:space="preserve"> payout of tranche of Collar of REIT is: 236.86294854883022
</t>
  </si>
  <si>
    <t xml:space="preserve"> 236.86294854883022
</t>
  </si>
  <si>
    <t>Collateral size of tranche of gold is: 76940457.97435994</t>
  </si>
  <si>
    <t xml:space="preserve"> collateral size of tranche of Treausry Bill Option is: 35267504.54595767</t>
  </si>
  <si>
    <t xml:space="preserve"> collateral size of tranche of Collar of REIT is: 39840554.45457138
</t>
  </si>
  <si>
    <t xml:space="preserve"> 39840554.45457138
</t>
  </si>
  <si>
    <t>Collateral ratio of tranche of gold is: 0.7473327658255545</t>
  </si>
  <si>
    <t xml:space="preserve"> collateral ratio of tranche of Treausry Bill Option is: 0.3425579000956696</t>
  </si>
  <si>
    <t xml:space="preserve"> collateral ratio of tranche of Collar of REIT is: 0.3869765340164799
</t>
  </si>
  <si>
    <t xml:space="preserve"> 0.3869765340164799
</t>
  </si>
  <si>
    <t xml:space="preserve">date is: 2022-08-03 00:00:00
</t>
  </si>
  <si>
    <t xml:space="preserve"> 2022-08-03 00</t>
  </si>
  <si>
    <t>current price of gold is: 1765.29</t>
  </si>
  <si>
    <t xml:space="preserve"> predicted price of gold is: 1770.4880038991976
</t>
  </si>
  <si>
    <t xml:space="preserve"> 1770.4880038991976
</t>
  </si>
  <si>
    <t>current price of tb is: 91.6015625</t>
  </si>
  <si>
    <t xml:space="preserve"> current price of tb option is: 4.2982475971680385</t>
  </si>
  <si>
    <t xml:space="preserve"> predicted price of tb is: 91.8101932822194
</t>
  </si>
  <si>
    <t xml:space="preserve"> 91.8101932822194
</t>
  </si>
  <si>
    <t>current price of reit is: 64.6</t>
  </si>
  <si>
    <t xml:space="preserve"> current price of reit option is: 5.616216358723648</t>
  </si>
  <si>
    <t xml:space="preserve"> predicted price of reit is: 65.06400600919994
</t>
  </si>
  <si>
    <t xml:space="preserve"> 65.06400600919994
</t>
  </si>
  <si>
    <t>value_ratio_gold_to_total is: 0.3292980322653292</t>
  </si>
  <si>
    <t xml:space="preserve"> risk_ratio_to_gold is: 0.5667347235754611</t>
  </si>
  <si>
    <t xml:space="preserve"> risk_ratio_to_gold_before is: 0.5672865584187463
</t>
  </si>
  <si>
    <t xml:space="preserve"> 0.5672865584187463
</t>
  </si>
  <si>
    <t>value_ratio_tb_to_total is: 0.2855146342272921</t>
  </si>
  <si>
    <t xml:space="preserve"> risk_ratio_tb_to_gold is: 0.3758937526808526</t>
  </si>
  <si>
    <t xml:space="preserve"> risk_ratio_tb_to_gold_before is: 0.37447816590577776
</t>
  </si>
  <si>
    <t xml:space="preserve"> 0.37447816590577776
</t>
  </si>
  <si>
    <t>value_ratio_reit_to_total is: 0.3851873335073786</t>
  </si>
  <si>
    <t xml:space="preserve"> risk_ratio_reit_to_gold is: 0.3886002131928467</t>
  </si>
  <si>
    <t xml:space="preserve"> risk_ratio_reit_to_gold_before is: 0.3882993671762654
</t>
  </si>
  <si>
    <t xml:space="preserve"> 0.3882993671762654
</t>
  </si>
  <si>
    <t>delta_gold is: 1.002783474116531</t>
  </si>
  <si>
    <t xml:space="preserve"> delta_tb is: 1.00046270977556</t>
  </si>
  <si>
    <t xml:space="preserve"> delta_reit is: 0.9954668925667431
</t>
  </si>
  <si>
    <t xml:space="preserve"> 0.9954668925667431
</t>
  </si>
  <si>
    <t>delta_gold_risk is: 0.9996479043093167</t>
  </si>
  <si>
    <t xml:space="preserve"> delta_tb_risk is: 1.001029908521058</t>
  </si>
  <si>
    <t xml:space="preserve"> delta_reit_risk is: 1.0002167011119463
</t>
  </si>
  <si>
    <t xml:space="preserve"> 1.0002167011119463
</t>
  </si>
  <si>
    <t xml:space="preserve">collateral_ratio_tranche_gold is: 0.7496769052434064
</t>
  </si>
  <si>
    <t xml:space="preserve"> 0.7496769052434064
</t>
  </si>
  <si>
    <t xml:space="preserve">collateral_ratio_tranche_tb is: 0.3414134859869026
</t>
  </si>
  <si>
    <t xml:space="preserve"> 0.3414134859869026
</t>
  </si>
  <si>
    <t xml:space="preserve">collateral_ratio_tranche_reit is: 0.38406981939151247
</t>
  </si>
  <si>
    <t xml:space="preserve"> 0.38406981939151247
</t>
  </si>
  <si>
    <t>Total plot size is: 152098395.8537446</t>
  </si>
  <si>
    <t xml:space="preserve"> plot size of gold is: 77154619.74764562</t>
  </si>
  <si>
    <t xml:space="preserve"> plot size of TB is: 35283823.16507069</t>
  </si>
  <si>
    <t xml:space="preserve"> plot size of REIT is: 39659952.94102829
</t>
  </si>
  <si>
    <t xml:space="preserve"> 39659952.94102829
</t>
  </si>
  <si>
    <t xml:space="preserve">collateral ratio is: 1.4774011305709887
</t>
  </si>
  <si>
    <t xml:space="preserve"> 1.4774011305709887
</t>
  </si>
  <si>
    <t>S_gtbcps_0 is: 0.9999443211398189</t>
  </si>
  <si>
    <t xml:space="preserve">stdev_gtbcps is: 0.009017426388928261
</t>
  </si>
  <si>
    <t xml:space="preserve"> 0.009017426388928261
</t>
  </si>
  <si>
    <t>predicted price of GTBCPS is: 0.9998958371233255</t>
  </si>
  <si>
    <t xml:space="preserve"> actual price is: 0.9999443211398189
</t>
  </si>
  <si>
    <t xml:space="preserve"> 0.9999443211398189
</t>
  </si>
  <si>
    <t>predicted amount of GTBCPS is: 102960690.47397436</t>
  </si>
  <si>
    <t xml:space="preserve"> actual amount is: 102955698.24819781
</t>
  </si>
  <si>
    <t>plot sizes of gold is: 77154619.74764562</t>
  </si>
  <si>
    <t xml:space="preserve"> plot sizes of tb is: 35283823.16507069 </t>
  </si>
  <si>
    <t xml:space="preserve"> plot sizes of reit is: 39659952.94102829</t>
  </si>
  <si>
    <t xml:space="preserve"> plot sizes of total is: 152098395.8537446.
</t>
  </si>
  <si>
    <t xml:space="preserve"> 152098395.8537446.
</t>
  </si>
  <si>
    <t>predicted stdevs of gold is: 0.010034517224098878</t>
  </si>
  <si>
    <t xml:space="preserve"> predicted stdevs of tb is: 0.0032638470683054267</t>
  </si>
  <si>
    <t xml:space="preserve"> predicted stdevs of reit is: 0.01215749614301583</t>
  </si>
  <si>
    <t xml:space="preserve"> predicted stdevs of GTBCPS is: 0.009017426388928261.
</t>
  </si>
  <si>
    <t xml:space="preserve"> 0.009017426388928261.
</t>
  </si>
  <si>
    <t>total_value_of_collaterals is: 152096690.3263269</t>
  </si>
  <si>
    <t xml:space="preserve"> createdtionValue_gold is: 3740.912759212837</t>
  </si>
  <si>
    <t xml:space="preserve"> createdValue_tb is: 1710.7870202682332</t>
  </si>
  <si>
    <t xml:space="preserve"> createdValue_reit is: 1922.9692760595226
</t>
  </si>
  <si>
    <t xml:space="preserve"> 1922.9692760595226
</t>
  </si>
  <si>
    <t>plotValue_gold_after_creation is: 77149612.70767541</t>
  </si>
  <si>
    <t xml:space="preserve"> plotValue_tb_after_creation  is: 35281912.33916528</t>
  </si>
  <si>
    <t xml:space="preserve"> plotValue_reit_after_creation  is: 39657790.61043066</t>
  </si>
  <si>
    <t xml:space="preserve">total_value_after_creation is: 152089315.65727136
</t>
  </si>
  <si>
    <t xml:space="preserve"> 152089315.65727136
</t>
  </si>
  <si>
    <t>total_amount_gtncps_before_creation is: 102955698.24819781</t>
  </si>
  <si>
    <t>creation_amount_gtbcps is: 4992.225776553154</t>
  </si>
  <si>
    <t xml:space="preserve">total_amount_gtbcps_new is: 102960690.47397436
</t>
  </si>
  <si>
    <t xml:space="preserve"> 102960690.47397436
</t>
  </si>
  <si>
    <t>payout of tranche of gold is: -1266.127210983987</t>
  </si>
  <si>
    <t xml:space="preserve"> payout of tranche of Treausry Bill Option is: -200.03888514550937</t>
  </si>
  <si>
    <t xml:space="preserve"> payout of tranche of Collar of REIT is: -239.36132156919936
</t>
  </si>
  <si>
    <t xml:space="preserve"> -239.36132156919936
</t>
  </si>
  <si>
    <t>Collateral size of tranche of gold is: 77149612.70767541</t>
  </si>
  <si>
    <t xml:space="preserve"> collateral size of tranche of Treausry Bill Option is: 35281912.33916528</t>
  </si>
  <si>
    <t xml:space="preserve"> collateral size of tranche of Collar of REIT is: 39657790.61043066
</t>
  </si>
  <si>
    <t xml:space="preserve"> 39657790.61043066
</t>
  </si>
  <si>
    <t>Collateral ratio of tranche of gold is: 0.7494257334297001</t>
  </si>
  <si>
    <t xml:space="preserve"> collateral ratio of tranche of Treausry Bill Option is: 0.3427259334634451</t>
  </si>
  <si>
    <t xml:space="preserve"> collateral ratio of tranche of Collar of REIT is: 0.3852328971117006
</t>
  </si>
  <si>
    <t xml:space="preserve"> 0.3852328971117006
</t>
  </si>
  <si>
    <t xml:space="preserve">date is: 2022-08-04 00:00:00
</t>
  </si>
  <si>
    <t xml:space="preserve"> 2022-08-04 00</t>
  </si>
  <si>
    <t>current price of gold is: 1791.28</t>
  </si>
  <si>
    <t xml:space="preserve"> predicted price of gold is: 1783.982221037144
</t>
  </si>
  <si>
    <t xml:space="preserve"> 1783.982221037144
</t>
  </si>
  <si>
    <t>current price of tb is: 91.71875</t>
  </si>
  <si>
    <t xml:space="preserve"> current price of tb option is: 4.301693745679659</t>
  </si>
  <si>
    <t xml:space="preserve"> predicted price of tb is: 91.92381744841484
</t>
  </si>
  <si>
    <t xml:space="preserve"> 91.92381744841484
</t>
  </si>
  <si>
    <t>current price of reit is: 65.6</t>
  </si>
  <si>
    <t xml:space="preserve"> current price of reit option is: 5.5976236188941755</t>
  </si>
  <si>
    <t xml:space="preserve"> predicted price of reit is: 66.08739314405108
</t>
  </si>
  <si>
    <t xml:space="preserve"> 66.08739314405108
</t>
  </si>
  <si>
    <t>value_ratio_gold_to_total is: -2.2154769857980416</t>
  </si>
  <si>
    <t xml:space="preserve"> risk_ratio_to_gold is: 0.5644684595357088</t>
  </si>
  <si>
    <t xml:space="preserve"> risk_ratio_to_gold_before is: 0.5667347235754611
</t>
  </si>
  <si>
    <t xml:space="preserve"> 0.5667347235754611
</t>
  </si>
  <si>
    <t>value_ratio_tb_to_total is: 1.368173215004658</t>
  </si>
  <si>
    <t xml:space="preserve"> risk_ratio_tb_to_gold is: 0.3777224149830425</t>
  </si>
  <si>
    <t xml:space="preserve"> risk_ratio_tb_to_gold_before is: 0.3758937526808526
</t>
  </si>
  <si>
    <t xml:space="preserve"> 0.3758937526808526
</t>
  </si>
  <si>
    <t>value_ratio_reit_to_total is: 1.8473037707933835</t>
  </si>
  <si>
    <t xml:space="preserve"> risk_ratio_reit_to_gold is: 0.3938557540124906</t>
  </si>
  <si>
    <t xml:space="preserve"> risk_ratio_reit_to_gold_before is: 0.3886002131928467
</t>
  </si>
  <si>
    <t xml:space="preserve"> 0.3886002131928467
</t>
  </si>
  <si>
    <t>delta_gold is: 1.014722793422044</t>
  </si>
  <si>
    <t xml:space="preserve"> delta_tb is: 1.0012579133200512</t>
  </si>
  <si>
    <t xml:space="preserve"> delta_reit is: 1.013976931698465
</t>
  </si>
  <si>
    <t xml:space="preserve"> 1.013976931698465
</t>
  </si>
  <si>
    <t>delta_gold_risk is: 0.9985535113215717</t>
  </si>
  <si>
    <t xml:space="preserve"> delta_tb_risk is: 1.001329072320175</t>
  </si>
  <si>
    <t xml:space="preserve"> delta_reit_risk is: 1.0037847760426015
</t>
  </si>
  <si>
    <t xml:space="preserve"> 1.0037847760426015
</t>
  </si>
  <si>
    <t xml:space="preserve">collateral_ratio_tranche_gold is: 0.7615609629990605
</t>
  </si>
  <si>
    <t xml:space="preserve"> 0.7615609629990605
</t>
  </si>
  <si>
    <t xml:space="preserve">collateral_ratio_tranche_tb is: 0.33772925967634787
</t>
  </si>
  <si>
    <t xml:space="preserve"> 0.33772925967634787
</t>
  </si>
  <si>
    <t xml:space="preserve">collateral_ratio_tranche_reit is: 0.38349828046371665
</t>
  </si>
  <si>
    <t xml:space="preserve"> 0.38349828046371665
</t>
  </si>
  <si>
    <t>Total plot size is: 153823849.2859195</t>
  </si>
  <si>
    <t xml:space="preserve"> plot size of gold is: 78285470.51816122</t>
  </si>
  <si>
    <t xml:space="preserve"> plot size of TB is: 35326293.926653594</t>
  </si>
  <si>
    <t xml:space="preserve"> plot size of REIT is: 40212084.84110468
</t>
  </si>
  <si>
    <t xml:space="preserve"> 40212084.84110468
</t>
  </si>
  <si>
    <t xml:space="preserve">collateral ratio is: 1.4941612471858543
</t>
  </si>
  <si>
    <t xml:space="preserve"> 1.4941612471858543
</t>
  </si>
  <si>
    <t>S_gtbcps_0 is: 0.9998958371233255</t>
  </si>
  <si>
    <t xml:space="preserve">stdev_gtbcps is: 0.008941985765758338
</t>
  </si>
  <si>
    <t xml:space="preserve"> 0.008941985765758338
</t>
  </si>
  <si>
    <t>predicted price of GTBCPS is: 0.9999282984965868</t>
  </si>
  <si>
    <t xml:space="preserve"> actual price is: 0.9998958371233255
</t>
  </si>
  <si>
    <t xml:space="preserve"> 0.9998958371233255
</t>
  </si>
  <si>
    <t>predicted amount of GTBCPS is: 102957347.98890844</t>
  </si>
  <si>
    <t xml:space="preserve"> actual amount is: 102960690.47397436
</t>
  </si>
  <si>
    <t>plot sizes of gold is: 78285470.51816122</t>
  </si>
  <si>
    <t xml:space="preserve"> plot sizes of tb is: 35326293.926653594 </t>
  </si>
  <si>
    <t xml:space="preserve"> plot sizes of reit is: 40212084.84110468</t>
  </si>
  <si>
    <t xml:space="preserve"> plot sizes of total is: 153823849.2859195.
</t>
  </si>
  <si>
    <t xml:space="preserve"> 153823849.2859195.
</t>
  </si>
  <si>
    <t>predicted stdevs of gold is: 0.009857711354626625</t>
  </si>
  <si>
    <t xml:space="preserve"> predicted stdevs of tb is: 0.0032463333863324605</t>
  </si>
  <si>
    <t xml:space="preserve"> predicted stdevs of reit is: 0.012162865309342095</t>
  </si>
  <si>
    <t xml:space="preserve"> predicted stdevs of GTBCPS is: 0.008941985765758338.
</t>
  </si>
  <si>
    <t xml:space="preserve"> 0.008941985765758338.
</t>
  </si>
  <si>
    <t>total_value_of_collaterals is: 153824989.72825772</t>
  </si>
  <si>
    <t xml:space="preserve"> createdtionValue_gold is: -2541.543007869731</t>
  </si>
  <si>
    <t xml:space="preserve"> createdValue_tb is: -1146.8651487229486</t>
  </si>
  <si>
    <t xml:space="preserve"> createdValue_reit is: -1305.4824299025966
</t>
  </si>
  <si>
    <t xml:space="preserve"> -1305.4824299025966
</t>
  </si>
  <si>
    <t>plotValue_gold_after_creation is: 78288763.53928477</t>
  </si>
  <si>
    <t xml:space="preserve"> plotValue_tb_after_creation  is: 35327615.61059512</t>
  </si>
  <si>
    <t xml:space="preserve"> plotValue_reit_after_creation  is: 40213604.46896433</t>
  </si>
  <si>
    <t xml:space="preserve">total_value_after_creation is: 153829983.6188442
</t>
  </si>
  <si>
    <t xml:space="preserve"> 153829983.6188442
</t>
  </si>
  <si>
    <t>total_amount_gtncps_before_creation is: 102960690.47397436</t>
  </si>
  <si>
    <t>creation_amount_gtbcps is: -3342.485065922141</t>
  </si>
  <si>
    <t xml:space="preserve">total_amount_gtbcps_new is: 102957347.98890844
</t>
  </si>
  <si>
    <t xml:space="preserve"> 102957347.98890844
</t>
  </si>
  <si>
    <t>payout of tranche of gold is: 751.4781156759586</t>
  </si>
  <si>
    <t xml:space="preserve"> payout of tranche of Treausry Bill Option is: 174.81879280486427</t>
  </si>
  <si>
    <t xml:space="preserve"> payout of tranche of Collar of REIT is: 214.14542974982402
</t>
  </si>
  <si>
    <t xml:space="preserve"> 214.14542974982402
</t>
  </si>
  <si>
    <t>Collateral size of tranche of gold is: 78288763.53928477</t>
  </si>
  <si>
    <t xml:space="preserve"> collateral size of tranche of Treausry Bill Option is: 35327615.61059512</t>
  </si>
  <si>
    <t xml:space="preserve"> collateral size of tranche of Collar of REIT is: 40213604.46896433
</t>
  </si>
  <si>
    <t xml:space="preserve"> 40213604.46896433
</t>
  </si>
  <si>
    <t>Collateral ratio of tranche of gold is: 0.7604298009602143</t>
  </si>
  <si>
    <t xml:space="preserve"> collateral ratio of tranche of Treausry Bill Option is: 0.3431421125163581</t>
  </si>
  <si>
    <t xml:space="preserve"> collateral ratio of tranche of Collar of REIT is: 0.39060041134616574
</t>
  </si>
  <si>
    <t xml:space="preserve"> 0.39060041134616574
</t>
  </si>
  <si>
    <t xml:space="preserve">date is: 2022-08-05 00:00:00
</t>
  </si>
  <si>
    <t xml:space="preserve"> 2022-08-05 00</t>
  </si>
  <si>
    <t>current price of gold is: 1775.5</t>
  </si>
  <si>
    <t xml:space="preserve"> predicted price of gold is: 1775.5646461690376
</t>
  </si>
  <si>
    <t xml:space="preserve"> 1775.5646461690376
</t>
  </si>
  <si>
    <t>current price of tb is: 91.1640625</t>
  </si>
  <si>
    <t xml:space="preserve"> current price of tb option is: 4.291846173711992</t>
  </si>
  <si>
    <t xml:space="preserve"> predicted price of tb is: 91.37931146203374
</t>
  </si>
  <si>
    <t xml:space="preserve"> 91.37931146203374
</t>
  </si>
  <si>
    <t>current price of reit is: 66.1</t>
  </si>
  <si>
    <t xml:space="preserve"> current price of reit option is: 5.468588148147532</t>
  </si>
  <si>
    <t xml:space="preserve"> predicted price of reit is: 66.61912381006698
</t>
  </si>
  <si>
    <t xml:space="preserve"> 66.61912381006698
</t>
  </si>
  <si>
    <t>value_ratio_gold_to_total is: 0.0061221132787356225</t>
  </si>
  <si>
    <t xml:space="preserve"> risk_ratio_to_gold is: 0.5581122622409556</t>
  </si>
  <si>
    <t xml:space="preserve"> risk_ratio_to_gold_before is: 0.5644684595357088
</t>
  </si>
  <si>
    <t xml:space="preserve"> 0.5644684595357088
</t>
  </si>
  <si>
    <t>value_ratio_tb_to_total is: 0.4268303503496129</t>
  </si>
  <si>
    <t xml:space="preserve"> risk_ratio_tb_to_gold is: 0.38237909289259386</t>
  </si>
  <si>
    <t xml:space="preserve"> risk_ratio_tb_to_gold_before is: 0.3777224149830425
</t>
  </si>
  <si>
    <t xml:space="preserve"> 0.3777224149830425
</t>
  </si>
  <si>
    <t>value_ratio_reit_to_total is: 0.5670475363716515</t>
  </si>
  <si>
    <t xml:space="preserve"> risk_ratio_reit_to_gold is: 0.4093751251293477</t>
  </si>
  <si>
    <t xml:space="preserve"> risk_ratio_reit_to_gold_before is: 0.3938557540124906
</t>
  </si>
  <si>
    <t xml:space="preserve"> 0.3938557540124906
</t>
  </si>
  <si>
    <t>delta_gold is: 0.9911906569603859</t>
  </si>
  <si>
    <t xml:space="preserve"> delta_tb is: 0.9941206783686305</t>
  </si>
  <si>
    <t xml:space="preserve"> delta_reit is: 1.0052103498740217
</t>
  </si>
  <si>
    <t xml:space="preserve"> 1.0052103498740217
</t>
  </si>
  <si>
    <t>delta_gold_risk is: 0.9959371521643591</t>
  </si>
  <si>
    <t xml:space="preserve"> delta_tb_risk is: 1.0033799826865768</t>
  </si>
  <si>
    <t xml:space="preserve"> delta_reit_risk is: 1.0111341299644396
</t>
  </si>
  <si>
    <t xml:space="preserve"> 1.0111341299644396
</t>
  </si>
  <si>
    <t xml:space="preserve">collateral_ratio_tranche_gold is: 0.7568057003878317
</t>
  </si>
  <si>
    <t xml:space="preserve"> 0.7568057003878317
</t>
  </si>
  <si>
    <t xml:space="preserve">collateral_ratio_tranche_tb is: 0.342997137618012
</t>
  </si>
  <si>
    <t xml:space="preserve"> 0.342997137618012
</t>
  </si>
  <si>
    <t xml:space="preserve">collateral_ratio_tranche_reit is: 0.3917632359519544
</t>
  </si>
  <si>
    <t xml:space="preserve"> 0.3917632359519544
</t>
  </si>
  <si>
    <t>Total plot size is: 153142135.57901418</t>
  </si>
  <si>
    <t xml:space="preserve"> plot size of gold is: 77599090.96511997</t>
  </si>
  <si>
    <t xml:space="preserve"> plot size of TB is: 35119913.195951045</t>
  </si>
  <si>
    <t xml:space="preserve"> plot size of REIT is: 40423131.41794316
</t>
  </si>
  <si>
    <t xml:space="preserve"> 40423131.41794316
</t>
  </si>
  <si>
    <t xml:space="preserve">collateral ratio is: 1.4875394508437279
</t>
  </si>
  <si>
    <t xml:space="preserve"> 1.4875394508437279
</t>
  </si>
  <si>
    <t>S_gtbcps_0 is: 0.9999282984965868</t>
  </si>
  <si>
    <t xml:space="preserve">stdev_gtbcps is: 0.00896383926156515
</t>
  </si>
  <si>
    <t xml:space="preserve"> 0.00896383926156515
</t>
  </si>
  <si>
    <t>predicted price of GTBCPS is: 0.9999055480165505</t>
  </si>
  <si>
    <t xml:space="preserve"> actual price is: 0.9999282984965868
</t>
  </si>
  <si>
    <t xml:space="preserve"> 0.9999282984965868
</t>
  </si>
  <si>
    <t>predicted amount of GTBCPS is: 102959690.53925698</t>
  </si>
  <si>
    <t xml:space="preserve"> actual amount is: 102957347.98890844
</t>
  </si>
  <si>
    <t>plot sizes of gold is: 77599090.96511997</t>
  </si>
  <si>
    <t xml:space="preserve"> plot sizes of tb is: 35119913.195951045 </t>
  </si>
  <si>
    <t xml:space="preserve"> plot sizes of reit is: 40423131.41794316</t>
  </si>
  <si>
    <t xml:space="preserve"> plot sizes of total is: 153142135.57901418.
</t>
  </si>
  <si>
    <t xml:space="preserve"> 153142135.57901418.
</t>
  </si>
  <si>
    <t>predicted stdevs of gold is: 0.009870667069141694</t>
  </si>
  <si>
    <t xml:space="preserve"> predicted stdevs of tb is: 0.0032888321782704355</t>
  </si>
  <si>
    <t xml:space="preserve"> predicted stdevs of reit is: 0.012153516510682277</t>
  </si>
  <si>
    <t xml:space="preserve"> predicted stdevs of GTBCPS is: 0.00896383926156515.
</t>
  </si>
  <si>
    <t xml:space="preserve"> 0.00896383926156515.
</t>
  </si>
  <si>
    <t>total_value_of_collaterals is: 153141335.03286278</t>
  </si>
  <si>
    <t xml:space="preserve"> createdtionValue_gold is: 1765.5312583267225</t>
  </si>
  <si>
    <t xml:space="preserve"> createdValue_tb is: 799.049561616164</t>
  </si>
  <si>
    <t xml:space="preserve"> createdValue_reit is: 919.707894188328
</t>
  </si>
  <si>
    <t xml:space="preserve"> 919.707894188328
</t>
  </si>
  <si>
    <t>plotValue_gold_after_creation is: 77596802.24696349</t>
  </si>
  <si>
    <t xml:space="preserve"> plotValue_tb_after_creation  is: 35118999.182725415</t>
  </si>
  <si>
    <t xml:space="preserve"> plotValue_reit_after_creation  is: 40422049.314459726</t>
  </si>
  <si>
    <t xml:space="preserve">total_value_after_creation is: 153137850.7441486
</t>
  </si>
  <si>
    <t xml:space="preserve"> 153137850.7441486
</t>
  </si>
  <si>
    <t>total_amount_gtncps_before_creation is: 102957347.98890844</t>
  </si>
  <si>
    <t>creation_amount_gtbcps is: 2342.55034853518</t>
  </si>
  <si>
    <t xml:space="preserve">total_amount_gtbcps_new is: 102959690.53925698
</t>
  </si>
  <si>
    <t xml:space="preserve"> 102959690.53925698
</t>
  </si>
  <si>
    <t>payout of tranche of gold is: -523.1868981528529</t>
  </si>
  <si>
    <t xml:space="preserve"> payout of tranche of Treausry Bill Option is: -114.96366401283751</t>
  </si>
  <si>
    <t xml:space="preserve"> payout of tranche of Collar of REIT is: -162.3955892395692
</t>
  </si>
  <si>
    <t xml:space="preserve"> -162.3955892395692
</t>
  </si>
  <si>
    <t>Collateral size of tranche of gold is: 77596802.24696349</t>
  </si>
  <si>
    <t xml:space="preserve"> collateral size of tranche of Treausry Bill Option is: 35118999.182725415</t>
  </si>
  <si>
    <t xml:space="preserve"> collateral size of tranche of Collar of REIT is: 40422049.314459726
</t>
  </si>
  <si>
    <t xml:space="preserve"> 40422049.314459726
</t>
  </si>
  <si>
    <t>Collateral ratio of tranche of gold is: 0.7537503017222775</t>
  </si>
  <si>
    <t xml:space="preserve"> collateral ratio of tranche of Treausry Bill Option is: 0.34113462750585916</t>
  </si>
  <si>
    <t xml:space="preserve"> collateral ratio of tranche of Collar of REIT is: 0.3926467455454852
</t>
  </si>
  <si>
    <t xml:space="preserve"> 0.3926467455454852
</t>
  </si>
  <si>
    <t xml:space="preserve">date is: 2022-08-08 00:00:00
</t>
  </si>
  <si>
    <t xml:space="preserve"> 2022-08-08 00</t>
  </si>
  <si>
    <t>current price of gold is: 1788.96</t>
  </si>
  <si>
    <t xml:space="preserve"> predicted price of gold is: 1789.0145619900043
</t>
  </si>
  <si>
    <t xml:space="preserve"> 1789.0145619900043
</t>
  </si>
  <si>
    <t>current price of tb is: 91.27734375</t>
  </si>
  <si>
    <t xml:space="preserve"> current price of tb option is: 4.2960115221205575</t>
  </si>
  <si>
    <t xml:space="preserve"> predicted price of tb is: 91.48828565360472
</t>
  </si>
  <si>
    <t xml:space="preserve"> 91.48828565360472
</t>
  </si>
  <si>
    <t xml:space="preserve"> current price of reit option is: 5.558047576253799</t>
  </si>
  <si>
    <t xml:space="preserve"> predicted price of reit is: 66.89473772097641
</t>
  </si>
  <si>
    <t xml:space="preserve"> 66.89473772097641
</t>
  </si>
  <si>
    <t>value_ratio_gold_to_total is: 0.00499912833988932</t>
  </si>
  <si>
    <t xml:space="preserve"> risk_ratio_to_gold is: 0.5553386111800723</t>
  </si>
  <si>
    <t xml:space="preserve"> risk_ratio_to_gold_before is: 0.5581122622409556
</t>
  </si>
  <si>
    <t xml:space="preserve"> 0.5581122622409556
</t>
  </si>
  <si>
    <t>value_ratio_tb_to_total is: 0.41294019142918464</t>
  </si>
  <si>
    <t xml:space="preserve"> risk_ratio_tb_to_gold is: 0.39217346166556855</t>
  </si>
  <si>
    <t xml:space="preserve"> risk_ratio_tb_to_gold_before is: 0.38237909289259386
</t>
  </si>
  <si>
    <t xml:space="preserve"> 0.38237909289259386
</t>
  </si>
  <si>
    <t>value_ratio_reit_to_total is: 0.582060680230926</t>
  </si>
  <si>
    <t xml:space="preserve"> risk_ratio_reit_to_gold is: 0.4085297127004996</t>
  </si>
  <si>
    <t xml:space="preserve"> risk_ratio_reit_to_gold_before is: 0.4093751251293477
</t>
  </si>
  <si>
    <t xml:space="preserve"> 0.4093751251293477
</t>
  </si>
  <si>
    <t>delta_gold is: 1.0075809631089834</t>
  </si>
  <si>
    <t xml:space="preserve"> delta_tb is: 1.0012303753642953</t>
  </si>
  <si>
    <t xml:space="preserve"> delta_reit is: 1.0012499817366955
</t>
  </si>
  <si>
    <t xml:space="preserve"> 1.0012499817366955
</t>
  </si>
  <si>
    <t>delta_gold_risk is: 0.9982198644294769</t>
  </si>
  <si>
    <t xml:space="preserve"> delta_tb_risk is: 1.0070851540097299</t>
  </si>
  <si>
    <t xml:space="preserve"> delta_reit_risk is: 0.9994001508797948
</t>
  </si>
  <si>
    <t xml:space="preserve"> 0.9994001508797948
</t>
  </si>
  <si>
    <t xml:space="preserve">collateral_ratio_tranche_gold is: 0.760818815589373
</t>
  </si>
  <si>
    <t xml:space="preserve"> 0.760818815589373
</t>
  </si>
  <si>
    <t xml:space="preserve">collateral_ratio_tranche_tb is: 0.3365996615500101
</t>
  </si>
  <si>
    <t xml:space="preserve"> 0.3365996615500101
</t>
  </si>
  <si>
    <t xml:space="preserve">collateral_ratio_tranche_reit is: 0.3904137989541029
</t>
  </si>
  <si>
    <t xml:space="preserve"> 0.3904137989541029
</t>
  </si>
  <si>
    <t>Total plot size is: 153819845.61417395</t>
  </si>
  <si>
    <t xml:space="preserve"> plot size of gold is: 78185060.7421728</t>
  </si>
  <si>
    <t xml:space="preserve"> plot size of TB is: 35162208.73413855</t>
  </si>
  <si>
    <t xml:space="preserve"> plot size of REIT is: 40472576.13786261
</t>
  </si>
  <si>
    <t xml:space="preserve"> 40472576.13786261
</t>
  </si>
  <si>
    <t xml:space="preserve">collateral ratio is: 1.4941223576950737
</t>
  </si>
  <si>
    <t xml:space="preserve"> 1.4941223576950737
</t>
  </si>
  <si>
    <t>S_gtbcps_0 is: 0.9999055480165505</t>
  </si>
  <si>
    <t xml:space="preserve">stdev_gtbcps is: 0.008684713514713366
</t>
  </si>
  <si>
    <t xml:space="preserve"> 0.008684713514713366
</t>
  </si>
  <si>
    <t>predicted price of GTBCPS is: 0.9998967741901952</t>
  </si>
  <si>
    <t xml:space="preserve"> actual price is: 0.9999055480165505
</t>
  </si>
  <si>
    <t xml:space="preserve"> 0.9999055480165505
</t>
  </si>
  <si>
    <t>predicted amount of GTBCPS is: 102960593.98296207</t>
  </si>
  <si>
    <t xml:space="preserve"> actual amount is: 102959690.53925698
</t>
  </si>
  <si>
    <t>plot sizes of gold is: 78185060.7421728</t>
  </si>
  <si>
    <t xml:space="preserve"> plot sizes of tb is: 35162208.73413855 </t>
  </si>
  <si>
    <t xml:space="preserve"> plot sizes of reit is: 40472576.13786261</t>
  </si>
  <si>
    <t xml:space="preserve"> plot sizes of total is: 153819845.61417395.
</t>
  </si>
  <si>
    <t xml:space="preserve"> 153819845.61417395.
</t>
  </si>
  <si>
    <t>predicted stdevs of gold is: 0.009499677109599987</t>
  </si>
  <si>
    <t xml:space="preserve"> predicted stdevs of tb is: 0.00328500888850754</t>
  </si>
  <si>
    <t xml:space="preserve"> predicted stdevs of reit is: 0.011801578687090176</t>
  </si>
  <si>
    <t xml:space="preserve"> predicted stdevs of GTBCPS is: 0.008684713514713366.
</t>
  </si>
  <si>
    <t xml:space="preserve"> 0.008684713514713366.
</t>
  </si>
  <si>
    <t>total_value_of_collaterals is: 153819537.07182157</t>
  </si>
  <si>
    <t xml:space="preserve"> createdtionValue_gold is: 686.0449305067411</t>
  </si>
  <si>
    <t xml:space="preserve"> createdValue_tb is: 308.5359709229475</t>
  </si>
  <si>
    <t xml:space="preserve"> createdValue_reit is: 355.13249000085875
</t>
  </si>
  <si>
    <t xml:space="preserve"> 355.13249000085875
</t>
  </si>
  <si>
    <t>plotValue_gold_after_creation is: 78184145.11331251</t>
  </si>
  <si>
    <t xml:space="preserve"> plotValue_tb_after_creation  is: 35161867.759154685</t>
  </si>
  <si>
    <t xml:space="preserve"> plotValue_reit_after_creation  is: 40472174.48596294</t>
  </si>
  <si>
    <t xml:space="preserve">total_value_after_creation is: 153818187.35843015
</t>
  </si>
  <si>
    <t xml:space="preserve"> 153818187.35843015
</t>
  </si>
  <si>
    <t>total_amount_gtncps_before_creation is: 102959690.53925698</t>
  </si>
  <si>
    <t>creation_amount_gtbcps is: 903.4437050968409</t>
  </si>
  <si>
    <t xml:space="preserve">total_amount_gtbcps_new is: 102960593.98296207
</t>
  </si>
  <si>
    <t xml:space="preserve"> 102960593.98296207
</t>
  </si>
  <si>
    <t>payout of tranche of gold is: -229.58392978081142</t>
  </si>
  <si>
    <t xml:space="preserve"> payout of tranche of Treausry Bill Option is: -32.43901293559741</t>
  </si>
  <si>
    <t xml:space="preserve"> payout of tranche of Collar of REIT is: -46.5194096644337
</t>
  </si>
  <si>
    <t xml:space="preserve"> -46.5194096644337
</t>
  </si>
  <si>
    <t>Collateral size of tranche of gold is: 78184145.11331251</t>
  </si>
  <si>
    <t xml:space="preserve"> collateral size of tranche of Treausry Bill Option is: 35161867.759154685</t>
  </si>
  <si>
    <t xml:space="preserve"> collateral size of tranche of Collar of REIT is: 40472174.48596294
</t>
  </si>
  <si>
    <t xml:space="preserve"> 40472174.48596294
</t>
  </si>
  <si>
    <t>Collateral ratio of tranche of gold is: 0.7594449454796552</t>
  </si>
  <si>
    <t xml:space="preserve"> collateral ratio of tranche of Treausry Bill Option is: 0.34154626496986845</t>
  </si>
  <si>
    <t xml:space="preserve"> collateral ratio of tranche of Collar of REIT is: 0.393128150232875
</t>
  </si>
  <si>
    <t xml:space="preserve"> 0.393128150232875
</t>
  </si>
  <si>
    <t xml:space="preserve">date is: 2022-08-09 00:00:00
</t>
  </si>
  <si>
    <t xml:space="preserve"> 2022-08-09 00</t>
  </si>
  <si>
    <t>current price of gold is: 1794.29</t>
  </si>
  <si>
    <t xml:space="preserve"> predicted price of gold is: 1788.7728290494067
</t>
  </si>
  <si>
    <t xml:space="preserve"> 1788.7728290494067
</t>
  </si>
  <si>
    <t>current price of tb is: 91.0859375</t>
  </si>
  <si>
    <t xml:space="preserve"> current price of tb option is: 4.294231410132472</t>
  </si>
  <si>
    <t xml:space="preserve"> predicted price of tb is: 91.2987195032972
</t>
  </si>
  <si>
    <t xml:space="preserve"> 91.2987195032972
</t>
  </si>
  <si>
    <t>current price of reit is: 65.55</t>
  </si>
  <si>
    <t xml:space="preserve"> current price of reit option is: 5.571328646442566</t>
  </si>
  <si>
    <t xml:space="preserve"> predicted price of reit is: 66.02926591174136
</t>
  </si>
  <si>
    <t xml:space="preserve"> 66.02926591174136
</t>
  </si>
  <si>
    <t>value_ratio_gold_to_total is: -1.0945818641488343</t>
  </si>
  <si>
    <t xml:space="preserve"> risk_ratio_to_gold is: 0.5416070173857809</t>
  </si>
  <si>
    <t xml:space="preserve"> risk_ratio_to_gold_before is: 0.5553386111800723
</t>
  </si>
  <si>
    <t xml:space="preserve"> 0.5553386111800723
</t>
  </si>
  <si>
    <t>value_ratio_tb_to_total is: 0.8941711590947139</t>
  </si>
  <si>
    <t xml:space="preserve"> risk_ratio_tb_to_gold is: 0.4129722488265254</t>
  </si>
  <si>
    <t xml:space="preserve"> risk_ratio_tb_to_gold_before is: 0.39217346166556855
</t>
  </si>
  <si>
    <t xml:space="preserve"> 0.39217346166556855
</t>
  </si>
  <si>
    <t>value_ratio_reit_to_total is: 1.2004107050541204</t>
  </si>
  <si>
    <t xml:space="preserve"> risk_ratio_reit_to_gold is: 0.43338492140879026</t>
  </si>
  <si>
    <t xml:space="preserve"> risk_ratio_reit_to_gold_before is: 0.4085297127004996
</t>
  </si>
  <si>
    <t xml:space="preserve"> 0.4085297127004996
</t>
  </si>
  <si>
    <t>delta_gold is: 1.002979384670423</t>
  </si>
  <si>
    <t xml:space="preserve"> delta_tb is: 0.9979786587858297</t>
  </si>
  <si>
    <t xml:space="preserve"> delta_reit is: 0.9925099978583691
</t>
  </si>
  <si>
    <t xml:space="preserve"> 0.9925099978583691
</t>
  </si>
  <si>
    <t>delta_gold_risk is: 0.9911713155607492</t>
  </si>
  <si>
    <t xml:space="preserve"> delta_tb_risk is: 1.0149397957464825</t>
  </si>
  <si>
    <t xml:space="preserve"> delta_reit_risk is: 1.0176462083008793
</t>
  </si>
  <si>
    <t xml:space="preserve"> 1.0176462083008793
</t>
  </si>
  <si>
    <t xml:space="preserve">collateral_ratio_tranche_gold is: 0.7684924010107335
</t>
  </si>
  <si>
    <t xml:space="preserve"> 0.7684924010107335
</t>
  </si>
  <si>
    <t xml:space="preserve">collateral_ratio_tranche_tb is: 0.33484090461035165
</t>
  </si>
  <si>
    <t xml:space="preserve"> 0.33484090461035165
</t>
  </si>
  <si>
    <t xml:space="preserve">collateral_ratio_tranche_reit is: 0.3822787944817429
</t>
  </si>
  <si>
    <t xml:space="preserve"> 0.3822787944817429
</t>
  </si>
  <si>
    <t>Total plot size is: 153676917.1958058</t>
  </si>
  <si>
    <t xml:space="preserve"> plot size of gold is: 78417085.75673324</t>
  </si>
  <si>
    <t xml:space="preserve"> plot size of TB is: 35090793.6266859</t>
  </si>
  <si>
    <t xml:space="preserve"> plot size of REIT is: 40169037.812386625
</t>
  </si>
  <si>
    <t xml:space="preserve"> 40169037.812386625
</t>
  </si>
  <si>
    <t xml:space="preserve">collateral ratio is: 1.4927340287406323
</t>
  </si>
  <si>
    <t xml:space="preserve"> 1.4927340287406323
</t>
  </si>
  <si>
    <t>S_gtbcps_0 is: 0.9998967741901952</t>
  </si>
  <si>
    <t xml:space="preserve">stdev_gtbcps is: 0.008480017778021667
</t>
  </si>
  <si>
    <t xml:space="preserve"> 0.008480017778021667
</t>
  </si>
  <si>
    <t>predicted price of GTBCPS is: 0.9999156704668897</t>
  </si>
  <si>
    <t xml:space="preserve"> actual price is: 0.9998967741901952
</t>
  </si>
  <si>
    <t xml:space="preserve"> 0.9998967741901952
</t>
  </si>
  <si>
    <t>predicted amount of GTBCPS is: 102958648.24700652</t>
  </si>
  <si>
    <t xml:space="preserve"> actual amount is: 102960593.98296207
</t>
  </si>
  <si>
    <t>plot sizes of gold is: 78417085.75673324</t>
  </si>
  <si>
    <t xml:space="preserve"> plot sizes of tb is: 35090793.6266859 </t>
  </si>
  <si>
    <t xml:space="preserve"> plot sizes of reit is: 40169037.812386625</t>
  </si>
  <si>
    <t xml:space="preserve"> plot sizes of total is: 153676917.19580576.
</t>
  </si>
  <si>
    <t xml:space="preserve"> 153676917.19580576.
</t>
  </si>
  <si>
    <t>predicted stdevs of gold is: 0.009128123087365108</t>
  </si>
  <si>
    <t xml:space="preserve"> predicted stdevs of tb is: 0.0032748853236325513</t>
  </si>
  <si>
    <t xml:space="preserve"> predicted stdevs of reit is: 0.011761891238622792</t>
  </si>
  <si>
    <t xml:space="preserve"> predicted stdevs of GTBCPS is: 0.008480017778021667.
</t>
  </si>
  <si>
    <t xml:space="preserve"> 0.008480017778021667.
</t>
  </si>
  <si>
    <t>total_value_of_collaterals is: 153677580.60832345</t>
  </si>
  <si>
    <t xml:space="preserve"> createdtionValue_gold is: -1481.952224291398</t>
  </si>
  <si>
    <t xml:space="preserve"> createdValue_tb is: -663.1555653664991</t>
  </si>
  <si>
    <t xml:space="preserve"> createdValue_reit is: -759.1260871736863
</t>
  </si>
  <si>
    <t xml:space="preserve"> -759.1260871736863
</t>
  </si>
  <si>
    <t>plotValue_gold_after_creation is: 78419006.87094225</t>
  </si>
  <si>
    <t xml:space="preserve"> plotValue_tb_after_creation  is: 35091550.17588036</t>
  </si>
  <si>
    <t xml:space="preserve"> plotValue_reit_after_creation  is: 40169927.79537769</t>
  </si>
  <si>
    <t xml:space="preserve">total_value_after_creation is: 153680484.84220028
</t>
  </si>
  <si>
    <t xml:space="preserve"> 153680484.84220028
</t>
  </si>
  <si>
    <t>total_amount_gtncps_before_creation is: 102960593.98296207</t>
  </si>
  <si>
    <t>creation_amount_gtbcps is: -1945.7359555512667</t>
  </si>
  <si>
    <t xml:space="preserve">total_amount_gtbcps_new is: 102958648.24700652
</t>
  </si>
  <si>
    <t xml:space="preserve"> 102958648.24700652
</t>
  </si>
  <si>
    <t>payout of tranche of gold is: 439.16198472659937</t>
  </si>
  <si>
    <t xml:space="preserve"> payout of tranche of Treausry Bill Option is: 93.39362908774356</t>
  </si>
  <si>
    <t xml:space="preserve"> payout of tranche of Collar of REIT is: 130.85690388972304
</t>
  </si>
  <si>
    <t xml:space="preserve"> 130.85690388972304
</t>
  </si>
  <si>
    <t>Collateral size of tranche of gold is: 78419006.87094225</t>
  </si>
  <si>
    <t xml:space="preserve"> collateral size of tranche of Treausry Bill Option is: 35091550.17588036</t>
  </si>
  <si>
    <t xml:space="preserve"> collateral size of tranche of Collar of REIT is: 40169927.79537769
</t>
  </si>
  <si>
    <t xml:space="preserve"> 40169927.79537769
</t>
  </si>
  <si>
    <t>Collateral ratio of tranche of gold is: 0.7617052061673031</t>
  </si>
  <si>
    <t xml:space="preserve"> collateral ratio of tranche of Treausry Bill Option is: 0.3408537997100503</t>
  </si>
  <si>
    <t xml:space="preserve"> collateral ratio of tranche of Collar of REIT is: 0.3901814668918185
</t>
  </si>
  <si>
    <t xml:space="preserve"> 0.3901814668918185
</t>
  </si>
  <si>
    <t xml:space="preserve">date is: 2022-08-10 00:00:00
</t>
  </si>
  <si>
    <t xml:space="preserve"> 2022-08-10 00</t>
  </si>
  <si>
    <t>current price of gold is: 1792.38</t>
  </si>
  <si>
    <t xml:space="preserve"> predicted price of gold is: 1791.618875879447
</t>
  </si>
  <si>
    <t xml:space="preserve"> 1791.618875879447
</t>
  </si>
  <si>
    <t xml:space="preserve"> current price of tb option is: 4.295335500420316</t>
  </si>
  <si>
    <t xml:space="preserve"> predicted price of tb is: 91.4616408893748
</t>
  </si>
  <si>
    <t xml:space="preserve"> 91.4616408893748
</t>
  </si>
  <si>
    <t xml:space="preserve"> current price of reit option is: 5.610137799688886</t>
  </si>
  <si>
    <t xml:space="preserve"> predicted price of reit is: 65.61106130366561
</t>
  </si>
  <si>
    <t xml:space="preserve"> 65.61106130366561
</t>
  </si>
  <si>
    <t>value_ratio_gold_to_total is: -0.076749034764141</t>
  </si>
  <si>
    <t xml:space="preserve"> risk_ratio_to_gold is: 0.5430180857708918</t>
  </si>
  <si>
    <t xml:space="preserve"> risk_ratio_to_gold_before is: 0.5416070173857809
</t>
  </si>
  <si>
    <t xml:space="preserve"> 0.5416070173857809
</t>
  </si>
  <si>
    <t>value_ratio_tb_to_total is: 0.4544673835459952</t>
  </si>
  <si>
    <t xml:space="preserve"> risk_ratio_tb_to_gold is: 0.4135708314129058</t>
  </si>
  <si>
    <t xml:space="preserve"> risk_ratio_tb_to_gold_before is: 0.4129722488265254
</t>
  </si>
  <si>
    <t xml:space="preserve"> 0.4129722488265254
</t>
  </si>
  <si>
    <t>value_ratio_reit_to_total is: 0.6222816512181458</t>
  </si>
  <si>
    <t xml:space="preserve"> risk_ratio_reit_to_gold is: 0.4279884576858302</t>
  </si>
  <si>
    <t xml:space="preserve"> risk_ratio_reit_to_gold_before is: 0.43338492140879026
</t>
  </si>
  <si>
    <t xml:space="preserve"> 0.43338492140879026
</t>
  </si>
  <si>
    <t>delta_gold is: 0.9989355120967068</t>
  </si>
  <si>
    <t xml:space="preserve"> delta_tb is: 1.0017316659445579</t>
  </si>
  <si>
    <t xml:space="preserve"> delta_reit is: 0.9935154354462872
</t>
  </si>
  <si>
    <t xml:space="preserve"> 0.9935154354462872
</t>
  </si>
  <si>
    <t>delta_gold_risk is: 1.0009153230163053</t>
  </si>
  <si>
    <t xml:space="preserve"> delta_tb_risk is: 1.0004236336466463</t>
  </si>
  <si>
    <t xml:space="preserve"> delta_reit_risk is: 0.996235160812452
</t>
  </si>
  <si>
    <t xml:space="preserve"> 0.996235160812452
</t>
  </si>
  <si>
    <t xml:space="preserve">collateral_ratio_tranche_gold is: 0.7601985529569791
</t>
  </si>
  <si>
    <t xml:space="preserve"> 0.7601985529569791
</t>
  </si>
  <si>
    <t xml:space="preserve">collateral_ratio_tranche_tb is: 0.34166315498828287
</t>
  </si>
  <si>
    <t xml:space="preserve"> 0.34166315498828287
</t>
  </si>
  <si>
    <t xml:space="preserve">collateral_ratio_tranche_reit is: 0.3895309211180128
</t>
  </si>
  <si>
    <t xml:space="preserve"> 0.3895309211180128
</t>
  </si>
  <si>
    <t>Total plot size is: 153397291.1104721</t>
  </si>
  <si>
    <t xml:space="preserve"> plot size of gold is: 78335530.78673987</t>
  </si>
  <si>
    <t xml:space="preserve"> plot size of TB is: 35152317.01826167</t>
  </si>
  <si>
    <t xml:space="preserve"> plot size of REIT is: 39909443.30547058
</t>
  </si>
  <si>
    <t xml:space="preserve"> 39909443.30547058
</t>
  </si>
  <si>
    <t xml:space="preserve">collateral ratio is: 1.4900178929635903
</t>
  </si>
  <si>
    <t xml:space="preserve"> 1.4900178929635903
</t>
  </si>
  <si>
    <t>S_gtbcps_0 is: 0.9999156704668897</t>
  </si>
  <si>
    <t xml:space="preserve">stdev_gtbcps is: 0.008476077091291254
</t>
  </si>
  <si>
    <t xml:space="preserve"> 0.008476077091291254
</t>
  </si>
  <si>
    <t>predicted price of GTBCPS is: 0.9999252808973325</t>
  </si>
  <si>
    <t xml:space="preserve"> actual price is: 0.9999156704668897
</t>
  </si>
  <si>
    <t xml:space="preserve"> 0.9999156704668897
</t>
  </si>
  <si>
    <t>predicted amount of GTBCPS is: 102957658.6961407</t>
  </si>
  <si>
    <t xml:space="preserve"> actual amount is: 102958648.24700652
</t>
  </si>
  <si>
    <t>plot sizes of gold is: 78335530.78673987</t>
  </si>
  <si>
    <t xml:space="preserve"> plot sizes of tb is: 35152317.01826167 </t>
  </si>
  <si>
    <t xml:space="preserve"> plot sizes of reit is: 39909443.30547058</t>
  </si>
  <si>
    <t xml:space="preserve"> plot sizes of total is: 153397291.1104721.
</t>
  </si>
  <si>
    <t xml:space="preserve"> 153397291.1104721.
</t>
  </si>
  <si>
    <t>predicted stdevs of gold is: 0.009129810873378635</t>
  </si>
  <si>
    <t xml:space="preserve"> predicted stdevs of tb is: 0.003279981115382648</t>
  </si>
  <si>
    <t xml:space="preserve"> predicted stdevs of reit is: 0.011769639198467964</t>
  </si>
  <si>
    <t xml:space="preserve"> predicted stdevs of GTBCPS is: 0.008476077091291254.
</t>
  </si>
  <si>
    <t xml:space="preserve"> 0.008476077091291254.
</t>
  </si>
  <si>
    <t>total_value_of_collaterals is: 153397629.87879902</t>
  </si>
  <si>
    <t xml:space="preserve"> createdtionValue_gold is: -752.903924906929</t>
  </si>
  <si>
    <t xml:space="preserve"> createdValue_tb is: -337.8577354776263</t>
  </si>
  <si>
    <t xml:space="preserve"> createdValue_reit is: -383.5799221915136
</t>
  </si>
  <si>
    <t xml:space="preserve"> -383.5799221915136
</t>
  </si>
  <si>
    <t>plotValue_gold_after_creation is: 78336519.16873436</t>
  </si>
  <si>
    <t xml:space="preserve"> plotValue_tb_after_creation  is: 35152690.92908494</t>
  </si>
  <si>
    <t xml:space="preserve"> plotValue_reit_after_creation  is: 39909894.122562304</t>
  </si>
  <si>
    <t xml:space="preserve">total_value_after_creation is: 153399104.22038162
</t>
  </si>
  <si>
    <t xml:space="preserve"> 153399104.22038162
</t>
  </si>
  <si>
    <t>total_amount_gtncps_before_creation is: 102958648.24700652</t>
  </si>
  <si>
    <t>creation_amount_gtbcps is: -989.5508658140898</t>
  </si>
  <si>
    <t xml:space="preserve">total_amount_gtbcps_new is: 102957658.6961407
</t>
  </si>
  <si>
    <t xml:space="preserve"> 102957658.6961407
</t>
  </si>
  <si>
    <t>payout of tranche of gold is: 235.47806957728227</t>
  </si>
  <si>
    <t xml:space="preserve"> payout of tranche of Treausry Bill Option is: 36.053087795780016</t>
  </si>
  <si>
    <t xml:space="preserve"> payout of tranche of Collar of REIT is: 67.23716953444026
</t>
  </si>
  <si>
    <t xml:space="preserve"> 67.23716953444026
</t>
  </si>
  <si>
    <t>Collateral size of tranche of gold is: 78336519.16873436</t>
  </si>
  <si>
    <t xml:space="preserve"> collateral size of tranche of Treausry Bill Option is: 35152690.92908494</t>
  </si>
  <si>
    <t xml:space="preserve"> collateral size of tranche of Collar of REIT is: 39909894.122562304
</t>
  </si>
  <si>
    <t xml:space="preserve"> 39909894.122562304
</t>
  </si>
  <si>
    <t>Collateral ratio of tranche of gold is: 0.7609110470504998</t>
  </si>
  <si>
    <t xml:space="preserve"> collateral ratio of tranche of Treausry Bill Option is: 0.34145084751440313</t>
  </si>
  <si>
    <t xml:space="preserve"> collateral ratio of tranche of Collar of REIT is: 0.3876592890100469
</t>
  </si>
  <si>
    <t xml:space="preserve"> 0.3876592890100469
</t>
  </si>
  <si>
    <t xml:space="preserve">date is: 2022-08-11 00:00:00
</t>
  </si>
  <si>
    <t xml:space="preserve"> 2022-08-11 00</t>
  </si>
  <si>
    <t>current price of gold is: 1789.72</t>
  </si>
  <si>
    <t xml:space="preserve"> predicted price of gold is: 1790.1858209237262
</t>
  </si>
  <si>
    <t xml:space="preserve"> 1790.1858209237262
</t>
  </si>
  <si>
    <t>current price of tb is: 91.16015625</t>
  </si>
  <si>
    <t xml:space="preserve"> current price of tb option is: 4.288909707957516</t>
  </si>
  <si>
    <t xml:space="preserve"> predicted price of tb is: 91.37844188622049
</t>
  </si>
  <si>
    <t xml:space="preserve"> 91.37844188622049
</t>
  </si>
  <si>
    <t>current price of reit is: 66.15</t>
  </si>
  <si>
    <t xml:space="preserve"> current price of reit option is: 5.479839132135609</t>
  </si>
  <si>
    <t xml:space="preserve"> predicted price of reit is: 66.80132374714192
</t>
  </si>
  <si>
    <t xml:space="preserve"> 66.80132374714192
</t>
  </si>
  <si>
    <t>value_ratio_gold_to_total is: 0.04195005479935641</t>
  </si>
  <si>
    <t xml:space="preserve"> risk_ratio_to_gold is: 0.5408510672556232</t>
  </si>
  <si>
    <t xml:space="preserve"> risk_ratio_to_gold_before is: 0.5430180857708918
</t>
  </si>
  <si>
    <t xml:space="preserve"> 0.5430180857708918
</t>
  </si>
  <si>
    <t>value_ratio_tb_to_total is: 0.4059008130575743</t>
  </si>
  <si>
    <t xml:space="preserve"> risk_ratio_tb_to_gold is: 0.41197542005507903</t>
  </si>
  <si>
    <t xml:space="preserve"> risk_ratio_tb_to_gold_before is: 0.4135708314129058
</t>
  </si>
  <si>
    <t xml:space="preserve"> 0.4135708314129058
</t>
  </si>
  <si>
    <t>value_ratio_reit_to_total is: 0.5521491321430693</t>
  </si>
  <si>
    <t xml:space="preserve"> risk_ratio_reit_to_gold is: 0.43696241245060885</t>
  </si>
  <si>
    <t xml:space="preserve"> risk_ratio_reit_to_gold_before is: 0.4279884576858302
</t>
  </si>
  <si>
    <t xml:space="preserve"> 0.4279884576858302
</t>
  </si>
  <si>
    <t>delta_gold is: 0.9985159397002867</t>
  </si>
  <si>
    <t xml:space="preserve"> delta_tb is: 0.9989924202792466</t>
  </si>
  <si>
    <t xml:space="preserve"> delta_reit is: 1.0137234565717335
</t>
  </si>
  <si>
    <t xml:space="preserve"> 1.0137234565717335
</t>
  </si>
  <si>
    <t>delta_gold_risk is: 0.9985955974623681</t>
  </si>
  <si>
    <t xml:space="preserve"> delta_tb_risk is: 0.9988713608668396</t>
  </si>
  <si>
    <t xml:space="preserve"> delta_reit_risk is: 1.0062843328435034
</t>
  </si>
  <si>
    <t xml:space="preserve"> 1.0062843328435034
</t>
  </si>
  <si>
    <t xml:space="preserve">collateral_ratio_tranche_gold is: 0.7608503493353236
</t>
  </si>
  <si>
    <t xml:space="preserve"> 0.7608503493353236
</t>
  </si>
  <si>
    <t xml:space="preserve">collateral_ratio_tranche_tb is: 0.341999778352893
</t>
  </si>
  <si>
    <t xml:space="preserve"> 0.341999778352893
</t>
  </si>
  <si>
    <t xml:space="preserve">collateral_ratio_tranche_reit is: 0.3911055487788543
</t>
  </si>
  <si>
    <t xml:space="preserve"> 0.3911055487788543
</t>
  </si>
  <si>
    <t>Total plot size is: 153795130.66252896</t>
  </si>
  <si>
    <t xml:space="preserve"> plot size of gold is: 78220263.0506183</t>
  </si>
  <si>
    <t xml:space="preserve"> plot size of TB is: 35117271.790574886</t>
  </si>
  <si>
    <t xml:space="preserve"> plot size of REIT is: 40457595.82133577
</t>
  </si>
  <si>
    <t xml:space="preserve"> 40457595.82133577
</t>
  </si>
  <si>
    <t xml:space="preserve">collateral ratio is: 1.4938822900908277
</t>
  </si>
  <si>
    <t xml:space="preserve"> 1.4938822900908277
</t>
  </si>
  <si>
    <t>S_gtbcps_0 is: 0.9999252808973325</t>
  </si>
  <si>
    <t xml:space="preserve">stdev_gtbcps is: 0.008505323990398885
</t>
  </si>
  <si>
    <t xml:space="preserve"> 0.008505323990398885
</t>
  </si>
  <si>
    <t>predicted price of GTBCPS is: 0.9998798214395557</t>
  </si>
  <si>
    <t xml:space="preserve"> actual price is: 0.9999252808973325
</t>
  </si>
  <si>
    <t xml:space="preserve"> 0.9999252808973325
</t>
  </si>
  <si>
    <t>predicted amount of GTBCPS is: 102962339.65803027</t>
  </si>
  <si>
    <t xml:space="preserve"> actual amount is: 102957658.6961407
</t>
  </si>
  <si>
    <t>plot sizes of gold is: 78220263.0506183</t>
  </si>
  <si>
    <t xml:space="preserve"> plot sizes of tb is: 35117271.790574886 </t>
  </si>
  <si>
    <t xml:space="preserve"> plot sizes of reit is: 40457595.82133577</t>
  </si>
  <si>
    <t xml:space="preserve"> plot sizes of total is: 153795130.66252896.
</t>
  </si>
  <si>
    <t xml:space="preserve"> 153795130.66252896.
</t>
  </si>
  <si>
    <t>predicted stdevs of gold is: 0.00912396790964742</t>
  </si>
  <si>
    <t xml:space="preserve"> predicted stdevs of tb is: 0.0032791137095056658</t>
  </si>
  <si>
    <t xml:space="preserve"> predicted stdevs of reit is: 0.011845605438840034</t>
  </si>
  <si>
    <t xml:space="preserve"> predicted stdevs of GTBCPS is: 0.008505323990398885.
</t>
  </si>
  <si>
    <t xml:space="preserve"> 0.008505323990398885.
</t>
  </si>
  <si>
    <t>total_value_of_collaterals is: 153793530.13098</t>
  </si>
  <si>
    <t xml:space="preserve"> createdtionValue_gold is: 3556.068702190565</t>
  </si>
  <si>
    <t xml:space="preserve"> createdValue_tb is: 1596.5210685219674</t>
  </si>
  <si>
    <t xml:space="preserve"> createdValue_reit is: 1839.3031465987729
</t>
  </si>
  <si>
    <t xml:space="preserve"> 1839.3031465987729
</t>
  </si>
  <si>
    <t>plotValue_gold_after_creation is: 78215656.60603759</t>
  </si>
  <si>
    <t xml:space="preserve"> plotValue_tb_after_creation  is: 35115447.45547119</t>
  </si>
  <si>
    <t xml:space="preserve"> plotValue_reit_after_creation  is: 40455434.17655395</t>
  </si>
  <si>
    <t xml:space="preserve">total_value_after_creation is: 153786538.23806274
</t>
  </si>
  <si>
    <t xml:space="preserve"> 153786538.23806274
</t>
  </si>
  <si>
    <t>total_amount_gtncps_before_creation is: 102957658.6961407</t>
  </si>
  <si>
    <t>creation_amount_gtbcps is: 4680.961889564991</t>
  </si>
  <si>
    <t xml:space="preserve">total_amount_gtbcps_new is: 102962339.65803027
</t>
  </si>
  <si>
    <t xml:space="preserve"> 102962339.65803027
</t>
  </si>
  <si>
    <t>payout of tranche of gold is: -1050.3758785348152</t>
  </si>
  <si>
    <t xml:space="preserve"> payout of tranche of Treausry Bill Option is: -227.8140351743218</t>
  </si>
  <si>
    <t xml:space="preserve"> payout of tranche of Collar of REIT is: -322.3416352203336
</t>
  </si>
  <si>
    <t xml:space="preserve"> -322.3416352203336
</t>
  </si>
  <si>
    <t>Collateral size of tranche of gold is: 78215656.60603759</t>
  </si>
  <si>
    <t xml:space="preserve"> collateral size of tranche of Treausry Bill Option is: 35115447.45547119</t>
  </si>
  <si>
    <t xml:space="preserve"> collateral size of tranche of Collar of REIT is: 40455434.17655395
</t>
  </si>
  <si>
    <t xml:space="preserve"> 40455434.17655395
</t>
  </si>
  <si>
    <t>Collateral ratio of tranche of gold is: 0.7597789088397418</t>
  </si>
  <si>
    <t xml:space="preserve"> collateral ratio of tranche of Treausry Bill Option is: 0.3411078741628529</t>
  </si>
  <si>
    <t xml:space="preserve"> collateral ratio of tranche of Collar of REIT is: 0.39297996039487965
</t>
  </si>
  <si>
    <t xml:space="preserve"> 0.39297996039487965
</t>
  </si>
  <si>
    <t xml:space="preserve">date is: 2022-08-12 00:00:00
</t>
  </si>
  <si>
    <t xml:space="preserve"> 2022-08-12 00</t>
  </si>
  <si>
    <t>current price of gold is: 1802.4</t>
  </si>
  <si>
    <t xml:space="preserve"> predicted price of gold is: 1803.6778711741954
</t>
  </si>
  <si>
    <t xml:space="preserve"> 1803.6778711741954
</t>
  </si>
  <si>
    <t>current price of tb is: 91.16796875</t>
  </si>
  <si>
    <t xml:space="preserve"> current price of tb option is: 4.29110087396504</t>
  </si>
  <si>
    <t xml:space="preserve"> predicted price of tb is: 91.3839884652088
</t>
  </si>
  <si>
    <t xml:space="preserve"> 91.3839884652088
</t>
  </si>
  <si>
    <t>current price of reit is: 66.4</t>
  </si>
  <si>
    <t xml:space="preserve"> current price of reit option is: 5.487904426503846</t>
  </si>
  <si>
    <t xml:space="preserve"> predicted price of reit is: 66.78196523169281
</t>
  </si>
  <si>
    <t xml:space="preserve"> 66.78196523169281
</t>
  </si>
  <si>
    <t>value_ratio_gold_to_total is: 0.10964276004438504</t>
  </si>
  <si>
    <t xml:space="preserve"> risk_ratio_to_gold is: 0.537495356163225</t>
  </si>
  <si>
    <t xml:space="preserve"> risk_ratio_to_gold_before is: 0.5408510672556232
</t>
  </si>
  <si>
    <t xml:space="preserve"> 0.5408510672556232
</t>
  </si>
  <si>
    <t>value_ratio_tb_to_total is: 0.38671593133093846</t>
  </si>
  <si>
    <t xml:space="preserve"> risk_ratio_tb_to_gold is: 0.4149523852613717</t>
  </si>
  <si>
    <t xml:space="preserve"> risk_ratio_tb_to_gold_before is: 0.41197542005507903
</t>
  </si>
  <si>
    <t xml:space="preserve"> 0.41197542005507903
</t>
  </si>
  <si>
    <t>value_ratio_reit_to_total is: 0.5036413086246765</t>
  </si>
  <si>
    <t xml:space="preserve"> risk_ratio_reit_to_gold is: 0.4455288050102014</t>
  </si>
  <si>
    <t xml:space="preserve"> risk_ratio_reit_to_gold_before is: 0.43696241245060885
</t>
  </si>
  <si>
    <t xml:space="preserve"> 0.43696241245060885
</t>
  </si>
  <si>
    <t>delta_gold is: 1.007084907136312</t>
  </si>
  <si>
    <t xml:space="preserve"> delta_tb is: 1.0001048063268836</t>
  </si>
  <si>
    <t xml:space="preserve"> delta_reit is: 1.0036027624450221
</t>
  </si>
  <si>
    <t xml:space="preserve"> 1.0036027624450221
</t>
  </si>
  <si>
    <t>delta_gold_risk is: 0.9978221703812199</t>
  </si>
  <si>
    <t xml:space="preserve"> delta_tb_risk is: 1.002108369001336</t>
  </si>
  <si>
    <t xml:space="preserve"> delta_reit_risk is: 1.0059614590370416
</t>
  </si>
  <si>
    <t xml:space="preserve"> 1.0059614590370416
</t>
  </si>
  <si>
    <t xml:space="preserve">collateral_ratio_tranche_gold is: 0.7668319010797967
</t>
  </si>
  <si>
    <t xml:space="preserve"> 0.7668319010797967
</t>
  </si>
  <si>
    <t xml:space="preserve">collateral_ratio_tranche_tb is: 0.3380309630688132
</t>
  </si>
  <si>
    <t xml:space="preserve"> 0.3380309630688132
</t>
  </si>
  <si>
    <t xml:space="preserve">collateral_ratio_tranche_reit is: 0.38930037594183237
</t>
  </si>
  <si>
    <t xml:space="preserve"> 0.38930037594183237
</t>
  </si>
  <si>
    <t>Total plot size is: 154490120.5417352</t>
  </si>
  <si>
    <t xml:space="preserve"> plot size of gold is: 78769807.26969703</t>
  </si>
  <si>
    <t xml:space="preserve"> plot size of TB is: 35119127.77653587</t>
  </si>
  <si>
    <t xml:space="preserve"> plot size of REIT is: 40601185.4955023
</t>
  </si>
  <si>
    <t xml:space="preserve"> 40601185.4955023
</t>
  </si>
  <si>
    <t xml:space="preserve">collateral ratio is: 1.500633043953229
</t>
  </si>
  <si>
    <t xml:space="preserve"> 1.500633043953229
</t>
  </si>
  <si>
    <t>S_gtbcps_0 is: 0.9998798214395557</t>
  </si>
  <si>
    <t xml:space="preserve">stdev_gtbcps is: 0.008409388172115862
</t>
  </si>
  <si>
    <t xml:space="preserve"> 0.008409388172115862
</t>
  </si>
  <si>
    <t>predicted price of GTBCPS is: 0.9998863956063664</t>
  </si>
  <si>
    <t xml:space="preserve"> actual price is: 0.9998798214395557
</t>
  </si>
  <si>
    <t xml:space="preserve"> 0.9998798214395557
</t>
  </si>
  <si>
    <t>predicted amount of GTBCPS is: 103005115.52818087</t>
  </si>
  <si>
    <t xml:space="preserve"> actual amount is: 102962339.65803027
</t>
  </si>
  <si>
    <t>plot sizes of gold is: 78769807.26969703</t>
  </si>
  <si>
    <t xml:space="preserve"> plot sizes of tb is: 35119127.77653587 </t>
  </si>
  <si>
    <t xml:space="preserve"> plot sizes of reit is: 40601185.4955023</t>
  </si>
  <si>
    <t xml:space="preserve"> plot sizes of total is: 154490120.5417352.
</t>
  </si>
  <si>
    <t xml:space="preserve"> 154490120.5417352.
</t>
  </si>
  <si>
    <t>predicted stdevs of gold is: 0.008941727239864014</t>
  </si>
  <si>
    <t xml:space="preserve"> predicted stdevs of tb is: 0.0032461092288146635</t>
  </si>
  <si>
    <t xml:space="preserve"> predicted stdevs of reit is: 0.011842726521373716</t>
  </si>
  <si>
    <t xml:space="preserve"> predicted stdevs of GTBCPS is: 0.008409388172115862.
</t>
  </si>
  <si>
    <t xml:space="preserve"> 0.008409388172115862.
</t>
  </si>
  <si>
    <t>total_value_of_collaterals is: 154490351.89504725</t>
  </si>
  <si>
    <t xml:space="preserve"> createdtionValue_gold is: 32711.516854880232</t>
  </si>
  <si>
    <t xml:space="preserve"> createdValue_tb is: 14584.253719551349</t>
  </si>
  <si>
    <t xml:space="preserve"> createdValue_reit is: 16860.84143746816
</t>
  </si>
  <si>
    <t xml:space="preserve"> 16860.84143746816
</t>
  </si>
  <si>
    <t>plotValue_gold_after_creation is: 78737248.29638891</t>
  </si>
  <si>
    <t xml:space="preserve"> plotValue_tb_after_creation  is: 35104578.34860475</t>
  </si>
  <si>
    <t xml:space="preserve"> plotValue_reit_after_creation  is: 40584368.6380417</t>
  </si>
  <si>
    <t xml:space="preserve">total_value_after_creation is: 154426195.28303537
</t>
  </si>
  <si>
    <t xml:space="preserve"> 154426195.28303537
</t>
  </si>
  <si>
    <t>total_amount_gtncps_before_creation is: 102962339.65803027</t>
  </si>
  <si>
    <t>creation_amount_gtbcps is: 42775.8701505959</t>
  </si>
  <si>
    <t xml:space="preserve">total_amount_gtbcps_new is: 103005115.52818087
</t>
  </si>
  <si>
    <t xml:space="preserve"> 103005115.52818087
</t>
  </si>
  <si>
    <t>payout of tranche of gold is: 152.5435467589356</t>
  </si>
  <si>
    <t xml:space="preserve"> payout of tranche of Treausry Bill Option is: 34.825788437709726</t>
  </si>
  <si>
    <t xml:space="preserve"> payout of tranche of Collar of REIT is: 43.98397686085313
</t>
  </si>
  <si>
    <t xml:space="preserve"> 43.98397686085313
</t>
  </si>
  <si>
    <t>Collateral size of tranche of gold is: 78737248.29638891</t>
  </si>
  <si>
    <t xml:space="preserve"> collateral size of tranche of Treausry Bill Option is: 35104578.34860475</t>
  </si>
  <si>
    <t xml:space="preserve"> collateral size of tranche of Collar of REIT is: 40584368.6380417
</t>
  </si>
  <si>
    <t xml:space="preserve"> 40584368.6380417
</t>
  </si>
  <si>
    <t>Collateral ratio of tranche of gold is: 0.764805796678412</t>
  </si>
  <si>
    <t xml:space="preserve"> collateral ratio of tranche of Treausry Bill Option is: 0.34098454787117216</t>
  </si>
  <si>
    <t xml:space="preserve"> collateral ratio of tranche of Collar of REIT is: 0.3942119017427152
</t>
  </si>
  <si>
    <t xml:space="preserve"> 0.3942119017427152
</t>
  </si>
  <si>
    <t xml:space="preserve">date is: 2022-08-15 00:00:00
</t>
  </si>
  <si>
    <t xml:space="preserve"> 2022-08-15 00</t>
  </si>
  <si>
    <t>current price of gold is: 1779.71</t>
  </si>
  <si>
    <t xml:space="preserve"> predicted price of gold is: 1784.7563085978477
</t>
  </si>
  <si>
    <t xml:space="preserve"> 1784.7563085978477
</t>
  </si>
  <si>
    <t>current price of tb is: 91.3828125</t>
  </si>
  <si>
    <t xml:space="preserve"> current price of tb option is: 4.294300041811033</t>
  </si>
  <si>
    <t xml:space="preserve"> predicted price of tb is: 91.59552472119945
</t>
  </si>
  <si>
    <t xml:space="preserve"> 91.59552472119945
</t>
  </si>
  <si>
    <t>current price of reit is: 65.75</t>
  </si>
  <si>
    <t xml:space="preserve"> current price of reit option is: 5.579638328601902</t>
  </si>
  <si>
    <t xml:space="preserve"> predicted price of reit is: 66.26046298028844
</t>
  </si>
  <si>
    <t xml:space="preserve"> 66.26046298028844
</t>
  </si>
  <si>
    <t>value_ratio_gold_to_total is: 0.32258341832686044</t>
  </si>
  <si>
    <t xml:space="preserve"> risk_ratio_to_gold is: 0.5375648483928939</t>
  </si>
  <si>
    <t xml:space="preserve"> risk_ratio_to_gold_before is: 0.537495356163225
</t>
  </si>
  <si>
    <t xml:space="preserve"> 0.537495356163225
</t>
  </si>
  <si>
    <t>value_ratio_tb_to_total is: 0.28810909877035856</t>
  </si>
  <si>
    <t xml:space="preserve"> risk_ratio_tb_to_gold is: 0.4207026698651506</t>
  </si>
  <si>
    <t xml:space="preserve"> risk_ratio_tb_to_gold_before is: 0.4149523852613717
</t>
  </si>
  <si>
    <t xml:space="preserve"> 0.4149523852613717
</t>
  </si>
  <si>
    <t>value_ratio_reit_to_total is: 0.389307482902781</t>
  </si>
  <si>
    <t xml:space="preserve"> risk_ratio_reit_to_gold is: 0.4395380117746632</t>
  </si>
  <si>
    <t xml:space="preserve"> risk_ratio_reit_to_gold_before is: 0.4455288050102014
</t>
  </si>
  <si>
    <t xml:space="preserve"> 0.4455288050102014
</t>
  </si>
  <si>
    <t>delta_gold is: 0.9874112294718154</t>
  </si>
  <si>
    <t xml:space="preserve"> delta_tb is: 1.0022841508795854</t>
  </si>
  <si>
    <t xml:space="preserve"> delta_reit is: 0.9922342137755218
</t>
  </si>
  <si>
    <t xml:space="preserve"> 0.9922342137755218
</t>
  </si>
  <si>
    <t>delta_gold_risk is: 1.0000451983346748</t>
  </si>
  <si>
    <t xml:space="preserve"> delta_tb_risk is: 1.0040639421253152</t>
  </si>
  <si>
    <t xml:space="preserve"> delta_reit_risk is: 0.9958556389780859
</t>
  </si>
  <si>
    <t xml:space="preserve"> 0.9958556389780859
</t>
  </si>
  <si>
    <t xml:space="preserve">collateral_ratio_tranche_gold is: 0.7551437007676872
</t>
  </si>
  <si>
    <t xml:space="preserve"> 0.7551437007676872
</t>
  </si>
  <si>
    <t xml:space="preserve">collateral_ratio_tranche_tb is: 0.3447197203621991
</t>
  </si>
  <si>
    <t xml:space="preserve"> 0.3447197203621991
</t>
  </si>
  <si>
    <t xml:space="preserve">collateral_ratio_tranche_reit is: 0.3977859882023875
</t>
  </si>
  <si>
    <t xml:space="preserve"> 0.3977859882023875
</t>
  </si>
  <si>
    <t>Total plot size is: 153200004.7548254</t>
  </si>
  <si>
    <t xml:space="preserve"> plot size of gold is: 77746043.14556497</t>
  </si>
  <si>
    <t xml:space="preserve"> plot size of TB is: 35184762.502117194</t>
  </si>
  <si>
    <t xml:space="preserve"> plot size of REIT is: 40269199.107143246
</t>
  </si>
  <si>
    <t xml:space="preserve"> 40269199.107143246
</t>
  </si>
  <si>
    <t xml:space="preserve">collateral ratio is: 1.4874738030265056
</t>
  </si>
  <si>
    <t xml:space="preserve"> 1.4874738030265056
</t>
  </si>
  <si>
    <t>S_gtbcps_0 is: 0.9998863956063664</t>
  </si>
  <si>
    <t xml:space="preserve">stdev_gtbcps is: 0.00829581036199182
</t>
  </si>
  <si>
    <t xml:space="preserve"> 0.00829581036199182
</t>
  </si>
  <si>
    <t>predicted price of GTBCPS is: 0.9998959096728574</t>
  </si>
  <si>
    <t xml:space="preserve"> actual price is: 0.9998863956063664
</t>
  </si>
  <si>
    <t xml:space="preserve"> 0.9998863956063664
</t>
  </si>
  <si>
    <t>predicted amount of GTBCPS is: 103004135.42864394</t>
  </si>
  <si>
    <t xml:space="preserve"> actual amount is: 103005115.52818087
</t>
  </si>
  <si>
    <t>plot sizes of gold is: 77746043.14556497</t>
  </si>
  <si>
    <t xml:space="preserve"> plot sizes of tb is: 35184762.502117194 </t>
  </si>
  <si>
    <t xml:space="preserve"> plot sizes of reit is: 40269199.107143246</t>
  </si>
  <si>
    <t xml:space="preserve"> plot sizes of total is: 153200004.7548254.
</t>
  </si>
  <si>
    <t xml:space="preserve"> 153200004.7548254.
</t>
  </si>
  <si>
    <t>predicted stdevs of gold is: 0.008826567676547556</t>
  </si>
  <si>
    <t xml:space="preserve"> predicted stdevs of tb is: 0.0032567189506491055</t>
  </si>
  <si>
    <t xml:space="preserve"> predicted stdevs of reit is: 0.0116739493981155</t>
  </si>
  <si>
    <t xml:space="preserve"> predicted stdevs of GTBCPS is: 0.00829581036199182.
</t>
  </si>
  <si>
    <t xml:space="preserve"> 0.00829581036199182.
</t>
  </si>
  <si>
    <t>total_value_of_collaterals is: 153200340.4364149</t>
  </si>
  <si>
    <t xml:space="preserve"> createdtionValue_gold is: -739.7674305182509</t>
  </si>
  <si>
    <t xml:space="preserve"> createdValue_tb is: -334.78854549869885</t>
  </si>
  <si>
    <t xml:space="preserve"> createdValue_reit is: -383.1678531645002
</t>
  </si>
  <si>
    <t xml:space="preserve"> -383.1678531645002
</t>
  </si>
  <si>
    <t>plotValue_gold_after_creation is: 77747031.57553464</t>
  </si>
  <si>
    <t xml:space="preserve"> plotValue_tb_after_creation  is: 35185133.25164901</t>
  </si>
  <si>
    <t xml:space="preserve"> plotValue_reit_after_creation  is: 40269633.33306042</t>
  </si>
  <si>
    <t xml:space="preserve">total_value_after_creation is: 153201798.16024408
</t>
  </si>
  <si>
    <t xml:space="preserve"> 153201798.16024408
</t>
  </si>
  <si>
    <t>total_amount_gtncps_before_creation is: 103005115.52818087</t>
  </si>
  <si>
    <t>creation_amount_gtbcps is: -980.0995369255543</t>
  </si>
  <si>
    <t xml:space="preserve">total_amount_gtbcps_new is: 103004135.42864394
</t>
  </si>
  <si>
    <t xml:space="preserve"> 103004135.42864394
</t>
  </si>
  <si>
    <t>payout of tranche of gold is: 248.66253914733596</t>
  </si>
  <si>
    <t xml:space="preserve"> payout of tranche of Treausry Bill Option is: 35.960986315387096</t>
  </si>
  <si>
    <t xml:space="preserve"> payout of tranche of Collar of REIT is: 51.058064013604124
</t>
  </si>
  <si>
    <t xml:space="preserve"> 51.058064013604124
</t>
  </si>
  <si>
    <t>Collateral size of tranche of gold is: 77747031.57553464</t>
  </si>
  <si>
    <t xml:space="preserve"> collateral size of tranche of Treausry Bill Option is: 35185133.25164901</t>
  </si>
  <si>
    <t xml:space="preserve"> collateral size of tranche of Collar of REIT is: 40269633.33306042
</t>
  </si>
  <si>
    <t xml:space="preserve"> 40269633.33306042
</t>
  </si>
  <si>
    <t>Collateral ratio of tranche of gold is: 0.7548666367999349</t>
  </si>
  <si>
    <t xml:space="preserve"> collateral ratio of tranche of Treausry Bill Option is: 0.34162182998878304</t>
  </si>
  <si>
    <t xml:space="preserve"> collateral ratio of tranche of Collar of REIT is: 0.3909885954907576
</t>
  </si>
  <si>
    <t xml:space="preserve"> 0.3909885954907576
</t>
  </si>
  <si>
    <t xml:space="preserve">date is: 2022-08-16 00:00:00
</t>
  </si>
  <si>
    <t xml:space="preserve"> 2022-08-16 00</t>
  </si>
  <si>
    <t>current price of gold is: 1775.69</t>
  </si>
  <si>
    <t xml:space="preserve"> predicted price of gold is: 1777.2195340392034
</t>
  </si>
  <si>
    <t xml:space="preserve"> 1777.2195340392034
</t>
  </si>
  <si>
    <t>current price of tb is: 91.125</t>
  </si>
  <si>
    <t xml:space="preserve"> current price of tb option is: 4.292671251215016</t>
  </si>
  <si>
    <t xml:space="preserve"> predicted price of tb is: 91.33939556612359
</t>
  </si>
  <si>
    <t xml:space="preserve"> 91.33939556612359
</t>
  </si>
  <si>
    <t>current price of reit is: 64.9</t>
  </si>
  <si>
    <t xml:space="preserve"> current price of reit option is: 5.59306266141644</t>
  </si>
  <si>
    <t xml:space="preserve"> predicted price of reit is: 65.43245351597794
</t>
  </si>
  <si>
    <t xml:space="preserve"> 65.43245351597794
</t>
  </si>
  <si>
    <t>value_ratio_gold_to_total is: 0.1257621543137124</t>
  </si>
  <si>
    <t xml:space="preserve"> risk_ratio_to_gold is: 0.5388503385529332</t>
  </si>
  <si>
    <t xml:space="preserve"> risk_ratio_to_gold_before is: 0.5375648483928939
</t>
  </si>
  <si>
    <t xml:space="preserve"> 0.5375648483928939
</t>
  </si>
  <si>
    <t>value_ratio_tb_to_total is: 0.37058242448764483</t>
  </si>
  <si>
    <t xml:space="preserve"> risk_ratio_tb_to_gold is: 0.4198126856613088</t>
  </si>
  <si>
    <t xml:space="preserve"> risk_ratio_tb_to_gold_before is: 0.4207026698651506
</t>
  </si>
  <si>
    <t xml:space="preserve"> 0.4207026698651506
</t>
  </si>
  <si>
    <t>value_ratio_reit_to_total is: 0.5036554211986428</t>
  </si>
  <si>
    <t xml:space="preserve"> risk_ratio_reit_to_gold is: 0.4359901754549533</t>
  </si>
  <si>
    <t xml:space="preserve"> risk_ratio_reit_to_gold_before is: 0.4395380117746632
</t>
  </si>
  <si>
    <t xml:space="preserve"> 0.4395380117746632
</t>
  </si>
  <si>
    <t>delta_gold is: 0.9977412050277854</t>
  </si>
  <si>
    <t xml:space="preserve"> delta_tb is: 0.9972883662173371</t>
  </si>
  <si>
    <t xml:space="preserve"> delta_reit is: 0.988271696215092
</t>
  </si>
  <si>
    <t xml:space="preserve"> 0.988271696215092
</t>
  </si>
  <si>
    <t>delta_gold_risk is: 1.000836055897989</t>
  </si>
  <si>
    <t xml:space="preserve"> delta_tb_risk is: 0.9993735605466793</t>
  </si>
  <si>
    <t xml:space="preserve"> delta_reit_risk is: 0.9975354340832333
</t>
  </si>
  <si>
    <t xml:space="preserve"> 0.9975354340832333
</t>
  </si>
  <si>
    <t xml:space="preserve">collateral_ratio_tranche_gold is: 0.7525323886940433
</t>
  </si>
  <si>
    <t xml:space="preserve"> 0.7525323886940433
</t>
  </si>
  <si>
    <t xml:space="preserve">collateral_ratio_tranche_tb is: 0.34168082248749776
</t>
  </si>
  <si>
    <t xml:space="preserve"> 0.34168082248749776
</t>
  </si>
  <si>
    <t xml:space="preserve">collateral_ratio_tranche_reit is: 0.3882345731830222
</t>
  </si>
  <si>
    <t xml:space="preserve"> 0.3882345731830222
</t>
  </si>
  <si>
    <t>Total plot size is: 152458479.867207</t>
  </si>
  <si>
    <t xml:space="preserve"> plot size of gold is: 77571416.97150722</t>
  </si>
  <si>
    <t xml:space="preserve"> plot size of TB is: 35089724.05567634</t>
  </si>
  <si>
    <t xml:space="preserve"> plot size of REIT is: 39797338.840023436
</t>
  </si>
  <si>
    <t xml:space="preserve"> 39797338.840023436
</t>
  </si>
  <si>
    <t xml:space="preserve">collateral ratio is: 1.4802740718881824
</t>
  </si>
  <si>
    <t xml:space="preserve"> 1.4802740718881824
</t>
  </si>
  <si>
    <t>S_gtbcps_0 is: 0.9998959096728574</t>
  </si>
  <si>
    <t xml:space="preserve">stdev_gtbcps is: 0.008340075605286351
</t>
  </si>
  <si>
    <t xml:space="preserve"> 0.008340075605286351
</t>
  </si>
  <si>
    <t>predicted price of GTBCPS is: 0.9999018574831771</t>
  </si>
  <si>
    <t xml:space="preserve"> actual price is: 0.9998959096728574
</t>
  </si>
  <si>
    <t xml:space="preserve"> 0.9998959096728574
</t>
  </si>
  <si>
    <t>predicted amount of GTBCPS is: 103003522.71945146</t>
  </si>
  <si>
    <t xml:space="preserve"> actual amount is: 103004135.42864394
</t>
  </si>
  <si>
    <t>plot sizes of gold is: 77571416.97150722</t>
  </si>
  <si>
    <t xml:space="preserve"> plot sizes of tb is: 35089724.05567634 </t>
  </si>
  <si>
    <t xml:space="preserve"> plot sizes of reit is: 39797338.840023436</t>
  </si>
  <si>
    <t xml:space="preserve"> plot sizes of total is: 152458479.867207.
</t>
  </si>
  <si>
    <t xml:space="preserve"> 152458479.867207.
</t>
  </si>
  <si>
    <t>predicted stdevs of gold is: 0.008890399682979435</t>
  </si>
  <si>
    <t xml:space="preserve"> predicted stdevs of tb is: 0.00325450365008134</t>
  </si>
  <si>
    <t xml:space="preserve"> predicted stdevs of reit is: 0.01175140666485726</t>
  </si>
  <si>
    <t xml:space="preserve"> predicted stdevs of GTBCPS is: 0.008340075605286351.
</t>
  </si>
  <si>
    <t xml:space="preserve"> 0.008340075605286351.
</t>
  </si>
  <si>
    <t>total_value_of_collaterals is: 152458689.5275143</t>
  </si>
  <si>
    <t xml:space="preserve"> createdtionValue_gold is: -461.42892248232516</t>
  </si>
  <si>
    <t xml:space="preserve"> createdValue_tb is: -208.72892959950914</t>
  </si>
  <si>
    <t xml:space="preserve"> createdValue_reit is: -236.73191325262786
</t>
  </si>
  <si>
    <t xml:space="preserve"> -236.73191325262786
</t>
  </si>
  <si>
    <t>plotValue_gold_after_creation is: 77572015.90092993</t>
  </si>
  <si>
    <t xml:space="preserve"> plotValue_tb_after_creation  is: 35089963.062507026</t>
  </si>
  <si>
    <t xml:space="preserve"> plotValue_reit_after_creation  is: 39797617.4538427</t>
  </si>
  <si>
    <t xml:space="preserve">total_value_after_creation is: 152459596.41727966
</t>
  </si>
  <si>
    <t xml:space="preserve"> 152459596.41727966
</t>
  </si>
  <si>
    <t>total_amount_gtncps_before_creation is: 103004135.42864394</t>
  </si>
  <si>
    <t>creation_amount_gtbcps is: -612.7091924846172</t>
  </si>
  <si>
    <t xml:space="preserve">total_amount_gtbcps_new is: 103003522.71945146
</t>
  </si>
  <si>
    <t xml:space="preserve"> 103003522.71945146
</t>
  </si>
  <si>
    <t>payout of tranche of gold is: 137.5005002189616</t>
  </si>
  <si>
    <t xml:space="preserve"> payout of tranche of Treausry Bill Option is: 30.277901085954447</t>
  </si>
  <si>
    <t xml:space="preserve"> payout of tranche of Collar of REIT is: 41.88190600847368
</t>
  </si>
  <si>
    <t xml:space="preserve"> 41.88190600847368
</t>
  </si>
  <si>
    <t>Collateral size of tranche of gold is: 77572015.90092993</t>
  </si>
  <si>
    <t xml:space="preserve"> collateral size of tranche of Treausry Bill Option is: 35089963.062507026</t>
  </si>
  <si>
    <t xml:space="preserve"> collateral size of tranche of Collar of REIT is: 39797617.4538427
</t>
  </si>
  <si>
    <t xml:space="preserve"> 39797617.4538427
</t>
  </si>
  <si>
    <t>Collateral ratio of tranche of gold is: 0.7531700493209044</t>
  </si>
  <si>
    <t xml:space="preserve"> collateral ratio of tranche of Treausry Bill Option is: 0.3406990124403909</t>
  </si>
  <si>
    <t xml:space="preserve"> collateral ratio of tranche of Collar of REIT is: 0.38640704579402146
</t>
  </si>
  <si>
    <t xml:space="preserve"> 0.38640704579402146
</t>
  </si>
  <si>
    <t xml:space="preserve">date is: 2022-08-17 00:00:00
</t>
  </si>
  <si>
    <t xml:space="preserve"> 2022-08-17 00</t>
  </si>
  <si>
    <t>current price of gold is: 1761.77</t>
  </si>
  <si>
    <t xml:space="preserve"> predicted price of gold is: 1763.9601321220473
</t>
  </si>
  <si>
    <t xml:space="preserve"> 1763.9601321220473
</t>
  </si>
  <si>
    <t>current price of tb is: 90.8984375</t>
  </si>
  <si>
    <t xml:space="preserve"> current price of tb option is: 4.288046174085069</t>
  </si>
  <si>
    <t xml:space="preserve"> predicted price of tb is: 91.11761505735073
</t>
  </si>
  <si>
    <t xml:space="preserve"> 91.11761505735073
</t>
  </si>
  <si>
    <t xml:space="preserve"> current price of reit option is: 5.6625806195183515</t>
  </si>
  <si>
    <t xml:space="preserve"> predicted price of reit is: 65.57456987344655
</t>
  </si>
  <si>
    <t xml:space="preserve"> 65.57456987344655
</t>
  </si>
  <si>
    <t>value_ratio_gold_to_total is: 0.16802570529601543</t>
  </si>
  <si>
    <t xml:space="preserve"> risk_ratio_to_gold is: 0.5393914138758026</t>
  </si>
  <si>
    <t xml:space="preserve"> risk_ratio_to_gold_before is: 0.5388503385529332
</t>
  </si>
  <si>
    <t xml:space="preserve"> 0.5388503385529332
</t>
  </si>
  <si>
    <t>value_ratio_tb_to_total is: 0.3457916710949355</t>
  </si>
  <si>
    <t xml:space="preserve"> risk_ratio_tb_to_gold is: 0.4219864962555579</t>
  </si>
  <si>
    <t xml:space="preserve"> risk_ratio_tb_to_gold_before is: 0.4198126856613088
</t>
  </si>
  <si>
    <t xml:space="preserve"> 0.4198126856613088
</t>
  </si>
  <si>
    <t>value_ratio_reit_to_total is: 0.48618262360904907</t>
  </si>
  <si>
    <t xml:space="preserve"> risk_ratio_reit_to_gold is: 0.4319547684273367</t>
  </si>
  <si>
    <t xml:space="preserve"> risk_ratio_reit_to_gold_before is: 0.4359901754549533
</t>
  </si>
  <si>
    <t xml:space="preserve"> 0.4359901754549533
</t>
  </si>
  <si>
    <t>delta_gold is: 0.9921607938322567</t>
  </si>
  <si>
    <t xml:space="preserve"> delta_tb is: 0.9975770989367234</t>
  </si>
  <si>
    <t xml:space="preserve"> delta_reit is: 1.0009861673684943
</t>
  </si>
  <si>
    <t xml:space="preserve"> 1.0009861673684943
</t>
  </si>
  <si>
    <t>delta_gold_risk is: 1.0003516101009395</t>
  </si>
  <si>
    <t xml:space="preserve"> delta_tb_risk is: 1.0015310544948657</t>
  </si>
  <si>
    <t xml:space="preserve"> delta_reit_risk is: 0.9971898087489782
</t>
  </si>
  <si>
    <t xml:space="preserve"> 0.9971898087489782
</t>
  </si>
  <si>
    <t xml:space="preserve">collateral_ratio_tranche_gold is: 0.7470031401753893
</t>
  </si>
  <si>
    <t xml:space="preserve"> 0.7470031401753893
</t>
  </si>
  <si>
    <t xml:space="preserve">collateral_ratio_tranche_tb is: 0.34203524785501416
</t>
  </si>
  <si>
    <t xml:space="preserve"> 0.34203524785501416
</t>
  </si>
  <si>
    <t xml:space="preserve">collateral_ratio_tranche_reit is: 0.39094280072614085
</t>
  </si>
  <si>
    <t xml:space="preserve"> 0.39094280072614085
</t>
  </si>
  <si>
    <t>Total plot size is: 151805720.99464712</t>
  </si>
  <si>
    <t xml:space="preserve"> plot size of gold is: 76963912.87543508</t>
  </si>
  <si>
    <t xml:space="preserve"> plot size of TB is: 35004943.55369254</t>
  </si>
  <si>
    <t xml:space="preserve"> plot size of REIT is: 39836864.5655195
</t>
  </si>
  <si>
    <t xml:space="preserve"> 39836864.5655195
</t>
  </si>
  <si>
    <t xml:space="preserve">collateral ratio is: 1.4739362018327615
</t>
  </si>
  <si>
    <t xml:space="preserve"> 1.4739362018327615
</t>
  </si>
  <si>
    <t>S_gtbcps_0 is: 0.9999018574831771</t>
  </si>
  <si>
    <t xml:space="preserve">stdev_gtbcps is: 0.008088679471797543
</t>
  </si>
  <si>
    <t xml:space="preserve"> 0.008088679471797543
</t>
  </si>
  <si>
    <t>predicted price of GTBCPS is: 0.9998574832074034</t>
  </si>
  <si>
    <t xml:space="preserve"> actual price is: 0.9999018574831771
</t>
  </si>
  <si>
    <t xml:space="preserve"> 0.9999018574831771
</t>
  </si>
  <si>
    <t>predicted amount of GTBCPS is: 103008094.07766959</t>
  </si>
  <si>
    <t xml:space="preserve"> actual amount is: 103003522.71945146
</t>
  </si>
  <si>
    <t>plot sizes of gold is: 76963912.87543508</t>
  </si>
  <si>
    <t xml:space="preserve"> plot sizes of tb is: 35004943.55369254 </t>
  </si>
  <si>
    <t xml:space="preserve"> plot sizes of reit is: 39836864.5655195</t>
  </si>
  <si>
    <t xml:space="preserve"> plot sizes of total is: 151805720.99464715.
</t>
  </si>
  <si>
    <t xml:space="preserve"> 151805720.99464715.
</t>
  </si>
  <si>
    <t>predicted stdevs of gold is: 0.008845805243039215</t>
  </si>
  <si>
    <t xml:space="preserve"> predicted stdevs of tb is: 0.0032591624755568794</t>
  </si>
  <si>
    <t xml:space="preserve"> predicted stdevs of reit is: 0.010869661588731074</t>
  </si>
  <si>
    <t xml:space="preserve"> predicted stdevs of GTBCPS is: 0.008088679471797543.
</t>
  </si>
  <si>
    <t xml:space="preserve"> 0.008088679471797543.
</t>
  </si>
  <si>
    <t>total_value_of_collaterals is: 151804156.52543142</t>
  </si>
  <si>
    <t xml:space="preserve"> createdtionValue_gold is: 3415.5077988183625</t>
  </si>
  <si>
    <t xml:space="preserve"> createdValue_tb is: 1553.4614194826156</t>
  </si>
  <si>
    <t xml:space="preserve"> createdValue_reit is: 1767.8914594249718
</t>
  </si>
  <si>
    <t xml:space="preserve"> 1767.8914594249718
</t>
  </si>
  <si>
    <t>plotValue_gold_after_creation is: 76959476.45461474</t>
  </si>
  <si>
    <t xml:space="preserve"> plotValue_tb_after_creation  is: 35003163.38823345</t>
  </si>
  <si>
    <t xml:space="preserve"> plotValue_reit_after_creation  is: 39834779.82190551</t>
  </si>
  <si>
    <t xml:space="preserve">total_value_after_creation is: 151797419.6647537
</t>
  </si>
  <si>
    <t xml:space="preserve"> 151797419.6647537
</t>
  </si>
  <si>
    <t>total_amount_gtncps_before_creation is: 103003522.71945146</t>
  </si>
  <si>
    <t>creation_amount_gtbcps is: 4571.35821813345</t>
  </si>
  <si>
    <t xml:space="preserve">total_amount_gtbcps_new is: 103008094.07766959
</t>
  </si>
  <si>
    <t xml:space="preserve"> 103008094.07766959
</t>
  </si>
  <si>
    <t>payout of tranche of gold is: -1020.9130215125347</t>
  </si>
  <si>
    <t xml:space="preserve"> payout of tranche of Treausry Bill Option is: -226.70403960702393</t>
  </si>
  <si>
    <t xml:space="preserve"> payout of tranche of Collar of REIT is: -316.85215456011167
</t>
  </si>
  <si>
    <t xml:space="preserve"> -316.85215456011167
</t>
  </si>
  <si>
    <t>Collateral size of tranche of gold is: 76959476.45461474</t>
  </si>
  <si>
    <t xml:space="preserve"> collateral size of tranche of Treausry Bill Option is: 35003163.38823345</t>
  </si>
  <si>
    <t xml:space="preserve"> collateral size of tranche of Collar of REIT is: 39834779.82190551
</t>
  </si>
  <si>
    <t xml:space="preserve"> 39834779.82190551
</t>
  </si>
  <si>
    <t>Collateral ratio of tranche of gold is: 0.7472603266720429</t>
  </si>
  <si>
    <t xml:space="preserve"> collateral ratio of tranche of Treausry Bill Option is: 0.33987335300379107</t>
  </si>
  <si>
    <t xml:space="preserve"> collateral ratio of tranche of Collar of REIT is: 0.3867873321640962
</t>
  </si>
  <si>
    <t xml:space="preserve"> 0.3867873321640962
</t>
  </si>
  <si>
    <t xml:space="preserve">date is: 2022-08-18 00:00:00
</t>
  </si>
  <si>
    <t xml:space="preserve"> 2022-08-18 00</t>
  </si>
  <si>
    <t>current price of gold is: 1758.61</t>
  </si>
  <si>
    <t xml:space="preserve"> predicted price of gold is: 1760.5332187190088
</t>
  </si>
  <si>
    <t xml:space="preserve"> 1760.5332187190088
</t>
  </si>
  <si>
    <t>current price of tb is: 91.02734375</t>
  </si>
  <si>
    <t xml:space="preserve"> current price of tb option is: 4.288481419217536</t>
  </si>
  <si>
    <t xml:space="preserve"> predicted price of tb is: 91.24607174360288
</t>
  </si>
  <si>
    <t xml:space="preserve"> 91.24607174360288
</t>
  </si>
  <si>
    <t>current price of reit is: 64.05</t>
  </si>
  <si>
    <t xml:space="preserve"> current price of reit option is: 5.702946735758317</t>
  </si>
  <si>
    <t xml:space="preserve"> predicted price of reit is: 64.69114985797918
</t>
  </si>
  <si>
    <t xml:space="preserve"> 64.69114985797918
</t>
  </si>
  <si>
    <t>value_ratio_gold_to_total is: 0.15055109762007723</t>
  </si>
  <si>
    <t xml:space="preserve"> risk_ratio_to_gold is: 0.5397642742159766</t>
  </si>
  <si>
    <t xml:space="preserve"> risk_ratio_to_gold_before is: 0.5393914138758026
</t>
  </si>
  <si>
    <t xml:space="preserve"> 0.5393914138758026
</t>
  </si>
  <si>
    <t>value_ratio_tb_to_total is: 0.3528279532623023</t>
  </si>
  <si>
    <t xml:space="preserve"> risk_ratio_tb_to_gold is: 0.42373377574638227</t>
  </si>
  <si>
    <t xml:space="preserve"> risk_ratio_tb_to_gold_before is: 0.4219864962555579
</t>
  </si>
  <si>
    <t xml:space="preserve"> 0.4219864962555579
</t>
  </si>
  <si>
    <t>value_ratio_reit_to_total is: 0.49662094911762045</t>
  </si>
  <si>
    <t xml:space="preserve"> risk_ratio_reit_to_gold is: 0.42892681660669507</t>
  </si>
  <si>
    <t xml:space="preserve"> risk_ratio_reit_to_gold_before is: 0.4319547684273367
</t>
  </si>
  <si>
    <t xml:space="preserve"> 0.4319547684273367
</t>
  </si>
  <si>
    <t>delta_gold is: 0.9982063492964461</t>
  </si>
  <si>
    <t xml:space="preserve"> delta_tb is: 1.0013588220736815</t>
  </si>
  <si>
    <t xml:space="preserve"> delta_reit is: 0.9885260165281414
</t>
  </si>
  <si>
    <t xml:space="preserve"> 0.9885260165281414
</t>
  </si>
  <si>
    <t>delta_gold_risk is: 1.000242212823076</t>
  </si>
  <si>
    <t xml:space="preserve"> delta_tb_risk is: 1.0012287595525171</t>
  </si>
  <si>
    <t xml:space="preserve"> delta_reit_risk is: 0.9978854417140794
</t>
  </si>
  <si>
    <t xml:space="preserve"> 0.9978854417140794
</t>
  </si>
  <si>
    <t xml:space="preserve">collateral_ratio_tranche_gold is: 0.7457393750220668
</t>
  </si>
  <si>
    <t xml:space="preserve"> 0.7457393750220668
</t>
  </si>
  <si>
    <t xml:space="preserve">collateral_ratio_tranche_tb is: 0.34052829234972104
</t>
  </si>
  <si>
    <t xml:space="preserve"> 0.34052829234972104
</t>
  </si>
  <si>
    <t xml:space="preserve">collateral_ratio_tranche_reit is: 0.3838480432300839
</t>
  </si>
  <si>
    <t xml:space="preserve"> 0.3838480432300839
</t>
  </si>
  <si>
    <t>Total plot size is: 151249880.71144468</t>
  </si>
  <si>
    <t xml:space="preserve"> plot size of gold is: 76821438.03552678</t>
  </si>
  <si>
    <t xml:space="preserve"> plot size of TB is: 35050726.459294066</t>
  </si>
  <si>
    <t xml:space="preserve"> plot size of REIT is: 39377716.21662384
</t>
  </si>
  <si>
    <t xml:space="preserve"> 39377716.21662384
</t>
  </si>
  <si>
    <t xml:space="preserve">collateral ratio is: 1.4685393491286531
</t>
  </si>
  <si>
    <t xml:space="preserve"> 1.4685393491286531
</t>
  </si>
  <si>
    <t>S_gtbcps_0 is: 0.9998574832074034</t>
  </si>
  <si>
    <t xml:space="preserve">stdev_gtbcps is: 0.008083487525103905
</t>
  </si>
  <si>
    <t xml:space="preserve"> 0.008083487525103905
</t>
  </si>
  <si>
    <t>predicted price of GTBCPS is: 0.9998677823330514</t>
  </si>
  <si>
    <t xml:space="preserve"> actual price is: 0.9998574832074034
</t>
  </si>
  <si>
    <t xml:space="preserve"> 0.9998574832074034
</t>
  </si>
  <si>
    <t>predicted amount of GTBCPS is: 103007033.04407853</t>
  </si>
  <si>
    <t xml:space="preserve"> actual amount is: 103008094.07766959
</t>
  </si>
  <si>
    <t>plot sizes of gold is: 76821438.03552678</t>
  </si>
  <si>
    <t xml:space="preserve"> plot sizes of tb is: 35050726.459294066 </t>
  </si>
  <si>
    <t xml:space="preserve"> plot sizes of reit is: 39377716.21662384</t>
  </si>
  <si>
    <t xml:space="preserve"> plot sizes of total is: 151249880.71144468.
</t>
  </si>
  <si>
    <t xml:space="preserve"> 151249880.71144468.
</t>
  </si>
  <si>
    <t>predicted stdevs of gold is: 0.008815163432794692</t>
  </si>
  <si>
    <t xml:space="preserve"> predicted stdevs of tb is: 0.003263469170431591</t>
  </si>
  <si>
    <t xml:space="preserve"> predicted stdevs of reit is: 0.010946445571056984</t>
  </si>
  <si>
    <t xml:space="preserve"> predicted stdevs of GTBCPS is: 0.008083487525103905.
</t>
  </si>
  <si>
    <t xml:space="preserve"> 0.008083487525103905.
</t>
  </si>
  <si>
    <t>total_value_of_collaterals is: 151250243.52683318</t>
  </si>
  <si>
    <t xml:space="preserve"> createdtionValue_gold is: -791.3090037527396</t>
  </si>
  <si>
    <t xml:space="preserve"> createdValue_tb is: -361.0436984653245</t>
  </si>
  <si>
    <t xml:space="preserve"> createdValue_reit is: -405.61459667092817
</t>
  </si>
  <si>
    <t xml:space="preserve"> -405.61459667092817
</t>
  </si>
  <si>
    <t>plotValue_gold_after_creation is: 76822480.44710511</t>
  </si>
  <si>
    <t xml:space="preserve"> plotValue_tb_after_creation  is: 35051127.09998895</t>
  </si>
  <si>
    <t xml:space="preserve"> plotValue_reit_after_creation  is: 39378193.94703801</t>
  </si>
  <si>
    <t xml:space="preserve">total_value_after_creation is: 151251801.49413207
</t>
  </si>
  <si>
    <t xml:space="preserve"> 151251801.49413207
</t>
  </si>
  <si>
    <t>total_amount_gtncps_before_creation is: 103008094.07766959</t>
  </si>
  <si>
    <t>creation_amount_gtbcps is: -1061.0335910618305</t>
  </si>
  <si>
    <t xml:space="preserve">total_amount_gtbcps_new is: 103007033.04407853
</t>
  </si>
  <si>
    <t xml:space="preserve"> 103007033.04407853
</t>
  </si>
  <si>
    <t>payout of tranche of gold is: 251.1025745759187</t>
  </si>
  <si>
    <t xml:space="preserve"> payout of tranche of Treausry Bill Option is: 39.59699641581958</t>
  </si>
  <si>
    <t xml:space="preserve"> payout of tranche of Collar of REIT is: 72.11581749276596
</t>
  </si>
  <si>
    <t xml:space="preserve"> 72.11581749276596
</t>
  </si>
  <si>
    <t>Collateral size of tranche of gold is: 76822480.44710511</t>
  </si>
  <si>
    <t xml:space="preserve"> collateral size of tranche of Treausry Bill Option is: 35051127.09998895</t>
  </si>
  <si>
    <t xml:space="preserve"> collateral size of tranche of Collar of REIT is: 39378193.94703801
</t>
  </si>
  <si>
    <t xml:space="preserve"> 39378193.94703801
</t>
  </si>
  <si>
    <t>Collateral ratio of tranche of gold is: 0.7458893377976372</t>
  </si>
  <si>
    <t xml:space="preserve"> collateral ratio of tranche of Treausry Bill Option is: 0.3403204612700938</t>
  </si>
  <si>
    <t xml:space="preserve"> collateral ratio of tranche of Collar of REIT is: 0.3823330727656805
</t>
  </si>
  <si>
    <t xml:space="preserve"> 0.3823330727656805
</t>
  </si>
  <si>
    <t xml:space="preserve">date is: 2022-08-19 00:00:00
</t>
  </si>
  <si>
    <t xml:space="preserve"> 2022-08-19 00</t>
  </si>
  <si>
    <t>current price of gold is: 1747.06</t>
  </si>
  <si>
    <t xml:space="preserve"> predicted price of gold is: 1752.9920564954534
</t>
  </si>
  <si>
    <t xml:space="preserve"> 1752.9920564954534
</t>
  </si>
  <si>
    <t>current price of tb is: 90.9140625</t>
  </si>
  <si>
    <t xml:space="preserve"> current price of tb option is: 4.281400131909513</t>
  </si>
  <si>
    <t xml:space="preserve"> predicted price of tb is: 91.14011298505723
</t>
  </si>
  <si>
    <t xml:space="preserve"> 91.14011298505723
</t>
  </si>
  <si>
    <t>current price of reit is: 63.15</t>
  </si>
  <si>
    <t xml:space="preserve"> current price of reit option is: 5.684692860345429</t>
  </si>
  <si>
    <t xml:space="preserve"> predicted price of reit is: 63.75853463018079
</t>
  </si>
  <si>
    <t xml:space="preserve"> 63.75853463018079
</t>
  </si>
  <si>
    <t>value_ratio_gold_to_total is: 0.35451805315844265</t>
  </si>
  <si>
    <t xml:space="preserve"> risk_ratio_to_gold is: 0.5438591966039672</t>
  </si>
  <si>
    <t xml:space="preserve"> risk_ratio_to_gold_before is: 0.5397642742159766
</t>
  </si>
  <si>
    <t xml:space="preserve"> 0.5397642742159766
</t>
  </si>
  <si>
    <t>value_ratio_tb_to_total is: 0.26937919735923055</t>
  </si>
  <si>
    <t xml:space="preserve"> risk_ratio_tb_to_gold is: 0.41687450277973925</t>
  </si>
  <si>
    <t xml:space="preserve"> risk_ratio_tb_to_gold_before is: 0.42373377574638227
</t>
  </si>
  <si>
    <t xml:space="preserve"> 0.42373377574638227
</t>
  </si>
  <si>
    <t>value_ratio_reit_to_total is: 0.3761027494823268</t>
  </si>
  <si>
    <t xml:space="preserve"> risk_ratio_reit_to_gold is: 0.4218367045406914</t>
  </si>
  <si>
    <t xml:space="preserve"> risk_ratio_reit_to_gold_before is: 0.42892681660669507
</t>
  </si>
  <si>
    <t xml:space="preserve"> 0.42892681660669507
</t>
  </si>
  <si>
    <t>delta_gold is: 0.993432313019942</t>
  </si>
  <si>
    <t xml:space="preserve"> delta_tb is: 0.9987372239909339</t>
  </si>
  <si>
    <t xml:space="preserve"> delta_reit is: 0.9868356260432772
</t>
  </si>
  <si>
    <t xml:space="preserve"> 0.9868356260432772
</t>
  </si>
  <si>
    <t>delta_gold_risk is: 1.0026594475898434</t>
  </si>
  <si>
    <t xml:space="preserve"> delta_tb_risk is: 0.9951821941127673</t>
  </si>
  <si>
    <t xml:space="preserve"> delta_reit_risk is: 0.9950381559198107
</t>
  </si>
  <si>
    <t xml:space="preserve"> 0.9950381559198107
</t>
  </si>
  <si>
    <t xml:space="preserve">collateral_ratio_tranche_gold is: 0.7390251713943213
</t>
  </si>
  <si>
    <t xml:space="preserve"> 0.7390251713943213
</t>
  </si>
  <si>
    <t xml:space="preserve">collateral_ratio_tranche_tb is: 0.3437940997484702
</t>
  </si>
  <si>
    <t xml:space="preserve"> 0.3437940997484702
</t>
  </si>
  <si>
    <t xml:space="preserve">collateral_ratio_tranche_reit is: 0.3816881441412764
</t>
  </si>
  <si>
    <t xml:space="preserve"> 0.3816881441412764
</t>
  </si>
  <si>
    <t>Total plot size is: 150184604.4962721</t>
  </si>
  <si>
    <t xml:space="preserve"> plot size of gold is: 76317934.4424969</t>
  </si>
  <si>
    <t xml:space="preserve"> plot size of TB is: 35006865.377596356</t>
  </si>
  <si>
    <t xml:space="preserve"> plot size of REIT is: 38859804.67617884
</t>
  </si>
  <si>
    <t xml:space="preserve"> 38859804.67617884
</t>
  </si>
  <si>
    <t xml:space="preserve">collateral ratio is: 1.4581962002130096
</t>
  </si>
  <si>
    <t xml:space="preserve"> 1.4581962002130096
</t>
  </si>
  <si>
    <t>S_gtbcps_0 is: 0.9998677823330514</t>
  </si>
  <si>
    <t xml:space="preserve">stdev_gtbcps is: 0.008034056128993638
</t>
  </si>
  <si>
    <t xml:space="preserve"> 0.008034056128993638
</t>
  </si>
  <si>
    <t>predicted price of GTBCPS is: 0.9998467125820775</t>
  </si>
  <si>
    <t xml:space="preserve"> actual price is: 0.9998677823330514
</t>
  </si>
  <si>
    <t xml:space="preserve"> 0.9998677823330514
</t>
  </si>
  <si>
    <t>predicted amount of GTBCPS is: 103009203.709349</t>
  </si>
  <si>
    <t xml:space="preserve"> actual amount is: 103007033.04407853
</t>
  </si>
  <si>
    <t>plot sizes of gold is: 76317934.4424969</t>
  </si>
  <si>
    <t xml:space="preserve"> plot sizes of tb is: 35006865.377596356 </t>
  </si>
  <si>
    <t xml:space="preserve"> plot sizes of reit is: 38859804.67617884</t>
  </si>
  <si>
    <t xml:space="preserve"> plot sizes of total is: 150184604.4962721.
</t>
  </si>
  <si>
    <t xml:space="preserve"> 150184604.4962721.
</t>
  </si>
  <si>
    <t>predicted stdevs of gold is: 0.008775378281146528</t>
  </si>
  <si>
    <t xml:space="preserve"> predicted stdevs of tb is: 0.003200841682927784</t>
  </si>
  <si>
    <t xml:space="preserve"> predicted stdevs of reit is: 0.010932153867368075</t>
  </si>
  <si>
    <t xml:space="preserve"> predicted stdevs of GTBCPS is: 0.008034056128993638.
</t>
  </si>
  <si>
    <t xml:space="preserve"> 0.008034056128993638.
</t>
  </si>
  <si>
    <t>total_value_of_collaterals is: 150183861.2599861</t>
  </si>
  <si>
    <t xml:space="preserve"> createdtionValue_gold is: 1608.2015230458962</t>
  </si>
  <si>
    <t xml:space="preserve"> createdValue_tb is: 737.6809680976871</t>
  </si>
  <si>
    <t xml:space="preserve"> createdValue_reit is: 818.8725024306528
</t>
  </si>
  <si>
    <t xml:space="preserve"> 818.8725024306528
</t>
  </si>
  <si>
    <t>plotValue_gold_after_creation is: 76315804.9649372</t>
  </si>
  <si>
    <t xml:space="preserve"> plotValue_tb_after_creation  is: 35006008.936656445</t>
  </si>
  <si>
    <t xml:space="preserve"> plotValue_reit_after_creation  is: 38858882.603398874</t>
  </si>
  <si>
    <t xml:space="preserve">total_value_after_creation is: 150180696.5049925
</t>
  </si>
  <si>
    <t xml:space="preserve"> 150180696.5049925
</t>
  </si>
  <si>
    <t>total_amount_gtncps_before_creation is: 103007033.04407853</t>
  </si>
  <si>
    <t>creation_amount_gtbcps is: 2170.6652704775333</t>
  </si>
  <si>
    <t xml:space="preserve">total_amount_gtbcps_new is: 103009203.709349
</t>
  </si>
  <si>
    <t xml:space="preserve"> 103009203.709349
</t>
  </si>
  <si>
    <t>payout of tranche of gold is: -521.2760366509734</t>
  </si>
  <si>
    <t xml:space="preserve"> payout of tranche of Treausry Bill Option is: -118.75997181459799</t>
  </si>
  <si>
    <t xml:space="preserve"> payout of tranche of Collar of REIT is: -103.20027753743153
</t>
  </si>
  <si>
    <t xml:space="preserve"> -103.20027753743153
</t>
  </si>
  <si>
    <t>Collateral size of tranche of gold is: 76315804.9649372</t>
  </si>
  <si>
    <t xml:space="preserve"> collateral size of tranche of Treausry Bill Option is: 35006008.936656445</t>
  </si>
  <si>
    <t xml:space="preserve"> collateral size of tranche of Collar of REIT is: 38858882.603398874
</t>
  </si>
  <si>
    <t xml:space="preserve"> 38858882.603398874
</t>
  </si>
  <si>
    <t>Collateral ratio of tranche of gold is: 0.7409931414919496</t>
  </si>
  <si>
    <t xml:space="preserve"> collateral ratio of tranche of Treausry Bill Option is: 0.3398930607491584</t>
  </si>
  <si>
    <t xml:space="preserve"> collateral ratio of tranche of Collar of REIT is: 0.3773027816241825
</t>
  </si>
  <si>
    <t xml:space="preserve"> 0.3773027816241825
</t>
  </si>
  <si>
    <t xml:space="preserve">date is: 2022-08-22 00:00:00
</t>
  </si>
  <si>
    <t xml:space="preserve"> 2022-08-22 00</t>
  </si>
  <si>
    <t>current price of gold is: 1736.3</t>
  </si>
  <si>
    <t xml:space="preserve"> predicted price of gold is: 1744.4361143801962
</t>
  </si>
  <si>
    <t xml:space="preserve"> 1744.4361143801962
</t>
  </si>
  <si>
    <t>current price of tb is: 90.68359375</t>
  </si>
  <si>
    <t xml:space="preserve"> current price of tb option is: 4.278290351298036</t>
  </si>
  <si>
    <t xml:space="preserve"> predicted price of tb is: 90.91285914997705
</t>
  </si>
  <si>
    <t xml:space="preserve"> 90.91285914997705
</t>
  </si>
  <si>
    <t>current price of reit is: 62.95</t>
  </si>
  <si>
    <t xml:space="preserve"> current price of reit option is: 5.666264592017598</t>
  </si>
  <si>
    <t xml:space="preserve"> predicted price of reit is: 63.52113828659128
</t>
  </si>
  <si>
    <t xml:space="preserve"> 63.52113828659128
</t>
  </si>
  <si>
    <t>value_ratio_gold_to_total is: 0.43091377147117216</t>
  </si>
  <si>
    <t xml:space="preserve"> risk_ratio_to_gold is: 0.5431376839995049</t>
  </si>
  <si>
    <t xml:space="preserve"> risk_ratio_to_gold_before is: 0.5438591966039672
</t>
  </si>
  <si>
    <t xml:space="preserve"> 0.5438591966039672
</t>
  </si>
  <si>
    <t>value_ratio_tb_to_total is: 0.23873408830465362</t>
  </si>
  <si>
    <t xml:space="preserve"> risk_ratio_tb_to_gold is: 0.4170828583196734</t>
  </si>
  <si>
    <t xml:space="preserve"> risk_ratio_tb_to_gold_before is: 0.41687450277973925
</t>
  </si>
  <si>
    <t xml:space="preserve"> 0.41687450277973925
</t>
  </si>
  <si>
    <t>value_ratio_reit_to_total is: 0.3303521402241742</t>
  </si>
  <si>
    <t xml:space="preserve"> risk_ratio_reit_to_gold is: 0.42407092176109096</t>
  </si>
  <si>
    <t xml:space="preserve"> risk_ratio_reit_to_gold_before is: 0.4218367045406914
</t>
  </si>
  <si>
    <t xml:space="preserve"> 0.4218367045406914
</t>
  </si>
  <si>
    <t>delta_gold is: 0.9938410815884973</t>
  </si>
  <si>
    <t xml:space="preserve"> delta_tb is: 0.9975463270606222</t>
  </si>
  <si>
    <t xml:space="preserve"> delta_reit is: 0.9968267706406276
</t>
  </si>
  <si>
    <t xml:space="preserve"> 0.9968267706406276
</t>
  </si>
  <si>
    <t>delta_gold_risk is: 0.9995326564714907</t>
  </si>
  <si>
    <t xml:space="preserve"> delta_tb_risk is: 1.0001470529249594</t>
  </si>
  <si>
    <t xml:space="preserve"> delta_reit_risk is: 1.001571359927103
</t>
  </si>
  <si>
    <t xml:space="preserve"> 1.001571359927103
</t>
  </si>
  <si>
    <t xml:space="preserve">collateral_ratio_tranche_gold is: 0.7367737516348196
</t>
  </si>
  <si>
    <t xml:space="preserve"> 0.7367737516348196
</t>
  </si>
  <si>
    <t xml:space="preserve">collateral_ratio_tranche_tb is: 0.3411100912674825
</t>
  </si>
  <si>
    <t xml:space="preserve"> 0.3411100912674825
</t>
  </si>
  <si>
    <t xml:space="preserve">collateral_ratio_tranche_reit is: 0.37784254484643315
</t>
  </si>
  <si>
    <t xml:space="preserve"> 0.37784254484643315
</t>
  </si>
  <si>
    <t>Total plot size is: 149501472.2447123</t>
  </si>
  <si>
    <t xml:space="preserve"> plot size of gold is: 75845782.14864999</t>
  </si>
  <si>
    <t xml:space="preserve"> plot size of TB is: 34920115.639812954</t>
  </si>
  <si>
    <t xml:space="preserve"> plot size of REIT is: 38735574.45624936
</t>
  </si>
  <si>
    <t xml:space="preserve"> 38735574.45624936
</t>
  </si>
  <si>
    <t xml:space="preserve">collateral ratio is: 1.4515634241251505
</t>
  </si>
  <si>
    <t xml:space="preserve"> 1.4515634241251505
</t>
  </si>
  <si>
    <t>S_gtbcps_0 is: 0.9998467125820775</t>
  </si>
  <si>
    <t xml:space="preserve">stdev_gtbcps is: 0.008021138296004218
</t>
  </si>
  <si>
    <t xml:space="preserve"> 0.008021138296004218
</t>
  </si>
  <si>
    <t>predicted price of GTBCPS is: 0.9998588866403522</t>
  </si>
  <si>
    <t xml:space="preserve"> actual price is: 0.9998467125820775
</t>
  </si>
  <si>
    <t xml:space="preserve"> 0.9998467125820775
</t>
  </si>
  <si>
    <t>predicted amount of GTBCPS is: 103007949.49231344</t>
  </si>
  <si>
    <t xml:space="preserve"> actual amount is: 103009203.709349
</t>
  </si>
  <si>
    <t>plot sizes of gold is: 75845782.14864999</t>
  </si>
  <si>
    <t xml:space="preserve"> plot sizes of tb is: 34920115.639812954 </t>
  </si>
  <si>
    <t xml:space="preserve"> plot sizes of reit is: 38735574.45624936</t>
  </si>
  <si>
    <t xml:space="preserve"> plot sizes of total is: 149501472.2447123.
</t>
  </si>
  <si>
    <t xml:space="preserve"> 149501472.2447123.
</t>
  </si>
  <si>
    <t>predicted stdevs of gold is: 0.008769933064365713</t>
  </si>
  <si>
    <t xml:space="preserve"> predicted stdevs of tb is: 0.0032018169630613274</t>
  </si>
  <si>
    <t xml:space="preserve"> predicted stdevs of reit is: 0.010899586207045847</t>
  </si>
  <si>
    <t xml:space="preserve"> predicted stdevs of GTBCPS is: 0.008021138296004218.
</t>
  </si>
  <si>
    <t xml:space="preserve"> 0.008021138296004218.
</t>
  </si>
  <si>
    <t>total_value_of_collaterals is: 149501901.0656491</t>
  </si>
  <si>
    <t xml:space="preserve"> createdtionValue_gold is: -923.4964046967118</t>
  </si>
  <si>
    <t xml:space="preserve"> createdValue_tb is: -425.18527999376215</t>
  </si>
  <si>
    <t xml:space="preserve"> createdValue_reit is: -471.6422038012968
</t>
  </si>
  <si>
    <t xml:space="preserve"> -471.6422038012968
</t>
  </si>
  <si>
    <t>plotValue_gold_after_creation is: 75847023.74389623</t>
  </si>
  <si>
    <t xml:space="preserve"> plotValue_tb_after_creation  is: 34920588.60568391</t>
  </si>
  <si>
    <t xml:space="preserve"> plotValue_reit_after_creation  is: 38736109.03995745</t>
  </si>
  <si>
    <t xml:space="preserve">total_value_after_creation is: 149503721.38953757
</t>
  </si>
  <si>
    <t xml:space="preserve"> 149503721.38953757
</t>
  </si>
  <si>
    <t>total_amount_gtncps_before_creation is: 103009203.709349</t>
  </si>
  <si>
    <t>creation_amount_gtbcps is: -1254.2170355618</t>
  </si>
  <si>
    <t xml:space="preserve">total_amount_gtbcps_new is: 103007949.49231344
</t>
  </si>
  <si>
    <t xml:space="preserve"> 103007949.49231344
</t>
  </si>
  <si>
    <t>payout of tranche of gold is: 318.0988415545936</t>
  </si>
  <si>
    <t xml:space="preserve"> payout of tranche of Treausry Bill Option is: 47.780590955649814</t>
  </si>
  <si>
    <t xml:space="preserve"> payout of tranche of Collar of REIT is: 62.94150428548709
</t>
  </si>
  <si>
    <t xml:space="preserve"> 62.94150428548709
</t>
  </si>
  <si>
    <t>Collateral size of tranche of gold is: 75847023.74389623</t>
  </si>
  <si>
    <t xml:space="preserve"> collateral size of tranche of Treausry Bill Option is: 34920588.60568391</t>
  </si>
  <si>
    <t xml:space="preserve"> collateral size of tranche of Collar of REIT is: 38736109.03995745
</t>
  </si>
  <si>
    <t xml:space="preserve"> 38736109.03995745
</t>
  </si>
  <si>
    <t>Collateral ratio of tranche of gold is: 0.7364169952893704</t>
  </si>
  <si>
    <t xml:space="preserve"> collateral ratio of tranche of Treausry Bill Option is: 0.3390523934276784</t>
  </si>
  <si>
    <t xml:space="preserve"> collateral ratio of tranche of Collar of REIT is: 0.37609819898440644
</t>
  </si>
  <si>
    <t xml:space="preserve"> 0.37609819898440644
</t>
  </si>
  <si>
    <t xml:space="preserve">date is: 2022-08-23 00:00:00
</t>
  </si>
  <si>
    <t xml:space="preserve"> 2022-08-23 00</t>
  </si>
  <si>
    <t>current price of gold is: 1748.15</t>
  </si>
  <si>
    <t xml:space="preserve"> predicted price of gold is: 1743.6217142627745
</t>
  </si>
  <si>
    <t xml:space="preserve"> 1743.6217142627745
</t>
  </si>
  <si>
    <t>current price of tb is: 90.69921875</t>
  </si>
  <si>
    <t xml:space="preserve"> current price of tb option is: 4.2767867431449185</t>
  </si>
  <si>
    <t xml:space="preserve"> predicted price of tb is: 90.9300391409768
</t>
  </si>
  <si>
    <t xml:space="preserve"> 90.9300391409768
</t>
  </si>
  <si>
    <t>current price of reit is: 61.7</t>
  </si>
  <si>
    <t xml:space="preserve"> current price of reit option is: 5.70531840978083</t>
  </si>
  <si>
    <t xml:space="preserve"> predicted price of reit is: 62.341066891553865
</t>
  </si>
  <si>
    <t xml:space="preserve"> 62.341066891553865
</t>
  </si>
  <si>
    <t>value_ratio_gold_to_total is: -0.715854520806672</t>
  </si>
  <si>
    <t xml:space="preserve"> risk_ratio_to_gold is: 0.5437000987064335</t>
  </si>
  <si>
    <t xml:space="preserve"> risk_ratio_to_gold_before is: 0.5431376839995049
</t>
  </si>
  <si>
    <t xml:space="preserve"> 0.5431376839995049
</t>
  </si>
  <si>
    <t>value_ratio_tb_to_total is: 0.7125855416885533</t>
  </si>
  <si>
    <t xml:space="preserve"> risk_ratio_tb_to_gold is: 0.4190067465765609</t>
  </si>
  <si>
    <t xml:space="preserve"> risk_ratio_tb_to_gold_before is: 0.4170828583196734
</t>
  </si>
  <si>
    <t xml:space="preserve"> 0.4170828583196734
</t>
  </si>
  <si>
    <t>value_ratio_reit_to_total is: 1.0032689791181186</t>
  </si>
  <si>
    <t xml:space="preserve"> risk_ratio_reit_to_gold is: 0.42024250568436566</t>
  </si>
  <si>
    <t xml:space="preserve"> risk_ratio_reit_to_gold_before is: 0.42407092176109096
</t>
  </si>
  <si>
    <t xml:space="preserve"> 0.42407092176109096
</t>
  </si>
  <si>
    <t>delta_gold is: 1.006824857455509</t>
  </si>
  <si>
    <t xml:space="preserve"> delta_tb is: 1.000148705893744</t>
  </si>
  <si>
    <t xml:space="preserve"> delta_reit is: 0.9823519075333396
</t>
  </si>
  <si>
    <t xml:space="preserve"> 0.9823519075333396
</t>
  </si>
  <si>
    <t>delta_gold_risk is: 1.000364461779892</t>
  </si>
  <si>
    <t xml:space="preserve"> delta_tb_risk is: 1.001357639918931</t>
  </si>
  <si>
    <t xml:space="preserve"> delta_reit_risk is: 0.9973116394568391
</t>
  </si>
  <si>
    <t xml:space="preserve"> 0.9973116394568391
</t>
  </si>
  <si>
    <t xml:space="preserve">collateral_ratio_tranche_gold is: 0.7411728071495335
</t>
  </si>
  <si>
    <t xml:space="preserve"> 0.7411728071495335
</t>
  </si>
  <si>
    <t xml:space="preserve">collateral_ratio_tranche_tb is: 0.3363475332144662
</t>
  </si>
  <si>
    <t xml:space="preserve"> 0.3363475332144662
</t>
  </si>
  <si>
    <t xml:space="preserve">collateral_ratio_tranche_reit is: 0.3679455285951339
</t>
  </si>
  <si>
    <t xml:space="preserve"> 0.3679455285951339
</t>
  </si>
  <si>
    <t>Total plot size is: 149342940.97821715</t>
  </si>
  <si>
    <t xml:space="preserve"> plot size of gold is: 76364668.86937293</t>
  </si>
  <si>
    <t xml:space="preserve"> plot size of TB is: 34925781.50302258</t>
  </si>
  <si>
    <t xml:space="preserve"> plot size of REIT is: 38052490.60582164
</t>
  </si>
  <si>
    <t xml:space="preserve"> 38052490.60582164
</t>
  </si>
  <si>
    <t xml:space="preserve">collateral ratio is: 1.450024187189424
</t>
  </si>
  <si>
    <t xml:space="preserve"> 1.450024187189424
</t>
  </si>
  <si>
    <t>S_gtbcps_0 is: 0.9998588866403522</t>
  </si>
  <si>
    <t xml:space="preserve">stdev_gtbcps is: 0.007996223759848133
</t>
  </si>
  <si>
    <t xml:space="preserve"> 0.007996223759848133
</t>
  </si>
  <si>
    <t>predicted price of GTBCPS is: 0.999898575808558</t>
  </si>
  <si>
    <t xml:space="preserve"> actual price is: 0.9998588866403522
</t>
  </si>
  <si>
    <t xml:space="preserve"> 0.9998588866403522
</t>
  </si>
  <si>
    <t>predicted amount of GTBCPS is: 103003860.77778494</t>
  </si>
  <si>
    <t xml:space="preserve"> actual amount is: 103007949.49231344
</t>
  </si>
  <si>
    <t>plot sizes of gold is: 76364668.86937293</t>
  </si>
  <si>
    <t xml:space="preserve"> plot sizes of tb is: 34925781.50302258 </t>
  </si>
  <si>
    <t xml:space="preserve"> plot sizes of reit is: 38052490.60582164</t>
  </si>
  <si>
    <t xml:space="preserve"> plot sizes of total is: 149342940.97821715.
</t>
  </si>
  <si>
    <t xml:space="preserve"> 149342940.97821715.
</t>
  </si>
  <si>
    <t>predicted stdevs of gold is: 0.00869316460617479</t>
  </si>
  <si>
    <t xml:space="preserve"> predicted stdevs of tb is: 0.003187379952501959</t>
  </si>
  <si>
    <t xml:space="preserve"> predicted stdevs of reit is: 0.011011295029025644</t>
  </si>
  <si>
    <t xml:space="preserve"> predicted stdevs of GTBCPS is: 0.007996223759848133.
</t>
  </si>
  <si>
    <t xml:space="preserve"> 0.007996223759848133.
</t>
  </si>
  <si>
    <t>total_value_of_collaterals is: 149344338.4002734</t>
  </si>
  <si>
    <t xml:space="preserve"> createdtionValue_gold is: -3031.314628588708</t>
  </si>
  <si>
    <t xml:space="preserve"> createdValue_tb is: -1386.3791102905404</t>
  </si>
  <si>
    <t xml:space="preserve"> createdValue_reit is: -1510.4953751570274
</t>
  </si>
  <si>
    <t xml:space="preserve"> -1510.4953751570274
</t>
  </si>
  <si>
    <t>plotValue_gold_after_creation is: 76368624.41248752</t>
  </si>
  <si>
    <t xml:space="preserve"> plotValue_tb_after_creation  is: 34927375.920852415</t>
  </si>
  <si>
    <t xml:space="preserve"> plotValue_reit_after_creation  is: 38054266.25604752</t>
  </si>
  <si>
    <t xml:space="preserve">total_value_after_creation is: 149350266.58938745
</t>
  </si>
  <si>
    <t xml:space="preserve"> 149350266.58938745
</t>
  </si>
  <si>
    <t>total_amount_gtncps_before_creation is: 103007949.49231344</t>
  </si>
  <si>
    <t>creation_amount_gtbcps is: -4088.714528501034</t>
  </si>
  <si>
    <t xml:space="preserve">total_amount_gtbcps_new is: 103003860.77778494
</t>
  </si>
  <si>
    <t xml:space="preserve"> 103003860.77778494
</t>
  </si>
  <si>
    <t>payout of tranche of gold is: 924.2284860069104</t>
  </si>
  <si>
    <t xml:space="preserve"> payout of tranche of Treausry Bill Option is: 208.03871954156602</t>
  </si>
  <si>
    <t xml:space="preserve"> payout of tranche of Collar of REIT is: 265.1548507194753
</t>
  </si>
  <si>
    <t xml:space="preserve"> 265.1548507194753
</t>
  </si>
  <si>
    <t>Collateral size of tranche of gold is: 76368624.41248752</t>
  </si>
  <si>
    <t xml:space="preserve"> collateral size of tranche of Treausry Bill Option is: 34927375.920852415</t>
  </si>
  <si>
    <t xml:space="preserve"> collateral size of tranche of Collar of REIT is: 38054266.25604752
</t>
  </si>
  <si>
    <t xml:space="preserve"> 38054266.25604752
</t>
  </si>
  <si>
    <t>Collateral ratio of tranche of gold is: 0.7414609377293052</t>
  </si>
  <si>
    <t xml:space="preserve"> collateral ratio of tranche of Treausry Bill Option is: 0.33910896132973367</t>
  </si>
  <si>
    <t xml:space="preserve"> collateral ratio of tranche of Collar of REIT is: 0.3694678562024212
</t>
  </si>
  <si>
    <t xml:space="preserve"> 0.3694678562024212
</t>
  </si>
  <si>
    <t xml:space="preserve">date is: 2022-08-24 00:00:00
</t>
  </si>
  <si>
    <t xml:space="preserve"> 2022-08-24 00</t>
  </si>
  <si>
    <t>current price of gold is: 1751.19</t>
  </si>
  <si>
    <t xml:space="preserve"> predicted price of gold is: 1748.6525853786543
</t>
  </si>
  <si>
    <t xml:space="preserve"> 1748.6525853786543
</t>
  </si>
  <si>
    <t>current price of tb is: 90.53125</t>
  </si>
  <si>
    <t xml:space="preserve"> current price of tb option is: 4.272810947296731</t>
  </si>
  <si>
    <t xml:space="preserve"> predicted price of tb is: 90.76618112299938
</t>
  </si>
  <si>
    <t xml:space="preserve"> 90.76618112299938
</t>
  </si>
  <si>
    <t>current price of reit is: 61.0</t>
  </si>
  <si>
    <t xml:space="preserve"> current price of reit option is: 5.698497133181277</t>
  </si>
  <si>
    <t xml:space="preserve"> predicted price of reit is: 61.63164346476688
</t>
  </si>
  <si>
    <t xml:space="preserve"> 61.63164346476688
</t>
  </si>
  <si>
    <t>value_ratio_gold_to_total is: -0.3056953664551326</t>
  </si>
  <si>
    <t xml:space="preserve"> risk_ratio_to_gold is: 0.544104854303048</t>
  </si>
  <si>
    <t xml:space="preserve"> risk_ratio_to_gold_before is: 0.5437000987064335
</t>
  </si>
  <si>
    <t xml:space="preserve"> 0.5437000987064335
</t>
  </si>
  <si>
    <t>value_ratio_tb_to_total is: 0.5430708298407875</t>
  </si>
  <si>
    <t xml:space="preserve"> risk_ratio_tb_to_gold is: 0.4184108332224698</t>
  </si>
  <si>
    <t xml:space="preserve"> risk_ratio_tb_to_gold_before is: 0.4190067465765609
</t>
  </si>
  <si>
    <t xml:space="preserve"> 0.4190067465765609
</t>
  </si>
  <si>
    <t>value_ratio_reit_to_total is: 0.7626245366143451</t>
  </si>
  <si>
    <t xml:space="preserve"> risk_ratio_reit_to_gold is: 0.4194702150562021</t>
  </si>
  <si>
    <t xml:space="preserve"> risk_ratio_reit_to_gold_before is: 0.42024250568436566
</t>
  </si>
  <si>
    <t xml:space="preserve"> 0.42024250568436566
</t>
  </si>
  <si>
    <t>delta_gold is: 1.0017389812087063</t>
  </si>
  <si>
    <t xml:space="preserve"> delta_tb is: 0.9981896001526344</t>
  </si>
  <si>
    <t xml:space="preserve"> delta_reit is: 0.9895138648807719
</t>
  </si>
  <si>
    <t xml:space="preserve"> 0.9895138648807719
</t>
  </si>
  <si>
    <t>delta_gold_risk is: 1.0002621983356441</t>
  </si>
  <si>
    <t xml:space="preserve"> delta_tb_risk is: 0.9995800489634536</t>
  </si>
  <si>
    <t xml:space="preserve"> delta_reit_risk is: 0.9994562262253999
</t>
  </si>
  <si>
    <t xml:space="preserve"> 0.9994562262253999
</t>
  </si>
  <si>
    <t xml:space="preserve">collateral_ratio_tranche_gold is: 0.742555627517348
</t>
  </si>
  <si>
    <t xml:space="preserve"> 0.742555627517348
</t>
  </si>
  <si>
    <t xml:space="preserve">collateral_ratio_tranche_tb is: 0.3380493880484462
</t>
  </si>
  <si>
    <t xml:space="preserve"> 0.3380493880484462
</t>
  </si>
  <si>
    <t xml:space="preserve">collateral_ratio_tranche_reit is: 0.3651574727114921
</t>
  </si>
  <si>
    <t xml:space="preserve"> 0.3651574727114921
</t>
  </si>
  <si>
    <t>Total plot size is: 149020795.4983155</t>
  </si>
  <si>
    <t xml:space="preserve"> plot size of gold is: 76501428.01527558</t>
  </si>
  <si>
    <t xml:space="preserve"> plot size of TB is: 34864143.40481642</t>
  </si>
  <si>
    <t xml:space="preserve"> plot size of REIT is: 37655224.07822352
</t>
  </si>
  <si>
    <t xml:space="preserve"> 37655224.07822352
</t>
  </si>
  <si>
    <t xml:space="preserve">collateral ratio is: 1.4468963611630217
</t>
  </si>
  <si>
    <t xml:space="preserve"> 1.4468963611630217
</t>
  </si>
  <si>
    <t>S_gtbcps_0 is: 0.999898575808558</t>
  </si>
  <si>
    <t xml:space="preserve">stdev_gtbcps is: 0.00799956784332695
</t>
  </si>
  <si>
    <t xml:space="preserve"> 0.00799956784332695
</t>
  </si>
  <si>
    <t>predicted price of GTBCPS is: 0.9998913514077893</t>
  </si>
  <si>
    <t xml:space="preserve"> actual price is: 0.999898575808558
</t>
  </si>
  <si>
    <t xml:space="preserve"> 0.999898575808558
</t>
  </si>
  <si>
    <t>predicted amount of GTBCPS is: 103004604.9998146</t>
  </si>
  <si>
    <t xml:space="preserve"> actual amount is: 103003860.77778494
</t>
  </si>
  <si>
    <t>plot sizes of gold is: 76501428.01527558</t>
  </si>
  <si>
    <t xml:space="preserve"> plot sizes of tb is: 34864143.40481642 </t>
  </si>
  <si>
    <t xml:space="preserve"> plot sizes of reit is: 37655224.07822352</t>
  </si>
  <si>
    <t xml:space="preserve"> plot sizes of total is: 149020795.4983155.
</t>
  </si>
  <si>
    <t xml:space="preserve"> 149020795.4983155.
</t>
  </si>
  <si>
    <t>predicted stdevs of gold is: 0.008690413453895353</t>
  </si>
  <si>
    <t xml:space="preserve"> predicted stdevs of tb is: 0.003182271289871801</t>
  </si>
  <si>
    <t xml:space="preserve"> predicted stdevs of reit is: 0.01105625506094955</t>
  </si>
  <si>
    <t xml:space="preserve"> predicted stdevs of GTBCPS is: 0.00799956784332695.
</t>
  </si>
  <si>
    <t xml:space="preserve"> 0.00799956784332695.
</t>
  </si>
  <si>
    <t>total_value_of_collaterals is: 149020540.86128357</t>
  </si>
  <si>
    <t xml:space="preserve"> createdtionValue_gold is: 552.7316558031699</t>
  </si>
  <si>
    <t xml:space="preserve"> createdValue_tb is: 251.89787435092973</t>
  </si>
  <si>
    <t xml:space="preserve"> createdValue_reit is: 272.0637825424011
</t>
  </si>
  <si>
    <t xml:space="preserve"> 272.0637825424011
</t>
  </si>
  <si>
    <t>plotValue_gold_after_creation is: 76500684.27580322</t>
  </si>
  <si>
    <t xml:space="preserve"> plotValue_tb_after_creation  is: 34863861.24830289</t>
  </si>
  <si>
    <t xml:space="preserve"> plotValue_reit_after_creation  is: 37654918.64386474</t>
  </si>
  <si>
    <t xml:space="preserve">total_value_after_creation is: 149019464.16797087
</t>
  </si>
  <si>
    <t xml:space="preserve"> 149019464.16797087
</t>
  </si>
  <si>
    <t>total_amount_gtncps_before_creation is: 103003860.77778494</t>
  </si>
  <si>
    <t>creation_amount_gtbcps is: 744.2220296561718</t>
  </si>
  <si>
    <t xml:space="preserve">total_amount_gtbcps_new is: 103004604.9998146
</t>
  </si>
  <si>
    <t xml:space="preserve"> 103004604.9998146
</t>
  </si>
  <si>
    <t>payout of tranche of gold is: -191.00781655772948</t>
  </si>
  <si>
    <t xml:space="preserve"> payout of tranche of Treausry Bill Option is: -30.258639177647858</t>
  </si>
  <si>
    <t xml:space="preserve"> payout of tranche of Collar of REIT is: -33.370576231515045
</t>
  </si>
  <si>
    <t xml:space="preserve"> -33.370576231515045
</t>
  </si>
  <si>
    <t>Collateral size of tranche of gold is: 76500684.27580322</t>
  </si>
  <si>
    <t xml:space="preserve"> collateral size of tranche of Treausry Bill Option is: 34863861.24830289</t>
  </si>
  <si>
    <t xml:space="preserve"> collateral size of tranche of Collar of REIT is: 37654918.64386474
</t>
  </si>
  <si>
    <t xml:space="preserve"> 37654918.64386474
</t>
  </si>
  <si>
    <t>Collateral ratio of tranche of gold is: 0.7427779531066424</t>
  </si>
  <si>
    <t xml:space="preserve"> collateral ratio of tranche of Treausry Bill Option is: 0.3385081812085074</t>
  </si>
  <si>
    <t xml:space="preserve"> collateral ratio of tranche of Collar of REIT is: 0.36560775448558347
</t>
  </si>
  <si>
    <t xml:space="preserve"> 0.36560775448558347
</t>
  </si>
  <si>
    <t xml:space="preserve">date is: 2022-08-25 00:00:00
</t>
  </si>
  <si>
    <t xml:space="preserve"> 2022-08-25 00</t>
  </si>
  <si>
    <t>current price of gold is: 1758.71</t>
  </si>
  <si>
    <t xml:space="preserve"> predicted price of gold is: 1754.8961295396236
</t>
  </si>
  <si>
    <t xml:space="preserve"> 1754.8961295396236
</t>
  </si>
  <si>
    <t>current price of tb is: 90.66015625</t>
  </si>
  <si>
    <t xml:space="preserve"> current price of tb option is: 4.278347551258042</t>
  </si>
  <si>
    <t xml:space="preserve"> predicted price of tb is: 90.88936239551226
</t>
  </si>
  <si>
    <t xml:space="preserve"> 90.88936239551226
</t>
  </si>
  <si>
    <t>current price of reit is: 61.55</t>
  </si>
  <si>
    <t xml:space="preserve"> current price of reit option is: 5.724556372236691</t>
  </si>
  <si>
    <t xml:space="preserve"> predicted price of reit is: 62.05789544407502
</t>
  </si>
  <si>
    <t xml:space="preserve"> 62.05789544407502
</t>
  </si>
  <si>
    <t>value_ratio_gold_to_total is: -0.5506491616686767</t>
  </si>
  <si>
    <t xml:space="preserve"> risk_ratio_to_gold is: 0.5470344944995043</t>
  </si>
  <si>
    <t xml:space="preserve"> risk_ratio_to_gold_before is: 0.544104854303048
</t>
  </si>
  <si>
    <t xml:space="preserve"> 0.544104854303048
</t>
  </si>
  <si>
    <t>value_ratio_tb_to_total is: 0.6508036101619858</t>
  </si>
  <si>
    <t xml:space="preserve"> risk_ratio_tb_to_gold is: 0.4136313240900208</t>
  </si>
  <si>
    <t xml:space="preserve"> risk_ratio_tb_to_gold_before is: 0.4184108332224698
</t>
  </si>
  <si>
    <t xml:space="preserve"> 0.4184108332224698
</t>
  </si>
  <si>
    <t>value_ratio_reit_to_total is: 0.8998455515066909</t>
  </si>
  <si>
    <t xml:space="preserve"> risk_ratio_reit_to_gold is: 0.41440696244422304</t>
  </si>
  <si>
    <t xml:space="preserve"> risk_ratio_reit_to_gold_before is: 0.4194702150562021
</t>
  </si>
  <si>
    <t xml:space="preserve"> 0.4194702150562021
</t>
  </si>
  <si>
    <t>delta_gold is: 1.0042942227856486</t>
  </si>
  <si>
    <t xml:space="preserve"> delta_tb is: 1.0014181128172985</t>
  </si>
  <si>
    <t xml:space="preserve"> delta_reit is: 1.008636764901991
</t>
  </si>
  <si>
    <t xml:space="preserve"> 1.008636764901991
</t>
  </si>
  <si>
    <t>delta_gold_risk is: 1.0018973065127619</t>
  </si>
  <si>
    <t xml:space="preserve"> delta_tb_risk is: 0.9966303774474208</t>
  </si>
  <si>
    <t xml:space="preserve"> delta_reit_risk is: 0.9964329983410193
</t>
  </si>
  <si>
    <t xml:space="preserve"> 0.9964329983410193
</t>
  </si>
  <si>
    <t xml:space="preserve">collateral_ratio_tranche_gold is: 0.7445549581463501
</t>
  </si>
  <si>
    <t xml:space="preserve"> 0.7445549581463501
</t>
  </si>
  <si>
    <t xml:space="preserve">collateral_ratio_tranche_tb is: 0.33867998107842473
</t>
  </si>
  <si>
    <t xml:space="preserve"> 0.33867998107842473
</t>
  </si>
  <si>
    <t xml:space="preserve">collateral_ratio_tranche_reit is: 0.3685030840253907
</t>
  </si>
  <si>
    <t xml:space="preserve"> 0.3685030840253907
</t>
  </si>
  <si>
    <t>Total plot size is: 149722632.71773311</t>
  </si>
  <si>
    <t xml:space="preserve"> plot size of gold is: 76829195.25733809</t>
  </si>
  <si>
    <t xml:space="preserve"> plot size of TB is: 34913302.136799626</t>
  </si>
  <si>
    <t xml:space="preserve"> plot size of REIT is: 37980135.3235954
</t>
  </si>
  <si>
    <t xml:space="preserve"> 37980135.3235954
</t>
  </si>
  <si>
    <t xml:space="preserve">collateral ratio is: 1.453710750493775
</t>
  </si>
  <si>
    <t xml:space="preserve"> 1.453710750493775
</t>
  </si>
  <si>
    <t>S_gtbcps_0 is: 0.9998913514077893</t>
  </si>
  <si>
    <t xml:space="preserve">stdev_gtbcps is: 0.007991752127801535
</t>
  </si>
  <si>
    <t xml:space="preserve"> 0.007991752127801535
</t>
  </si>
  <si>
    <t>predicted price of GTBCPS is: 0.9998974396073826</t>
  </si>
  <si>
    <t xml:space="preserve"> actual price is: 0.9998913514077893
</t>
  </si>
  <si>
    <t xml:space="preserve"> 0.9998913514077893
</t>
  </si>
  <si>
    <t>predicted amount of GTBCPS is: 103003977.82289681</t>
  </si>
  <si>
    <t xml:space="preserve"> actual amount is: 103004604.9998146
</t>
  </si>
  <si>
    <t>plot sizes of gold is: 76829195.25733809</t>
  </si>
  <si>
    <t xml:space="preserve"> plot sizes of tb is: 34913302.136799626 </t>
  </si>
  <si>
    <t xml:space="preserve"> plot sizes of reit is: 37980135.3235954</t>
  </si>
  <si>
    <t xml:space="preserve"> plot sizes of total is: 149722632.71773311.
</t>
  </si>
  <si>
    <t xml:space="preserve"> 149722632.71773311.
</t>
  </si>
  <si>
    <t>predicted stdevs of gold is: 0.008693998726823632</t>
  </si>
  <si>
    <t xml:space="preserve"> predicted stdevs of tb is: 0.0031466616789070354</t>
  </si>
  <si>
    <t xml:space="preserve"> predicted stdevs of reit is: 0.011025050052249257</t>
  </si>
  <si>
    <t xml:space="preserve"> predicted stdevs of GTBCPS is: 0.007991752127801535.
</t>
  </si>
  <si>
    <t xml:space="preserve"> 0.007991752127801535.
</t>
  </si>
  <si>
    <t>total_value_of_collaterals is: 149722847.36475846</t>
  </si>
  <si>
    <t xml:space="preserve"> createdtionValue_gold is: -467.8032277823644</t>
  </si>
  <si>
    <t xml:space="preserve"> createdValue_tb is: -212.58245635889062</t>
  </si>
  <si>
    <t xml:space="preserve"> createdValue_reit is: -231.2559428901893
</t>
  </si>
  <si>
    <t xml:space="preserve"> -231.2559428901893
</t>
  </si>
  <si>
    <t>plotValue_gold_after_creation is: 76829815.20597032</t>
  </si>
  <si>
    <t xml:space="preserve"> plotValue_tb_after_creation  is: 34913548.834432684</t>
  </si>
  <si>
    <t xml:space="preserve"> plotValue_reit_after_creation  is: 37980394.96598248</t>
  </si>
  <si>
    <t xml:space="preserve">total_value_after_creation is: 149723759.0063855
</t>
  </si>
  <si>
    <t xml:space="preserve"> 149723759.0063855
</t>
  </si>
  <si>
    <t>total_amount_gtncps_before_creation is: 103004604.9998146</t>
  </si>
  <si>
    <t>creation_amount_gtbcps is: -627.1769177913666</t>
  </si>
  <si>
    <t xml:space="preserve">total_amount_gtbcps_new is: 103003977.82289681
</t>
  </si>
  <si>
    <t xml:space="preserve"> 103003977.82289681
</t>
  </si>
  <si>
    <t>payout of tranche of gold is: 152.1454044444492</t>
  </si>
  <si>
    <t xml:space="preserve"> payout of tranche of Treausry Bill Option is: 34.115176703770956</t>
  </si>
  <si>
    <t xml:space="preserve"> payout of tranche of Collar of REIT is: 28.38644419708466
</t>
  </si>
  <si>
    <t xml:space="preserve"> 28.38644419708466
</t>
  </si>
  <si>
    <t>Collateral size of tranche of gold is: 76829815.20597032</t>
  </si>
  <si>
    <t xml:space="preserve"> collateral size of tranche of Treausry Bill Option is: 34913548.834432684</t>
  </si>
  <si>
    <t xml:space="preserve"> collateral size of tranche of Collar of REIT is: 37980394.96598248
</t>
  </si>
  <si>
    <t xml:space="preserve"> 37980394.96598248
</t>
  </si>
  <si>
    <t>Collateral ratio of tranche of gold is: 0.7459636946362589</t>
  </si>
  <si>
    <t xml:space="preserve"> collateral ratio of tranche of Treausry Bill Option is: 0.33898610600033047</t>
  </si>
  <si>
    <t xml:space="preserve"> collateral ratio of tranche of Collar of REIT is: 0.36876303394215415
</t>
  </si>
  <si>
    <t xml:space="preserve"> 0.36876303394215415
</t>
  </si>
  <si>
    <t xml:space="preserve">date is: 2022-08-26 00:00:00
</t>
  </si>
  <si>
    <t xml:space="preserve"> 2022-08-26 00</t>
  </si>
  <si>
    <t>current price of gold is: 1738.14</t>
  </si>
  <si>
    <t xml:space="preserve"> predicted price of gold is: 1740.8500435404032
</t>
  </si>
  <si>
    <t xml:space="preserve"> 1740.8500435404032
</t>
  </si>
  <si>
    <t>current price of tb is: 90.53515625</t>
  </si>
  <si>
    <t xml:space="preserve"> current price of tb option is: 4.277921206297802</t>
  </si>
  <si>
    <t xml:space="preserve"> predicted price of tb is: 90.76480274190475
</t>
  </si>
  <si>
    <t xml:space="preserve"> 90.76480274190475
</t>
  </si>
  <si>
    <t>current price of reit is: 61.75</t>
  </si>
  <si>
    <t xml:space="preserve"> current price of reit option is: 5.706471222669407</t>
  </si>
  <si>
    <t xml:space="preserve"> predicted price of reit is: 62.373920874831725
</t>
  </si>
  <si>
    <t xml:space="preserve"> 62.373920874831725
</t>
  </si>
  <si>
    <t>value_ratio_gold_to_total is: 0.2000326891845828</t>
  </si>
  <si>
    <t xml:space="preserve"> risk_ratio_to_gold is: 0.5423663709705674</t>
  </si>
  <si>
    <t xml:space="preserve"> risk_ratio_to_gold_before is: 0.5470344944995043
</t>
  </si>
  <si>
    <t xml:space="preserve"> 0.5470344944995043
</t>
  </si>
  <si>
    <t>value_ratio_tb_to_total is: 0.3327108494422507</t>
  </si>
  <si>
    <t xml:space="preserve"> risk_ratio_tb_to_gold is: 0.4208881453611228</t>
  </si>
  <si>
    <t xml:space="preserve"> risk_ratio_tb_to_gold_before is: 0.4136313240900208
</t>
  </si>
  <si>
    <t xml:space="preserve"> 0.4136313240900208
</t>
  </si>
  <si>
    <t>value_ratio_reit_to_total is: 0.4672564613731665</t>
  </si>
  <si>
    <t xml:space="preserve"> risk_ratio_reit_to_gold is: 0.4228839864000976</t>
  </si>
  <si>
    <t xml:space="preserve"> risk_ratio_reit_to_gold_before is: 0.41440696244422304
</t>
  </si>
  <si>
    <t xml:space="preserve"> 0.41440696244422304
</t>
  </si>
  <si>
    <t>delta_gold is: 0.9883039273103582</t>
  </si>
  <si>
    <t xml:space="preserve"> delta_tb is: 0.9986788674780172</t>
  </si>
  <si>
    <t xml:space="preserve"> delta_reit is: 1.0027040661468827
</t>
  </si>
  <si>
    <t xml:space="preserve"> 1.0027040661468827
</t>
  </si>
  <si>
    <t>delta_gold_risk is: 0.9969825342967242</t>
  </si>
  <si>
    <t xml:space="preserve"> delta_tb_risk is: 1.005133461000359</t>
  </si>
  <si>
    <t xml:space="preserve"> delta_reit_risk is: 1.0059933415070481
</t>
  </si>
  <si>
    <t xml:space="preserve"> 1.0059933415070481
</t>
  </si>
  <si>
    <t xml:space="preserve">collateral_ratio_tranche_gold is: 0.7394701749314103
</t>
  </si>
  <si>
    <t xml:space="preserve"> 0.7394701749314103
</t>
  </si>
  <si>
    <t xml:space="preserve">collateral_ratio_tranche_tb is: 0.3407952289844095
</t>
  </si>
  <si>
    <t xml:space="preserve"> 0.3407952289844095
</t>
  </si>
  <si>
    <t xml:space="preserve">collateral_ratio_tranche_reit is: 0.3719071502360513
</t>
  </si>
  <si>
    <t xml:space="preserve"> 0.3719071502360513
</t>
  </si>
  <si>
    <t>Total plot size is: 148881727.97845444</t>
  </si>
  <si>
    <t xml:space="preserve"> plot size of gold is: 75931208.10258955</t>
  </si>
  <si>
    <t xml:space="preserve"> plot size of TB is: 34867423.409609675</t>
  </si>
  <si>
    <t xml:space="preserve"> plot size of REIT is: 38083096.466255225
</t>
  </si>
  <si>
    <t xml:space="preserve"> 38083096.466255225
</t>
  </si>
  <si>
    <t xml:space="preserve">collateral ratio is: 1.4455461047255218
</t>
  </si>
  <si>
    <t xml:space="preserve"> 1.4455461047255218
</t>
  </si>
  <si>
    <t>S_gtbcps_0 is: 0.9998974396073826</t>
  </si>
  <si>
    <t xml:space="preserve">stdev_gtbcps is: 0.007912836919815093
</t>
  </si>
  <si>
    <t xml:space="preserve"> 0.007912836919815093
</t>
  </si>
  <si>
    <t>predicted price of GTBCPS is: 0.9998615109202931</t>
  </si>
  <si>
    <t xml:space="preserve"> actual price is: 0.9998974396073826
</t>
  </si>
  <si>
    <t xml:space="preserve"> 0.9998974396073826
</t>
  </si>
  <si>
    <t>predicted amount of GTBCPS is: 103007679.13317604</t>
  </si>
  <si>
    <t xml:space="preserve"> actual amount is: 103003977.82289681
</t>
  </si>
  <si>
    <t>plot sizes of gold is: 75931208.10258955</t>
  </si>
  <si>
    <t xml:space="preserve"> plot sizes of tb is: 34867423.409609675 </t>
  </si>
  <si>
    <t xml:space="preserve"> plot sizes of reit is: 38083096.466255225</t>
  </si>
  <si>
    <t xml:space="preserve"> plot sizes of total is: 148881727.97845444.
</t>
  </si>
  <si>
    <t xml:space="preserve"> 148881727.97845444.
</t>
  </si>
  <si>
    <t>predicted stdevs of gold is: 0.00853663544819408</t>
  </si>
  <si>
    <t xml:space="preserve"> predicted stdevs of tb is: 0.0031470621521034825</t>
  </si>
  <si>
    <t xml:space="preserve"> predicted stdevs of reit is: 0.011032449605024962</t>
  </si>
  <si>
    <t xml:space="preserve"> predicted stdevs of GTBCPS is: 0.007912836919815093.
</t>
  </si>
  <si>
    <t xml:space="preserve"> 0.007912836919815093.
</t>
  </si>
  <si>
    <t>total_value_of_collaterals is: 148880461.99025938</t>
  </si>
  <si>
    <t xml:space="preserve"> createdtionValue_gold is: 2728.3584926758194</t>
  </si>
  <si>
    <t xml:space="preserve"> createdValue_tb is: 1252.8624099931803</t>
  </si>
  <si>
    <t xml:space="preserve"> createdValue_reit is: 1368.4072898990205
</t>
  </si>
  <si>
    <t xml:space="preserve"> 1368.4072898990205
</t>
  </si>
  <si>
    <t>plotValue_gold_after_creation is: 75927646.28491464</t>
  </si>
  <si>
    <t xml:space="preserve"> plotValue_tb_after_creation  is: 34865980.465907484</t>
  </si>
  <si>
    <t xml:space="preserve"> plotValue_reit_after_creation  is: 38081485.61124469</t>
  </si>
  <si>
    <t xml:space="preserve">total_value_after_creation is: 148875112.3620668
</t>
  </si>
  <si>
    <t xml:space="preserve"> 148875112.3620668
</t>
  </si>
  <si>
    <t>total_amount_gtncps_before_creation is: 103003977.82289681</t>
  </si>
  <si>
    <t>creation_amount_gtbcps is: 3701.310279235244</t>
  </si>
  <si>
    <t xml:space="preserve">total_amount_gtbcps_new is: 103007679.13317604
</t>
  </si>
  <si>
    <t xml:space="preserve"> 103007679.13317604
</t>
  </si>
  <si>
    <t>payout of tranche of gold is: -833.459182228351</t>
  </si>
  <si>
    <t xml:space="preserve"> payout of tranche of Treausry Bill Option is: -190.08129220055343</t>
  </si>
  <si>
    <t xml:space="preserve"> payout of tranche of Collar of REIT is: -242.44772063338692
</t>
  </si>
  <si>
    <t xml:space="preserve"> -242.44772063338692
</t>
  </si>
  <si>
    <t>Collateral size of tranche of gold is: 75927646.28491464</t>
  </si>
  <si>
    <t xml:space="preserve"> collateral size of tranche of Treausry Bill Option is: 34865980.465907484</t>
  </si>
  <si>
    <t xml:space="preserve"> collateral size of tranche of Collar of REIT is: 38081485.61124469
</t>
  </si>
  <si>
    <t xml:space="preserve"> 38081485.61124469
</t>
  </si>
  <si>
    <t>Collateral ratio of tranche of gold is: 0.737235245630754</t>
  </si>
  <si>
    <t xml:space="preserve"> collateral ratio of tranche of Treausry Bill Option is: 0.3385384761761982</t>
  </si>
  <si>
    <t xml:space="preserve"> collateral ratio of tranche of Collar of REIT is: 0.3697600909850405
</t>
  </si>
  <si>
    <t xml:space="preserve"> 0.3697600909850405
</t>
  </si>
  <si>
    <t xml:space="preserve">date is: 2022-08-29 00:00:00
</t>
  </si>
  <si>
    <t xml:space="preserve"> 2022-08-29 00</t>
  </si>
  <si>
    <t>current price of gold is: 1737.09</t>
  </si>
  <si>
    <t xml:space="preserve"> predicted price of gold is: 1737.09
</t>
  </si>
  <si>
    <t xml:space="preserve"> 1737.09
</t>
  </si>
  <si>
    <t>current price of tb is: 90.390625</t>
  </si>
  <si>
    <t xml:space="preserve"> current price of tb option is: 4.272432927010816</t>
  </si>
  <si>
    <t xml:space="preserve"> predicted price of tb is: 90.62594641026897
</t>
  </si>
  <si>
    <t xml:space="preserve"> 90.62594641026897
</t>
  </si>
  <si>
    <t>current price of reit is: 61.6</t>
  </si>
  <si>
    <t xml:space="preserve"> current price of reit option is: 5.662532780696999</t>
  </si>
  <si>
    <t xml:space="preserve"> predicted price of reit is: 62.136746954404664
</t>
  </si>
  <si>
    <t xml:space="preserve"> 62.136746954404664
</t>
  </si>
  <si>
    <t>value_ratio_gold_to_total is: 0.0</t>
  </si>
  <si>
    <t xml:space="preserve"> risk_ratio_to_gold is: 0.5418020982271946</t>
  </si>
  <si>
    <t xml:space="preserve"> risk_ratio_to_gold_before is: 0.5423663709705674
</t>
  </si>
  <si>
    <t xml:space="preserve"> 0.5423663709705674
</t>
  </si>
  <si>
    <t>value_ratio_tb_to_total is: 0.42100868520699225</t>
  </si>
  <si>
    <t xml:space="preserve"> risk_ratio_tb_to_gold is: 0.41991838551918753</t>
  </si>
  <si>
    <t xml:space="preserve"> risk_ratio_tb_to_gold_before is: 0.4208881453611228
</t>
  </si>
  <si>
    <t xml:space="preserve"> 0.4208881453611228
</t>
  </si>
  <si>
    <t>value_ratio_reit_to_total is: 0.5789913147930078</t>
  </si>
  <si>
    <t xml:space="preserve"> risk_ratio_reit_to_gold is: 0.4257739867917606</t>
  </si>
  <si>
    <t xml:space="preserve"> risk_ratio_reit_to_gold_before is: 0.4228839864000976
</t>
  </si>
  <si>
    <t xml:space="preserve"> 0.4228839864000976
</t>
  </si>
  <si>
    <t>delta_gold is: 0.999395905968449</t>
  </si>
  <si>
    <t xml:space="preserve"> delta_tb is: 0.9984177337840748</t>
  </si>
  <si>
    <t xml:space="preserve"> delta_reit is: 0.9971249838828327
</t>
  </si>
  <si>
    <t xml:space="preserve"> 0.9971249838828327
</t>
  </si>
  <si>
    <t>delta_gold_risk is: 0.9996341512924598</t>
  </si>
  <si>
    <t xml:space="preserve"> delta_tb_risk is: 0.9993174974081518</t>
  </si>
  <si>
    <t xml:space="preserve"> delta_reit_risk is: 1.002031086454894
</t>
  </si>
  <si>
    <t xml:space="preserve"> 1.002031086454894
</t>
  </si>
  <si>
    <t xml:space="preserve">collateral_ratio_tranche_gold is: 0.7370595384985593
</t>
  </si>
  <si>
    <t xml:space="preserve"> 0.7370595384985593
</t>
  </si>
  <si>
    <t xml:space="preserve">collateral_ratio_tranche_tb is: 0.33843811197806184
</t>
  </si>
  <si>
    <t xml:space="preserve"> 0.33843811197806184
</t>
  </si>
  <si>
    <t xml:space="preserve">collateral_ratio_tranche_reit is: 0.36817209770515136
</t>
  </si>
  <si>
    <t xml:space="preserve"> 0.36817209770515136
</t>
  </si>
  <si>
    <t>Total plot size is: 148664592.77624208</t>
  </si>
  <si>
    <t xml:space="preserve"> plot size of gold is: 75881778.84696421</t>
  </si>
  <si>
    <t xml:space="preserve"> plot size of TB is: 34810813.20293117</t>
  </si>
  <si>
    <t xml:space="preserve"> plot size of REIT is: 37972000.72634669
</t>
  </si>
  <si>
    <t xml:space="preserve"> 37972000.72634669
</t>
  </si>
  <si>
    <t xml:space="preserve">collateral ratio is: 1.4434378611551468
</t>
  </si>
  <si>
    <t xml:space="preserve"> 1.4434378611551468
</t>
  </si>
  <si>
    <t>S_gtbcps_0 is: 0.9998615109202931</t>
  </si>
  <si>
    <t xml:space="preserve">stdev_gtbcps is: 0.007947150251065165
</t>
  </si>
  <si>
    <t xml:space="preserve"> 0.007947150251065165
</t>
  </si>
  <si>
    <t>predicted price of GTBCPS is: 0.9998670104421966</t>
  </si>
  <si>
    <t xml:space="preserve"> actual price is: 0.9998615109202931
</t>
  </si>
  <si>
    <t xml:space="preserve"> 0.9998615109202931
</t>
  </si>
  <si>
    <t>predicted amount of GTBCPS is: 103007112.56484075</t>
  </si>
  <si>
    <t xml:space="preserve"> actual amount is: 103007679.13317604
</t>
  </si>
  <si>
    <t>plot sizes of gold is: 75881778.84696421</t>
  </si>
  <si>
    <t xml:space="preserve"> plot sizes of tb is: 34810813.20293117 </t>
  </si>
  <si>
    <t xml:space="preserve"> plot sizes of reit is: 37972000.72634669</t>
  </si>
  <si>
    <t xml:space="preserve"> plot sizes of total is: 148664592.77624208.
</t>
  </si>
  <si>
    <t xml:space="preserve"> 148664592.77624208.
</t>
  </si>
  <si>
    <t>predicted stdevs of gold is: 0.008605301201364194</t>
  </si>
  <si>
    <t xml:space="preserve"> predicted stdevs of tb is: 0.003146929956467755</t>
  </si>
  <si>
    <t xml:space="preserve"> predicted stdevs of reit is: 0.011032526446909118</t>
  </si>
  <si>
    <t xml:space="preserve"> predicted stdevs of GTBCPS is: 0.007947150251065165.
</t>
  </si>
  <si>
    <t xml:space="preserve"> 0.007947150251065165.
</t>
  </si>
  <si>
    <t>total_value_of_collaterals is: 148664786.48550233</t>
  </si>
  <si>
    <t xml:space="preserve"> createdtionValue_gold is: -417.37200880947233</t>
  </si>
  <si>
    <t xml:space="preserve"> createdValue_tb is: -191.4695059997412</t>
  </si>
  <si>
    <t xml:space="preserve"> createdValue_reit is: -208.85697705965023
</t>
  </si>
  <si>
    <t xml:space="preserve"> -208.85697705965023
</t>
  </si>
  <si>
    <t>plotValue_gold_after_creation is: 75882323.95700502</t>
  </si>
  <si>
    <t xml:space="preserve"> plotValue_tb_after_creation  is: 34811033.74326318</t>
  </si>
  <si>
    <t xml:space="preserve"> plotValue_reit_after_creation  is: 37972246.483726</t>
  </si>
  <si>
    <t xml:space="preserve">total_value_after_creation is: 148665604.1839942
</t>
  </si>
  <si>
    <t xml:space="preserve"> 148665604.1839942
</t>
  </si>
  <si>
    <t>total_amount_gtncps_before_creation is: 103007679.13317604</t>
  </si>
  <si>
    <t>creation_amount_gtbcps is: -566.5683352947235</t>
  </si>
  <si>
    <t xml:space="preserve">total_amount_gtbcps_new is: 103007112.56484075
</t>
  </si>
  <si>
    <t xml:space="preserve"> 103007112.56484075
</t>
  </si>
  <si>
    <t>payout of tranche of gold is: 127.73803199150707</t>
  </si>
  <si>
    <t xml:space="preserve"> payout of tranche of Treausry Bill Option is: 29.070826001530705</t>
  </si>
  <si>
    <t xml:space="preserve"> payout of tranche of Collar of REIT is: 36.900402252615734
</t>
  </si>
  <si>
    <t xml:space="preserve"> 36.900402252615734
</t>
  </si>
  <si>
    <t>Collateral size of tranche of gold is: 75882323.95700502</t>
  </si>
  <si>
    <t xml:space="preserve"> collateral size of tranche of Treausry Bill Option is: 34811033.74326318</t>
  </si>
  <si>
    <t xml:space="preserve"> collateral size of tranche of Collar of REIT is: 37972246.483726
</t>
  </si>
  <si>
    <t xml:space="preserve"> 37972246.483726
</t>
  </si>
  <si>
    <t>Collateral ratio of tranche of gold is: 0.7367646518648762</t>
  </si>
  <si>
    <t xml:space="preserve"> collateral ratio of tranche of Treausry Bill Option is: 0.3379909551985211</t>
  </si>
  <si>
    <t xml:space="preserve"> collateral ratio of tranche of Collar of REIT is: 0.3686841348844459
</t>
  </si>
  <si>
    <t xml:space="preserve"> 0.3686841348844459
</t>
  </si>
  <si>
    <t xml:space="preserve">date is: 2022-08-30 00:00:00
</t>
  </si>
  <si>
    <t xml:space="preserve"> 2022-08-30 00</t>
  </si>
  <si>
    <t>current price of gold is: 1724.02</t>
  </si>
  <si>
    <t xml:space="preserve"> predicted price of gold is: 1732.5811461097626
</t>
  </si>
  <si>
    <t xml:space="preserve"> 1732.5811461097626
</t>
  </si>
  <si>
    <t>current price of tb is: 90.34375</t>
  </si>
  <si>
    <t xml:space="preserve"> current price of tb option is: 4.273280643936775</t>
  </si>
  <si>
    <t xml:space="preserve"> predicted price of tb is: 90.57819455526104
</t>
  </si>
  <si>
    <t xml:space="preserve"> 90.57819455526104
</t>
  </si>
  <si>
    <t>current price of reit is: 61.4</t>
  </si>
  <si>
    <t xml:space="preserve"> current price of reit option is: 5.681648929049651</t>
  </si>
  <si>
    <t xml:space="preserve"> predicted price of reit is: 61.93251158959929
</t>
  </si>
  <si>
    <t xml:space="preserve"> 61.93251158959929
</t>
  </si>
  <si>
    <t>value_ratio_gold_to_total is: 0.44397303216109407</t>
  </si>
  <si>
    <t xml:space="preserve"> risk_ratio_to_gold is: 0.5428089696173933</t>
  </si>
  <si>
    <t xml:space="preserve"> risk_ratio_to_gold_before is: 0.5418020982271946
</t>
  </si>
  <si>
    <t xml:space="preserve"> 0.5418020982271946
</t>
  </si>
  <si>
    <t>value_ratio_tb_to_total is: 0.23376641388641337</t>
  </si>
  <si>
    <t xml:space="preserve"> risk_ratio_tb_to_gold is: 0.41892210748129666</t>
  </si>
  <si>
    <t xml:space="preserve"> risk_ratio_tb_to_gold_before is: 0.41991838551918753
</t>
  </si>
  <si>
    <t xml:space="preserve"> 0.41991838551918753
</t>
  </si>
  <si>
    <t>value_ratio_reit_to_total is: 0.32226055395249253</t>
  </si>
  <si>
    <t xml:space="preserve"> risk_ratio_reit_to_gold is: 0.4233466389339743</t>
  </si>
  <si>
    <t xml:space="preserve"> risk_ratio_reit_to_gold_before is: 0.4257739867917606
</t>
  </si>
  <si>
    <t xml:space="preserve"> 0.4257739867917606
</t>
  </si>
  <si>
    <t>delta_gold is: 0.9924759223759276</t>
  </si>
  <si>
    <t xml:space="preserve"> delta_tb is: 0.9995137777705266</t>
  </si>
  <si>
    <t xml:space="preserve"> delta_reit is: 0.9973107784650764
</t>
  </si>
  <si>
    <t xml:space="preserve"> 0.9973107784650764
</t>
  </si>
  <si>
    <t>delta_gold_risk is: 1.0006530483979472</t>
  </si>
  <si>
    <t xml:space="preserve"> delta_tb_risk is: 0.9992983554209515</t>
  </si>
  <si>
    <t xml:space="preserve"> delta_reit_risk is: 0.9982975226927456
</t>
  </si>
  <si>
    <t xml:space="preserve"> 0.9982975226927456
</t>
  </si>
  <si>
    <t xml:space="preserve">collateral_ratio_tranche_gold is: 0.7307439662570984
</t>
  </si>
  <si>
    <t xml:space="preserve"> 0.7307439662570984
</t>
  </si>
  <si>
    <t xml:space="preserve">collateral_ratio_tranche_tb is: 0.34062671900200675
</t>
  </si>
  <si>
    <t xml:space="preserve"> 0.34062671900200675
</t>
  </si>
  <si>
    <t xml:space="preserve">collateral_ratio_tranche_reit is: 0.37111199297258957
</t>
  </si>
  <si>
    <t xml:space="preserve"> 0.37111199297258957
</t>
  </si>
  <si>
    <t>Total plot size is: 147975618.00683632</t>
  </si>
  <si>
    <t xml:space="preserve"> plot size of gold is: 75311379.46125752</t>
  </si>
  <si>
    <t xml:space="preserve"> plot size of TB is: 34794107.84482626</t>
  </si>
  <si>
    <t xml:space="preserve"> plot size of REIT is: 37870130.70075254
</t>
  </si>
  <si>
    <t xml:space="preserve"> 37870130.70075254
</t>
  </si>
  <si>
    <t xml:space="preserve">collateral ratio is: 1.4367483579656568
</t>
  </si>
  <si>
    <t xml:space="preserve"> 1.4367483579656568
</t>
  </si>
  <si>
    <t>S_gtbcps_0 is: 0.9998670104421966</t>
  </si>
  <si>
    <t xml:space="preserve">stdev_gtbcps is: 0.007917251183050283
</t>
  </si>
  <si>
    <t xml:space="preserve"> 0.007917251183050283
</t>
  </si>
  <si>
    <t>predicted price of GTBCPS is: 0.9998589177956084</t>
  </si>
  <si>
    <t xml:space="preserve"> actual price is: 0.9998670104421966
</t>
  </si>
  <si>
    <t xml:space="preserve"> 0.9998670104421966
</t>
  </si>
  <si>
    <t>predicted amount of GTBCPS is: 103007946.28262153</t>
  </si>
  <si>
    <t xml:space="preserve"> actual amount is: 103007112.56484075
</t>
  </si>
  <si>
    <t>plot sizes of gold is: 75311379.46125752</t>
  </si>
  <si>
    <t xml:space="preserve"> plot sizes of tb is: 34794107.84482626 </t>
  </si>
  <si>
    <t xml:space="preserve"> plot sizes of reit is: 37870130.70075254</t>
  </si>
  <si>
    <t xml:space="preserve"> plot sizes of total is: 147975618.0068363.
</t>
  </si>
  <si>
    <t xml:space="preserve"> 147975618.0068363.
</t>
  </si>
  <si>
    <t>predicted stdevs of gold is: 0.008567223397348004</t>
  </si>
  <si>
    <t xml:space="preserve"> predicted stdevs of tb is: 0.003135309259367485</t>
  </si>
  <si>
    <t xml:space="preserve"> predicted stdevs of reit is: 0.011018193713669333</t>
  </si>
  <si>
    <t xml:space="preserve"> predicted stdevs of GTBCPS is: 0.007917251183050283.
</t>
  </si>
  <si>
    <t xml:space="preserve"> 0.007917251183050283.
</t>
  </si>
  <si>
    <t>total_value_of_collaterals is: 147975332.72278252</t>
  </si>
  <si>
    <t xml:space="preserve"> createdtionValue_gold is: 609.5479269272367</t>
  </si>
  <si>
    <t xml:space="preserve"> createdValue_tb is: 281.6134952162447</t>
  </si>
  <si>
    <t xml:space="preserve"> createdValue_reit is: 306.5099271123407
</t>
  </si>
  <si>
    <t xml:space="preserve"> 306.5099271123407
</t>
  </si>
  <si>
    <t>plotValue_gold_after_creation is: 75310582.75335431</t>
  </si>
  <si>
    <t xml:space="preserve"> plotValue_tb_after_creation  is: 34793779.94583198</t>
  </si>
  <si>
    <t xml:space="preserve"> plotValue_reit_after_creation  is: 37869772.35224698</t>
  </si>
  <si>
    <t xml:space="preserve">total_value_after_creation is: 147974135.05143327
</t>
  </si>
  <si>
    <t xml:space="preserve"> 147974135.05143327
</t>
  </si>
  <si>
    <t>total_amount_gtncps_before_creation is: 103007112.56484075</t>
  </si>
  <si>
    <t>creation_amount_gtbcps is: 833.7177807837725</t>
  </si>
  <si>
    <t xml:space="preserve">total_amount_gtbcps_new is: 103007946.28262153
</t>
  </si>
  <si>
    <t xml:space="preserve"> 103007946.28262153
</t>
  </si>
  <si>
    <t>payout of tranche of gold is: -187.15997627445685</t>
  </si>
  <si>
    <t xml:space="preserve"> payout of tranche of Treausry Bill Option is: -46.28549906391155</t>
  </si>
  <si>
    <t xml:space="preserve"> payout of tranche of Collar of REIT is: -51.838578454729
</t>
  </si>
  <si>
    <t xml:space="preserve"> -51.838578454729
</t>
  </si>
  <si>
    <t>Collateral size of tranche of gold is: 75310582.75335431</t>
  </si>
  <si>
    <t xml:space="preserve"> collateral size of tranche of Treausry Bill Option is: 34793779.94583198</t>
  </si>
  <si>
    <t xml:space="preserve"> collateral size of tranche of Collar of REIT is: 37869772.35224698
</t>
  </si>
  <si>
    <t xml:space="preserve"> 37869772.35224698
</t>
  </si>
  <si>
    <t>Collateral ratio of tranche of gold is: 0.7312233821540978</t>
  </si>
  <si>
    <t xml:space="preserve"> collateral ratio of tranche of Treausry Bill Option is: 0.3378280252224379</t>
  </si>
  <si>
    <t xml:space="preserve"> collateral ratio of tranche of Collar of REIT is: 0.36769418066390425
</t>
  </si>
  <si>
    <t xml:space="preserve"> 0.36769418066390425
</t>
  </si>
  <si>
    <t xml:space="preserve">date is: 2022-08-31 00:00:00
</t>
  </si>
  <si>
    <t xml:space="preserve"> 2022-08-31 00</t>
  </si>
  <si>
    <t>current price of gold is: 1711.04</t>
  </si>
  <si>
    <t xml:space="preserve"> predicted price of gold is: 1718.802432623948
</t>
  </si>
  <si>
    <t xml:space="preserve"> 1718.802432623948
</t>
  </si>
  <si>
    <t>current price of tb is: 90.1875</t>
  </si>
  <si>
    <t xml:space="preserve"> current price of tb option is: 4.270757404390474</t>
  </si>
  <si>
    <t xml:space="preserve"> predicted price of tb is: 90.42455318368322
</t>
  </si>
  <si>
    <t xml:space="preserve"> 90.42455318368322
</t>
  </si>
  <si>
    <t>current price of reit is: 60.85</t>
  </si>
  <si>
    <t xml:space="preserve"> current price of reit option is: 5.68633734401606</t>
  </si>
  <si>
    <t xml:space="preserve"> predicted price of reit is: 61.48048323137387
</t>
  </si>
  <si>
    <t xml:space="preserve"> 61.48048323137387
</t>
  </si>
  <si>
    <t>value_ratio_gold_to_total is: 0.4176255439121759</t>
  </si>
  <si>
    <t xml:space="preserve"> risk_ratio_to_gold is: 0.5421905939696342</t>
  </si>
  <si>
    <t xml:space="preserve"> risk_ratio_to_gold_before is: 0.5428089696173933
</t>
  </si>
  <si>
    <t xml:space="preserve"> 0.5428089696173933
</t>
  </si>
  <si>
    <t>value_ratio_tb_to_total is: 0.24252408232044953</t>
  </si>
  <si>
    <t xml:space="preserve"> risk_ratio_tb_to_gold is: 0.4206193030944103</t>
  </si>
  <si>
    <t xml:space="preserve"> risk_ratio_tb_to_gold_before is: 0.41892210748129666
</t>
  </si>
  <si>
    <t xml:space="preserve"> 0.41892210748129666
</t>
  </si>
  <si>
    <t>value_ratio_reit_to_total is: 0.3398503737673746</t>
  </si>
  <si>
    <t xml:space="preserve"> risk_ratio_reit_to_gold is: 0.4237505755464678</t>
  </si>
  <si>
    <t xml:space="preserve"> risk_ratio_reit_to_gold_before is: 0.4233466389339743
</t>
  </si>
  <si>
    <t xml:space="preserve"> 0.4233466389339743
</t>
  </si>
  <si>
    <t>delta_gold is: 0.9924710850222155</t>
  </si>
  <si>
    <t xml:space="preserve"> delta_tb is: 0.9983219380436511</t>
  </si>
  <si>
    <t xml:space="preserve"> delta_reit is: 0.9918709275377183
</t>
  </si>
  <si>
    <t xml:space="preserve"> 0.9918709275377183
</t>
  </si>
  <si>
    <t>delta_gold_risk is: 0.9995991884543473</t>
  </si>
  <si>
    <t xml:space="preserve"> delta_tb_risk is: 1.0011961161251666</t>
  </si>
  <si>
    <t xml:space="preserve"> delta_reit_risk is: 1.0002837935619087
</t>
  </si>
  <si>
    <t xml:space="preserve"> 1.0002837935619087
</t>
  </si>
  <si>
    <t xml:space="preserve">collateral_ratio_tranche_gold is: 0.7260090562921019
</t>
  </si>
  <si>
    <t xml:space="preserve"> 0.7260090562921019
</t>
  </si>
  <si>
    <t xml:space="preserve">collateral_ratio_tranche_tb is: 0.3394136236465762
</t>
  </si>
  <si>
    <t xml:space="preserve"> 0.3394136236465762
</t>
  </si>
  <si>
    <t xml:space="preserve">collateral_ratio_tranche_reit is: 0.36736757565391875
</t>
  </si>
  <si>
    <t xml:space="preserve"> 0.36736757565391875
</t>
  </si>
  <si>
    <t>Total plot size is: 147040895.83492965</t>
  </si>
  <si>
    <t xml:space="preserve"> plot size of gold is: 74743575.7788769</t>
  </si>
  <si>
    <t xml:space="preserve"> plot size of TB is: 34735393.8273873</t>
  </si>
  <si>
    <t xml:space="preserve"> plot size of REIT is: 37561926.22866545
</t>
  </si>
  <si>
    <t xml:space="preserve"> 37561926.22866545
</t>
  </si>
  <si>
    <t xml:space="preserve">collateral ratio is: 1.4276728050892435
</t>
  </si>
  <si>
    <t xml:space="preserve"> 1.4276728050892435
</t>
  </si>
  <si>
    <t>S_gtbcps_0 is: 0.9998589177956084</t>
  </si>
  <si>
    <t xml:space="preserve">stdev_gtbcps is: 0.007918381840528104
</t>
  </si>
  <si>
    <t xml:space="preserve"> 0.007918381840528104
</t>
  </si>
  <si>
    <t>predicted price of GTBCPS is: 0.9998164416360529</t>
  </si>
  <si>
    <t xml:space="preserve"> actual price is: 0.9998589177956084
</t>
  </si>
  <si>
    <t xml:space="preserve"> 0.9998589177956084
</t>
  </si>
  <si>
    <t>predicted amount of GTBCPS is: 103012322.46786873</t>
  </si>
  <si>
    <t xml:space="preserve"> actual amount is: 103007946.28262153
</t>
  </si>
  <si>
    <t>plot sizes of gold is: 74743575.7788769</t>
  </si>
  <si>
    <t xml:space="preserve"> plot sizes of tb is: 34735393.8273873 </t>
  </si>
  <si>
    <t xml:space="preserve"> plot sizes of reit is: 37561926.22866545</t>
  </si>
  <si>
    <t xml:space="preserve"> plot sizes of total is: 147040895.83492965.
</t>
  </si>
  <si>
    <t xml:space="preserve"> 147040895.83492965.
</t>
  </si>
  <si>
    <t>predicted stdevs of gold is: 0.008584603023295771</t>
  </si>
  <si>
    <t xml:space="preserve"> predicted stdevs of tb is: 0.0031381531922172884</t>
  </si>
  <si>
    <t xml:space="preserve"> predicted stdevs of reit is: 0.011013201060305842</t>
  </si>
  <si>
    <t xml:space="preserve"> predicted stdevs of GTBCPS is: 0.007918381840528104.
</t>
  </si>
  <si>
    <t xml:space="preserve"> 0.007918381840528104.
</t>
  </si>
  <si>
    <t>total_value_of_collaterals is: 147039399.32932156</t>
  </si>
  <si>
    <t xml:space="preserve"> createdtionValue_gold is: 3175.2234241418014</t>
  </si>
  <si>
    <t xml:space="preserve"> createdValue_tb is: 1475.6239140645887</t>
  </si>
  <si>
    <t xml:space="preserve"> createdValue_reit is: 1595.7029257438762
</t>
  </si>
  <si>
    <t xml:space="preserve"> 1595.7029257438762
</t>
  </si>
  <si>
    <t>plotValue_gold_after_creation is: 74739350.69790724</t>
  </si>
  <si>
    <t xml:space="preserve"> plotValue_tb_after_creation  is: 34733673.344986804</t>
  </si>
  <si>
    <t xml:space="preserve"> plotValue_reit_after_creation  is: 37560128.73616358</t>
  </si>
  <si>
    <t xml:space="preserve">total_value_after_creation is: 147033152.77905762
</t>
  </si>
  <si>
    <t xml:space="preserve"> 147033152.77905762
</t>
  </si>
  <si>
    <t>total_amount_gtncps_before_creation is: 103007946.28262153</t>
  </si>
  <si>
    <t>creation_amount_gtbcps is: 4376.185247197747</t>
  </si>
  <si>
    <t xml:space="preserve">total_amount_gtbcps_new is: 103012322.46786873
</t>
  </si>
  <si>
    <t xml:space="preserve"> 103012322.46786873
</t>
  </si>
  <si>
    <t>payout of tranche of gold is: -1049.8575455283394</t>
  </si>
  <si>
    <t xml:space="preserve"> payout of tranche of Treausry Bill Option is: -244.85848643771246</t>
  </si>
  <si>
    <t xml:space="preserve"> payout of tranche of Collar of REIT is: -201.78957612980014
</t>
  </si>
  <si>
    <t xml:space="preserve"> -201.78957612980014
</t>
  </si>
  <si>
    <t>Collateral size of tranche of gold is: 74739350.69790724</t>
  </si>
  <si>
    <t xml:space="preserve"> collateral size of tranche of Treausry Bill Option is: 34733673.344986804</t>
  </si>
  <si>
    <t xml:space="preserve"> collateral size of tranche of Collar of REIT is: 37560128.73616358
</t>
  </si>
  <si>
    <t xml:space="preserve"> 37560128.73616358
</t>
  </si>
  <si>
    <t>Collateral ratio of tranche of gold is: 0.7257019962756113</t>
  </si>
  <si>
    <t xml:space="preserve"> collateral ratio of tranche of Treausry Bill Option is: 0.33725602174849656</t>
  </si>
  <si>
    <t xml:space="preserve"> collateral ratio of tranche of Collar of REIT is: 0.364700256955351
</t>
  </si>
  <si>
    <t xml:space="preserve"> 0.364700256955351
</t>
  </si>
  <si>
    <t xml:space="preserve">date is: 2022-09-01 00:00:00
</t>
  </si>
  <si>
    <t xml:space="preserve"> 2022-09-01 00</t>
  </si>
  <si>
    <t>current price of gold is: 1697.52</t>
  </si>
  <si>
    <t xml:space="preserve"> predicted price of gold is: 1703.5658587760424
</t>
  </si>
  <si>
    <t xml:space="preserve"> 1703.5658587760424
</t>
  </si>
  <si>
    <t>current price of tb is: 90.12890625</t>
  </si>
  <si>
    <t xml:space="preserve"> current price of tb option is: 4.262895493691199</t>
  </si>
  <si>
    <t xml:space="preserve"> predicted price of tb is: 90.3740893348762
</t>
  </si>
  <si>
    <t xml:space="preserve"> 90.3740893348762
</t>
  </si>
  <si>
    <t>current price of reit is: 60.8</t>
  </si>
  <si>
    <t xml:space="preserve"> current price of reit option is: 5.6250391200696015</t>
  </si>
  <si>
    <t xml:space="preserve"> predicted price of reit is: 61.36432005093949
</t>
  </si>
  <si>
    <t xml:space="preserve"> 61.36432005093949
</t>
  </si>
  <si>
    <t>value_ratio_gold_to_total is: 0.3610913040207866</t>
  </si>
  <si>
    <t xml:space="preserve"> risk_ratio_to_gold is: 0.5429540854730738</t>
  </si>
  <si>
    <t xml:space="preserve"> risk_ratio_to_gold_before is: 0.5421905939696342
</t>
  </si>
  <si>
    <t xml:space="preserve"> 0.5421905939696342
</t>
  </si>
  <si>
    <t>value_ratio_tb_to_total is: 0.26924677417434423</t>
  </si>
  <si>
    <t xml:space="preserve"> risk_ratio_tb_to_gold is: 0.41737114438161493</t>
  </si>
  <si>
    <t xml:space="preserve"> risk_ratio_tb_to_gold_before is: 0.4206193030944103
</t>
  </si>
  <si>
    <t xml:space="preserve"> 0.4206193030944103
</t>
  </si>
  <si>
    <t>value_ratio_reit_to_total is: 0.3696619218048691</t>
  </si>
  <si>
    <t xml:space="preserve"> risk_ratio_reit_to_gold is: 0.42440521711072743</t>
  </si>
  <si>
    <t xml:space="preserve"> risk_ratio_reit_to_gold_before is: 0.4237505755464678
</t>
  </si>
  <si>
    <t xml:space="preserve"> 0.4237505755464678
</t>
  </si>
  <si>
    <t>delta_gold is: 0.9920983729193941</t>
  </si>
  <si>
    <t xml:space="preserve"> delta_tb is: 0.9992964547248128</t>
  </si>
  <si>
    <t xml:space="preserve"> delta_reit is: 0.9983272565279478
</t>
  </si>
  <si>
    <t xml:space="preserve"> 0.9983272565279478
</t>
  </si>
  <si>
    <t>delta_gold_risk is: 1.000495069485202</t>
  </si>
  <si>
    <t xml:space="preserve"> delta_tb_risk is: 0.9977135614687761</t>
  </si>
  <si>
    <t xml:space="preserve"> delta_reit_risk is: 1.000459800737224
</t>
  </si>
  <si>
    <t xml:space="preserve"> 1.000459800737224
</t>
  </si>
  <si>
    <t xml:space="preserve">collateral_ratio_tranche_gold is: 0.7196115120285848
</t>
  </si>
  <si>
    <t xml:space="preserve"> 0.7196115120285848
</t>
  </si>
  <si>
    <t xml:space="preserve">collateral_ratio_tranche_tb is: 0.34048144281002923
</t>
  </si>
  <si>
    <t xml:space="preserve"> 0.34048144281002923
</t>
  </si>
  <si>
    <t xml:space="preserve">collateral_ratio_tranche_reit is: 0.3668213605715035
</t>
  </si>
  <si>
    <t xml:space="preserve"> 0.3668213605715035
</t>
  </si>
  <si>
    <t>Total plot size is: 146355325.1296715</t>
  </si>
  <si>
    <t xml:space="preserve"> plot size of gold is: 74148788.22044575</t>
  </si>
  <si>
    <t xml:space="preserve"> plot size of TB is: 34709236.63321504</t>
  </si>
  <si>
    <t xml:space="preserve"> plot size of REIT is: 37497300.27601072
</t>
  </si>
  <si>
    <t xml:space="preserve"> 37497300.27601072
</t>
  </si>
  <si>
    <t xml:space="preserve">collateral ratio is: 1.42101635317969
</t>
  </si>
  <si>
    <t xml:space="preserve"> 1.42101635317969
</t>
  </si>
  <si>
    <t>S_gtbcps_0 is: 0.9998164416360529</t>
  </si>
  <si>
    <t xml:space="preserve">stdev_gtbcps is: 0.007901235282970015
</t>
  </si>
  <si>
    <t xml:space="preserve"> 0.007901235282970015
</t>
  </si>
  <si>
    <t>predicted price of GTBCPS is: 0.9997890716826048</t>
  </si>
  <si>
    <t xml:space="preserve"> actual price is: 0.9998164416360529
</t>
  </si>
  <si>
    <t xml:space="preserve"> 0.9998164416360529
</t>
  </si>
  <si>
    <t>predicted amount of GTBCPS is: 103015142.50516498</t>
  </si>
  <si>
    <t xml:space="preserve"> actual amount is: 103012322.46786873
</t>
  </si>
  <si>
    <t>plot sizes of gold is: 74148788.22044575</t>
  </si>
  <si>
    <t xml:space="preserve"> plot sizes of tb is: 34709236.63321504 </t>
  </si>
  <si>
    <t xml:space="preserve"> plot sizes of reit is: 37497300.27601072</t>
  </si>
  <si>
    <t xml:space="preserve"> plot sizes of total is: 146355325.1296715.
</t>
  </si>
  <si>
    <t xml:space="preserve"> 146355325.1296715.
</t>
  </si>
  <si>
    <t>predicted stdevs of gold is: 0.008594376763644473</t>
  </si>
  <si>
    <t xml:space="preserve"> predicted stdevs of tb is: 0.0031150326932916756</t>
  </si>
  <si>
    <t xml:space="preserve"> predicted stdevs of reit is: 0.010960917888325872</t>
  </si>
  <si>
    <t xml:space="preserve"> predicted stdevs of GTBCPS is: 0.007901235282970015.
</t>
  </si>
  <si>
    <t xml:space="preserve"> 0.007901235282970015.
</t>
  </si>
  <si>
    <t>total_value_of_collaterals is: 146354360.94365466</t>
  </si>
  <si>
    <t xml:space="preserve"> createdtionValue_gold is: 2029.8042417354284</t>
  </si>
  <si>
    <t xml:space="preserve"> createdValue_tb is: 950.1602337482897</t>
  </si>
  <si>
    <t xml:space="preserve"> createdValue_reit is: 1026.482987415389
</t>
  </si>
  <si>
    <t xml:space="preserve"> 1026.482987415389
</t>
  </si>
  <si>
    <t>plotValue_gold_after_creation is: 74146128.98003562</t>
  </si>
  <si>
    <t xml:space="preserve"> plotValue_tb_after_creation  is: 34708126.91915945</t>
  </si>
  <si>
    <t xml:space="preserve"> plotValue_reit_after_creation  is: 37496098.59699668</t>
  </si>
  <si>
    <t xml:space="preserve">total_value_after_creation is: 146350354.49619174
</t>
  </si>
  <si>
    <t xml:space="preserve"> 146350354.49619174
</t>
  </si>
  <si>
    <t>total_amount_gtncps_before_creation is: 103012322.46786873</t>
  </si>
  <si>
    <t>creation_amount_gtbcps is: 2820.0372962504625</t>
  </si>
  <si>
    <t xml:space="preserve">total_amount_gtbcps_new is: 103015142.50516498
</t>
  </si>
  <si>
    <t xml:space="preserve"> 103015142.50516498
</t>
  </si>
  <si>
    <t>payout of tranche of gold is: -629.4361683952983</t>
  </si>
  <si>
    <t xml:space="preserve"> payout of tranche of Treausry Bill Option is: -159.55382184014755</t>
  </si>
  <si>
    <t xml:space="preserve"> payout of tranche of Collar of REIT is: -175.19602662356164
</t>
  </si>
  <si>
    <t xml:space="preserve"> -175.19602662356164
</t>
  </si>
  <si>
    <t>Collateral size of tranche of gold is: 74146128.98003562</t>
  </si>
  <si>
    <t xml:space="preserve"> collateral size of tranche of Treausry Bill Option is: 34708126.91915945</t>
  </si>
  <si>
    <t xml:space="preserve"> collateral size of tranche of Collar of REIT is: 37496098.59699668
</t>
  </si>
  <si>
    <t xml:space="preserve"> 37496098.59699668
</t>
  </si>
  <si>
    <t>Collateral ratio of tranche of gold is: 0.7199310725268646</t>
  </si>
  <si>
    <t xml:space="preserve"> collateral ratio of tranche of Treausry Bill Option is: 0.3370028804205957</t>
  </si>
  <si>
    <t xml:space="preserve"> collateral ratio of tranche of Collar of REIT is: 0.3640730386043131
</t>
  </si>
  <si>
    <t xml:space="preserve"> 0.3640730386043131
</t>
  </si>
  <si>
    <t xml:space="preserve">date is: 2022-09-02 00:00:00
</t>
  </si>
  <si>
    <t xml:space="preserve"> 2022-09-02 00</t>
  </si>
  <si>
    <t>current price of gold is: 1712.19</t>
  </si>
  <si>
    <t xml:space="preserve"> predicted price of gold is: 1708.0248034920603
</t>
  </si>
  <si>
    <t xml:space="preserve"> 1708.0248034920603
</t>
  </si>
  <si>
    <t>current price of tb is: 90.46484375</t>
  </si>
  <si>
    <t xml:space="preserve"> current price of tb option is: 4.26639906488464</t>
  </si>
  <si>
    <t xml:space="preserve"> predicted price of tb is: 90.70640527221539
</t>
  </si>
  <si>
    <t xml:space="preserve"> 90.70640527221539
</t>
  </si>
  <si>
    <t>current price of reit is: 61.9</t>
  </si>
  <si>
    <t xml:space="preserve"> current price of reit option is: 5.582125422592931</t>
  </si>
  <si>
    <t xml:space="preserve"> predicted price of reit is: 62.43828414474706
</t>
  </si>
  <si>
    <t xml:space="preserve"> 62.43828414474706
</t>
  </si>
  <si>
    <t>value_ratio_gold_to_total is: -0.6444506577964472</t>
  </si>
  <si>
    <t xml:space="preserve"> risk_ratio_to_gold is: 0.539416920083666</t>
  </si>
  <si>
    <t xml:space="preserve"> risk_ratio_to_gold_before is: 0.5429540854730738
</t>
  </si>
  <si>
    <t xml:space="preserve"> 0.5429540854730738
</t>
  </si>
  <si>
    <t>value_ratio_tb_to_total is: 0.6974840587086877</t>
  </si>
  <si>
    <t xml:space="preserve"> risk_ratio_tb_to_gold is: 0.4218238673155133</t>
  </si>
  <si>
    <t xml:space="preserve"> risk_ratio_tb_to_gold_before is: 0.41737114438161493
</t>
  </si>
  <si>
    <t xml:space="preserve"> 0.41737114438161493
</t>
  </si>
  <si>
    <t>value_ratio_reit_to_total is: 0.9469665990877595</t>
  </si>
  <si>
    <t xml:space="preserve"> risk_ratio_reit_to_gold is: 0.4320297341712468</t>
  </si>
  <si>
    <t xml:space="preserve"> risk_ratio_reit_to_gold_before is: 0.42440521711072743
</t>
  </si>
  <si>
    <t xml:space="preserve"> 0.42440521711072743
</t>
  </si>
  <si>
    <t>delta_gold is: 1.008642018945285</t>
  </si>
  <si>
    <t xml:space="preserve"> delta_tb is: 1.0035960863647369</t>
  </si>
  <si>
    <t xml:space="preserve"> delta_reit is: 1.015913973352918
</t>
  </si>
  <si>
    <t xml:space="preserve"> 1.015913973352918
</t>
  </si>
  <si>
    <t>delta_gold_risk is: 0.9977075368459047</t>
  </si>
  <si>
    <t xml:space="preserve"> delta_tb_risk is: 1.0031415363234597</t>
  </si>
  <si>
    <t xml:space="preserve"> delta_reit_risk is: 1.0053527724898292
</t>
  </si>
  <si>
    <t xml:space="preserve"> 1.0053527724898292
</t>
  </si>
  <si>
    <t xml:space="preserve">collateral_ratio_tranche_gold is: 0.7278212338563249
</t>
  </si>
  <si>
    <t xml:space="preserve"> 0.7278212338563249
</t>
  </si>
  <si>
    <t xml:space="preserve">collateral_ratio_tranche_tb is: 0.33426684495875547
</t>
  </si>
  <si>
    <t xml:space="preserve"> 0.33426684495875547
</t>
  </si>
  <si>
    <t xml:space="preserve">collateral_ratio_tranche_reit is: 0.3647454776781955
</t>
  </si>
  <si>
    <t xml:space="preserve"> 0.3647454776781955
</t>
  </si>
  <si>
    <t>Total plot size is: 147712652.08342728</t>
  </si>
  <si>
    <t xml:space="preserve"> plot size of gold is: 74786901.23140062</t>
  </si>
  <si>
    <t xml:space="preserve"> plot size of TB is: 34832940.34111899</t>
  </si>
  <si>
    <t xml:space="preserve"> plot size of REIT is: 38092810.51090767
</t>
  </si>
  <si>
    <t xml:space="preserve"> 38092810.51090767
</t>
  </si>
  <si>
    <t xml:space="preserve">collateral ratio is: 1.4341951274825013
</t>
  </si>
  <si>
    <t xml:space="preserve"> 1.4341951274825013
</t>
  </si>
  <si>
    <t>S_gtbcps_0 is: 0.9997890716826048</t>
  </si>
  <si>
    <t xml:space="preserve">stdev_gtbcps is: 0.007966741120047612
</t>
  </si>
  <si>
    <t xml:space="preserve"> 0.007966741120047612
</t>
  </si>
  <si>
    <t>predicted price of GTBCPS is: 0.9997641048312654</t>
  </si>
  <si>
    <t xml:space="preserve"> actual price is: 0.9997890716826048
</t>
  </si>
  <si>
    <t xml:space="preserve"> 0.9997890716826048
</t>
  </si>
  <si>
    <t>predicted amount of GTBCPS is: 103017715.07577059</t>
  </si>
  <si>
    <t xml:space="preserve"> actual amount is: 103015142.50516498
</t>
  </si>
  <si>
    <t>plot sizes of gold is: 74786901.23140062</t>
  </si>
  <si>
    <t xml:space="preserve"> plot sizes of tb is: 34832940.34111899 </t>
  </si>
  <si>
    <t xml:space="preserve"> plot sizes of reit is: 38092810.51090767</t>
  </si>
  <si>
    <t xml:space="preserve"> plot sizes of total is: 147712652.08342728.
</t>
  </si>
  <si>
    <t xml:space="preserve"> 147712652.08342728.
</t>
  </si>
  <si>
    <t>predicted stdevs of gold is: 0.008606630603300282</t>
  </si>
  <si>
    <t xml:space="preserve"> predicted stdevs of tb is: 0.0031376958402653736</t>
  </si>
  <si>
    <t xml:space="preserve"> predicted stdevs of reit is: 0.011126247938735217</t>
  </si>
  <si>
    <t xml:space="preserve"> predicted stdevs of GTBCPS is: 0.007966741120047612.
</t>
  </si>
  <si>
    <t xml:space="preserve"> 0.007966741120047612.
</t>
  </si>
  <si>
    <t>total_value_of_collaterals is: 147711775.21531704</t>
  </si>
  <si>
    <t xml:space="preserve"> createdtionValue_gold is: 1867.5721845637215</t>
  </si>
  <si>
    <t xml:space="preserve"> createdValue_tb is: 869.849844330441</t>
  </si>
  <si>
    <t xml:space="preserve"> createdValue_reit is: 951.253950196316
</t>
  </si>
  <si>
    <t xml:space="preserve"> 951.253950196316
</t>
  </si>
  <si>
    <t>plotValue_gold_after_creation is: 74784425.4739926</t>
  </si>
  <si>
    <t xml:space="preserve"> plotValue_tb_after_creation  is: 34831971.3661244</t>
  </si>
  <si>
    <t xml:space="preserve"> plotValue_reit_after_creation  is: 38091689.69922095</t>
  </si>
  <si>
    <t xml:space="preserve">total_value_after_creation is: 147708086.53933796
</t>
  </si>
  <si>
    <t xml:space="preserve"> 147708086.53933796
</t>
  </si>
  <si>
    <t>total_amount_gtncps_before_creation is: 103015142.50516498</t>
  </si>
  <si>
    <t>creation_amount_gtbcps is: 2572.5706056058407</t>
  </si>
  <si>
    <t xml:space="preserve">total_amount_gtbcps_new is: 103017715.07577059
</t>
  </si>
  <si>
    <t xml:space="preserve"> 103017715.07577059
</t>
  </si>
  <si>
    <t>payout of tranche of gold is: -608.1852234628503</t>
  </si>
  <si>
    <t xml:space="preserve"> payout of tranche of Treausry Bill Option is: -99.12515026069903</t>
  </si>
  <si>
    <t xml:space="preserve"> payout of tranche of Collar of REIT is: -169.55773653241545
</t>
  </si>
  <si>
    <t xml:space="preserve"> -169.55773653241545
</t>
  </si>
  <si>
    <t>Collateral size of tranche of gold is: 74784425.4739926</t>
  </si>
  <si>
    <t xml:space="preserve"> collateral size of tranche of Treausry Bill Option is: 34831971.3661244</t>
  </si>
  <si>
    <t xml:space="preserve"> collateral size of tranche of Collar of REIT is: 38091689.69922095
</t>
  </si>
  <si>
    <t xml:space="preserve"> 38091689.69922095
</t>
  </si>
  <si>
    <t>Collateral ratio of tranche of gold is: 0.7261269469911553</t>
  </si>
  <si>
    <t xml:space="preserve"> collateral ratio of tranche of Treausry Bill Option is: 0.338204550820051</t>
  </si>
  <si>
    <t xml:space="preserve"> collateral ratio of tranche of Collar of REIT is: 0.36985511584425707
</t>
  </si>
  <si>
    <t xml:space="preserve"> 0.36985511584425707
</t>
  </si>
  <si>
    <t xml:space="preserve">date is: 2022-09-06 00:00:00
</t>
  </si>
  <si>
    <t xml:space="preserve"> 2022-09-06 00</t>
  </si>
  <si>
    <t>current price of gold is: 1702.14</t>
  </si>
  <si>
    <t xml:space="preserve"> predicted price of gold is: 1703.0701893218106
</t>
  </si>
  <si>
    <t xml:space="preserve"> 1703.0701893218106
</t>
  </si>
  <si>
    <t>current price of tb is: 90.05078125</t>
  </si>
  <si>
    <t xml:space="preserve"> current price of tb option is: 4.258007052439569</t>
  </si>
  <si>
    <t xml:space="preserve"> predicted price of tb is: 90.30101921255942
</t>
  </si>
  <si>
    <t xml:space="preserve"> 90.30101921255942
</t>
  </si>
  <si>
    <t xml:space="preserve"> current price of reit option is: 5.5093508155795945</t>
  </si>
  <si>
    <t xml:space="preserve"> predicted price of reit is: 62.26800303995452
</t>
  </si>
  <si>
    <t xml:space="preserve"> 62.26800303995452
</t>
  </si>
  <si>
    <t>value_ratio_gold_to_total is: 0.08077513291091742</t>
  </si>
  <si>
    <t xml:space="preserve"> risk_ratio_to_gold is: 0.5378596159269845</t>
  </si>
  <si>
    <t xml:space="preserve"> risk_ratio_to_gold_before is: 0.539416920083666
</t>
  </si>
  <si>
    <t xml:space="preserve"> 0.539416920083666
</t>
  </si>
  <si>
    <t>value_ratio_tb_to_total is: 0.3914838428511853</t>
  </si>
  <si>
    <t xml:space="preserve"> risk_ratio_tb_to_gold is: 0.4213757599852546</t>
  </si>
  <si>
    <t xml:space="preserve"> risk_ratio_tb_to_gold_before is: 0.4218238673155133
</t>
  </si>
  <si>
    <t xml:space="preserve"> 0.4218238673155133
</t>
  </si>
  <si>
    <t>value_ratio_reit_to_total is: 0.5277410242378973</t>
  </si>
  <si>
    <t xml:space="preserve"> risk_ratio_reit_to_gold is: 0.4378454389823062</t>
  </si>
  <si>
    <t xml:space="preserve"> risk_ratio_reit_to_gold_before is: 0.4320297341712468
</t>
  </si>
  <si>
    <t xml:space="preserve"> 0.4320297341712468
</t>
  </si>
  <si>
    <t>delta_gold is: 0.9941303243214831</t>
  </si>
  <si>
    <t xml:space="preserve"> delta_tb is: 0.9955404943512607</t>
  </si>
  <si>
    <t xml:space="preserve"> delta_reit is: 0.9959578243082129
</t>
  </si>
  <si>
    <t xml:space="preserve"> 0.9959578243082129
</t>
  </si>
  <si>
    <t>delta_gold_risk is: 0.998988380511891</t>
  </si>
  <si>
    <t xml:space="preserve"> delta_tb_risk is: 0.9996848362581613</t>
  </si>
  <si>
    <t xml:space="preserve"> delta_reit_risk is: 1.0040611620501199
</t>
  </si>
  <si>
    <t xml:space="preserve"> 1.0040611620501199
</t>
  </si>
  <si>
    <t xml:space="preserve">collateral_ratio_tranche_gold is: 0.7225958093136131
</t>
  </si>
  <si>
    <t xml:space="preserve"> 0.7225958093136131
</t>
  </si>
  <si>
    <t xml:space="preserve">collateral_ratio_tranche_tb is: 0.33879106733110576
</t>
  </si>
  <si>
    <t xml:space="preserve"> 0.33879106733110576
</t>
  </si>
  <si>
    <t xml:space="preserve">collateral_ratio_tranche_reit is: 0.36903630064273524
</t>
  </si>
  <si>
    <t xml:space="preserve"> 0.36903630064273524
</t>
  </si>
  <si>
    <t>Total plot size is: 146959819.54077613</t>
  </si>
  <si>
    <t xml:space="preserve"> plot size of gold is: 74345465.15065604</t>
  </si>
  <si>
    <t xml:space="preserve"> plot size of TB is: 34676637.99306044</t>
  </si>
  <si>
    <t xml:space="preserve"> plot size of REIT is: 37937716.39705966
</t>
  </si>
  <si>
    <t xml:space="preserve"> 37937716.39705966
</t>
  </si>
  <si>
    <t xml:space="preserve">collateral ratio is: 1.426885606265113
</t>
  </si>
  <si>
    <t xml:space="preserve"> 1.426885606265113
</t>
  </si>
  <si>
    <t>S_gtbcps_0 is: 0.9997641048312654</t>
  </si>
  <si>
    <t xml:space="preserve">stdev_gtbcps is: 0.007995634336373543
</t>
  </si>
  <si>
    <t xml:space="preserve"> 0.007995634336373543
</t>
  </si>
  <si>
    <t>predicted price of GTBCPS is: 0.9997774872312625</t>
  </si>
  <si>
    <t xml:space="preserve"> actual price is: 0.9997641048312654
</t>
  </si>
  <si>
    <t xml:space="preserve"> 0.9997641048312654
</t>
  </si>
  <si>
    <t>predicted amount of GTBCPS is: 103016336.14467087</t>
  </si>
  <si>
    <t xml:space="preserve"> actual amount is: 103017715.07577059
</t>
  </si>
  <si>
    <t>plot sizes of gold is: 74345465.15065604</t>
  </si>
  <si>
    <t xml:space="preserve"> plot sizes of tb is: 34676637.99306044 </t>
  </si>
  <si>
    <t xml:space="preserve"> plot sizes of reit is: 37937716.39705966</t>
  </si>
  <si>
    <t xml:space="preserve"> plot sizes of total is: 146959819.54077613.
</t>
  </si>
  <si>
    <t xml:space="preserve"> 146959819.54077613.
</t>
  </si>
  <si>
    <t>predicted stdevs of gold is: 0.008660154006785176</t>
  </si>
  <si>
    <t xml:space="preserve"> predicted stdevs of tb is: 0.003153447890241409</t>
  </si>
  <si>
    <t xml:space="preserve"> predicted stdevs of reit is: 0.011119352201956489</t>
  </si>
  <si>
    <t xml:space="preserve"> predicted stdevs of GTBCPS is: 0.007995634336373543.
</t>
  </si>
  <si>
    <t xml:space="preserve"> 0.007995634336373543.
</t>
  </si>
  <si>
    <t>total_value_of_collaterals is: 146960290.5672078</t>
  </si>
  <si>
    <t xml:space="preserve"> createdtionValue_gold is: -995.1601726904947</t>
  </si>
  <si>
    <t xml:space="preserve"> createdValue_tb is: -464.1669051612694</t>
  </si>
  <si>
    <t xml:space="preserve"> createdValue_reit is: -507.8183543190225
</t>
  </si>
  <si>
    <t xml:space="preserve"> -507.8183543190225
</t>
  </si>
  <si>
    <t>plotValue_gold_after_creation is: 74346809.02209896</t>
  </si>
  <si>
    <t xml:space="preserve"> plotValue_tb_after_creation  is: 34677159.71701812</t>
  </si>
  <si>
    <t xml:space="preserve"> plotValue_reit_after_creation  is: 37938288.9735229</t>
  </si>
  <si>
    <t xml:space="preserve">total_value_after_creation is: 146962257.71264
</t>
  </si>
  <si>
    <t xml:space="preserve"> 146962257.71264
</t>
  </si>
  <si>
    <t>total_amount_gtncps_before_creation is: 103017715.07577059</t>
  </si>
  <si>
    <t>creation_amount_gtbcps is: -1378.9310997128487</t>
  </si>
  <si>
    <t xml:space="preserve">total_amount_gtbcps_new is: 103016336.14467087
</t>
  </si>
  <si>
    <t xml:space="preserve"> 103016336.14467087
</t>
  </si>
  <si>
    <t>payout of tranche of gold is: 348.71127022570136</t>
  </si>
  <si>
    <t xml:space="preserve"> payout of tranche of Treausry Bill Option is: 57.55705251216418</t>
  </si>
  <si>
    <t xml:space="preserve"> payout of tranche of Collar of REIT is: 64.75810893027166
</t>
  </si>
  <si>
    <t xml:space="preserve"> 64.75810893027166
</t>
  </si>
  <si>
    <t>Collateral size of tranche of gold is: 74346809.02209896</t>
  </si>
  <si>
    <t xml:space="preserve"> collateral size of tranche of Treausry Bill Option is: 34677159.71701812</t>
  </si>
  <si>
    <t xml:space="preserve"> collateral size of tranche of Collar of REIT is: 37938288.9735229
</t>
  </si>
  <si>
    <t xml:space="preserve"> 37938288.9735229
</t>
  </si>
  <si>
    <t>Collateral ratio of tranche of gold is: 0.7218501765798211</t>
  </si>
  <si>
    <t xml:space="preserve"> collateral ratio of tranche of Treausry Bill Option is: 0.33668847653670947</t>
  </si>
  <si>
    <t xml:space="preserve"> collateral ratio of tranche of Collar of REIT is: 0.36835152651317693
</t>
  </si>
  <si>
    <t xml:space="preserve"> 0.36835152651317693
</t>
  </si>
  <si>
    <t xml:space="preserve">date is: 2022-09-07 00:00:00
</t>
  </si>
  <si>
    <t xml:space="preserve"> 2022-09-07 00</t>
  </si>
  <si>
    <t>current price of gold is: 1718.37</t>
  </si>
  <si>
    <t xml:space="preserve"> predicted price of gold is: 1719.8208362221865
</t>
  </si>
  <si>
    <t xml:space="preserve"> 1719.8208362221865
</t>
  </si>
  <si>
    <t>current price of tb is: 90.28515625</t>
  </si>
  <si>
    <t xml:space="preserve"> current price of tb option is: 4.261755646542311</t>
  </si>
  <si>
    <t xml:space="preserve"> predicted price of tb is: 90.5315188173296
</t>
  </si>
  <si>
    <t xml:space="preserve"> 90.5315188173296
</t>
  </si>
  <si>
    <t>current price of reit is: 62.05</t>
  </si>
  <si>
    <t xml:space="preserve"> current price of reit option is: 5.5269393599728005</t>
  </si>
  <si>
    <t xml:space="preserve"> predicted price of reit is: 62.4760452944005
</t>
  </si>
  <si>
    <t xml:space="preserve"> 62.4760452944005
</t>
  </si>
  <si>
    <t>value_ratio_gold_to_total is: 0.12179681336281824</t>
  </si>
  <si>
    <t xml:space="preserve"> risk_ratio_to_gold is: 0.536104909968</t>
  </si>
  <si>
    <t xml:space="preserve"> risk_ratio_to_gold_before is: 0.5378596159269845
</t>
  </si>
  <si>
    <t xml:space="preserve"> 0.5378596159269845
</t>
  </si>
  <si>
    <t>value_ratio_tb_to_total is: 0.3784537663975323</t>
  </si>
  <si>
    <t xml:space="preserve"> risk_ratio_tb_to_gold is: 0.4245837370277297</t>
  </si>
  <si>
    <t xml:space="preserve"> risk_ratio_tb_to_gold_before is: 0.4213757599852546
</t>
  </si>
  <si>
    <t xml:space="preserve"> 0.4213757599852546
</t>
  </si>
  <si>
    <t>value_ratio_reit_to_total is: 0.49974942023964947</t>
  </si>
  <si>
    <t xml:space="preserve"> risk_ratio_reit_to_gold is: 0.44072281287812703</t>
  </si>
  <si>
    <t xml:space="preserve"> risk_ratio_reit_to_gold_before is: 0.4378454389823062
</t>
  </si>
  <si>
    <t xml:space="preserve"> 0.4378454389823062
</t>
  </si>
  <si>
    <t>delta_gold is: 1.009535055870845</t>
  </si>
  <si>
    <t xml:space="preserve"> delta_tb is: 1.0025249353574464</t>
  </si>
  <si>
    <t xml:space="preserve"> delta_reit is: 1.0054693065761318
</t>
  </si>
  <si>
    <t xml:space="preserve"> 1.0054693065761318
</t>
  </si>
  <si>
    <t>delta_gold_risk is: 0.9988589947087421</t>
  </si>
  <si>
    <t xml:space="preserve"> delta_tb_risk is: 1.002256952125389</t>
  </si>
  <si>
    <t xml:space="preserve"> delta_reit_risk is: 1.0020011705137497
</t>
  </si>
  <si>
    <t xml:space="preserve"> 1.0020011705137497
</t>
  </si>
  <si>
    <t xml:space="preserve">collateral_ratio_tranche_gold is: 0.7295654964356413
</t>
  </si>
  <si>
    <t xml:space="preserve"> 0.7295654964356413
</t>
  </si>
  <si>
    <t xml:space="preserve">collateral_ratio_tranche_tb is: 0.33359762820042416
</t>
  </si>
  <si>
    <t xml:space="preserve"> 0.33359762820042416
</t>
  </si>
  <si>
    <t xml:space="preserve">collateral_ratio_tranche_reit is: 0.3661353473565643
</t>
  </si>
  <si>
    <t xml:space="preserve"> 0.3661353473565643
</t>
  </si>
  <si>
    <t>Total plot size is: 147966212.4105201</t>
  </si>
  <si>
    <t xml:space="preserve"> plot size of gold is: 75055709.9999437</t>
  </si>
  <si>
    <t xml:space="preserve"> plot size of TB is: 34764717.30368343</t>
  </si>
  <si>
    <t xml:space="preserve"> plot size of REIT is: 38145785.10689298
</t>
  </si>
  <si>
    <t xml:space="preserve"> 38145785.10689298
</t>
  </si>
  <si>
    <t xml:space="preserve">collateral ratio is: 1.4366570356569888
</t>
  </si>
  <si>
    <t xml:space="preserve"> 1.4366570356569888
</t>
  </si>
  <si>
    <t>S_gtbcps_0 is: 0.9997774872312625</t>
  </si>
  <si>
    <t xml:space="preserve">stdev_gtbcps is: 0.008007316783364178
</t>
  </si>
  <si>
    <t xml:space="preserve"> 0.008007316783364178
</t>
  </si>
  <si>
    <t>predicted price of GTBCPS is: 0.9997733934174918</t>
  </si>
  <si>
    <t xml:space="preserve"> actual price is: 0.9997774872312625
</t>
  </si>
  <si>
    <t xml:space="preserve"> 0.9997774872312625
</t>
  </si>
  <si>
    <t>predicted amount of GTBCPS is: 103016757.96995477</t>
  </si>
  <si>
    <t xml:space="preserve"> actual amount is: 103016336.14467087
</t>
  </si>
  <si>
    <t>plot sizes of gold is: 75055709.9999437</t>
  </si>
  <si>
    <t xml:space="preserve"> plot sizes of tb is: 34764717.30368343 </t>
  </si>
  <si>
    <t xml:space="preserve"> plot sizes of reit is: 38145785.10689298</t>
  </si>
  <si>
    <t xml:space="preserve"> plot sizes of total is: 147966212.4105201.
</t>
  </si>
  <si>
    <t xml:space="preserve"> 147966212.4105201.
</t>
  </si>
  <si>
    <t>predicted stdevs of gold is: 0.00866056964078478</t>
  </si>
  <si>
    <t xml:space="preserve"> predicted stdevs of tb is: 0.0031656441414335333</t>
  </si>
  <si>
    <t xml:space="preserve"> predicted stdevs of reit is: 0.011134504317091096</t>
  </si>
  <si>
    <t xml:space="preserve"> predicted stdevs of GTBCPS is: 0.008007316783364178.
</t>
  </si>
  <si>
    <t xml:space="preserve"> 0.008007316783364178.
</t>
  </si>
  <si>
    <t>total_value_of_collaterals is: 147966068.54067287</t>
  </si>
  <si>
    <t xml:space="preserve"> createdtionValue_gold is: 307.33204659031355</t>
  </si>
  <si>
    <t xml:space="preserve"> createdValue_tb is: 142.35188754689747</t>
  </si>
  <si>
    <t xml:space="preserve"> createdValue_reit is: 156.19641096087184
</t>
  </si>
  <si>
    <t xml:space="preserve"> 156.19641096087184
</t>
  </si>
  <si>
    <t>plotValue_gold_after_creation is: 75055295.70648065</t>
  </si>
  <si>
    <t xml:space="preserve"> plotValue_tb_after_creation  is: 34764558.83056881</t>
  </si>
  <si>
    <t xml:space="preserve"> plotValue_reit_after_creation  is: 38145608.123278305</t>
  </si>
  <si>
    <t xml:space="preserve">total_value_after_creation is: 147965462.6603278
</t>
  </si>
  <si>
    <t xml:space="preserve"> 147965462.6603278
</t>
  </si>
  <si>
    <t>total_amount_gtncps_before_creation is: 103016336.14467087</t>
  </si>
  <si>
    <t>creation_amount_gtbcps is: 421.8252838999033</t>
  </si>
  <si>
    <t xml:space="preserve">total_amount_gtbcps_new is: 103016757.96995477
</t>
  </si>
  <si>
    <t xml:space="preserve"> 103016757.96995477
</t>
  </si>
  <si>
    <t>payout of tranche of gold is: -106.96141646358159</t>
  </si>
  <si>
    <t xml:space="preserve"> payout of tranche of Treausry Bill Option is: -16.12122707304663</t>
  </si>
  <si>
    <t xml:space="preserve"> payout of tranche of Collar of REIT is: -20.787203712104212
</t>
  </si>
  <si>
    <t xml:space="preserve"> -20.787203712104212
</t>
  </si>
  <si>
    <t>Collateral size of tranche of gold is: 75055295.70648065</t>
  </si>
  <si>
    <t xml:space="preserve"> collateral size of tranche of Treausry Bill Option is: 34764558.83056881</t>
  </si>
  <si>
    <t xml:space="preserve"> collateral size of tranche of Collar of REIT is: 38145608.123278305
</t>
  </si>
  <si>
    <t xml:space="preserve"> 38145608.123278305
</t>
  </si>
  <si>
    <t>Collateral ratio of tranche of gold is: 0.7287417743154435</t>
  </si>
  <si>
    <t xml:space="preserve"> collateral ratio of tranche of Treausry Bill Option is: 0.33754295479106133</t>
  </si>
  <si>
    <t xml:space="preserve"> collateral ratio of tranche of Collar of REIT is: 0.37037090966652714
</t>
  </si>
  <si>
    <t xml:space="preserve"> 0.37037090966652714
</t>
  </si>
  <si>
    <t xml:space="preserve">date is: 2022-09-08 00:00:00
</t>
  </si>
  <si>
    <t xml:space="preserve"> 2022-09-08 00</t>
  </si>
  <si>
    <t>current price of gold is: 1708.46</t>
  </si>
  <si>
    <t xml:space="preserve"> predicted price of gold is: 1703.7068656907754
</t>
  </si>
  <si>
    <t xml:space="preserve"> 1703.7068656907754
</t>
  </si>
  <si>
    <t>current price of tb is: 90.09375</t>
  </si>
  <si>
    <t xml:space="preserve"> current price of tb option is: 4.260803838999277</t>
  </si>
  <si>
    <t xml:space="preserve"> predicted price of tb is: 90.341095946382
</t>
  </si>
  <si>
    <t xml:space="preserve"> 90.341095946382
</t>
  </si>
  <si>
    <t>current price of reit is: 62.2</t>
  </si>
  <si>
    <t xml:space="preserve"> current price of reit option is: 5.5152433072678235</t>
  </si>
  <si>
    <t xml:space="preserve"> predicted price of reit is: 62.80021613651053
</t>
  </si>
  <si>
    <t xml:space="preserve"> 62.80021613651053
</t>
  </si>
  <si>
    <t>value_ratio_gold_to_total is: -0.8096677652235363</t>
  </si>
  <si>
    <t xml:space="preserve"> risk_ratio_to_gold is: 0.5360623276489812</t>
  </si>
  <si>
    <t xml:space="preserve"> risk_ratio_to_gold_before is: 0.536104909968
</t>
  </si>
  <si>
    <t xml:space="preserve"> 0.536104909968
</t>
  </si>
  <si>
    <t>value_ratio_tb_to_total is: 0.7679361289957062</t>
  </si>
  <si>
    <t xml:space="preserve"> risk_ratio_tb_to_gold is: 0.4243895126363973</t>
  </si>
  <si>
    <t xml:space="preserve"> risk_ratio_tb_to_gold_before is: 0.4245837370277297
</t>
  </si>
  <si>
    <t xml:space="preserve"> 0.4245837370277297
</t>
  </si>
  <si>
    <t>value_ratio_reit_to_total is: 1.0417316362278302</t>
  </si>
  <si>
    <t xml:space="preserve"> risk_ratio_reit_to_gold is: 0.44106520861909376</t>
  </si>
  <si>
    <t xml:space="preserve"> risk_ratio_reit_to_gold_before is: 0.44072281287812703
</t>
  </si>
  <si>
    <t xml:space="preserve"> 0.44072281287812703
</t>
  </si>
  <si>
    <t>delta_gold is: 0.994232906766296</t>
  </si>
  <si>
    <t xml:space="preserve"> delta_tb is: 0.9979654749829003</t>
  </si>
  <si>
    <t xml:space="preserve"> delta_reit is: 1.0020466145493554
</t>
  </si>
  <si>
    <t xml:space="preserve"> 1.0020466145493554
</t>
  </si>
  <si>
    <t>delta_gold_risk is: 0.9999722790294188</t>
  </si>
  <si>
    <t xml:space="preserve"> delta_tb_risk is: 0.9998636623553364</t>
  </si>
  <si>
    <t xml:space="preserve"> delta_reit_risk is: 1.0002376555281183
</t>
  </si>
  <si>
    <t xml:space="preserve"> 1.0002376555281183
</t>
  </si>
  <si>
    <t xml:space="preserve">collateral_ratio_tranche_gold is: 0.7245591380422216
</t>
  </si>
  <si>
    <t xml:space="preserve"> 0.7245591380422216
</t>
  </si>
  <si>
    <t xml:space="preserve">collateral_ratio_tranche_tb is: 0.33885636389389595
</t>
  </si>
  <si>
    <t xml:space="preserve"> 0.33885636389389595
</t>
  </si>
  <si>
    <t xml:space="preserve">collateral_ratio_tranche_reit is: 0.37319297495751874
</t>
  </si>
  <si>
    <t xml:space="preserve"> 0.37319297495751874
</t>
  </si>
  <si>
    <t>Total plot size is: 147539951.76423514</t>
  </si>
  <si>
    <t xml:space="preserve"> plot size of gold is: 74622444.81845815</t>
  </si>
  <si>
    <t xml:space="preserve"> plot size of TB is: 34693829.465919584</t>
  </si>
  <si>
    <t xml:space="preserve"> plot size of REIT is: 38223677.479857415
</t>
  </si>
  <si>
    <t xml:space="preserve"> 38223677.479857415
</t>
  </si>
  <si>
    <t xml:space="preserve">collateral ratio is: 1.4325183181313283
</t>
  </si>
  <si>
    <t xml:space="preserve"> 1.4325183181313283
</t>
  </si>
  <si>
    <t>S_gtbcps_0 is: 0.9997733934174918</t>
  </si>
  <si>
    <t xml:space="preserve">stdev_gtbcps is: 0.00799847268724754
</t>
  </si>
  <si>
    <t xml:space="preserve"> 0.00799847268724754
</t>
  </si>
  <si>
    <t>predicted price of GTBCPS is: 0.999773946178936</t>
  </si>
  <si>
    <t xml:space="preserve"> actual price is: 0.9997733934174918
</t>
  </si>
  <si>
    <t xml:space="preserve"> 0.9997733934174918
</t>
  </si>
  <si>
    <t>predicted amount of GTBCPS is: 103016701.01338762</t>
  </si>
  <si>
    <t xml:space="preserve"> actual amount is: 103016757.96995477
</t>
  </si>
  <si>
    <t>plot sizes of gold is: 74622444.81845815</t>
  </si>
  <si>
    <t xml:space="preserve"> plot sizes of tb is: 34693829.465919584 </t>
  </si>
  <si>
    <t xml:space="preserve"> plot sizes of reit is: 38223677.479857415</t>
  </si>
  <si>
    <t xml:space="preserve"> plot sizes of total is: 147539951.76423514.
</t>
  </si>
  <si>
    <t xml:space="preserve"> 147539951.76423514.
</t>
  </si>
  <si>
    <t>predicted stdevs of gold is: 0.00867738680694102</t>
  </si>
  <si>
    <t xml:space="preserve"> predicted stdevs of tb is: 0.003167764542725802</t>
  </si>
  <si>
    <t xml:space="preserve"> predicted stdevs of reit is: 0.01105766376570898</t>
  </si>
  <si>
    <t xml:space="preserve"> predicted stdevs of GTBCPS is: 0.00799847268724754.
</t>
  </si>
  <si>
    <t xml:space="preserve"> 0.00799847268724754.
</t>
  </si>
  <si>
    <t>total_value_of_collaterals is: 147539971.22869426</t>
  </si>
  <si>
    <t xml:space="preserve"> createdtionValue_gold is: -41.25776760308781</t>
  </si>
  <si>
    <t xml:space="preserve"> createdValue_tb is: -19.181759294773123</t>
  </si>
  <si>
    <t xml:space="preserve"> createdValue_reit is: -21.13336561784986
</t>
  </si>
  <si>
    <t xml:space="preserve"> -21.13336561784986
</t>
  </si>
  <si>
    <t>plotValue_gold_after_creation is: 74622500.47664784</t>
  </si>
  <si>
    <t xml:space="preserve"> plotValue_tb_after_creation  is: 34693851.00734398</t>
  </si>
  <si>
    <t xml:space="preserve"> plotValue_reit_after_creation  is: 38223701.31759496</t>
  </si>
  <si>
    <t xml:space="preserve">total_value_after_creation is: 147540052.80158678
</t>
  </si>
  <si>
    <t xml:space="preserve"> 147540052.80158678
</t>
  </si>
  <si>
    <t>total_amount_gtncps_before_creation is: 103016757.96995477</t>
  </si>
  <si>
    <t>creation_amount_gtbcps is: -56.95656715333462</t>
  </si>
  <si>
    <t xml:space="preserve">total_amount_gtbcps_new is: 103016701.01338762
</t>
  </si>
  <si>
    <t xml:space="preserve"> 103016701.01338762
</t>
  </si>
  <si>
    <t>payout of tranche of gold is: 14.400422079213635</t>
  </si>
  <si>
    <t xml:space="preserve"> payout of tranche of Treausry Bill Option is: 2.3596650972645543</t>
  </si>
  <si>
    <t xml:space="preserve"> payout of tranche of Collar of REIT is: 2.704371926706323
</t>
  </si>
  <si>
    <t xml:space="preserve"> 2.704371926706323
</t>
  </si>
  <si>
    <t>Collateral size of tranche of gold is: 74622500.47664784</t>
  </si>
  <si>
    <t xml:space="preserve"> collateral size of tranche of Treausry Bill Option is: 34693851.00734398</t>
  </si>
  <si>
    <t xml:space="preserve"> collateral size of tranche of Collar of REIT is: 38223701.31759496
</t>
  </si>
  <si>
    <t xml:space="preserve"> 38223701.31759496
</t>
  </si>
  <si>
    <t>Collateral ratio of tranche of gold is: 0.7245362255904363</t>
  </si>
  <si>
    <t xml:space="preserve"> collateral ratio of tranche of Treausry Bill Option is: 0.33685485878249616</t>
  </si>
  <si>
    <t xml:space="preserve"> collateral ratio of tranche of Collar of REIT is: 0.371127422745812
</t>
  </si>
  <si>
    <t xml:space="preserve"> 0.371127422745812
</t>
  </si>
  <si>
    <t xml:space="preserve">date is: 2022-09-09 00:00:00
</t>
  </si>
  <si>
    <t xml:space="preserve"> 2022-09-09 00</t>
  </si>
  <si>
    <t>current price of gold is: 1716.83</t>
  </si>
  <si>
    <t xml:space="preserve"> predicted price of gold is: 1714.4965589000894
</t>
  </si>
  <si>
    <t xml:space="preserve"> 1714.4965589000894
</t>
  </si>
  <si>
    <t>current price of tb is: 90.03125</t>
  </si>
  <si>
    <t xml:space="preserve"> current price of tb option is: 4.25805944486612</t>
  </si>
  <si>
    <t xml:space="preserve"> predicted price of tb is: 90.28143368806965
</t>
  </si>
  <si>
    <t xml:space="preserve"> 90.28143368806965
</t>
  </si>
  <si>
    <t>current price of reit is: 62.3</t>
  </si>
  <si>
    <t xml:space="preserve"> current price of reit option is: 5.488810866147446</t>
  </si>
  <si>
    <t xml:space="preserve"> predicted price of reit is: 62.85997145828918
</t>
  </si>
  <si>
    <t xml:space="preserve"> 62.85997145828918
</t>
  </si>
  <si>
    <t>value_ratio_gold_to_total is: -0.2837498830778296</t>
  </si>
  <si>
    <t xml:space="preserve"> risk_ratio_to_gold is: 0.5343630535259565</t>
  </si>
  <si>
    <t xml:space="preserve"> risk_ratio_to_gold_before is: 0.5360623276489812
</t>
  </si>
  <si>
    <t xml:space="preserve"> 0.5360623276489812
</t>
  </si>
  <si>
    <t>value_ratio_tb_to_total is: 0.5482090213916374</t>
  </si>
  <si>
    <t xml:space="preserve"> risk_ratio_tb_to_gold is: 0.42596515474491536</t>
  </si>
  <si>
    <t xml:space="preserve"> risk_ratio_tb_to_gold_before is: 0.4243895126363973
</t>
  </si>
  <si>
    <t xml:space="preserve"> 0.4243895126363973
</t>
  </si>
  <si>
    <t>value_ratio_reit_to_total is: 0.7355408616861923</t>
  </si>
  <si>
    <t xml:space="preserve"> risk_ratio_reit_to_gold is: 0.4454217111725008</t>
  </si>
  <si>
    <t xml:space="preserve"> risk_ratio_reit_to_gold_before is: 0.44106520861909376
</t>
  </si>
  <si>
    <t xml:space="preserve"> 0.44106520861909376
</t>
  </si>
  <si>
    <t>delta_gold is: 1.0048991489411516</t>
  </si>
  <si>
    <t xml:space="preserve"> delta_tb is: 0.9993085188633875</t>
  </si>
  <si>
    <t xml:space="preserve"> delta_reit is: 1.0010864253790803
</t>
  </si>
  <si>
    <t xml:space="preserve"> 1.0010864253790803
</t>
  </si>
  <si>
    <t>delta_gold_risk is: 0.9988937466322572</t>
  </si>
  <si>
    <t xml:space="preserve"> delta_tb_risk is: 1.0011061876646379</t>
  </si>
  <si>
    <t xml:space="preserve"> delta_reit_risk is: 1.0030231127136722
</t>
  </si>
  <si>
    <t xml:space="preserve"> 1.0030231127136722
</t>
  </si>
  <si>
    <t xml:space="preserve">collateral_ratio_tranche_gold is: 0.7288921758971714
</t>
  </si>
  <si>
    <t xml:space="preserve"> 0.7288921758971714
</t>
  </si>
  <si>
    <t xml:space="preserve">collateral_ratio_tranche_tb is: 0.3346106669333204
</t>
  </si>
  <si>
    <t xml:space="preserve"> 0.3346106669333204
</t>
  </si>
  <si>
    <t xml:space="preserve">collateral_ratio_tranche_reit is: 0.36860498060293656
</t>
  </si>
  <si>
    <t xml:space="preserve"> 0.36860498060293656
</t>
  </si>
  <si>
    <t>Total plot size is: 147923176.60144883</t>
  </si>
  <si>
    <t xml:space="preserve"> plot size of gold is: 74988087.22084409</t>
  </si>
  <si>
    <t xml:space="preserve"> plot size of TB is: 34669860.863815956</t>
  </si>
  <si>
    <t xml:space="preserve"> plot size of REIT is: 38265228.51678878
</t>
  </si>
  <si>
    <t xml:space="preserve"> 38265228.51678878
</t>
  </si>
  <si>
    <t xml:space="preserve">collateral ratio is: 1.4362391855486418
</t>
  </si>
  <si>
    <t xml:space="preserve"> 1.4362391855486418
</t>
  </si>
  <si>
    <t>S_gtbcps_0 is: 0.999773946178936</t>
  </si>
  <si>
    <t xml:space="preserve">stdev_gtbcps is: 0.007991152432286937
</t>
  </si>
  <si>
    <t xml:space="preserve"> 0.007991152432286937
</t>
  </si>
  <si>
    <t>predicted price of GTBCPS is: 0.9997722289623612</t>
  </si>
  <si>
    <t xml:space="preserve"> actual price is: 0.999773946178936
</t>
  </si>
  <si>
    <t xml:space="preserve"> 0.999773946178936
</t>
  </si>
  <si>
    <t>predicted amount of GTBCPS is: 103016877.95567639</t>
  </si>
  <si>
    <t xml:space="preserve"> actual amount is: 103016701.01338762
</t>
  </si>
  <si>
    <t>plot sizes of gold is: 74988087.22084409</t>
  </si>
  <si>
    <t xml:space="preserve"> plot sizes of tb is: 34669860.863815956 </t>
  </si>
  <si>
    <t xml:space="preserve"> plot sizes of reit is: 38265228.51678878</t>
  </si>
  <si>
    <t xml:space="preserve"> plot sizes of total is: 147923176.60144883.
</t>
  </si>
  <si>
    <t xml:space="preserve"> 147923176.60144883.
</t>
  </si>
  <si>
    <t>predicted stdevs of gold is: 0.008678055631671473</t>
  </si>
  <si>
    <t xml:space="preserve"> predicted stdevs of tb is: 0.003168170930017178</t>
  </si>
  <si>
    <t xml:space="preserve"> predicted stdevs of reit is: 0.011014851625771746</t>
  </si>
  <si>
    <t xml:space="preserve"> predicted stdevs of GTBCPS is: 0.007991152432286937.
</t>
  </si>
  <si>
    <t xml:space="preserve"> 0.007991152432286937.
</t>
  </si>
  <si>
    <t>total_value_of_collaterals is: 147923116.2186106</t>
  </si>
  <si>
    <t xml:space="preserve"> createdtionValue_gold is: 128.79982496813633</t>
  </si>
  <si>
    <t xml:space="preserve"> createdValue_tb is: 59.54910942663282</t>
  </si>
  <si>
    <t xml:space="preserve"> createdValue_reit is: 65.72452682156896
</t>
  </si>
  <si>
    <t xml:space="preserve"> 65.72452682156896
</t>
  </si>
  <si>
    <t>plotValue_gold_after_creation is: 74987913.58164817</t>
  </si>
  <si>
    <t xml:space="preserve"> plotValue_tb_after_creation  is: 34669794.564186394</t>
  </si>
  <si>
    <t xml:space="preserve"> plotValue_reit_after_creation  is: 38265153.99931482</t>
  </si>
  <si>
    <t xml:space="preserve">total_value_after_creation is: 147922862.14514938
</t>
  </si>
  <si>
    <t xml:space="preserve"> 147922862.14514938
</t>
  </si>
  <si>
    <t>total_amount_gtncps_before_creation is: 103016701.01338762</t>
  </si>
  <si>
    <t>creation_amount_gtbcps is: 176.9422887712717</t>
  </si>
  <si>
    <t xml:space="preserve">total_amount_gtbcps_new is: 103016877.95567639
</t>
  </si>
  <si>
    <t xml:space="preserve"> 103016877.95567639
</t>
  </si>
  <si>
    <t>payout of tranche of gold is: -44.839370950121996</t>
  </si>
  <si>
    <t xml:space="preserve"> payout of tranche of Treausry Bill Option is: -6.75052012956222</t>
  </si>
  <si>
    <t xml:space="preserve"> payout of tranche of Collar of REIT is: -8.792947133613556
</t>
  </si>
  <si>
    <t xml:space="preserve"> -8.792947133613556
</t>
  </si>
  <si>
    <t>Collateral size of tranche of gold is: 74987913.58164817</t>
  </si>
  <si>
    <t xml:space="preserve"> collateral size of tranche of Treausry Bill Option is: 34669794.564186394</t>
  </si>
  <si>
    <t xml:space="preserve"> collateral size of tranche of Collar of REIT is: 38265153.99931482
</t>
  </si>
  <si>
    <t xml:space="preserve"> 38265153.99931482
</t>
  </si>
  <si>
    <t>Collateral ratio of tranche of gold is: 0.7280858036603248</t>
  </si>
  <si>
    <t xml:space="preserve"> collateral ratio of tranche of Treausry Bill Option is: 0.3366220505724491</t>
  </si>
  <si>
    <t xml:space="preserve"> collateral ratio of tranche of Collar of REIT is: 0.3715307450372308
</t>
  </si>
  <si>
    <t xml:space="preserve"> 0.3715307450372308
</t>
  </si>
  <si>
    <t xml:space="preserve">date is: 2022-09-13 00:00:00
</t>
  </si>
  <si>
    <t xml:space="preserve"> 2022-09-13 00</t>
  </si>
  <si>
    <t>current price of gold is: 1702.17</t>
  </si>
  <si>
    <t xml:space="preserve"> predicted price of gold is: 1703.9879218804138
</t>
  </si>
  <si>
    <t xml:space="preserve"> 1703.9879218804138
</t>
  </si>
  <si>
    <t>current price of tb is: 89.59375</t>
  </si>
  <si>
    <t xml:space="preserve"> current price of tb option is: 4.252716880743245</t>
  </si>
  <si>
    <t xml:space="preserve"> predicted price of tb is: 89.8494563960331
</t>
  </si>
  <si>
    <t xml:space="preserve"> 89.8494563960331
</t>
  </si>
  <si>
    <t>current price of reit is: 62.85</t>
  </si>
  <si>
    <t xml:space="preserve"> current price of reit option is: 5.397189606917159</t>
  </si>
  <si>
    <t xml:space="preserve"> predicted price of reit is: 63.466797112273305
</t>
  </si>
  <si>
    <t xml:space="preserve"> 63.466797112273305
</t>
  </si>
  <si>
    <t>value_ratio_gold_to_total is: 0.1473154773003469</t>
  </si>
  <si>
    <t xml:space="preserve"> risk_ratio_to_gold is: 0.5312068726511228</t>
  </si>
  <si>
    <t xml:space="preserve"> risk_ratio_to_gold_before is: 0.5343630535259565
</t>
  </si>
  <si>
    <t xml:space="preserve"> 0.5343630535259565
</t>
  </si>
  <si>
    <t>value_ratio_tb_to_total is: 0.36534052097946546</t>
  </si>
  <si>
    <t xml:space="preserve"> risk_ratio_tb_to_gold is: 0.427022056779357</t>
  </si>
  <si>
    <t xml:space="preserve"> risk_ratio_tb_to_gold_before is: 0.42596515474491536
</t>
  </si>
  <si>
    <t xml:space="preserve"> 0.42596515474491536
</t>
  </si>
  <si>
    <t>value_ratio_reit_to_total is: 0.48734400172018766</t>
  </si>
  <si>
    <t xml:space="preserve"> risk_ratio_reit_to_gold is: 0.45548370789429277</t>
  </si>
  <si>
    <t xml:space="preserve"> risk_ratio_reit_to_gold_before is: 0.4454217111725008
</t>
  </si>
  <si>
    <t xml:space="preserve"> 0.4454217111725008
</t>
  </si>
  <si>
    <t>delta_gold is: 0.9914610066226709</t>
  </si>
  <si>
    <t xml:space="preserve"> delta_tb is: 0.9953033640109348</t>
  </si>
  <si>
    <t xml:space="preserve"> delta_reit is: 1.0067618643093594
</t>
  </si>
  <si>
    <t xml:space="preserve"> 1.0067618643093594
</t>
  </si>
  <si>
    <t>delta_gold_risk is: 0.9979430025588919</t>
  </si>
  <si>
    <t xml:space="preserve"> delta_tb_risk is: 1.0007411836333622</t>
  </si>
  <si>
    <t xml:space="preserve"> delta_reit_risk is: 1.006961287936951
</t>
  </si>
  <si>
    <t xml:space="preserve"> 1.006961287936951
</t>
  </si>
  <si>
    <t xml:space="preserve">collateral_ratio_tranche_gold is: 0.723356626534532
</t>
  </si>
  <si>
    <t xml:space="preserve"> 0.723356626534532
</t>
  </si>
  <si>
    <t xml:space="preserve">collateral_ratio_tranche_tb is: 0.3376763322698196
</t>
  </si>
  <si>
    <t xml:space="preserve"> 0.3376763322698196
</t>
  </si>
  <si>
    <t xml:space="preserve">collateral_ratio_tranche_reit is: 0.37465635335856234
</t>
  </si>
  <si>
    <t xml:space="preserve"> 0.37465635335856234
</t>
  </si>
  <si>
    <t>Total plot size is: 147378453.2219324</t>
  </si>
  <si>
    <t xml:space="preserve"> plot size of gold is: 74347592.28419475</t>
  </si>
  <si>
    <t xml:space="preserve"> plot size of TB is: 34506963.15930274</t>
  </si>
  <si>
    <t xml:space="preserve"> plot size of REIT is: 38523897.77843493
</t>
  </si>
  <si>
    <t xml:space="preserve"> 38523897.77843493
</t>
  </si>
  <si>
    <t xml:space="preserve">collateral ratio is: 1.4309502708503463
</t>
  </si>
  <si>
    <t xml:space="preserve"> 1.4309502708503463
</t>
  </si>
  <si>
    <t>S_gtbcps_0 is: 0.9997722289623612</t>
  </si>
  <si>
    <t xml:space="preserve">stdev_gtbcps is: 0.007993551471042512
</t>
  </si>
  <si>
    <t xml:space="preserve"> 0.007993551471042512
</t>
  </si>
  <si>
    <t>predicted price of GTBCPS is: 0.9997482715117545</t>
  </si>
  <si>
    <t xml:space="preserve"> actual price is: 0.9997722289623612
</t>
  </si>
  <si>
    <t xml:space="preserve"> 0.9997722289623612
</t>
  </si>
  <si>
    <t>predicted amount of GTBCPS is: 103019346.59886949</t>
  </si>
  <si>
    <t xml:space="preserve"> actual amount is: 103016877.95567639
</t>
  </si>
  <si>
    <t>plot sizes of gold is: 74347592.28419475</t>
  </si>
  <si>
    <t xml:space="preserve"> plot sizes of tb is: 34506963.15930274 </t>
  </si>
  <si>
    <t xml:space="preserve"> plot sizes of reit is: 38523897.77843493</t>
  </si>
  <si>
    <t xml:space="preserve"> plot sizes of total is: 147378453.2219324.
</t>
  </si>
  <si>
    <t xml:space="preserve"> 147378453.2219324.
</t>
  </si>
  <si>
    <t>predicted stdevs of gold is: 0.0086621896948964</t>
  </si>
  <si>
    <t xml:space="preserve"> predicted stdevs of tb is: 0.003172644223114058</t>
  </si>
  <si>
    <t xml:space="preserve"> predicted stdevs of reit is: 0.01102136624245592</t>
  </si>
  <si>
    <t xml:space="preserve"> predicted stdevs of GTBCPS is: 0.007993551471042512.
</t>
  </si>
  <si>
    <t xml:space="preserve"> 0.007993551471042512.
</t>
  </si>
  <si>
    <t>total_value_of_collaterals is: 147377610.0971216</t>
  </si>
  <si>
    <t xml:space="preserve"> createdtionValue_gold is: 1781.5714285997049</t>
  </si>
  <si>
    <t xml:space="preserve"> createdValue_tb is: 826.884171644419</t>
  </si>
  <si>
    <t xml:space="preserve"> createdValue_reit is: 923.140609520583
</t>
  </si>
  <si>
    <t xml:space="preserve"> 923.140609520583
</t>
  </si>
  <si>
    <t>plotValue_gold_after_creation is: 74345262.58904539</t>
  </si>
  <si>
    <t xml:space="preserve"> plotValue_tb_after_creation  is: 34506009.62990757</t>
  </si>
  <si>
    <t xml:space="preserve"> plotValue_reit_after_creation  is: 38522806.28195887</t>
  </si>
  <si>
    <t xml:space="preserve">total_value_after_creation is: 147374078.50091183
</t>
  </si>
  <si>
    <t xml:space="preserve"> 147374078.50091183
</t>
  </si>
  <si>
    <t>total_amount_gtncps_before_creation is: 103016877.95567639</t>
  </si>
  <si>
    <t>creation_amount_gtbcps is: 2468.6431930959225</t>
  </si>
  <si>
    <t xml:space="preserve">total_amount_gtbcps_new is: 103019346.59886949
</t>
  </si>
  <si>
    <t xml:space="preserve"> 103019346.59886949
</t>
  </si>
  <si>
    <t>payout of tranche of gold is: -548.1237207606752</t>
  </si>
  <si>
    <t xml:space="preserve"> payout of tranche of Treausry Bill Option is: -126.64522352866106</t>
  </si>
  <si>
    <t xml:space="preserve"> payout of tranche of Collar of REIT is: -168.35586654667014
</t>
  </si>
  <si>
    <t xml:space="preserve"> -168.35586654667014
</t>
  </si>
  <si>
    <t>Collateral size of tranche of gold is: 74345262.58904539</t>
  </si>
  <si>
    <t xml:space="preserve"> collateral size of tranche of Treausry Bill Option is: 34506009.62990757</t>
  </si>
  <si>
    <t xml:space="preserve"> collateral size of tranche of Collar of REIT is: 38522806.28195887
</t>
  </si>
  <si>
    <t xml:space="preserve"> 38522806.28195887
</t>
  </si>
  <si>
    <t>Collateral ratio of tranche of gold is: 0.7218621219897614</t>
  </si>
  <si>
    <t xml:space="preserve"> collateral ratio of tranche of Treausry Bill Option is: 0.3350392542229643</t>
  </si>
  <si>
    <t xml:space="preserve"> collateral ratio of tranche of Collar of REIT is: 0.3740407084363814
</t>
  </si>
  <si>
    <t xml:space="preserve"> 0.3740407084363814
</t>
  </si>
  <si>
    <t xml:space="preserve">date is: 2022-09-14 00:00:00
</t>
  </si>
  <si>
    <t xml:space="preserve"> 2022-09-14 00</t>
  </si>
  <si>
    <t>current price of gold is: 1697.32</t>
  </si>
  <si>
    <t xml:space="preserve"> predicted price of gold is: 1702.3703750407442
</t>
  </si>
  <si>
    <t xml:space="preserve"> 1702.3703750407442
</t>
  </si>
  <si>
    <t>current price of tb is: 89.5390625</t>
  </si>
  <si>
    <t xml:space="preserve"> current price of tb option is: 4.253591149088469</t>
  </si>
  <si>
    <t xml:space="preserve"> predicted price of tb is: 89.79386452902509
</t>
  </si>
  <si>
    <t xml:space="preserve"> 89.79386452902509
</t>
  </si>
  <si>
    <t xml:space="preserve"> current price of reit option is: 5.45834664711689</t>
  </si>
  <si>
    <t xml:space="preserve"> predicted price of reit is: 61.92435154827961
</t>
  </si>
  <si>
    <t xml:space="preserve"> 61.92435154827961
</t>
  </si>
  <si>
    <t>value_ratio_gold_to_total is: 0.32496129426449477</t>
  </si>
  <si>
    <t xml:space="preserve"> risk_ratio_to_gold is: 0.5324941971951153</t>
  </si>
  <si>
    <t xml:space="preserve"> risk_ratio_to_gold_before is: 0.5312068726511228
</t>
  </si>
  <si>
    <t xml:space="preserve"> 0.5312068726511228
</t>
  </si>
  <si>
    <t>value_ratio_tb_to_total is: 0.29008801730437395</t>
  </si>
  <si>
    <t xml:space="preserve"> risk_ratio_tb_to_gold is: 0.4278333080601628</t>
  </si>
  <si>
    <t xml:space="preserve"> risk_ratio_tb_to_gold_before is: 0.427022056779357
</t>
  </si>
  <si>
    <t xml:space="preserve"> 0.427022056779357
</t>
  </si>
  <si>
    <t>value_ratio_reit_to_total is: 0.3849506884311313</t>
  </si>
  <si>
    <t xml:space="preserve"> risk_ratio_reit_to_gold is: 0.45012142885048656</t>
  </si>
  <si>
    <t xml:space="preserve"> risk_ratio_reit_to_gold_before is: 0.45548370789429277
</t>
  </si>
  <si>
    <t xml:space="preserve"> 0.45548370789429277
</t>
  </si>
  <si>
    <t>delta_gold is: 0.99715069587644</t>
  </si>
  <si>
    <t xml:space="preserve"> delta_tb is: 0.9994265822311332</t>
  </si>
  <si>
    <t xml:space="preserve"> delta_reit is: 0.979649814625341
</t>
  </si>
  <si>
    <t xml:space="preserve"> 0.979649814625341
</t>
  </si>
  <si>
    <t>delta_gold_risk is: 1.000840725421878</t>
  </si>
  <si>
    <t xml:space="preserve"> delta_tb_risk is: 1.0005684924608922</t>
  </si>
  <si>
    <t xml:space="preserve"> delta_reit_risk is: 0.996315809641343
</t>
  </si>
  <si>
    <t xml:space="preserve"> 0.996315809641343
</t>
  </si>
  <si>
    <t xml:space="preserve">collateral_ratio_tranche_gold is: 0.7192006669847685
</t>
  </si>
  <si>
    <t xml:space="preserve"> 0.7192006669847685
</t>
  </si>
  <si>
    <t xml:space="preserve">collateral_ratio_tranche_tb is: 0.3356131507786028
</t>
  </si>
  <si>
    <t xml:space="preserve"> 0.3356131507786028
</t>
  </si>
  <si>
    <t xml:space="preserve">collateral_ratio_tranche_reit is: 0.36883481913892174
</t>
  </si>
  <si>
    <t xml:space="preserve"> 0.36883481913892174
</t>
  </si>
  <si>
    <t>Total plot size is: 146358513.6296053</t>
  </si>
  <si>
    <t xml:space="preserve"> plot size of gold is: 74133430.32578327</t>
  </si>
  <si>
    <t xml:space="preserve"> plot size of TB is: 34486223.270853095</t>
  </si>
  <si>
    <t xml:space="preserve"> plot size of REIT is: 37738860.03296893
</t>
  </si>
  <si>
    <t xml:space="preserve"> 37738860.03296893
</t>
  </si>
  <si>
    <t xml:space="preserve">collateral ratio is: 1.4210473114693458
</t>
  </si>
  <si>
    <t xml:space="preserve"> 1.4210473114693458
</t>
  </si>
  <si>
    <t>S_gtbcps_0 is: 0.9997482715117545</t>
  </si>
  <si>
    <t xml:space="preserve">stdev_gtbcps is: 0.008033897053845431
</t>
  </si>
  <si>
    <t xml:space="preserve"> 0.008033897053845431
</t>
  </si>
  <si>
    <t>predicted price of GTBCPS is: 0.9997389953838287</t>
  </si>
  <si>
    <t xml:space="preserve"> actual price is: 0.9997482715117545
</t>
  </si>
  <si>
    <t xml:space="preserve"> 0.9997482715117545
</t>
  </si>
  <si>
    <t>predicted amount of GTBCPS is: 103020302.46899389</t>
  </si>
  <si>
    <t xml:space="preserve"> actual amount is: 103019346.59886949
</t>
  </si>
  <si>
    <t>plot sizes of gold is: 74133430.32578327</t>
  </si>
  <si>
    <t xml:space="preserve"> plot sizes of tb is: 34486223.270853095 </t>
  </si>
  <si>
    <t xml:space="preserve"> plot sizes of reit is: 37738860.03296893</t>
  </si>
  <si>
    <t xml:space="preserve"> plot sizes of total is: 146358513.6296053.
</t>
  </si>
  <si>
    <t xml:space="preserve"> 146358513.6296053.
</t>
  </si>
  <si>
    <t>predicted stdevs of gold is: 0.008662897703509375</t>
  </si>
  <si>
    <t xml:space="preserve"> predicted stdevs of tb is: 0.0031664424541240797</t>
  </si>
  <si>
    <t xml:space="preserve"> predicted stdevs of reit is: 0.011246239719842486</t>
  </si>
  <si>
    <t xml:space="preserve"> predicted stdevs of GTBCPS is: 0.008033897053845431.
</t>
  </si>
  <si>
    <t xml:space="preserve"> 0.008033897053845431.
</t>
  </si>
  <si>
    <t>total_value_of_collaterals is: 146358186.94463682</t>
  </si>
  <si>
    <t xml:space="preserve"> createdtionValue_gold is: 687.842212435985</t>
  </si>
  <si>
    <t xml:space="preserve"> createdValue_tb is: 319.97867408415857</t>
  </si>
  <si>
    <t xml:space="preserve"> createdValue_reit is: 350.1582205959965
</t>
  </si>
  <si>
    <t xml:space="preserve"> 350.1582205959965
</t>
  </si>
  <si>
    <t>plotValue_gold_after_creation is: 74132513.90483673</t>
  </si>
  <si>
    <t xml:space="preserve"> plotValue_tb_after_creation  is: 34485850.209436975</t>
  </si>
  <si>
    <t xml:space="preserve"> plotValue_reit_after_creation  is: 37738464.85125602</t>
  </si>
  <si>
    <t xml:space="preserve">total_value_after_creation is: 146356828.9655297
</t>
  </si>
  <si>
    <t xml:space="preserve"> 146356828.9655297
</t>
  </si>
  <si>
    <t>total_amount_gtncps_before_creation is: 103019346.59886949</t>
  </si>
  <si>
    <t>creation_amount_gtbcps is: 955.870124399662</t>
  </si>
  <si>
    <t xml:space="preserve">total_amount_gtbcps_new is: 103020302.46899389
</t>
  </si>
  <si>
    <t xml:space="preserve"> 103020302.46899389
</t>
  </si>
  <si>
    <t>payout of tranche of gold is: -228.578734106441</t>
  </si>
  <si>
    <t xml:space="preserve"> payout of tranche of Treausry Bill Option is: -53.08274203719529</t>
  </si>
  <si>
    <t xml:space="preserve"> payout of tranche of Collar of REIT is: -45.023492312336884
</t>
  </si>
  <si>
    <t xml:space="preserve"> -45.023492312336884
</t>
  </si>
  <si>
    <t>Collateral size of tranche of gold is: 74132513.90483673</t>
  </si>
  <si>
    <t xml:space="preserve"> collateral size of tranche of Treausry Bill Option is: 34485850.209436975</t>
  </si>
  <si>
    <t xml:space="preserve"> collateral size of tranche of Collar of REIT is: 37738464.85125602
</t>
  </si>
  <si>
    <t xml:space="preserve"> 37738464.85125602
</t>
  </si>
  <si>
    <t>Collateral ratio of tranche of gold is: 0.7197858492869346</t>
  </si>
  <si>
    <t xml:space="preserve"> collateral ratio of tranche of Treausry Bill Option is: 0.3348385974505861</t>
  </si>
  <si>
    <t xml:space="preserve"> collateral ratio of tranche of Collar of REIT is: 0.36641969283027603
</t>
  </si>
  <si>
    <t xml:space="preserve"> 0.36641969283027603
</t>
  </si>
  <si>
    <t xml:space="preserve">date is: 2022-09-15 00:00:00
</t>
  </si>
  <si>
    <t xml:space="preserve"> 2022-09-15 00</t>
  </si>
  <si>
    <t>current price of gold is: 1665.11</t>
  </si>
  <si>
    <t xml:space="preserve"> predicted price of gold is: 1671.5816715542298
</t>
  </si>
  <si>
    <t xml:space="preserve"> 1671.5816715542298
</t>
  </si>
  <si>
    <t>current price of tb is: 89.375</t>
  </si>
  <si>
    <t xml:space="preserve"> current price of tb option is: 4.251152694909674</t>
  </si>
  <si>
    <t xml:space="preserve"> predicted price of tb is: 89.63232284935147
</t>
  </si>
  <si>
    <t xml:space="preserve"> 89.63232284935147
</t>
  </si>
  <si>
    <t>current price of reit is: 61.1</t>
  </si>
  <si>
    <t xml:space="preserve"> current price of reit option is: 5.450532133355843</t>
  </si>
  <si>
    <t xml:space="preserve"> predicted price of reit is: 61.78771479472731
</t>
  </si>
  <si>
    <t xml:space="preserve"> 61.78771479472731
</t>
  </si>
  <si>
    <t>value_ratio_gold_to_total is: 0.3780536622876803</t>
  </si>
  <si>
    <t xml:space="preserve"> risk_ratio_to_gold is: 0.5341270438893404</t>
  </si>
  <si>
    <t xml:space="preserve"> risk_ratio_to_gold_before is: 0.5324941971951153
</t>
  </si>
  <si>
    <t xml:space="preserve"> 0.5324941971951153
</t>
  </si>
  <si>
    <t>value_ratio_tb_to_total is: 0.2633702400623727</t>
  </si>
  <si>
    <t xml:space="preserve"> risk_ratio_tb_to_gold is: 0.4252044299656778</t>
  </si>
  <si>
    <t xml:space="preserve"> risk_ratio_tb_to_gold_before is: 0.4278333080601628
</t>
  </si>
  <si>
    <t xml:space="preserve"> 0.4278333080601628
</t>
  </si>
  <si>
    <t>value_ratio_reit_to_total is: 0.358576097649947</t>
  </si>
  <si>
    <t xml:space="preserve"> risk_ratio_reit_to_gold is: 0.44700932786677244</t>
  </si>
  <si>
    <t xml:space="preserve"> risk_ratio_reit_to_gold_before is: 0.45012142885048656
</t>
  </si>
  <si>
    <t xml:space="preserve"> 0.45012142885048656
</t>
  </si>
  <si>
    <t>delta_gold is: 0.9810230245327929</t>
  </si>
  <si>
    <t xml:space="preserve"> delta_tb is: 0.9982247974899855</t>
  </si>
  <si>
    <t xml:space="preserve"> delta_reit is: 0.9953960196565178
</t>
  </si>
  <si>
    <t xml:space="preserve"> 0.9953960196565178
</t>
  </si>
  <si>
    <t>delta_gold_risk is: 1.0010654831171393</t>
  </si>
  <si>
    <t xml:space="preserve"> delta_tb_risk is: 0.9981588340322047</t>
  </si>
  <si>
    <t xml:space="preserve"> delta_reit_risk is: 0.9978539031823142
</t>
  </si>
  <si>
    <t xml:space="preserve"> 0.9978539031823142
</t>
  </si>
  <si>
    <t xml:space="preserve">collateral_ratio_tranche_gold is: 0.705374925808671
</t>
  </si>
  <si>
    <t xml:space="preserve"> 0.705374925808671
</t>
  </si>
  <si>
    <t xml:space="preserve">collateral_ratio_tranche_tb is: 0.34133829372944374
</t>
  </si>
  <si>
    <t xml:space="preserve"> 0.34133829372944374
</t>
  </si>
  <si>
    <t xml:space="preserve">collateral_ratio_tranche_reit is: 0.3725877270921096
</t>
  </si>
  <si>
    <t xml:space="preserve"> 0.3725877270921096
</t>
  </si>
  <si>
    <t>Total plot size is: 144715051.5496151</t>
  </si>
  <si>
    <t xml:space="preserve"> plot size of gold is: 72725703.00714225</t>
  </si>
  <si>
    <t xml:space="preserve"> plot size of TB is: 34424630.8415852</t>
  </si>
  <si>
    <t xml:space="preserve"> plot size of REIT is: 37564717.70088764
</t>
  </si>
  <si>
    <t xml:space="preserve"> 37564717.70088764
</t>
  </si>
  <si>
    <t xml:space="preserve">collateral ratio is: 1.4050903485817459
</t>
  </si>
  <si>
    <t xml:space="preserve"> 1.4050903485817459
</t>
  </si>
  <si>
    <t>S_gtbcps_0 is: 0.9997389953838287</t>
  </si>
  <si>
    <t xml:space="preserve">stdev_gtbcps is: 0.008019680033466547
</t>
  </si>
  <si>
    <t xml:space="preserve"> 0.008019680033466547
</t>
  </si>
  <si>
    <t>predicted price of GTBCPS is: 0.9997186835368774</t>
  </si>
  <si>
    <t xml:space="preserve"> actual price is: 0.9997389953838287
</t>
  </si>
  <si>
    <t xml:space="preserve"> 0.9997389953838287
</t>
  </si>
  <si>
    <t>predicted amount of GTBCPS is: 103022395.59044003</t>
  </si>
  <si>
    <t xml:space="preserve"> actual amount is: 103020302.46899389
</t>
  </si>
  <si>
    <t>plot sizes of gold is: 72725703.00714225</t>
  </si>
  <si>
    <t xml:space="preserve"> plot sizes of tb is: 34424630.8415852 </t>
  </si>
  <si>
    <t xml:space="preserve"> plot sizes of reit is: 37564717.70088764</t>
  </si>
  <si>
    <t xml:space="preserve"> plot sizes of total is: 144715051.5496151.
</t>
  </si>
  <si>
    <t xml:space="preserve"> 144715051.5496151.
</t>
  </si>
  <si>
    <t>predicted stdevs of gold is: 0.008663783094110266</t>
  </si>
  <si>
    <t xml:space="preserve"> predicted stdevs of tb is: 0.0031444430776157036</t>
  </si>
  <si>
    <t xml:space="preserve"> predicted stdevs of reit is: 0.011240398622100944</t>
  </si>
  <si>
    <t xml:space="preserve"> predicted stdevs of GTBCPS is: 0.008019680033466547.
</t>
  </si>
  <si>
    <t xml:space="preserve"> 0.008019680033466547.
</t>
  </si>
  <si>
    <t>total_value_of_collaterals is: 144714338.23711255</t>
  </si>
  <si>
    <t xml:space="preserve"> createdtionValue_gold is: 1477.5696749937028</t>
  </si>
  <si>
    <t xml:space="preserve"> createdValue_tb is: 699.407950087462</t>
  </si>
  <si>
    <t xml:space="preserve"> createdValue_reit is: 763.2052661547712
</t>
  </si>
  <si>
    <t xml:space="preserve"> 763.2052661547712
</t>
  </si>
  <si>
    <t>plotValue_gold_after_creation is: 72723766.27597415</t>
  </si>
  <si>
    <t xml:space="preserve"> plotValue_tb_after_creation  is: 34423811.71902134</t>
  </si>
  <si>
    <t xml:space="preserve"> plotValue_reit_after_creation  is: 37563820.05922582</t>
  </si>
  <si>
    <t xml:space="preserve">total_value_after_creation is: 144711398.05422133
</t>
  </si>
  <si>
    <t xml:space="preserve"> 144711398.05422133
</t>
  </si>
  <si>
    <t>total_amount_gtncps_before_creation is: 103020302.46899389</t>
  </si>
  <si>
    <t>creation_amount_gtbcps is: 2093.121446147561</t>
  </si>
  <si>
    <t xml:space="preserve">total_amount_gtbcps_new is: 103022395.59044003
</t>
  </si>
  <si>
    <t xml:space="preserve"> 103022395.59044003
</t>
  </si>
  <si>
    <t>payout of tranche of gold is: -459.16149309104395</t>
  </si>
  <si>
    <t xml:space="preserve"> payout of tranche of Treausry Bill Option is: -119.71461376775817</t>
  </si>
  <si>
    <t xml:space="preserve"> payout of tranche of Collar of REIT is: -134.43639567029814
</t>
  </si>
  <si>
    <t xml:space="preserve"> -134.43639567029814
</t>
  </si>
  <si>
    <t>Collateral size of tranche of gold is: 72723766.27597415</t>
  </si>
  <si>
    <t xml:space="preserve"> collateral size of tranche of Treausry Bill Option is: 34423811.71902134</t>
  </si>
  <si>
    <t xml:space="preserve"> collateral size of tranche of Collar of REIT is: 37563820.05922582
</t>
  </si>
  <si>
    <t xml:space="preserve"> 37563820.05922582
</t>
  </si>
  <si>
    <t>Collateral ratio of tranche of gold is: 0.7061154809507957</t>
  </si>
  <si>
    <t xml:space="preserve"> collateral ratio of tranche of Treausry Bill Option is: 0.33423992750725817</t>
  </si>
  <si>
    <t xml:space="preserve"> collateral ratio of tranche of Collar of REIT is: 0.36472801431672114
</t>
  </si>
  <si>
    <t xml:space="preserve"> 0.36472801431672114
</t>
  </si>
  <si>
    <t xml:space="preserve">date is: 2022-09-16 00:00:00
</t>
  </si>
  <si>
    <t xml:space="preserve"> 2022-09-16 00</t>
  </si>
  <si>
    <t>current price of gold is: 1675.06</t>
  </si>
  <si>
    <t xml:space="preserve"> predicted price of gold is: 1685.5583691445947
</t>
  </si>
  <si>
    <t xml:space="preserve"> 1685.5583691445947
</t>
  </si>
  <si>
    <t>current price of tb is: 89.4921875</t>
  </si>
  <si>
    <t xml:space="preserve"> current price of tb option is: 4.250826996530435</t>
  </si>
  <si>
    <t xml:space="preserve"> predicted price of tb is: 89.7498477481924
</t>
  </si>
  <si>
    <t xml:space="preserve"> 89.7498477481924
</t>
  </si>
  <si>
    <t>current price of reit is: 61.65</t>
  </si>
  <si>
    <t xml:space="preserve"> current price of reit option is: 5.445873053818907</t>
  </si>
  <si>
    <t xml:space="preserve"> predicted price of reit is: 62.243281256412956
</t>
  </si>
  <si>
    <t xml:space="preserve"> 62.243281256412956
</t>
  </si>
  <si>
    <t>value_ratio_gold_to_total is: 0.49882941211369447</t>
  </si>
  <si>
    <t xml:space="preserve"> risk_ratio_to_gold is: 0.5407193442475176</t>
  </si>
  <si>
    <t xml:space="preserve"> risk_ratio_to_gold_before is: 0.5341270438893404
</t>
  </si>
  <si>
    <t xml:space="preserve"> 0.5341270438893404
</t>
  </si>
  <si>
    <t>value_ratio_tb_to_total is: 0.2142205147134768</t>
  </si>
  <si>
    <t xml:space="preserve"> risk_ratio_tb_to_gold is: 0.4132051191942871</t>
  </si>
  <si>
    <t xml:space="preserve"> risk_ratio_tb_to_gold_before is: 0.4252044299656778
</t>
  </si>
  <si>
    <t xml:space="preserve"> 0.4252044299656778
</t>
  </si>
  <si>
    <t>value_ratio_reit_to_total is: 0.28695007317282867</t>
  </si>
  <si>
    <t xml:space="preserve"> risk_ratio_reit_to_gold is: 0.436183127478545</t>
  </si>
  <si>
    <t xml:space="preserve"> risk_ratio_reit_to_gold_before is: 0.44700932786677244
</t>
  </si>
  <si>
    <t xml:space="preserve"> 0.44700932786677244
</t>
  </si>
  <si>
    <t>delta_gold is: 1.0059755811928341</t>
  </si>
  <si>
    <t xml:space="preserve"> delta_tb is: 1.001248174770158</t>
  </si>
  <si>
    <t xml:space="preserve"> delta_reit is: 1.0081943885793474
</t>
  </si>
  <si>
    <t xml:space="preserve"> 1.0081943885793474
</t>
  </si>
  <si>
    <t>delta_gold_risk is: 1.0042971019802012</t>
  </si>
  <si>
    <t xml:space="preserve"> delta_tb_risk is: 0.9915806388760104</t>
  </si>
  <si>
    <t xml:space="preserve"> delta_reit_risk is: 0.992518223497434
</t>
  </si>
  <si>
    <t xml:space="preserve"> 0.992518223497434
</t>
  </si>
  <si>
    <t xml:space="preserve">collateral_ratio_tranche_gold is: 0.7072956099725337
</t>
  </si>
  <si>
    <t xml:space="preserve"> 0.7072956099725337
</t>
  </si>
  <si>
    <t xml:space="preserve">collateral_ratio_tranche_tb is: 0.3354938694268947
</t>
  </si>
  <si>
    <t xml:space="preserve"> 0.3354938694268947
</t>
  </si>
  <si>
    <t xml:space="preserve">collateral_ratio_tranche_reit is: 0.36828791632652896
</t>
  </si>
  <si>
    <t xml:space="preserve"> 0.36828791632652896
</t>
  </si>
  <si>
    <t>Total plot size is: 145496744.29562244</t>
  </si>
  <si>
    <t xml:space="preserve"> plot size of gold is: 73158333.04600494</t>
  </si>
  <si>
    <t xml:space="preserve"> plot size of TB is: 34466778.6523017</t>
  </si>
  <si>
    <t xml:space="preserve"> plot size of REIT is: 37871632.5973158
</t>
  </si>
  <si>
    <t xml:space="preserve"> 37871632.5973158
</t>
  </si>
  <si>
    <t xml:space="preserve">collateral ratio is: 1.4126800838664322
</t>
  </si>
  <si>
    <t xml:space="preserve"> 1.4126800838664322
</t>
  </si>
  <si>
    <t>S_gtbcps_0 is: 0.9997186835368774</t>
  </si>
  <si>
    <t xml:space="preserve">stdev_gtbcps is: 0.00802105096635455
</t>
  </si>
  <si>
    <t xml:space="preserve"> 0.00802105096635455
</t>
  </si>
  <si>
    <t>predicted price of GTBCPS is: 0.9997089307851278</t>
  </si>
  <si>
    <t xml:space="preserve"> actual price is: 0.9997186835368774
</t>
  </si>
  <si>
    <t xml:space="preserve"> 0.9997186835368774
</t>
  </si>
  <si>
    <t>predicted amount of GTBCPS is: 103023400.63482636</t>
  </si>
  <si>
    <t xml:space="preserve"> actual amount is: 103022395.59044003
</t>
  </si>
  <si>
    <t>plot sizes of gold is: 73158333.04600494</t>
  </si>
  <si>
    <t xml:space="preserve"> plot sizes of tb is: 34466778.6523017 </t>
  </si>
  <si>
    <t xml:space="preserve"> plot sizes of reit is: 37871632.5973158</t>
  </si>
  <si>
    <t xml:space="preserve"> plot sizes of total is: 145496744.29562244.
</t>
  </si>
  <si>
    <t xml:space="preserve"> 145496744.29562244.
</t>
  </si>
  <si>
    <t>predicted stdevs of gold is: 0.00877808167230047</t>
  </si>
  <si>
    <t xml:space="preserve"> predicted stdevs of tb is: 0.0031127593291665075</t>
  </si>
  <si>
    <t xml:space="preserve"> predicted stdevs of reit is: 0.011025671815901049</t>
  </si>
  <si>
    <t xml:space="preserve"> predicted stdevs of GTBCPS is: 0.00802105096635455.
</t>
  </si>
  <si>
    <t xml:space="preserve"> 0.00802105096635455.
</t>
  </si>
  <si>
    <t>total_value_of_collaterals is: 145496401.10627845</t>
  </si>
  <si>
    <t xml:space="preserve"> createdtionValue_gold is: 713.6935381203072</t>
  </si>
  <si>
    <t xml:space="preserve"> createdValue_tb is: 336.24014060302386</t>
  </si>
  <si>
    <t xml:space="preserve"> createdValue_reit is: 369.45589938823946
</t>
  </si>
  <si>
    <t xml:space="preserve"> 369.45589938823946
</t>
  </si>
  <si>
    <t>plotValue_gold_after_creation is: 73157383.90744974</t>
  </si>
  <si>
    <t xml:space="preserve"> plotValue_tb_after_creation  is: 34466402.92691531</t>
  </si>
  <si>
    <t xml:space="preserve"> plotValue_reit_after_creation  is: 37871194.88233531</t>
  </si>
  <si>
    <t xml:space="preserve">total_value_after_creation is: 145494981.71670035
</t>
  </si>
  <si>
    <t xml:space="preserve"> 145494981.71670035
</t>
  </si>
  <si>
    <t>total_amount_gtncps_before_creation is: 103022395.59044003</t>
  </si>
  <si>
    <t>creation_amount_gtbcps is: 1005.0443863272667</t>
  </si>
  <si>
    <t xml:space="preserve">total_amount_gtbcps_new is: 103023400.63482636
</t>
  </si>
  <si>
    <t xml:space="preserve"> 103023400.63482636
</t>
  </si>
  <si>
    <t>payout of tranche of gold is: -235.4450170808153</t>
  </si>
  <si>
    <t xml:space="preserve"> payout of tranche of Treausry Bill Option is: -39.48524578786574</t>
  </si>
  <si>
    <t xml:space="preserve"> payout of tranche of Collar of REIT is: -68.2590811054741
</t>
  </si>
  <si>
    <t xml:space="preserve"> -68.2590811054741
</t>
  </si>
  <si>
    <t>Collateral size of tranche of gold is: 73157383.90744974</t>
  </si>
  <si>
    <t xml:space="preserve"> collateral size of tranche of Treausry Bill Option is: 34466402.92691531</t>
  </si>
  <si>
    <t xml:space="preserve"> collateral size of tranche of Collar of REIT is: 37871194.88233531
</t>
  </si>
  <si>
    <t xml:space="preserve"> 37871194.88233531
</t>
  </si>
  <si>
    <t>Collateral ratio of tranche of gold is: 0.7103182133373799</t>
  </si>
  <si>
    <t xml:space="preserve"> collateral ratio of tranche of Treausry Bill Option is: 0.33464993469674453</t>
  </si>
  <si>
    <t xml:space="preserve"> collateral ratio of tranche of Collar of REIT is: 0.36770860368385605
</t>
  </si>
  <si>
    <t xml:space="preserve"> 0.36770860368385605
</t>
  </si>
  <si>
    <t xml:space="preserve">date is: 2022-09-19 00:00:00
</t>
  </si>
  <si>
    <t xml:space="preserve"> 2022-09-19 00</t>
  </si>
  <si>
    <t>current price of gold is: 1675.84</t>
  </si>
  <si>
    <t xml:space="preserve"> predicted price of gold is: 1675.84
</t>
  </si>
  <si>
    <t xml:space="preserve"> 1675.84
</t>
  </si>
  <si>
    <t>current price of tb is: 89.31640625</t>
  </si>
  <si>
    <t xml:space="preserve"> current price of tb option is: 4.24842820410304</t>
  </si>
  <si>
    <t xml:space="preserve"> predicted price of tb is: 89.57654623504129
</t>
  </si>
  <si>
    <t xml:space="preserve"> 89.57654623504129
</t>
  </si>
  <si>
    <t>current price of reit is: 62.25</t>
  </si>
  <si>
    <t xml:space="preserve"> current price of reit option is: 5.3940479926028075</t>
  </si>
  <si>
    <t xml:space="preserve"> predicted price of reit is: 62.90817743994093
</t>
  </si>
  <si>
    <t xml:space="preserve"> 62.90817743994093
</t>
  </si>
  <si>
    <t xml:space="preserve"> risk_ratio_to_gold is: 0.5396265191116193</t>
  </si>
  <si>
    <t xml:space="preserve"> risk_ratio_to_gold_before is: 0.5407193442475176
</t>
  </si>
  <si>
    <t xml:space="preserve"> 0.5407193442475176
</t>
  </si>
  <si>
    <t>value_ratio_tb_to_total is: 0.4269156609485629</t>
  </si>
  <si>
    <t xml:space="preserve"> risk_ratio_tb_to_gold is: 0.41258622330253736</t>
  </si>
  <si>
    <t xml:space="preserve"> risk_ratio_tb_to_gold_before is: 0.4132051191942871
</t>
  </si>
  <si>
    <t xml:space="preserve"> 0.4132051191942871
</t>
  </si>
  <si>
    <t>value_ratio_reit_to_total is: 0.5730843390514371</t>
  </si>
  <si>
    <t xml:space="preserve"> risk_ratio_reit_to_gold is: 0.4405473136598195</t>
  </si>
  <si>
    <t xml:space="preserve"> risk_ratio_reit_to_gold_before is: 0.436183127478545
</t>
  </si>
  <si>
    <t xml:space="preserve"> 0.436183127478545
</t>
  </si>
  <si>
    <t>delta_gold is: 1.0004656549616133</t>
  </si>
  <si>
    <t xml:space="preserve"> delta_tb is: 0.9980992712536038</t>
  </si>
  <si>
    <t xml:space="preserve"> delta_reit is: 1.00817002468012
</t>
  </si>
  <si>
    <t xml:space="preserve"> 1.00817002468012
</t>
  </si>
  <si>
    <t>delta_gold_risk is: 0.9992907046049765</t>
  </si>
  <si>
    <t xml:space="preserve"> delta_tb_risk is: 0.999562062234743</t>
  </si>
  <si>
    <t xml:space="preserve"> delta_reit_risk is: 1.0030387393486069
</t>
  </si>
  <si>
    <t xml:space="preserve"> 1.0030387393486069
</t>
  </si>
  <si>
    <t xml:space="preserve">collateral_ratio_tranche_gold is: 0.7111533943655236
</t>
  </si>
  <si>
    <t xml:space="preserve"> 0.7111533943655236
</t>
  </si>
  <si>
    <t xml:space="preserve">collateral_ratio_tranche_tb is: 0.33400466638583265
</t>
  </si>
  <si>
    <t xml:space="preserve"> 0.33400466638583265
</t>
  </si>
  <si>
    <t xml:space="preserve">collateral_ratio_tranche_reit is: 0.3694176840932935
</t>
  </si>
  <si>
    <t xml:space="preserve"> 0.3694176840932935
</t>
  </si>
  <si>
    <t>Total plot size is: 145772945.1295218</t>
  </si>
  <si>
    <t xml:space="preserve"> plot size of gold is: 73191450.0062449</t>
  </si>
  <si>
    <t xml:space="preserve"> plot size of TB is: 34400891.64408725</t>
  </si>
  <si>
    <t xml:space="preserve"> plot size of REIT is: 38180603.47918963
</t>
  </si>
  <si>
    <t xml:space="preserve"> 38180603.47918963
</t>
  </si>
  <si>
    <t xml:space="preserve">collateral ratio is: 1.415361816843248
</t>
  </si>
  <si>
    <t xml:space="preserve"> 1.415361816843248
</t>
  </si>
  <si>
    <t>S_gtbcps_0 is: 0.9997089307851278</t>
  </si>
  <si>
    <t xml:space="preserve">stdev_gtbcps is: 0.008018625027556896
</t>
  </si>
  <si>
    <t xml:space="preserve"> 0.008018625027556896
</t>
  </si>
  <si>
    <t>predicted price of GTBCPS is: 0.999688290530102</t>
  </si>
  <si>
    <t xml:space="preserve"> actual price is: 0.9997089307851278
</t>
  </si>
  <si>
    <t xml:space="preserve"> 0.9997089307851278
</t>
  </si>
  <si>
    <t>predicted amount of GTBCPS is: 103025527.7271239</t>
  </si>
  <si>
    <t xml:space="preserve"> actual amount is: 103023400.63482636
</t>
  </si>
  <si>
    <t>plot sizes of gold is: 73191450.0062449</t>
  </si>
  <si>
    <t xml:space="preserve"> plot sizes of tb is: 34400891.64408725 </t>
  </si>
  <si>
    <t xml:space="preserve"> plot sizes of reit is: 38180603.47918963</t>
  </si>
  <si>
    <t xml:space="preserve"> plot sizes of total is: 145772945.1295218.
</t>
  </si>
  <si>
    <t xml:space="preserve"> 145772945.1295218.
</t>
  </si>
  <si>
    <t>predicted stdevs of gold is: 0.008793505920216908</t>
  </si>
  <si>
    <t xml:space="preserve"> predicted stdevs of tb is: 0.0031112789749500346</t>
  </si>
  <si>
    <t xml:space="preserve"> predicted stdevs of reit is: 0.010954734294686465</t>
  </si>
  <si>
    <t xml:space="preserve"> predicted stdevs of GTBCPS is: 0.008018625027556896.
</t>
  </si>
  <si>
    <t xml:space="preserve"> 0.008018625027556896.
</t>
  </si>
  <si>
    <t>total_value_of_collaterals is: 145772219.67759702</t>
  </si>
  <si>
    <t xml:space="preserve"> createdtionValue_gold is: 1511.1197693085358</t>
  </si>
  <si>
    <t xml:space="preserve"> createdValue_tb is: 710.2482016438147</t>
  </si>
  <si>
    <t xml:space="preserve"> createdValue_reit is: 788.2838358567199
</t>
  </si>
  <si>
    <t xml:space="preserve"> 788.2838358567199
</t>
  </si>
  <si>
    <t>plotValue_gold_after_creation is: 73189441.55869046</t>
  </si>
  <si>
    <t xml:space="preserve"> plotValue_tb_after_creation  is: 34400098.72292347</t>
  </si>
  <si>
    <t xml:space="preserve"> plotValue_reit_after_creation  is: 38179669.744176276</t>
  </si>
  <si>
    <t xml:space="preserve">total_value_after_creation is: 145769210.0257902
</t>
  </si>
  <si>
    <t xml:space="preserve"> 145769210.0257902
</t>
  </si>
  <si>
    <t>total_amount_gtncps_before_creation is: 103023400.63482636</t>
  </si>
  <si>
    <t>creation_amount_gtbcps is: 2127.092297539115</t>
  </si>
  <si>
    <t xml:space="preserve">total_amount_gtbcps_new is: 103025527.7271239
</t>
  </si>
  <si>
    <t xml:space="preserve"> 103025527.7271239
</t>
  </si>
  <si>
    <t>payout of tranche of gold is: -497.3277851307045</t>
  </si>
  <si>
    <t xml:space="preserve"> payout of tranche of Treausry Bill Option is: -82.67296213241572</t>
  </si>
  <si>
    <t xml:space="preserve"> payout of tranche of Collar of REIT is: -145.4511774914557
</t>
  </si>
  <si>
    <t xml:space="preserve"> -145.4511774914557
</t>
  </si>
  <si>
    <t>Collateral size of tranche of gold is: 73189441.55869046</t>
  </si>
  <si>
    <t xml:space="preserve"> collateral size of tranche of Treausry Bill Option is: 34400098.72292347</t>
  </si>
  <si>
    <t xml:space="preserve"> collateral size of tranche of Collar of REIT is: 38179669.744176276
</t>
  </si>
  <si>
    <t xml:space="preserve"> 38179669.744176276
</t>
  </si>
  <si>
    <t>Collateral ratio of tranche of gold is: 0.7106372150705331</t>
  </si>
  <si>
    <t xml:space="preserve"> collateral ratio of tranche of Treausry Bill Option is: 0.3340097947735611</t>
  </si>
  <si>
    <t xml:space="preserve"> collateral ratio of tranche of Collar of REIT is: 0.3707077633261775
</t>
  </si>
  <si>
    <t xml:space="preserve"> 0.3707077633261775
</t>
  </si>
  <si>
    <t xml:space="preserve">date is: 2022-09-20 00:00:00
</t>
  </si>
  <si>
    <t xml:space="preserve"> 2022-09-20 00</t>
  </si>
  <si>
    <t>current price of gold is: 1664.89</t>
  </si>
  <si>
    <t xml:space="preserve"> predicted price of gold is: 1664.0541954443427
</t>
  </si>
  <si>
    <t xml:space="preserve"> 1664.0541954443427
</t>
  </si>
  <si>
    <t>current price of tb is: 89.1796875</t>
  </si>
  <si>
    <t xml:space="preserve"> current price of tb option is: 4.243046463064146</t>
  </si>
  <si>
    <t xml:space="preserve"> predicted price of tb is: 89.44539210994884
</t>
  </si>
  <si>
    <t xml:space="preserve"> 89.44539210994884
</t>
  </si>
  <si>
    <t xml:space="preserve"> current price of reit option is: 5.29171411220338</t>
  </si>
  <si>
    <t xml:space="preserve"> predicted price of reit is: 63.44324569452764
</t>
  </si>
  <si>
    <t xml:space="preserve"> 63.44324569452764
</t>
  </si>
  <si>
    <t>value_ratio_gold_to_total is: -0.0883709911070782</t>
  </si>
  <si>
    <t xml:space="preserve"> risk_ratio_to_gold is: 0.5385556062611666</t>
  </si>
  <si>
    <t xml:space="preserve"> risk_ratio_to_gold_before is: 0.5396265191116193
</t>
  </si>
  <si>
    <t xml:space="preserve"> 0.5396265191116193
</t>
  </si>
  <si>
    <t>value_ratio_tb_to_total is: 0.47671767075240495</t>
  </si>
  <si>
    <t xml:space="preserve"> risk_ratio_tb_to_gold is: 0.4094182962784807</t>
  </si>
  <si>
    <t xml:space="preserve"> risk_ratio_tb_to_gold_before is: 0.41258622330253736
</t>
  </si>
  <si>
    <t xml:space="preserve"> 0.41258622330253736
</t>
  </si>
  <si>
    <t>value_ratio_reit_to_total is: 0.6116533203546732</t>
  </si>
  <si>
    <t xml:space="preserve"> risk_ratio_reit_to_gold is: 0.44740017961175277</t>
  </si>
  <si>
    <t xml:space="preserve"> risk_ratio_reit_to_gold_before is: 0.4405473136598195
</t>
  </si>
  <si>
    <t xml:space="preserve"> 0.4405473136598195
</t>
  </si>
  <si>
    <t>delta_gold is: 0.9934659633377889</t>
  </si>
  <si>
    <t xml:space="preserve"> delta_tb is: 0.9984812617703226</t>
  </si>
  <si>
    <t xml:space="preserve"> delta_reit is: 1.0088354576246816
</t>
  </si>
  <si>
    <t xml:space="preserve"> 1.0088354576246816
</t>
  </si>
  <si>
    <t>delta_gold_risk is: 0.9993044333562984</t>
  </si>
  <si>
    <t xml:space="preserve"> delta_tb_risk is: 0.9977573567037555</t>
  </si>
  <si>
    <t xml:space="preserve"> delta_reit_risk is: 1.0047571266052506
</t>
  </si>
  <si>
    <t xml:space="preserve"> 1.0047571266052506
</t>
  </si>
  <si>
    <t xml:space="preserve">collateral_ratio_tranche_gold is: 0.7064852930578475
</t>
  </si>
  <si>
    <t xml:space="preserve"> 0.7064852930578475
</t>
  </si>
  <si>
    <t xml:space="preserve">collateral_ratio_tranche_tb is: 0.3364505095916062
</t>
  </si>
  <si>
    <t xml:space="preserve"> 0.3364505095916062
</t>
  </si>
  <si>
    <t xml:space="preserve">collateral_ratio_tranche_reit is: 0.3746605197684307
</t>
  </si>
  <si>
    <t xml:space="preserve"> 0.3746605197684307
</t>
  </si>
  <si>
    <t>Total plot size is: 145576077.6404728</t>
  </si>
  <si>
    <t xml:space="preserve"> plot size of gold is: 72711219.06425922</t>
  </si>
  <si>
    <t xml:space="preserve"> plot size of TB is: 34347853.97788829</t>
  </si>
  <si>
    <t xml:space="preserve"> plot size of REIT is: 38517004.59832528
</t>
  </si>
  <si>
    <t xml:space="preserve"> 38517004.59832528
</t>
  </si>
  <si>
    <t xml:space="preserve">collateral ratio is: 1.4134503597705368
</t>
  </si>
  <si>
    <t xml:space="preserve"> 1.4134503597705368
</t>
  </si>
  <si>
    <t>S_gtbcps_0 is: 0.999688290530102</t>
  </si>
  <si>
    <t xml:space="preserve">stdev_gtbcps is: 0.008037919785747345
</t>
  </si>
  <si>
    <t xml:space="preserve"> 0.008037919785747345
</t>
  </si>
  <si>
    <t>predicted price of GTBCPS is: 0.999711341517583</t>
  </si>
  <si>
    <t xml:space="preserve"> actual price is: 0.999688290530102
</t>
  </si>
  <si>
    <t xml:space="preserve"> 0.999688290530102
</t>
  </si>
  <si>
    <t>predicted amount of GTBCPS is: 103023152.20125835</t>
  </si>
  <si>
    <t xml:space="preserve"> actual amount is: 103025527.7271239
</t>
  </si>
  <si>
    <t>plot sizes of gold is: 72711219.06425922</t>
  </si>
  <si>
    <t xml:space="preserve"> plot sizes of tb is: 34347853.97788829 </t>
  </si>
  <si>
    <t xml:space="preserve"> plot sizes of reit is: 38517004.59832528</t>
  </si>
  <si>
    <t xml:space="preserve"> plot sizes of total is: 145576077.6404728.
</t>
  </si>
  <si>
    <t xml:space="preserve"> 145576077.6404728.
</t>
  </si>
  <si>
    <t>predicted stdevs of gold is: 0.00879432230955414</t>
  </si>
  <si>
    <t xml:space="preserve"> predicted stdevs of tb is: 0.003092572134103491</t>
  </si>
  <si>
    <t xml:space="preserve"> predicted stdevs of reit is: 0.011020060546617309</t>
  </si>
  <si>
    <t xml:space="preserve"> predicted stdevs of GTBCPS is: 0.008037919785747345.
</t>
  </si>
  <si>
    <t xml:space="preserve"> 0.008037919785747345.
</t>
  </si>
  <si>
    <t>total_value_of_collaterals is: 145576886.39888394</t>
  </si>
  <si>
    <t xml:space="preserve"> createdtionValue_gold is: -1676.6016392228623</t>
  </si>
  <si>
    <t xml:space="preserve"> createdValue_tb is: -792.0011286793242</t>
  </si>
  <si>
    <t xml:space="preserve"> createdValue_reit is: -888.1345448128385
</t>
  </si>
  <si>
    <t xml:space="preserve"> -888.1345448128385
</t>
  </si>
  <si>
    <t>plotValue_gold_after_creation is: 72713486.80042861</t>
  </si>
  <si>
    <t xml:space="preserve"> plotValue_tb_after_creation  is: 34348745.861206666</t>
  </si>
  <si>
    <t xml:space="preserve"> plotValue_reit_after_creation  is: 38518010.474561386</t>
  </si>
  <si>
    <t xml:space="preserve">total_value_after_creation is: 145580243.13619667
</t>
  </si>
  <si>
    <t xml:space="preserve"> 145580243.13619667
</t>
  </si>
  <si>
    <t>total_amount_gtncps_before_creation is: 103025527.7271239</t>
  </si>
  <si>
    <t>creation_amount_gtbcps is: -2375.5258655548096</t>
  </si>
  <si>
    <t xml:space="preserve">total_amount_gtbcps_new is: 103023152.20125835
</t>
  </si>
  <si>
    <t xml:space="preserve"> 103023152.20125835
</t>
  </si>
  <si>
    <t>payout of tranche of gold is: 591.1345301787572</t>
  </si>
  <si>
    <t xml:space="preserve"> payout of tranche of Treausry Bill Option is: 99.88218968845767</t>
  </si>
  <si>
    <t xml:space="preserve"> payout of tranche of Collar of REIT is: 117.74169128882801
</t>
  </si>
  <si>
    <t xml:space="preserve"> 117.74169128882801
</t>
  </si>
  <si>
    <t>Collateral size of tranche of gold is: 72713486.80042861</t>
  </si>
  <si>
    <t xml:space="preserve"> collateral size of tranche of Treausry Bill Option is: 34348745.861206666</t>
  </si>
  <si>
    <t xml:space="preserve"> collateral size of tranche of Collar of REIT is: 38518010.474561386
</t>
  </si>
  <si>
    <t xml:space="preserve"> 38518010.474561386
</t>
  </si>
  <si>
    <t>Collateral ratio of tranche of gold is: 0.7059850488544326</t>
  </si>
  <si>
    <t xml:space="preserve"> collateral ratio of tranche of Treausry Bill Option is: 0.33349660553988913</t>
  </si>
  <si>
    <t xml:space="preserve"> collateral ratio of tranche of Collar of REIT is: 0.37397655790175194
</t>
  </si>
  <si>
    <t xml:space="preserve"> 0.37397655790175194
</t>
  </si>
  <si>
    <t xml:space="preserve">date is: 2022-09-21 00:00:00
</t>
  </si>
  <si>
    <t xml:space="preserve"> 2022-09-21 00</t>
  </si>
  <si>
    <t>current price of gold is: 1673.89</t>
  </si>
  <si>
    <t xml:space="preserve"> predicted price of gold is: 1670.6457080609262
</t>
  </si>
  <si>
    <t xml:space="preserve"> 1670.6457080609262
</t>
  </si>
  <si>
    <t>current price of tb is: 89.01953125</t>
  </si>
  <si>
    <t xml:space="preserve"> current price of tb option is: 4.247823971767326</t>
  </si>
  <si>
    <t xml:space="preserve"> predicted price of tb is: 89.28029455933007
</t>
  </si>
  <si>
    <t xml:space="preserve"> 89.28029455933007
</t>
  </si>
  <si>
    <t xml:space="preserve"> current price of reit option is: 5.373476653390895</t>
  </si>
  <si>
    <t xml:space="preserve"> predicted price of reit is: 62.57748144829862
</t>
  </si>
  <si>
    <t xml:space="preserve"> 62.57748144829862
</t>
  </si>
  <si>
    <t>value_ratio_gold_to_total is: -0.45278118416321966</t>
  </si>
  <si>
    <t xml:space="preserve"> risk_ratio_to_gold is: 0.5401060572237574</t>
  </si>
  <si>
    <t xml:space="preserve"> risk_ratio_to_gold_before is: 0.5385556062611666
</t>
  </si>
  <si>
    <t xml:space="preserve"> 0.5385556062611666
</t>
  </si>
  <si>
    <t>value_ratio_tb_to_total is: 0.6292292821900652</t>
  </si>
  <si>
    <t xml:space="preserve"> risk_ratio_tb_to_gold is: 0.4102850883068361</t>
  </si>
  <si>
    <t xml:space="preserve"> risk_ratio_tb_to_gold_before is: 0.4094182962784807
</t>
  </si>
  <si>
    <t xml:space="preserve"> 0.4094182962784807
</t>
  </si>
  <si>
    <t>value_ratio_reit_to_total is: 0.8235519019731544</t>
  </si>
  <si>
    <t xml:space="preserve"> risk_ratio_reit_to_gold is: 0.44120312706364223</t>
  </si>
  <si>
    <t xml:space="preserve"> risk_ratio_reit_to_gold_before is: 0.44740017961175277
</t>
  </si>
  <si>
    <t xml:space="preserve"> 0.44740017961175277
</t>
  </si>
  <si>
    <t>delta_gold is: 1.0054057625428707</t>
  </si>
  <si>
    <t xml:space="preserve"> delta_tb is: 0.99833682087105</t>
  </si>
  <si>
    <t xml:space="preserve"> delta_reit is: 0.9880097170849615
</t>
  </si>
  <si>
    <t xml:space="preserve"> 0.9880097170849615
</t>
  </si>
  <si>
    <t>delta_gold_risk is: 1.0010077315088783</t>
  </si>
  <si>
    <t xml:space="preserve"> delta_tb_risk is: 1.0006149998411715</t>
  </si>
  <si>
    <t xml:space="preserve"> delta_reit_risk is: 0.9957184940036605
</t>
  </si>
  <si>
    <t xml:space="preserve"> 0.9957184940036605
</t>
  </si>
  <si>
    <t xml:space="preserve">collateral_ratio_tranche_gold is: 0.7090868672087385
</t>
  </si>
  <si>
    <t xml:space="preserve"> 0.7090868672087385
</t>
  </si>
  <si>
    <t xml:space="preserve">collateral_ratio_tranche_tb is: 0.33094827974043317
</t>
  </si>
  <si>
    <t xml:space="preserve"> 0.33094827974043317
</t>
  </si>
  <si>
    <t xml:space="preserve">collateral_ratio_tranche_reit is: 0.3690860681655298
</t>
  </si>
  <si>
    <t xml:space="preserve"> 0.3690860681655298
</t>
  </si>
  <si>
    <t>Total plot size is: 145454345.01936758</t>
  </si>
  <si>
    <t xml:space="preserve"> plot size of gold is: 73106558.6437359</t>
  </si>
  <si>
    <t xml:space="preserve"> plot size of TB is: 34291617.7439847</t>
  </si>
  <si>
    <t xml:space="preserve"> plot size of REIT is: 38056168.63164698
</t>
  </si>
  <si>
    <t xml:space="preserve"> 38056168.63164698
</t>
  </si>
  <si>
    <t xml:space="preserve">collateral ratio is: 1.4122684140835406
</t>
  </si>
  <si>
    <t xml:space="preserve"> 1.4122684140835406
</t>
  </si>
  <si>
    <t>S_gtbcps_0 is: 0.999711341517583</t>
  </si>
  <si>
    <t xml:space="preserve">stdev_gtbcps is: 0.008039112288785436
</t>
  </si>
  <si>
    <t xml:space="preserve"> 0.008039112288785436
</t>
  </si>
  <si>
    <t>predicted price of GTBCPS is: 0.9996985160487202</t>
  </si>
  <si>
    <t xml:space="preserve"> actual price is: 0.999711341517583
</t>
  </si>
  <si>
    <t xml:space="preserve"> 0.999711341517583
</t>
  </si>
  <si>
    <t>predicted amount of GTBCPS is: 103024473.91996604</t>
  </si>
  <si>
    <t xml:space="preserve"> actual amount is: 103023152.20125835
</t>
  </si>
  <si>
    <t>plot sizes of gold is: 73106558.6437359</t>
  </si>
  <si>
    <t xml:space="preserve"> plot sizes of tb is: 34291617.7439847 </t>
  </si>
  <si>
    <t xml:space="preserve"> plot sizes of reit is: 38056168.63164698</t>
  </si>
  <si>
    <t xml:space="preserve"> plot sizes of total is: 145454345.01936758.
</t>
  </si>
  <si>
    <t xml:space="preserve"> 145454345.01936758.
</t>
  </si>
  <si>
    <t>predicted stdevs of gold is: 0.008764453439257221</t>
  </si>
  <si>
    <t xml:space="preserve"> predicted stdevs of tb is: 0.003092066624877671</t>
  </si>
  <si>
    <t xml:space="preserve"> predicted stdevs of reit is: 0.011103398781832616</t>
  </si>
  <si>
    <t xml:space="preserve"> predicted stdevs of GTBCPS is: 0.008039112288785436.
</t>
  </si>
  <si>
    <t xml:space="preserve"> 0.008039112288785436.
</t>
  </si>
  <si>
    <t>total_value_of_collaterals is: 145453894.14456284</t>
  </si>
  <si>
    <t xml:space="preserve"> createdtionValue_gold is: 937.8923633535505</t>
  </si>
  <si>
    <t xml:space="preserve"> createdValue_tb is: 439.9323633121684</t>
  </si>
  <si>
    <t xml:space="preserve"> createdValue_reit is: 488.2283157151849
</t>
  </si>
  <si>
    <t xml:space="preserve"> 488.2283157151849
</t>
  </si>
  <si>
    <t>plotValue_gold_after_creation is: 73105288.69386612</t>
  </si>
  <si>
    <t xml:space="preserve"> plotValue_tb_after_creation  is: 34291123.035391666</t>
  </si>
  <si>
    <t xml:space="preserve"> plotValue_reit_after_creation  is: 38055616.36226269</t>
  </si>
  <si>
    <t xml:space="preserve">total_value_after_creation is: 145452028.0915205
</t>
  </si>
  <si>
    <t xml:space="preserve"> 145452028.0915205
</t>
  </si>
  <si>
    <t>total_amount_gtncps_before_creation is: 103023152.20125835</t>
  </si>
  <si>
    <t>creation_amount_gtbcps is: 1321.7187076956034</t>
  </si>
  <si>
    <t xml:space="preserve">total_amount_gtbcps_new is: 103024473.91996604
</t>
  </si>
  <si>
    <t xml:space="preserve"> 103024473.91996604
</t>
  </si>
  <si>
    <t>payout of tranche of gold is: -332.05750642315957</t>
  </si>
  <si>
    <t xml:space="preserve"> payout of tranche of Treausry Bill Option is: -54.776229724640324</t>
  </si>
  <si>
    <t xml:space="preserve"> payout of tranche of Collar of REIT is: -64.04106857300313
</t>
  </si>
  <si>
    <t xml:space="preserve"> -64.04106857300313
</t>
  </si>
  <si>
    <t>Collateral size of tranche of gold is: 73105288.69386612</t>
  </si>
  <si>
    <t xml:space="preserve"> collateral size of tranche of Treausry Bill Option is: 34291123.035391666</t>
  </si>
  <si>
    <t xml:space="preserve"> collateral size of tranche of Collar of REIT is: 38055616.36226269
</t>
  </si>
  <si>
    <t xml:space="preserve"> 38055616.36226269
</t>
  </si>
  <si>
    <t>Collateral ratio of tranche of gold is: 0.7098145790475966</t>
  </si>
  <si>
    <t xml:space="preserve"> collateral ratio of tranche of Treausry Bill Option is: 0.3329490861374321</t>
  </si>
  <si>
    <t xml:space="preserve"> collateral ratio of tranche of Collar of REIT is: 0.3695003711932922
</t>
  </si>
  <si>
    <t xml:space="preserve"> 0.3695003711932922
</t>
  </si>
  <si>
    <t xml:space="preserve">date is: 2022-09-22 00:00:00
</t>
  </si>
  <si>
    <t xml:space="preserve"> 2022-09-22 00</t>
  </si>
  <si>
    <t>current price of gold is: 1671.22</t>
  </si>
  <si>
    <t xml:space="preserve"> predicted price of gold is: 1683.857353677135
</t>
  </si>
  <si>
    <t xml:space="preserve"> 1683.857353677135
</t>
  </si>
  <si>
    <t>current price of tb is: 88.63671875</t>
  </si>
  <si>
    <t xml:space="preserve"> current price of tb option is: 4.235294289696136</t>
  </si>
  <si>
    <t xml:space="preserve"> predicted price of tb is: 88.91043706502946
</t>
  </si>
  <si>
    <t xml:space="preserve"> 88.91043706502946
</t>
  </si>
  <si>
    <t>current price of reit is: 61.35</t>
  </si>
  <si>
    <t xml:space="preserve"> current price of reit option is: 5.284866816515596</t>
  </si>
  <si>
    <t xml:space="preserve"> predicted price of reit is: 61.909983441596786
</t>
  </si>
  <si>
    <t xml:space="preserve"> 61.909983441596786
</t>
  </si>
  <si>
    <t>value_ratio_gold_to_total is: 0.5496600693209713</t>
  </si>
  <si>
    <t xml:space="preserve"> risk_ratio_to_gold is: 0.533235608107248</t>
  </si>
  <si>
    <t xml:space="preserve"> risk_ratio_to_gold_before is: 0.5401060572237574
</t>
  </si>
  <si>
    <t xml:space="preserve"> 0.5401060572237574
</t>
  </si>
  <si>
    <t>value_ratio_tb_to_total is: 0.19611892206252485</t>
  </si>
  <si>
    <t xml:space="preserve"> risk_ratio_tb_to_gold is: 0.41822858428913895</t>
  </si>
  <si>
    <t xml:space="preserve"> risk_ratio_tb_to_gold_before is: 0.4102850883068361
</t>
  </si>
  <si>
    <t xml:space="preserve"> 0.4102850883068361
</t>
  </si>
  <si>
    <t>value_ratio_reit_to_total is: 0.25422100861650376</t>
  </si>
  <si>
    <t xml:space="preserve"> risk_ratio_reit_to_gold is: 0.4571150439234639</t>
  </si>
  <si>
    <t xml:space="preserve"> risk_ratio_reit_to_gold_before is: 0.44120312706364223
</t>
  </si>
  <si>
    <t xml:space="preserve"> 0.44120312706364223
</t>
  </si>
  <si>
    <t>delta_gold is: 0.998404913106596</t>
  </si>
  <si>
    <t xml:space="preserve"> delta_tb is: 0.9957611944593994</t>
  </si>
  <si>
    <t xml:space="preserve"> delta_reit is: 0.9883036313756206
</t>
  </si>
  <si>
    <t xml:space="preserve"> 0.9883036313756206
</t>
  </si>
  <si>
    <t>delta_gold_risk is: 0.9955389766280808</t>
  </si>
  <si>
    <t xml:space="preserve"> delta_tb_risk is: 1.0056325462476807</t>
  </si>
  <si>
    <t xml:space="preserve"> delta_reit_risk is: 1.011040717689977
</t>
  </si>
  <si>
    <t xml:space="preserve"> 1.011040717689977
</t>
  </si>
  <si>
    <t xml:space="preserve">collateral_ratio_tranche_gold is: 0.7118579781940213
</t>
  </si>
  <si>
    <t xml:space="preserve"> 0.7118579781940213
</t>
  </si>
  <si>
    <t xml:space="preserve">collateral_ratio_tranche_tb is: 0.3302075468743085
</t>
  </si>
  <si>
    <t xml:space="preserve"> 0.3302075468743085
</t>
  </si>
  <si>
    <t xml:space="preserve">collateral_ratio_tranche_reit is: 0.36176780458686236
</t>
  </si>
  <si>
    <t xml:space="preserve"> 0.36176780458686236
</t>
  </si>
  <si>
    <t>Total plot size is: 144744952.88416955</t>
  </si>
  <si>
    <t xml:space="preserve"> plot size of gold is: 72988679.40603201</t>
  </si>
  <si>
    <t xml:space="preserve"> plot size of TB is: 34145769.63307583</t>
  </si>
  <si>
    <t xml:space="preserve"> plot size of REIT is: 37610503.8450617
</t>
  </si>
  <si>
    <t xml:space="preserve"> 37610503.8450617
</t>
  </si>
  <si>
    <t xml:space="preserve">collateral ratio is: 1.4053806713653285
</t>
  </si>
  <si>
    <t xml:space="preserve"> 1.4053806713653285
</t>
  </si>
  <si>
    <t>S_gtbcps_0 is: 0.9996985160487202</t>
  </si>
  <si>
    <t xml:space="preserve">stdev_gtbcps is: 0.007986961781393489
</t>
  </si>
  <si>
    <t xml:space="preserve"> 0.007986961781393489
</t>
  </si>
  <si>
    <t>predicted price of GTBCPS is: 0.9996975905348722</t>
  </si>
  <si>
    <t xml:space="preserve"> actual price is: 0.9996985160487202
</t>
  </si>
  <si>
    <t xml:space="preserve"> 0.9996985160487202
</t>
  </si>
  <si>
    <t>predicted amount of GTBCPS is: 103024569.29938698</t>
  </si>
  <si>
    <t xml:space="preserve"> actual amount is: 103024473.91996604
</t>
  </si>
  <si>
    <t>plot sizes of gold is: 72988679.40603201</t>
  </si>
  <si>
    <t xml:space="preserve"> plot sizes of tb is: 34145769.63307583 </t>
  </si>
  <si>
    <t xml:space="preserve"> plot sizes of reit is: 37610503.8450617</t>
  </si>
  <si>
    <t xml:space="preserve"> plot sizes of total is: 144744952.88416955.
</t>
  </si>
  <si>
    <t xml:space="preserve"> 144744952.88416955.
</t>
  </si>
  <si>
    <t>predicted stdevs of gold is: 0.008638869813282568</t>
  </si>
  <si>
    <t xml:space="preserve"> predicted stdevs of tb is: 0.0031084586167649145</t>
  </si>
  <si>
    <t xml:space="preserve"> predicted stdevs of reit is: 0.011150927341708474</t>
  </si>
  <si>
    <t xml:space="preserve"> predicted stdevs of GTBCPS is: 0.007986961781393489.
</t>
  </si>
  <si>
    <t xml:space="preserve"> 0.007986961781393489.
</t>
  </si>
  <si>
    <t>total_value_of_collaterals is: 144744920.3766228</t>
  </si>
  <si>
    <t xml:space="preserve"> createdtionValue_gold is: 67.57238327710995</t>
  </si>
  <si>
    <t xml:space="preserve"> createdValue_tb is: 31.611909467430355</t>
  </si>
  <si>
    <t xml:space="preserve"> createdValue_reit is: 34.81953549614167
</t>
  </si>
  <si>
    <t xml:space="preserve"> 34.81953549614167
</t>
  </si>
  <si>
    <t>plotValue_gold_after_creation is: 72988587.79302065</t>
  </si>
  <si>
    <t xml:space="preserve"> plotValue_tb_after_creation  is: 34145734.064261705</t>
  </si>
  <si>
    <t xml:space="preserve"> plotValue_reit_after_creation  is: 37610464.51551222</t>
  </si>
  <si>
    <t xml:space="preserve">total_value_after_creation is: 144744786.37279457
</t>
  </si>
  <si>
    <t xml:space="preserve"> 144744786.37279457
</t>
  </si>
  <si>
    <t>total_amount_gtncps_before_creation is: 103024473.91996604</t>
  </si>
  <si>
    <t>creation_amount_gtbcps is: 95.37942093610764</t>
  </si>
  <si>
    <t xml:space="preserve">total_amount_gtbcps_new is: 103024569.29938698
</t>
  </si>
  <si>
    <t xml:space="preserve"> 103024569.29938698
</t>
  </si>
  <si>
    <t>payout of tranche of gold is: -24.04062809051626</t>
  </si>
  <si>
    <t xml:space="preserve"> payout of tranche of Treausry Bill Option is: -3.956904668028544</t>
  </si>
  <si>
    <t xml:space="preserve"> payout of tranche of Collar of REIT is: -4.510013982666603
</t>
  </si>
  <si>
    <t xml:space="preserve"> -4.510013982666603
</t>
  </si>
  <si>
    <t>Collateral size of tranche of gold is: 72988587.79302065</t>
  </si>
  <si>
    <t xml:space="preserve"> collateral size of tranche of Treausry Bill Option is: 34145734.064261705</t>
  </si>
  <si>
    <t xml:space="preserve"> collateral size of tranche of Collar of REIT is: 37610464.51551222
</t>
  </si>
  <si>
    <t xml:space="preserve"> 37610464.51551222
</t>
  </si>
  <si>
    <t>Collateral ratio of tranche of gold is: 0.7086730378887192</t>
  </si>
  <si>
    <t xml:space="preserve"> collateral ratio of tranche of Treausry Bill Option is: 0.33153348793213056</t>
  </si>
  <si>
    <t xml:space="preserve"> collateral ratio of tranche of Collar of REIT is: 0.3651738299170462
</t>
  </si>
  <si>
    <t xml:space="preserve"> 0.3651738299170462
</t>
  </si>
  <si>
    <t xml:space="preserve">date is: 2022-09-23 00:00:00
</t>
  </si>
  <si>
    <t xml:space="preserve"> 2022-09-23 00</t>
  </si>
  <si>
    <t>current price of gold is: 1643.94</t>
  </si>
  <si>
    <t xml:space="preserve"> predicted price of gold is: 1652.2514998650793
</t>
  </si>
  <si>
    <t xml:space="preserve"> 1652.2514998650793
</t>
  </si>
  <si>
    <t>current price of tb is: 88.4375</t>
  </si>
  <si>
    <t xml:space="preserve"> current price of tb option is: 4.236603032746803</t>
  </si>
  <si>
    <t xml:space="preserve"> predicted price of tb is: 88.70986385731644
</t>
  </si>
  <si>
    <t xml:space="preserve"> 88.70986385731644
</t>
  </si>
  <si>
    <t>current price of reit is: 60.95</t>
  </si>
  <si>
    <t xml:space="preserve"> current price of reit option is: 5.3138296035538275</t>
  </si>
  <si>
    <t xml:space="preserve"> predicted price of reit is: 61.473898216967484
</t>
  </si>
  <si>
    <t xml:space="preserve"> 61.473898216967484
</t>
  </si>
  <si>
    <t>value_ratio_gold_to_total is: 0.4454610992169662</t>
  </si>
  <si>
    <t xml:space="preserve"> risk_ratio_to_gold is: 0.5368990739126174</t>
  </si>
  <si>
    <t xml:space="preserve"> risk_ratio_to_gold_before is: 0.533235608107248
</t>
  </si>
  <si>
    <t xml:space="preserve"> 0.533235608107248
</t>
  </si>
  <si>
    <t>value_ratio_tb_to_total is: 0.24166147864833434</t>
  </si>
  <si>
    <t xml:space="preserve"> risk_ratio_tb_to_gold is: 0.41286642713342664</t>
  </si>
  <si>
    <t xml:space="preserve"> risk_ratio_tb_to_gold_before is: 0.41822858428913895
</t>
  </si>
  <si>
    <t xml:space="preserve"> 0.41822858428913895
</t>
  </si>
  <si>
    <t>value_ratio_reit_to_total is: 0.31287742213469943</t>
  </si>
  <si>
    <t xml:space="preserve"> risk_ratio_reit_to_gold is: 0.44968102096061535</t>
  </si>
  <si>
    <t xml:space="preserve"> risk_ratio_reit_to_gold_before is: 0.4571150439234639
</t>
  </si>
  <si>
    <t xml:space="preserve"> 0.4571150439234639
</t>
  </si>
  <si>
    <t>delta_gold is: 0.9836765955409821</t>
  </si>
  <si>
    <t xml:space="preserve"> delta_tb is: 0.9978690027224375</t>
  </si>
  <si>
    <t xml:space="preserve"> delta_reit is: 0.9944317857799064
</t>
  </si>
  <si>
    <t xml:space="preserve"> 0.9944317857799064
</t>
  </si>
  <si>
    <t>delta_gold_risk is: 1.0023893691132648</t>
  </si>
  <si>
    <t xml:space="preserve"> delta_tb_risk is: 0.996219116427977</t>
  </si>
  <si>
    <t xml:space="preserve"> delta_reit_risk is: 0.9948981221531888
</t>
  </si>
  <si>
    <t xml:space="preserve"> 0.9948981221531888
</t>
  </si>
  <si>
    <t xml:space="preserve">collateral_ratio_tranche_gold is: 0.6954434102575676
</t>
  </si>
  <si>
    <t xml:space="preserve"> 0.6954434102575676
</t>
  </si>
  <si>
    <t xml:space="preserve">collateral_ratio_tranche_tb is: 0.33759322724512675
</t>
  </si>
  <si>
    <t xml:space="preserve"> 0.33759322724512675
</t>
  </si>
  <si>
    <t xml:space="preserve">collateral_ratio_tranche_reit is: 0.37105961904394574
</t>
  </si>
  <si>
    <t xml:space="preserve"> 0.37105961904394574
</t>
  </si>
  <si>
    <t>Total plot size is: 143271176.54368564</t>
  </si>
  <si>
    <t xml:space="preserve"> plot size of gold is: 71797165.55358264</t>
  </si>
  <si>
    <t xml:space="preserve"> plot size of TB is: 34072969.59793039</t>
  </si>
  <si>
    <t xml:space="preserve"> plot size of REIT is: 37401041.39217262
</t>
  </si>
  <si>
    <t xml:space="preserve"> 37401041.39217262
</t>
  </si>
  <si>
    <t xml:space="preserve">collateral ratio is: 1.391071248193323
</t>
  </si>
  <si>
    <t xml:space="preserve"> 1.391071248193323
</t>
  </si>
  <si>
    <t>S_gtbcps_0 is: 0.9996975905348722</t>
  </si>
  <si>
    <t xml:space="preserve">stdev_gtbcps is: 0.007964222543918585
</t>
  </si>
  <si>
    <t xml:space="preserve"> 0.007964222543918585
</t>
  </si>
  <si>
    <t>predicted price of GTBCPS is: 0.9997219683558634</t>
  </si>
  <si>
    <t xml:space="preserve"> actual price is: 0.9996975905348722
</t>
  </si>
  <si>
    <t xml:space="preserve"> 0.9996975905348722
</t>
  </si>
  <si>
    <t>predicted amount of GTBCPS is: 103022057.08640419</t>
  </si>
  <si>
    <t xml:space="preserve"> actual amount is: 103024569.29938698
</t>
  </si>
  <si>
    <t>plot sizes of gold is: 71797165.55358264</t>
  </si>
  <si>
    <t xml:space="preserve"> plot sizes of tb is: 34072969.59793039 </t>
  </si>
  <si>
    <t xml:space="preserve"> plot sizes of reit is: 37401041.39217262</t>
  </si>
  <si>
    <t xml:space="preserve"> plot sizes of total is: 143271176.54368564.
</t>
  </si>
  <si>
    <t xml:space="preserve"> 143271176.54368564.
</t>
  </si>
  <si>
    <t>predicted stdevs of gold is: 0.008622210134574931</t>
  </si>
  <si>
    <t xml:space="preserve"> predicted stdevs of tb is: 0.003064753220255556</t>
  </si>
  <si>
    <t xml:space="preserve"> predicted stdevs of reit is: 0.011164610043226476</t>
  </si>
  <si>
    <t xml:space="preserve"> predicted stdevs of GTBCPS is: 0.007964222543918585.
</t>
  </si>
  <si>
    <t xml:space="preserve"> 0.007964222543918585.
</t>
  </si>
  <si>
    <t>total_value_of_collaterals is: 143272030.67241448</t>
  </si>
  <si>
    <t xml:space="preserve"> createdtionValue_gold is: -1750.8031051190244</t>
  </si>
  <si>
    <t xml:space="preserve"> createdValue_tb is: -830.8784693275206</t>
  </si>
  <si>
    <t xml:space="preserve"> createdValue_reit is: -912.034875263502
</t>
  </si>
  <si>
    <t xml:space="preserve"> -912.034875263502
</t>
  </si>
  <si>
    <t>plotValue_gold_after_creation is: 71799539.71605177</t>
  </si>
  <si>
    <t xml:space="preserve"> plotValue_tb_after_creation  is: 34073900.99050458</t>
  </si>
  <si>
    <t xml:space="preserve"> plotValue_reit_after_creation  is: 37402083.68230783</t>
  </si>
  <si>
    <t xml:space="preserve">total_value_after_creation is: 143275524.3888642
</t>
  </si>
  <si>
    <t xml:space="preserve"> 143275524.3888642
</t>
  </si>
  <si>
    <t>total_amount_gtncps_before_creation is: 103024569.29938698</t>
  </si>
  <si>
    <t>creation_amount_gtbcps is: -2512.212982788682</t>
  </si>
  <si>
    <t xml:space="preserve">total_amount_gtbcps_new is: 103022057.08640419
</t>
  </si>
  <si>
    <t xml:space="preserve"> 103022057.08640419
</t>
  </si>
  <si>
    <t>payout of tranche of gold is: 623.3593640168663</t>
  </si>
  <si>
    <t xml:space="preserve"> payout of tranche of Treausry Bill Option is: 100.51410486464215</t>
  </si>
  <si>
    <t xml:space="preserve"> payout of tranche of Collar of REIT is: 130.25525994567627
</t>
  </si>
  <si>
    <t xml:space="preserve"> 130.25525994567627
</t>
  </si>
  <si>
    <t>Collateral size of tranche of gold is: 71799539.71605177</t>
  </si>
  <si>
    <t xml:space="preserve"> collateral size of tranche of Treausry Bill Option is: 34073900.99050458</t>
  </si>
  <si>
    <t xml:space="preserve"> collateral size of tranche of Collar of REIT is: 37402083.68230783
</t>
  </si>
  <si>
    <t xml:space="preserve"> 37402083.68230783
</t>
  </si>
  <si>
    <t>Collateral ratio of tranche of gold is: 0.6971104883067649</t>
  </si>
  <si>
    <t xml:space="preserve"> collateral ratio of tranche of Treausry Bill Option is: 0.3308276606221284</t>
  </si>
  <si>
    <t xml:space="preserve"> collateral ratio of tranche of Collar of REIT is: 0.3631413923066561
</t>
  </si>
  <si>
    <t xml:space="preserve"> 0.3631413923066561
</t>
  </si>
  <si>
    <t xml:space="preserve">date is: 2022-09-26 00:00:00
</t>
  </si>
  <si>
    <t xml:space="preserve"> 2022-09-26 00</t>
  </si>
  <si>
    <t>current price of gold is: 1622.36</t>
  </si>
  <si>
    <t xml:space="preserve"> predicted price of gold is: 1625.490127502847
</t>
  </si>
  <si>
    <t xml:space="preserve"> 1625.490127502847
</t>
  </si>
  <si>
    <t>current price of tb is: 87.93359375</t>
  </si>
  <si>
    <t xml:space="preserve"> current price of tb option is: 4.22459478004937</t>
  </si>
  <si>
    <t xml:space="preserve"> predicted price of tb is: 88.21837251402658
</t>
  </si>
  <si>
    <t xml:space="preserve"> 88.21837251402658
</t>
  </si>
  <si>
    <t>current price of reit is: 59.15</t>
  </si>
  <si>
    <t xml:space="preserve"> current price of reit option is: 5.263918270343986</t>
  </si>
  <si>
    <t xml:space="preserve"> predicted price of reit is: 59.64623619771428
</t>
  </si>
  <si>
    <t xml:space="preserve"> 59.64623619771428
</t>
  </si>
  <si>
    <t>value_ratio_gold_to_total is: 0.23359760997940843</t>
  </si>
  <si>
    <t xml:space="preserve"> risk_ratio_to_gold is: 0.5361980149224707</t>
  </si>
  <si>
    <t xml:space="preserve"> risk_ratio_to_gold_before is: 0.5368990739126174
</t>
  </si>
  <si>
    <t xml:space="preserve"> 0.5368990739126174
</t>
  </si>
  <si>
    <t>value_ratio_tb_to_total is: 0.33652906517143916</t>
  </si>
  <si>
    <t xml:space="preserve"> risk_ratio_tb_to_gold is: 0.4119721241682936</t>
  </si>
  <si>
    <t xml:space="preserve"> risk_ratio_tb_to_gold_before is: 0.41286642713342664
</t>
  </si>
  <si>
    <t xml:space="preserve"> 0.41286642713342664
</t>
  </si>
  <si>
    <t>value_ratio_reit_to_total is: 0.4298733248491524</t>
  </si>
  <si>
    <t xml:space="preserve"> risk_ratio_reit_to_gold is: 0.453010535539223</t>
  </si>
  <si>
    <t xml:space="preserve"> risk_ratio_reit_to_gold_before is: 0.44968102096061535
</t>
  </si>
  <si>
    <t xml:space="preserve"> 0.44968102096061535
</t>
  </si>
  <si>
    <t>delta_gold is: 0.9868730002311519</t>
  </si>
  <si>
    <t xml:space="preserve"> delta_tb is: 0.9944330240507953</t>
  </si>
  <si>
    <t xml:space="preserve"> delta_reit is: 0.9720826377787463
</t>
  </si>
  <si>
    <t xml:space="preserve"> 0.9720826377787463
</t>
  </si>
  <si>
    <t>delta_gold_risk is: 0.9995438483879348</t>
  </si>
  <si>
    <t xml:space="preserve"> delta_tb_risk is: 0.9993670293610505</t>
  </si>
  <si>
    <t xml:space="preserve"> delta_reit_risk is: 1.0022967221964467
</t>
  </si>
  <si>
    <t xml:space="preserve"> 1.0022967221964467
</t>
  </si>
  <si>
    <t xml:space="preserve">collateral_ratio_tranche_gold is: 0.688273476143585
</t>
  </si>
  <si>
    <t xml:space="preserve"> 0.688273476143585
</t>
  </si>
  <si>
    <t xml:space="preserve">collateral_ratio_tranche_tb is: 0.3335731358086799
</t>
  </si>
  <si>
    <t xml:space="preserve"> 0.3335731358086799
</t>
  </si>
  <si>
    <t xml:space="preserve">collateral_ratio_tranche_reit is: 0.3568793040222473
</t>
  </si>
  <si>
    <t xml:space="preserve"> 0.3568793040222473
</t>
  </si>
  <si>
    <t>Total plot size is: 141099155.7423098</t>
  </si>
  <si>
    <t xml:space="preserve"> plot size of gold is: 70857027.17479576</t>
  </si>
  <si>
    <t xml:space="preserve"> plot size of TB is: 33884212.40319485</t>
  </si>
  <si>
    <t xml:space="preserve"> plot size of REIT is: 36357916.1643192
</t>
  </si>
  <si>
    <t xml:space="preserve"> 36357916.1643192
</t>
  </si>
  <si>
    <t xml:space="preserve">collateral ratio is: 1.3699823190719063
</t>
  </si>
  <si>
    <t xml:space="preserve"> 1.3699823190719063
</t>
  </si>
  <si>
    <t>S_gtbcps_0 is: 0.9997219683558634</t>
  </si>
  <si>
    <t xml:space="preserve">stdev_gtbcps is: 0.008076860913042105
</t>
  </si>
  <si>
    <t xml:space="preserve"> 0.008076860913042105
</t>
  </si>
  <si>
    <t>predicted price of GTBCPS is: 0.9997179825577232</t>
  </si>
  <si>
    <t xml:space="preserve"> actual price is: 0.9997219683558634
</t>
  </si>
  <si>
    <t xml:space="preserve"> 0.9997219683558634
</t>
  </si>
  <si>
    <t>predicted amount of GTBCPS is: 103022467.82736385</t>
  </si>
  <si>
    <t xml:space="preserve"> actual amount is: 103022057.08640419
</t>
  </si>
  <si>
    <t>plot sizes of gold is: 70857027.17479576</t>
  </si>
  <si>
    <t xml:space="preserve"> plot sizes of tb is: 33884212.40319485 </t>
  </si>
  <si>
    <t xml:space="preserve"> plot sizes of reit is: 36357916.1643192</t>
  </si>
  <si>
    <t xml:space="preserve"> plot sizes of total is: 141099155.7423098.
</t>
  </si>
  <si>
    <t xml:space="preserve"> 141099155.7423098.
</t>
  </si>
  <si>
    <t>predicted stdevs of gold is: 0.008708377686854252</t>
  </si>
  <si>
    <t xml:space="preserve"> predicted stdevs of tb is: 0.003097318255833933</t>
  </si>
  <si>
    <t xml:space="preserve"> predicted stdevs of reit is: 0.011486860520938664</t>
  </si>
  <si>
    <t xml:space="preserve"> predicted stdevs of GTBCPS is: 0.008076860913042105.
</t>
  </si>
  <si>
    <t xml:space="preserve"> 0.008076860913042105.
</t>
  </si>
  <si>
    <t>total_value_of_collaterals is: 141099015.5943595</t>
  </si>
  <si>
    <t xml:space="preserve"> createdtionValue_gold is: 282.4999646063784</t>
  </si>
  <si>
    <t xml:space="preserve"> createdValue_tb is: 135.09309584453422</t>
  </si>
  <si>
    <t xml:space="preserve"> createdValue_reit is: 144.95553981475493
</t>
  </si>
  <si>
    <t xml:space="preserve"> 144.95553981475493
</t>
  </si>
  <si>
    <t>plotValue_gold_after_creation is: 70856647.71473506</t>
  </si>
  <si>
    <t xml:space="preserve"> plotValue_tb_after_creation  is: 33884053.45213617</t>
  </si>
  <si>
    <t xml:space="preserve"> plotValue_reit_after_creation  is: 36357751.87888798</t>
  </si>
  <si>
    <t xml:space="preserve">total_value_after_creation is: 141098453.0457592
</t>
  </si>
  <si>
    <t xml:space="preserve"> 141098453.0457592
</t>
  </si>
  <si>
    <t>total_amount_gtncps_before_creation is: 103022057.08640419</t>
  </si>
  <si>
    <t>creation_amount_gtbcps is: 410.7409596592188</t>
  </si>
  <si>
    <t xml:space="preserve">total_amount_gtbcps_new is: 103022467.82736385
</t>
  </si>
  <si>
    <t xml:space="preserve"> 103022467.82736385
</t>
  </si>
  <si>
    <t>payout of tranche of gold is: -96.96009609724716</t>
  </si>
  <si>
    <t xml:space="preserve"> payout of tranche of Treausry Bill Option is: -23.857962840677743</t>
  </si>
  <si>
    <t xml:space="preserve"> payout of tranche of Collar of REIT is: -19.329891407057207
</t>
  </si>
  <si>
    <t xml:space="preserve"> -19.329891407057207
</t>
  </si>
  <si>
    <t>Collateral size of tranche of gold is: 70856647.71473506</t>
  </si>
  <si>
    <t xml:space="preserve"> collateral size of tranche of Treausry Bill Option is: 33884053.45213617</t>
  </si>
  <si>
    <t xml:space="preserve"> collateral size of tranche of Collar of REIT is: 36357751.87888798
</t>
  </si>
  <si>
    <t xml:space="preserve"> 36357751.87888798
</t>
  </si>
  <si>
    <t>Collateral ratio of tranche of gold is: 0.6879753536947804</t>
  </si>
  <si>
    <t xml:space="preserve"> collateral ratio of tranche of Treausry Bill Option is: 0.32899374173326124</t>
  </si>
  <si>
    <t xml:space="preserve"> collateral ratio of tranche of Collar of REIT is: 0.35301186289714026
</t>
  </si>
  <si>
    <t xml:space="preserve"> 0.35301186289714026
</t>
  </si>
  <si>
    <t xml:space="preserve">date is: 2022-09-27 00:00:00
</t>
  </si>
  <si>
    <t xml:space="preserve"> 2022-09-27 00</t>
  </si>
  <si>
    <t>current price of gold is: 1628.9</t>
  </si>
  <si>
    <t xml:space="preserve"> predicted price of gold is: 1633.8016196299004
</t>
  </si>
  <si>
    <t xml:space="preserve"> 1633.8016196299004
</t>
  </si>
  <si>
    <t>current price of tb is: 88.01953125</t>
  </si>
  <si>
    <t xml:space="preserve"> current price of tb option is: 4.217921424220878</t>
  </si>
  <si>
    <t xml:space="preserve"> predicted price of tb is: 88.31121142079635
</t>
  </si>
  <si>
    <t xml:space="preserve"> 88.31121142079635
</t>
  </si>
  <si>
    <t>current price of reit is: 56.65</t>
  </si>
  <si>
    <t xml:space="preserve"> current price of reit option is: 5.290306990168247</t>
  </si>
  <si>
    <t xml:space="preserve"> predicted price of reit is: 57.15641219315332
</t>
  </si>
  <si>
    <t xml:space="preserve"> 57.15641219315332
</t>
  </si>
  <si>
    <t>value_ratio_gold_to_total is: 0.3223066042029465</t>
  </si>
  <si>
    <t xml:space="preserve"> risk_ratio_to_gold is: 0.5383052898714692</t>
  </si>
  <si>
    <t xml:space="preserve"> risk_ratio_to_gold_before is: 0.5361980149224707
</t>
  </si>
  <si>
    <t xml:space="preserve"> 0.5361980149224707
</t>
  </si>
  <si>
    <t>value_ratio_tb_to_total is: 0.29652940989787724</t>
  </si>
  <si>
    <t xml:space="preserve"> risk_ratio_tb_to_gold is: 0.4112268150176922</t>
  </si>
  <si>
    <t xml:space="preserve"> risk_ratio_tb_to_gold_before is: 0.4119721241682936
</t>
  </si>
  <si>
    <t xml:space="preserve"> 0.4119721241682936
</t>
  </si>
  <si>
    <t>value_ratio_reit_to_total is: 0.38116398589917627</t>
  </si>
  <si>
    <t xml:space="preserve"> risk_ratio_reit_to_gold is: 0.4464550967442549</t>
  </si>
  <si>
    <t xml:space="preserve"> risk_ratio_reit_to_gold_before is: 0.453010535539223
</t>
  </si>
  <si>
    <t xml:space="preserve"> 0.453010535539223
</t>
  </si>
  <si>
    <t>delta_gold is: 1.004031164476442</t>
  </si>
  <si>
    <t xml:space="preserve"> delta_tb is: 1.0008600879144414</t>
  </si>
  <si>
    <t xml:space="preserve"> delta_reit is: 0.9615981864386197
</t>
  </si>
  <si>
    <t xml:space="preserve"> 0.9615981864386197
</t>
  </si>
  <si>
    <t>delta_gold_risk is: 1.0013717469548384</t>
  </si>
  <si>
    <t xml:space="preserve"> delta_tb_risk is: 0.9994721502373565</t>
  </si>
  <si>
    <t xml:space="preserve"> delta_reit_risk is: 0.9954883749053234
</t>
  </si>
  <si>
    <t xml:space="preserve"> 0.9954883749053234
</t>
  </si>
  <si>
    <t xml:space="preserve">collateral_ratio_tranche_gold is: 0.6898024610758414
</t>
  </si>
  <si>
    <t xml:space="preserve"> 0.6898024610758414
</t>
  </si>
  <si>
    <t xml:space="preserve">collateral_ratio_tranche_tb is: 0.3281278682920839
</t>
  </si>
  <si>
    <t xml:space="preserve"> 0.3281278682920839
</t>
  </si>
  <si>
    <t xml:space="preserve">collateral_ratio_tranche_reit is: 0.3396249203457501
</t>
  </si>
  <si>
    <t xml:space="preserve"> 0.3396249203457501
</t>
  </si>
  <si>
    <t>Total plot size is: 140017027.5026491</t>
  </si>
  <si>
    <t xml:space="preserve"> plot size of gold is: 71142282.51592246</t>
  </si>
  <si>
    <t xml:space="preserve"> plot size of TB is: 33913196.71700263</t>
  </si>
  <si>
    <t xml:space="preserve"> plot size of REIT is: 34961548.269724004
</t>
  </si>
  <si>
    <t xml:space="preserve"> 34961548.269724004
</t>
  </si>
  <si>
    <t xml:space="preserve">collateral ratio is: 1.3594755478052443
</t>
  </si>
  <si>
    <t xml:space="preserve"> 1.3594755478052443
</t>
  </si>
  <si>
    <t>S_gtbcps_0 is: 0.9997179825577232</t>
  </si>
  <si>
    <t xml:space="preserve">stdev_gtbcps is: 0.008238218568711824
</t>
  </si>
  <si>
    <t xml:space="preserve"> 0.008238218568711824
</t>
  </si>
  <si>
    <t>predicted price of GTBCPS is: 0.999718500971073</t>
  </si>
  <si>
    <t xml:space="preserve"> actual price is: 0.9997179825577232
</t>
  </si>
  <si>
    <t xml:space="preserve"> 0.9997179825577232
</t>
  </si>
  <si>
    <t>predicted amount of GTBCPS is: 103022414.4041026</t>
  </si>
  <si>
    <t xml:space="preserve"> actual amount is: 103022467.82736385
</t>
  </si>
  <si>
    <t>plot sizes of gold is: 71142282.51592246</t>
  </si>
  <si>
    <t xml:space="preserve"> plot sizes of tb is: 33913196.71700263 </t>
  </si>
  <si>
    <t xml:space="preserve"> plot sizes of reit is: 34961548.269724004</t>
  </si>
  <si>
    <t xml:space="preserve"> plot sizes of total is: 140017027.5026491.
</t>
  </si>
  <si>
    <t xml:space="preserve"> 140017027.5026491.
</t>
  </si>
  <si>
    <t>predicted stdevs of gold is: 0.008767769063842523</t>
  </si>
  <si>
    <t xml:space="preserve"> predicted stdevs of tb is: 0.0031002599611306175</t>
  </si>
  <si>
    <t xml:space="preserve"> predicted stdevs of reit is: 0.01214454356891073</t>
  </si>
  <si>
    <t xml:space="preserve"> predicted stdevs of GTBCPS is: 0.008238218568711824.
</t>
  </si>
  <si>
    <t xml:space="preserve"> 0.008238218568711824.
</t>
  </si>
  <si>
    <t>total_value_of_collaterals is: 140017045.74626267</t>
  </si>
  <si>
    <t xml:space="preserve"> createdtionValue_gold is: -36.89151925731604</t>
  </si>
  <si>
    <t xml:space="preserve"> createdValue_tb is: -17.586014997681062</t>
  </si>
  <si>
    <t xml:space="preserve"> createdValue_reit is: -18.12964796186249
</t>
  </si>
  <si>
    <t xml:space="preserve"> -18.12964796186249
</t>
  </si>
  <si>
    <t>plotValue_gold_after_creation is: 71142331.38344516</t>
  </si>
  <si>
    <t xml:space="preserve"> plotValue_tb_after_creation  is: 33913217.2343689</t>
  </si>
  <si>
    <t xml:space="preserve"> plotValue_reit_after_creation  is: 34961569.735630825</t>
  </si>
  <si>
    <t xml:space="preserve">total_value_after_creation is: 140017118.35344487
</t>
  </si>
  <si>
    <t xml:space="preserve"> 140017118.35344487
</t>
  </si>
  <si>
    <t>total_amount_gtncps_before_creation is: 103022467.82736385</t>
  </si>
  <si>
    <t>creation_amount_gtbcps is: -53.423261255025864</t>
  </si>
  <si>
    <t xml:space="preserve">total_amount_gtbcps_new is: 103022414.4041026
</t>
  </si>
  <si>
    <t xml:space="preserve"> 103022414.4041026
</t>
  </si>
  <si>
    <t>payout of tranche of gold is: 11.9760034328776</t>
  </si>
  <si>
    <t xml:space="preserve"> payout of tranche of Treausry Bill Option is: 2.931351266114783</t>
  </si>
  <si>
    <t xml:space="preserve"> payout of tranche of Collar of REIT is: 3.336258858235937
</t>
  </si>
  <si>
    <t xml:space="preserve"> 3.336258858235937
</t>
  </si>
  <si>
    <t>Collateral size of tranche of gold is: 71142331.38344516</t>
  </si>
  <si>
    <t xml:space="preserve"> collateral size of tranche of Treausry Bill Option is: 33913217.2343689</t>
  </si>
  <si>
    <t xml:space="preserve"> collateral size of tranche of Collar of REIT is: 34961569.735630825
</t>
  </si>
  <si>
    <t xml:space="preserve"> 34961569.735630825
</t>
  </si>
  <si>
    <t>Collateral ratio of tranche of gold is: 0.6907460578300244</t>
  </si>
  <si>
    <t xml:space="preserve"> collateral ratio of tranche of Treausry Bill Option is: 0.3292754209405156</t>
  </si>
  <si>
    <t xml:space="preserve"> collateral ratio of tranche of Collar of REIT is: 0.33945424616849273
</t>
  </si>
  <si>
    <t xml:space="preserve"> 0.33945424616849273
</t>
  </si>
  <si>
    <t xml:space="preserve">date is: 2022-09-28 00:00:00
</t>
  </si>
  <si>
    <t xml:space="preserve"> 2022-09-28 00</t>
  </si>
  <si>
    <t>current price of gold is: 1659.97</t>
  </si>
  <si>
    <t xml:space="preserve"> predicted price of gold is: 1659.2090807207053
</t>
  </si>
  <si>
    <t xml:space="preserve"> 1659.2090807207053
</t>
  </si>
  <si>
    <t>current price of tb is: 88.640625</t>
  </si>
  <si>
    <t xml:space="preserve"> current price of tb option is: 4.233849602438844</t>
  </si>
  <si>
    <t xml:space="preserve"> predicted price of tb is: 88.91583729615989
</t>
  </si>
  <si>
    <t xml:space="preserve"> 88.91583729615989
</t>
  </si>
  <si>
    <t>current price of reit is: 54.55</t>
  </si>
  <si>
    <t xml:space="preserve"> current price of reit option is: 5.517618003602642</t>
  </si>
  <si>
    <t xml:space="preserve"> predicted price of reit is: 54.96612705052241
</t>
  </si>
  <si>
    <t xml:space="preserve"> 54.96612705052241
</t>
  </si>
  <si>
    <t>value_ratio_gold_to_total is: -0.07859203752001845</t>
  </si>
  <si>
    <t xml:space="preserve"> risk_ratio_to_gold is: 0.5403462050791452</t>
  </si>
  <si>
    <t xml:space="preserve"> risk_ratio_to_gold_before is: 0.5383052898714692
</t>
  </si>
  <si>
    <t xml:space="preserve"> 0.5383052898714692
</t>
  </si>
  <si>
    <t>value_ratio_tb_to_total is: 0.46572136040923007</t>
  </si>
  <si>
    <t xml:space="preserve"> risk_ratio_tb_to_gold is: 0.4197954789550408</t>
  </si>
  <si>
    <t xml:space="preserve"> risk_ratio_tb_to_gold_before is: 0.4112268150176922
</t>
  </si>
  <si>
    <t xml:space="preserve"> 0.4112268150176922
</t>
  </si>
  <si>
    <t>value_ratio_reit_to_total is: 0.6128706771107884</t>
  </si>
  <si>
    <t xml:space="preserve"> risk_ratio_reit_to_gold is: 0.4308698733694541</t>
  </si>
  <si>
    <t xml:space="preserve"> risk_ratio_reit_to_gold_before is: 0.4464550967442549
</t>
  </si>
  <si>
    <t xml:space="preserve"> 0.4464550967442549
</t>
  </si>
  <si>
    <t>delta_gold is: 1.019074221867518</t>
  </si>
  <si>
    <t xml:space="preserve"> delta_tb is: 1.0069063261153568</t>
  </si>
  <si>
    <t xml:space="preserve"> delta_reit is: 0.969766230140531
</t>
  </si>
  <si>
    <t xml:space="preserve"> 0.969766230140531
</t>
  </si>
  <si>
    <t>delta_gold_risk is: 1.0013267296297514</t>
  </si>
  <si>
    <t xml:space="preserve"> delta_tb_risk is: 1.0060717836751432</t>
  </si>
  <si>
    <t xml:space="preserve"> delta_reit_risk is: 0.9892252283462648
</t>
  </si>
  <si>
    <t xml:space="preserve"> 0.9892252283462648
</t>
  </si>
  <si>
    <t xml:space="preserve">collateral_ratio_tranche_gold is: 0.7029888252872949
</t>
  </si>
  <si>
    <t xml:space="preserve"> 0.7029888252872949
</t>
  </si>
  <si>
    <t xml:space="preserve">collateral_ratio_tranche_tb is: 0.3233803286946514
</t>
  </si>
  <si>
    <t xml:space="preserve"> 0.3233803286946514
</t>
  </si>
  <si>
    <t xml:space="preserve">collateral_ratio_tranche_reit is: 0.3265482063441814
</t>
  </si>
  <si>
    <t xml:space="preserve"> 0.3265482063441814
</t>
  </si>
  <si>
    <t>Total plot size is: 140551298.65095386</t>
  </si>
  <si>
    <t xml:space="preserve"> plot size of gold is: 72499315.99642548</t>
  </si>
  <si>
    <t xml:space="preserve"> plot size of TB is: 34147432.972210385</t>
  </si>
  <si>
    <t xml:space="preserve"> plot size of REIT is: 33904549.68231799
</t>
  </si>
  <si>
    <t xml:space="preserve"> 33904549.68231799
</t>
  </si>
  <si>
    <t xml:space="preserve">collateral ratio is: 1.364662978041216
</t>
  </si>
  <si>
    <t xml:space="preserve"> 1.364662978041216
</t>
  </si>
  <si>
    <t>S_gtbcps_0 is: 0.999718500971073</t>
  </si>
  <si>
    <t xml:space="preserve">stdev_gtbcps is: 0.008346766172516187
</t>
  </si>
  <si>
    <t xml:space="preserve"> 0.008346766172516187
</t>
  </si>
  <si>
    <t>predicted price of GTBCPS is: 0.9997400069590041</t>
  </si>
  <si>
    <t xml:space="preserve"> actual price is: 0.999718500971073
</t>
  </si>
  <si>
    <t xml:space="preserve"> 0.999718500971073
</t>
  </si>
  <si>
    <t>predicted amount of GTBCPS is: 103020198.22911169</t>
  </si>
  <si>
    <t xml:space="preserve"> actual amount is: 103022414.4041026
</t>
  </si>
  <si>
    <t>plot sizes of gold is: 72499315.99642548</t>
  </si>
  <si>
    <t xml:space="preserve"> plot sizes of tb is: 34147432.972210385 </t>
  </si>
  <si>
    <t xml:space="preserve"> plot sizes of reit is: 33904549.68231799</t>
  </si>
  <si>
    <t xml:space="preserve"> plot sizes of total is: 140551298.65095383.
</t>
  </si>
  <si>
    <t xml:space="preserve"> 140551298.65095383.
</t>
  </si>
  <si>
    <t>predicted stdevs of gold is: 0.00878105980059691</t>
  </si>
  <si>
    <t xml:space="preserve"> predicted stdevs of tb is: 0.003167649251785006</t>
  </si>
  <si>
    <t xml:space="preserve"> predicted stdevs of reit is: 0.012634319267617829</t>
  </si>
  <si>
    <t xml:space="preserve"> predicted stdevs of GTBCPS is: 0.008346766172516187.
</t>
  </si>
  <si>
    <t xml:space="preserve"> 0.008346766172516187.
</t>
  </si>
  <si>
    <t>total_value_of_collaterals is: 140552055.71148193</t>
  </si>
  <si>
    <t xml:space="preserve"> createdtionValue_gold is: -1559.6193474189572</t>
  </si>
  <si>
    <t xml:space="preserve"> createdValue_tb is: -734.5836718573916</t>
  </si>
  <si>
    <t xml:space="preserve"> createdValue_reit is: -729.35892433071
</t>
  </si>
  <si>
    <t xml:space="preserve"> -729.35892433071
</t>
  </si>
  <si>
    <t>plotValue_gold_after_creation is: 72501382.50891033</t>
  </si>
  <si>
    <t xml:space="preserve"> plotValue_tb_after_creation  is: 34148288.72588097</t>
  </si>
  <si>
    <t xml:space="preserve"> plotValue_reit_after_creation  is: 33905408.03863423</t>
  </si>
  <si>
    <t xml:space="preserve">total_value_after_creation is: 140555079.27342555
</t>
  </si>
  <si>
    <t xml:space="preserve"> 140555079.27342555
</t>
  </si>
  <si>
    <t>total_amount_gtncps_before_creation is: 103022414.4041026</t>
  </si>
  <si>
    <t>creation_amount_gtbcps is: -2216.1749909073114</t>
  </si>
  <si>
    <t xml:space="preserve">total_amount_gtbcps_new is: 103020198.22911169
</t>
  </si>
  <si>
    <t xml:space="preserve"> 103020198.22911169
</t>
  </si>
  <si>
    <t>payout of tranche of gold is: 506.89313742011336</t>
  </si>
  <si>
    <t xml:space="preserve"> payout of tranche of Treausry Bill Option is: 121.16999872461706</t>
  </si>
  <si>
    <t xml:space="preserve"> payout of tranche of Collar of REIT is: 128.99739191392473
</t>
  </si>
  <si>
    <t xml:space="preserve"> 128.99739191392473
</t>
  </si>
  <si>
    <t>Collateral size of tranche of gold is: 72501382.50891033</t>
  </si>
  <si>
    <t xml:space="preserve"> collateral size of tranche of Treausry Bill Option is: 34148288.72588097</t>
  </si>
  <si>
    <t xml:space="preserve"> collateral size of tranche of Collar of REIT is: 33905408.03863423
</t>
  </si>
  <si>
    <t xml:space="preserve"> 33905408.03863423
</t>
  </si>
  <si>
    <t>Collateral ratio of tranche of gold is: 0.703926788023742</t>
  </si>
  <si>
    <t xml:space="preserve"> collateral ratio of tranche of Treausry Bill Option is: 0.3315508527904627</t>
  </si>
  <si>
    <t xml:space="preserve"> collateral ratio of tranche of Collar of REIT is: 0.32919268779925603
</t>
  </si>
  <si>
    <t xml:space="preserve"> 0.32919268779925603
</t>
  </si>
  <si>
    <t xml:space="preserve">date is: 2022-09-29 00:00:00
</t>
  </si>
  <si>
    <t xml:space="preserve"> 2022-09-29 00</t>
  </si>
  <si>
    <t>current price of gold is: 1660.54</t>
  </si>
  <si>
    <t xml:space="preserve"> predicted price of gold is: 1653.4027913015104
</t>
  </si>
  <si>
    <t xml:space="preserve"> 1653.4027913015104
</t>
  </si>
  <si>
    <t>current price of tb is: 88.50390625</t>
  </si>
  <si>
    <t xml:space="preserve"> current price of tb option is: 4.231397624242069</t>
  </si>
  <si>
    <t xml:space="preserve"> predicted price of tb is: 88.781653399546
</t>
  </si>
  <si>
    <t xml:space="preserve"> 88.781653399546
</t>
  </si>
  <si>
    <t>current price of reit is: 54.25</t>
  </si>
  <si>
    <t xml:space="preserve"> current price of reit option is: 5.517996455625045</t>
  </si>
  <si>
    <t xml:space="preserve"> predicted price of reit is: 54.78075515738952
</t>
  </si>
  <si>
    <t xml:space="preserve"> 54.78075515738952
</t>
  </si>
  <si>
    <t>value_ratio_gold_to_total is: -2.0864835813202274</t>
  </si>
  <si>
    <t xml:space="preserve"> risk_ratio_to_gold is: 0.5425131771667863</t>
  </si>
  <si>
    <t xml:space="preserve"> risk_ratio_to_gold_before is: 0.5403462050791452
</t>
  </si>
  <si>
    <t xml:space="preserve"> 0.5403462050791452
</t>
  </si>
  <si>
    <t>value_ratio_tb_to_total is: 1.318198322867567</t>
  </si>
  <si>
    <t xml:space="preserve"> risk_ratio_tb_to_gold is: 0.4162904308930157</t>
  </si>
  <si>
    <t xml:space="preserve"> risk_ratio_tb_to_gold_before is: 0.4197954789550408
</t>
  </si>
  <si>
    <t xml:space="preserve"> 0.4197954789550408
</t>
  </si>
  <si>
    <t>value_ratio_reit_to_total is: 1.7682852584526605</t>
  </si>
  <si>
    <t xml:space="preserve"> risk_ratio_reit_to_gold is: 0.4269827688887609</t>
  </si>
  <si>
    <t xml:space="preserve"> risk_ratio_reit_to_gold_before is: 0.4308698733694541
</t>
  </si>
  <si>
    <t xml:space="preserve"> 0.4308698733694541
</t>
  </si>
  <si>
    <t>delta_gold is: 1.000343379699633</t>
  </si>
  <si>
    <t xml:space="preserve"> delta_tb is: 0.9985015180027396</t>
  </si>
  <si>
    <t xml:space="preserve"> delta_reit is: 0.99501192892384
</t>
  </si>
  <si>
    <t xml:space="preserve"> 0.99501192892384
</t>
  </si>
  <si>
    <t>delta_gold_risk is: 1.0014068084697425</t>
  </si>
  <si>
    <t xml:space="preserve"> delta_tb_risk is: 0.9975313007302962</t>
  </si>
  <si>
    <t xml:space="preserve"> delta_reit_risk is: 0.9972833976359152
</t>
  </si>
  <si>
    <t xml:space="preserve"> 0.9972833976359152
</t>
  </si>
  <si>
    <t xml:space="preserve">collateral_ratio_tranche_gold is: 0.7031792636489286
</t>
  </si>
  <si>
    <t xml:space="preserve"> 0.7031792636489286
</t>
  </si>
  <si>
    <t xml:space="preserve">collateral_ratio_tranche_tb is: 0.33175940579692603
</t>
  </si>
  <si>
    <t xml:space="preserve"> 0.33175940579692603
</t>
  </si>
  <si>
    <t xml:space="preserve">collateral_ratio_tranche_reit is: 0.3283301581223824
</t>
  </si>
  <si>
    <t xml:space="preserve"> 0.3283301581223824
</t>
  </si>
  <si>
    <t>Total plot size is: 140359681.59531853</t>
  </si>
  <si>
    <t xml:space="preserve"> plot size of gold is: 72526278.01185922</t>
  </si>
  <si>
    <t xml:space="preserve"> plot size of TB is: 34097118.12998799</t>
  </si>
  <si>
    <t xml:space="preserve"> plot size of REIT is: 33736285.45347132
</t>
  </si>
  <si>
    <t xml:space="preserve"> 33736285.45347132
</t>
  </si>
  <si>
    <t xml:space="preserve">collateral ratio is: 1.3628024993099868
</t>
  </si>
  <si>
    <t xml:space="preserve"> 1.3628024993099868
</t>
  </si>
  <si>
    <t>S_gtbcps_0 is: 0.9997400069590041</t>
  </si>
  <si>
    <t xml:space="preserve">stdev_gtbcps is: 0.008400384771458077
</t>
  </si>
  <si>
    <t xml:space="preserve"> 0.008400384771458077
</t>
  </si>
  <si>
    <t>predicted price of GTBCPS is: 0.9997399757439664</t>
  </si>
  <si>
    <t xml:space="preserve"> actual price is: 0.9997400069590041
</t>
  </si>
  <si>
    <t xml:space="preserve"> 0.9997400069590041
</t>
  </si>
  <si>
    <t>predicted amount of GTBCPS is: 103020201.44572747</t>
  </si>
  <si>
    <t xml:space="preserve"> actual amount is: 103020198.22911169
</t>
  </si>
  <si>
    <t>plot sizes of gold is: 72526278.01185922</t>
  </si>
  <si>
    <t xml:space="preserve"> plot sizes of tb is: 34097118.12998799 </t>
  </si>
  <si>
    <t xml:space="preserve"> plot sizes of reit is: 33736285.45347132</t>
  </si>
  <si>
    <t xml:space="preserve"> plot sizes of total is: 140359681.59531856.
</t>
  </si>
  <si>
    <t xml:space="preserve"> 140359681.59531856.
</t>
  </si>
  <si>
    <t>predicted stdevs of gold is: 0.008910808625020866</t>
  </si>
  <si>
    <t xml:space="preserve"> predicted stdevs of tb is: 0.0031635481892319313</t>
  </si>
  <si>
    <t xml:space="preserve"> predicted stdevs of reit is: 0.012595923532221802</t>
  </si>
  <si>
    <t xml:space="preserve"> predicted stdevs of GTBCPS is: 0.008400384771458077.
</t>
  </si>
  <si>
    <t xml:space="preserve"> 0.008400384771458077.
</t>
  </si>
  <si>
    <t>total_value_of_collaterals is: 140359680.493604</t>
  </si>
  <si>
    <t xml:space="preserve"> createdtionValue_gold is: 2.2644992385714993</t>
  </si>
  <si>
    <t xml:space="preserve"> createdValue_tb is: 1.064619620979977</t>
  </si>
  <si>
    <t xml:space="preserve"> createdValue_reit is: 1.0533532865167057
</t>
  </si>
  <si>
    <t xml:space="preserve"> 1.0533532865167057
</t>
  </si>
  <si>
    <t>plotValue_gold_after_creation is: 72526274.91653553</t>
  </si>
  <si>
    <t xml:space="preserve"> plotValue_tb_after_creation  is: 34097116.924375474</t>
  </si>
  <si>
    <t xml:space="preserve"> plotValue_reit_after_creation  is: 33736284.27022086</t>
  </si>
  <si>
    <t xml:space="preserve">total_value_after_creation is: 140359676.11113185
</t>
  </si>
  <si>
    <t xml:space="preserve"> 140359676.11113185
</t>
  </si>
  <si>
    <t>total_amount_gtncps_before_creation is: 103020198.22911169</t>
  </si>
  <si>
    <t>creation_amount_gtbcps is: 3.216615781188011</t>
  </si>
  <si>
    <t xml:space="preserve">total_amount_gtbcps_new is: 103020201.44572747
</t>
  </si>
  <si>
    <t xml:space="preserve"> 103020201.44572747
</t>
  </si>
  <si>
    <t>payout of tranche of gold is: -0.8308244686219599</t>
  </si>
  <si>
    <t xml:space="preserve"> payout of tranche of Treausry Bill Option is: -0.14099289537467743</t>
  </si>
  <si>
    <t xml:space="preserve"> payout of tranche of Collar of REIT is: -0.12989716667301787
</t>
  </si>
  <si>
    <t xml:space="preserve"> -0.12989716667301787
</t>
  </si>
  <si>
    <t>Collateral size of tranche of gold is: 72526274.91653553</t>
  </si>
  <si>
    <t xml:space="preserve"> collateral size of tranche of Treausry Bill Option is: 34097116.924375474</t>
  </si>
  <si>
    <t xml:space="preserve"> collateral size of tranche of Collar of REIT is: 33736284.27022086
</t>
  </si>
  <si>
    <t xml:space="preserve"> 33736284.27022086
</t>
  </si>
  <si>
    <t>Collateral ratio of tranche of gold is: 0.7041836422294907</t>
  </si>
  <si>
    <t xml:space="preserve"> collateral ratio of tranche of Treausry Bill Option is: 0.33106115008613607</t>
  </si>
  <si>
    <t xml:space="preserve"> collateral ratio of tranche of Collar of REIT is: 0.3275576962974182
</t>
  </si>
  <si>
    <t xml:space="preserve"> 0.3275576962974182
</t>
  </si>
  <si>
    <t xml:space="preserve">date is: 2022-09-30 00:00:00
</t>
  </si>
  <si>
    <t xml:space="preserve"> 2022-09-30 00</t>
  </si>
  <si>
    <t>current price of gold is: 1660.61</t>
  </si>
  <si>
    <t xml:space="preserve"> predicted price of gold is: 1651.5782691108063
</t>
  </si>
  <si>
    <t xml:space="preserve"> 1651.5782691108063
</t>
  </si>
  <si>
    <t>current price of tb is: 88.3203125</t>
  </si>
  <si>
    <t xml:space="preserve"> current price of tb option is: 4.226955904914919</t>
  </si>
  <si>
    <t xml:space="preserve"> predicted price of tb is: 88.60265182422444
</t>
  </si>
  <si>
    <t xml:space="preserve"> 88.60265182422444
</t>
  </si>
  <si>
    <t>current price of reit is: 54.9</t>
  </si>
  <si>
    <t xml:space="preserve"> current price of reit option is: 5.430486733605974</t>
  </si>
  <si>
    <t xml:space="preserve"> predicted price of reit is: 55.358988956612
</t>
  </si>
  <si>
    <t xml:space="preserve"> 55.358988956612
</t>
  </si>
  <si>
    <t>value_ratio_gold_to_total is: -6.606778653081296</t>
  </si>
  <si>
    <t xml:space="preserve"> risk_ratio_to_gold is: 0.5429710682985871</t>
  </si>
  <si>
    <t xml:space="preserve"> risk_ratio_to_gold_before is: 0.5425131771667863
</t>
  </si>
  <si>
    <t xml:space="preserve"> 0.5425131771667863
</t>
  </si>
  <si>
    <t>value_ratio_tb_to_total is: 3.298583164824489</t>
  </si>
  <si>
    <t xml:space="preserve"> risk_ratio_tb_to_gold is: 0.4123544837660337</t>
  </si>
  <si>
    <t xml:space="preserve"> risk_ratio_tb_to_gold_before is: 0.4162904308930157
</t>
  </si>
  <si>
    <t xml:space="preserve"> 0.4162904308930157
</t>
  </si>
  <si>
    <t>value_ratio_reit_to_total is: 4.308195488256807</t>
  </si>
  <si>
    <t xml:space="preserve"> risk_ratio_reit_to_gold is: 0.42936427140360023</t>
  </si>
  <si>
    <t xml:space="preserve"> risk_ratio_reit_to_gold_before is: 0.4269827688887609
</t>
  </si>
  <si>
    <t xml:space="preserve"> 0.4269827688887609
</t>
  </si>
  <si>
    <t>delta_gold is: 1.000042154961639</t>
  </si>
  <si>
    <t xml:space="preserve"> delta_tb is: 0.9979723421235333</t>
  </si>
  <si>
    <t xml:space="preserve"> delta_reit is: 1.0094112286062416
</t>
  </si>
  <si>
    <t xml:space="preserve"> 1.0094112286062416
</t>
  </si>
  <si>
    <t>delta_gold_risk is: 1.00029684746852</t>
  </si>
  <si>
    <t xml:space="preserve"> delta_tb_risk is: 0.9972209463249</t>
  </si>
  <si>
    <t xml:space="preserve"> delta_reit_risk is: 1.001668907688839
</t>
  </si>
  <si>
    <t xml:space="preserve"> 1.001668907688839
</t>
  </si>
  <si>
    <t xml:space="preserve">collateral_ratio_tranche_gold is: 0.7040043451562289
</t>
  </si>
  <si>
    <t xml:space="preserve"> 0.7040043451562289
</t>
  </si>
  <si>
    <t xml:space="preserve">collateral_ratio_tranche_tb is: 0.3312966354847032
</t>
  </si>
  <si>
    <t xml:space="preserve"> 0.3312966354847032
</t>
  </si>
  <si>
    <t xml:space="preserve">collateral_ratio_tranche_reit is: 0.33007561338338953
</t>
  </si>
  <si>
    <t xml:space="preserve"> 0.33007561338338953
</t>
  </si>
  <si>
    <t>Total plot size is: 140611096.04936448</t>
  </si>
  <si>
    <t xml:space="preserve"> plot size of gold is: 72529332.25887245</t>
  </si>
  <si>
    <t xml:space="preserve"> plot size of TB is: 34027979.63667896</t>
  </si>
  <si>
    <t xml:space="preserve"> plot size of REIT is: 34053784.15381306
</t>
  </si>
  <si>
    <t xml:space="preserve"> 34053784.15381306
</t>
  </si>
  <si>
    <t xml:space="preserve">collateral ratio is: 1.3652435724332808
</t>
  </si>
  <si>
    <t xml:space="preserve"> 1.3652435724332808
</t>
  </si>
  <si>
    <t>S_gtbcps_0 is: 0.9997399757439664</t>
  </si>
  <si>
    <t xml:space="preserve">stdev_gtbcps is: 0.00839447047283242
</t>
  </si>
  <si>
    <t xml:space="preserve"> 0.00839447047283242
</t>
  </si>
  <si>
    <t>predicted price of GTBCPS is: 0.9997653713725426</t>
  </si>
  <si>
    <t xml:space="preserve"> actual price is: 0.9997399757439664
</t>
  </si>
  <si>
    <t xml:space="preserve"> 0.9997399757439664
</t>
  </si>
  <si>
    <t>predicted amount of GTBCPS is: 103017584.56896152</t>
  </si>
  <si>
    <t xml:space="preserve"> actual amount is: 103020201.44572747
</t>
  </si>
  <si>
    <t>plot sizes of gold is: 72529332.25887245</t>
  </si>
  <si>
    <t xml:space="preserve"> plot sizes of tb is: 34027979.63667896 </t>
  </si>
  <si>
    <t xml:space="preserve"> plot sizes of reit is: 34053784.15381306</t>
  </si>
  <si>
    <t xml:space="preserve"> plot sizes of total is: 140611096.04936448.
</t>
  </si>
  <si>
    <t xml:space="preserve"> 140611096.04936448.
</t>
  </si>
  <si>
    <t>predicted stdevs of gold is: 0.00887348688213273</t>
  </si>
  <si>
    <t xml:space="preserve"> predicted stdevs of tb is: 0.003125942546660744</t>
  </si>
  <si>
    <t xml:space="preserve"> predicted stdevs of reit is: 0.012638774718922092</t>
  </si>
  <si>
    <t xml:space="preserve"> predicted stdevs of GTBCPS is: 0.00839447047283242.
</t>
  </si>
  <si>
    <t xml:space="preserve"> 0.00839447047283242.
</t>
  </si>
  <si>
    <t>total_value_of_collaterals is: 140611991.78013492</t>
  </si>
  <si>
    <t xml:space="preserve"> createdtionValue_gold is: -1842.423186823923</t>
  </si>
  <si>
    <t xml:space="preserve"> createdValue_tb is: -864.390595878617</t>
  </si>
  <si>
    <t xml:space="preserve"> createdValue_reit is: -865.0449037849075
</t>
  </si>
  <si>
    <t xml:space="preserve"> -865.0449037849075
</t>
  </si>
  <si>
    <t>plotValue_gold_after_creation is: 72531809.7987945</t>
  </si>
  <si>
    <t xml:space="preserve"> plotValue_tb_after_creation  is: 34028997.64858756</t>
  </si>
  <si>
    <t xml:space="preserve"> plotValue_reit_after_creation  is: 34054756.191439345</t>
  </si>
  <si>
    <t xml:space="preserve">total_value_after_creation is: 140615563.63882142
</t>
  </si>
  <si>
    <t xml:space="preserve"> 140615563.63882142
</t>
  </si>
  <si>
    <t>total_amount_gtncps_before_creation is: 103020201.44572747</t>
  </si>
  <si>
    <t>creation_amount_gtbcps is: -2616.8767659515142</t>
  </si>
  <si>
    <t xml:space="preserve">total_amount_gtbcps_new is: 103017584.56896152
</t>
  </si>
  <si>
    <t xml:space="preserve"> 103017584.56896152
</t>
  </si>
  <si>
    <t>payout of tranche of gold is: 635.1167352227978</t>
  </si>
  <si>
    <t xml:space="preserve"> payout of tranche of Treausry Bill Option is: 153.621312728048</t>
  </si>
  <si>
    <t xml:space="preserve"> payout of tranche of Collar of REIT is: 106.99272250375252
</t>
  </si>
  <si>
    <t xml:space="preserve"> 106.99272250375252
</t>
  </si>
  <si>
    <t>Collateral size of tranche of gold is: 72531809.7987945</t>
  </si>
  <si>
    <t xml:space="preserve"> collateral size of tranche of Treausry Bill Option is: 34028997.64858756</t>
  </si>
  <si>
    <t xml:space="preserve"> collateral size of tranche of Collar of REIT is: 34054756.191439345
</t>
  </si>
  <si>
    <t xml:space="preserve"> 34054756.191439345
</t>
  </si>
  <si>
    <t>Collateral ratio of tranche of gold is: 0.7042194716523688</t>
  </si>
  <si>
    <t xml:space="preserve"> collateral ratio of tranche of Treausry Bill Option is: 0.3303913525861907</t>
  </si>
  <si>
    <t xml:space="preserve"> collateral ratio of tranche of Collar of REIT is: 0.33064144516609373
</t>
  </si>
  <si>
    <t xml:space="preserve"> 0.33064144516609373
</t>
  </si>
  <si>
    <t xml:space="preserve">date is: 2022-10-03 00:00:00
</t>
  </si>
  <si>
    <t xml:space="preserve"> 2022-10-03 00</t>
  </si>
  <si>
    <t>current price of gold is: 1699.89</t>
  </si>
  <si>
    <t xml:space="preserve"> predicted price of gold is: 1703.6051551455614
</t>
  </si>
  <si>
    <t xml:space="preserve"> 1703.6051551455614
</t>
  </si>
  <si>
    <t>current price of tb is: 88.8359375</t>
  </si>
  <si>
    <t xml:space="preserve"> current price of tb option is: 4.236854669149161</t>
  </si>
  <si>
    <t xml:space="preserve"> predicted price of tb is: 89.108043291868
</t>
  </si>
  <si>
    <t xml:space="preserve"> 89.108043291868
</t>
  </si>
  <si>
    <t>current price of reit is: 54.75</t>
  </si>
  <si>
    <t xml:space="preserve"> current price of reit option is: 5.536046872172037</t>
  </si>
  <si>
    <t xml:space="preserve"> predicted price of reit is: 55.28903775373776
</t>
  </si>
  <si>
    <t xml:space="preserve"> 55.28903775373776
</t>
  </si>
  <si>
    <t>value_ratio_gold_to_total is: 0.2598155900440048</t>
  </si>
  <si>
    <t xml:space="preserve"> risk_ratio_to_gold is: 0.5434067719584288</t>
  </si>
  <si>
    <t xml:space="preserve"> risk_ratio_to_gold_before is: 0.5429710682985871
</t>
  </si>
  <si>
    <t xml:space="preserve"> 0.5429710682985871
</t>
  </si>
  <si>
    <t>value_ratio_tb_to_total is: 0.3153295560385716</t>
  </si>
  <si>
    <t xml:space="preserve"> risk_ratio_tb_to_gold is: 0.4183514426198907</t>
  </si>
  <si>
    <t xml:space="preserve"> risk_ratio_tb_to_gold_before is: 0.4123544837660337
</t>
  </si>
  <si>
    <t xml:space="preserve"> 0.4123544837660337
</t>
  </si>
  <si>
    <t>value_ratio_reit_to_total is: 0.4248548539174236</t>
  </si>
  <si>
    <t xml:space="preserve"> risk_ratio_reit_to_gold is: 0.4218906220787454</t>
  </si>
  <si>
    <t xml:space="preserve"> risk_ratio_reit_to_gold_before is: 0.42936427140360023
</t>
  </si>
  <si>
    <t xml:space="preserve"> 0.42936427140360023
</t>
  </si>
  <si>
    <t>delta_gold is: 1.0236539584851352</t>
  </si>
  <si>
    <t xml:space="preserve"> delta_tb is: 1.0056784362552438</t>
  </si>
  <si>
    <t xml:space="preserve"> delta_reit is: 0.9992633929570275
</t>
  </si>
  <si>
    <t xml:space="preserve"> 0.9992633929570275
</t>
  </si>
  <si>
    <t>delta_gold_risk is: 1.0002823796691938</t>
  </si>
  <si>
    <t xml:space="preserve"> delta_tb_risk is: 1.0042460720185957</t>
  </si>
  <si>
    <t xml:space="preserve"> delta_reit_risk is: 0.9947713473224598
</t>
  </si>
  <si>
    <t xml:space="preserve"> 0.9947713473224598
</t>
  </si>
  <si>
    <t xml:space="preserve">collateral_ratio_tranche_gold is: 0.7206735462416733
</t>
  </si>
  <si>
    <t xml:space="preserve"> 0.7206735462416733
</t>
  </si>
  <si>
    <t xml:space="preserve">collateral_ratio_tranche_tb is: 0.3232172255896591
</t>
  </si>
  <si>
    <t xml:space="preserve"> 0.3232172255896591
</t>
  </si>
  <si>
    <t xml:space="preserve">collateral_ratio_tranche_reit is: 0.32445975085829665
</t>
  </si>
  <si>
    <t xml:space="preserve"> 0.32445975085829665
</t>
  </si>
  <si>
    <t>Total plot size is: 142499374.5773738</t>
  </si>
  <si>
    <t xml:space="preserve"> plot size of gold is: 74247474.2166269</t>
  </si>
  <si>
    <t xml:space="preserve"> plot size of TB is: 34222229.14256491</t>
  </si>
  <si>
    <t xml:space="preserve"> plot size of REIT is: 34029671.21818202
</t>
  </si>
  <si>
    <t xml:space="preserve"> 34029671.21818202
</t>
  </si>
  <si>
    <t xml:space="preserve">collateral ratio is: 1.3835775460367827
</t>
  </si>
  <si>
    <t xml:space="preserve"> 1.3835775460367827
</t>
  </si>
  <si>
    <t>S_gtbcps_0 is: 0.9997653713725426</t>
  </si>
  <si>
    <t xml:space="preserve">stdev_gtbcps is: 0.008398661398222564
</t>
  </si>
  <si>
    <t xml:space="preserve"> 0.008398661398222564
</t>
  </si>
  <si>
    <t>predicted price of GTBCPS is: 0.9997818065789404</t>
  </si>
  <si>
    <t xml:space="preserve"> actual price is: 0.9997653713725426
</t>
  </si>
  <si>
    <t xml:space="preserve"> 0.9997653713725426
</t>
  </si>
  <si>
    <t>predicted amount of GTBCPS is: 103015891.0841893</t>
  </si>
  <si>
    <t xml:space="preserve"> actual amount is: 103017584.56896152
</t>
  </si>
  <si>
    <t>plot sizes of gold is: 74247474.2166269</t>
  </si>
  <si>
    <t xml:space="preserve"> plot sizes of tb is: 34222229.14256491 </t>
  </si>
  <si>
    <t xml:space="preserve"> plot sizes of reit is: 34029671.21818202</t>
  </si>
  <si>
    <t xml:space="preserve"> plot sizes of total is: 142499374.57737383.
</t>
  </si>
  <si>
    <t xml:space="preserve"> 142499374.57737383.
</t>
  </si>
  <si>
    <t>predicted stdevs of gold is: 0.008873912540237627</t>
  </si>
  <si>
    <t xml:space="preserve"> predicted stdevs of tb is: 0.003174001561402811</t>
  </si>
  <si>
    <t xml:space="preserve"> predicted stdevs of reit is: 0.012615960716052492</t>
  </si>
  <si>
    <t xml:space="preserve"> predicted stdevs of GTBCPS is: 0.008398661398222564.
</t>
  </si>
  <si>
    <t xml:space="preserve"> 0.008398661398222564.
</t>
  </si>
  <si>
    <t>total_value_of_collaterals is: 142499953.55435935</t>
  </si>
  <si>
    <t xml:space="preserve"> createdtionValue_gold is: -1220.5653936612416</t>
  </si>
  <si>
    <t xml:space="preserve"> createdValue_tb is: -562.5828865240062</t>
  </si>
  <si>
    <t xml:space="preserve"> createdValue_reit is: -559.4175011385482
</t>
  </si>
  <si>
    <t xml:space="preserve"> -559.4175011385482
</t>
  </si>
  <si>
    <t>plotValue_gold_after_creation is: 74249087.28207396</t>
  </si>
  <si>
    <t xml:space="preserve"> plotValue_tb_after_creation  is: 34222882.33129714</t>
  </si>
  <si>
    <t xml:space="preserve"> plotValue_reit_after_creation  is: 34030326.50676956</t>
  </si>
  <si>
    <t xml:space="preserve">total_value_after_creation is: 142502296.12014067
</t>
  </si>
  <si>
    <t xml:space="preserve"> 142502296.12014067
</t>
  </si>
  <si>
    <t>total_amount_gtncps_before_creation is: 103017584.56896152</t>
  </si>
  <si>
    <t>creation_amount_gtbcps is: -1693.484772220254</t>
  </si>
  <si>
    <t xml:space="preserve">total_amount_gtbcps_new is: 103015891.0841893
</t>
  </si>
  <si>
    <t xml:space="preserve"> 103015891.0841893
</t>
  </si>
  <si>
    <t>payout of tranche of gold is: 392.5000533992781</t>
  </si>
  <si>
    <t xml:space="preserve"> payout of tranche of Treausry Bill Option is: 90.60584570512437</t>
  </si>
  <si>
    <t xml:space="preserve"> payout of tranche of Collar of REIT is: 95.87108640194545
</t>
  </si>
  <si>
    <t xml:space="preserve"> 95.87108640194545
</t>
  </si>
  <si>
    <t>Collateral size of tranche of gold is: 74249087.28207396</t>
  </si>
  <si>
    <t xml:space="preserve"> collateral size of tranche of Treausry Bill Option is: 34222882.33129714</t>
  </si>
  <si>
    <t xml:space="preserve"> collateral size of tranche of Collar of REIT is: 34030326.50676956
</t>
  </si>
  <si>
    <t xml:space="preserve"> 34030326.50676956
</t>
  </si>
  <si>
    <t>Collateral ratio of tranche of gold is: 0.7208991726104167</t>
  </si>
  <si>
    <t xml:space="preserve"> collateral ratio of tranche of Treausry Bill Option is: 0.33227677888145785</t>
  </si>
  <si>
    <t xml:space="preserve"> collateral ratio of tranche of Collar of REIT is: 0.33040721604015466
</t>
  </si>
  <si>
    <t xml:space="preserve"> 0.33040721604015466
</t>
  </si>
  <si>
    <t xml:space="preserve">date is: 2022-10-05 00:00:00
</t>
  </si>
  <si>
    <t xml:space="preserve"> 2022-10-05 00</t>
  </si>
  <si>
    <t>current price of gold is: 1716.26</t>
  </si>
  <si>
    <t xml:space="preserve"> predicted price of gold is: 1698.473515426096
</t>
  </si>
  <si>
    <t xml:space="preserve"> 1698.473515426096
</t>
  </si>
  <si>
    <t>current price of tb is: 88.6953125</t>
  </si>
  <si>
    <t xml:space="preserve"> current price of tb option is: 4.230817777324938</t>
  </si>
  <si>
    <t xml:space="preserve"> predicted price of tb is: 88.97366032970348
</t>
  </si>
  <si>
    <t xml:space="preserve"> 88.97366032970348
</t>
  </si>
  <si>
    <t>current price of reit is: 56.0</t>
  </si>
  <si>
    <t xml:space="preserve"> current price of reit option is: 5.375317268836525</t>
  </si>
  <si>
    <t xml:space="preserve"> predicted price of reit is: 56.47316888970884
</t>
  </si>
  <si>
    <t xml:space="preserve"> 56.47316888970884
</t>
  </si>
  <si>
    <t>value_ratio_gold_to_total is: 2.3942502184137533</t>
  </si>
  <si>
    <t xml:space="preserve"> risk_ratio_to_gold is: 0.5446450760083491</t>
  </si>
  <si>
    <t xml:space="preserve"> risk_ratio_to_gold_before is: 0.5434067719584288
</t>
  </si>
  <si>
    <t xml:space="preserve"> 0.5434067719584288
</t>
  </si>
  <si>
    <t>value_ratio_tb_to_total is: -0.6069817053860841</t>
  </si>
  <si>
    <t xml:space="preserve"> risk_ratio_tb_to_gold is: 0.4093180921780992</t>
  </si>
  <si>
    <t xml:space="preserve"> risk_ratio_tb_to_gold_before is: 0.4183514426198907
</t>
  </si>
  <si>
    <t xml:space="preserve"> 0.4183514426198907
</t>
  </si>
  <si>
    <t>value_ratio_reit_to_total is: -0.7872685130276691</t>
  </si>
  <si>
    <t xml:space="preserve"> risk_ratio_reit_to_gold is: 0.4267400015237716</t>
  </si>
  <si>
    <t xml:space="preserve"> risk_ratio_reit_to_gold_before is: 0.4218906220787454
</t>
  </si>
  <si>
    <t xml:space="preserve"> 0.4218906220787454
</t>
  </si>
  <si>
    <t>delta_gold is: 1.0096300348846101</t>
  </si>
  <si>
    <t xml:space="preserve"> delta_tb is: 0.9984242237886484</t>
  </si>
  <si>
    <t xml:space="preserve"> delta_reit is: 1.0180683666151495
</t>
  </si>
  <si>
    <t xml:space="preserve"> 1.0180683666151495
</t>
  </si>
  <si>
    <t>delta_gold_risk is: 1.0008023186579316</t>
  </si>
  <si>
    <t xml:space="preserve"> delta_tb_risk is: 0.993631091582559</t>
  </si>
  <si>
    <t xml:space="preserve"> delta_reit_risk is: 1.0034105151055408
</t>
  </si>
  <si>
    <t xml:space="preserve"> 1.0034105151055408
</t>
  </si>
  <si>
    <t xml:space="preserve">collateral_ratio_tranche_gold is: 0.727257964157169
</t>
  </si>
  <si>
    <t xml:space="preserve"> 0.727257964157169
</t>
  </si>
  <si>
    <t xml:space="preserve">collateral_ratio_tranche_tb is: 0.3306950291809596
</t>
  </si>
  <si>
    <t xml:space="preserve"> 0.3306950291809596
</t>
  </si>
  <si>
    <t xml:space="preserve">collateral_ratio_tranche_reit is: 0.33203629367170756
</t>
  </si>
  <si>
    <t xml:space="preserve"> 0.33203629367170756
</t>
  </si>
  <si>
    <t>Total plot size is: 143778262.2323135</t>
  </si>
  <si>
    <t xml:space="preserve"> plot size of gold is: 74964108.5827508</t>
  </si>
  <si>
    <t xml:space="preserve"> plot size of TB is: 34168954.7274356</t>
  </si>
  <si>
    <t xml:space="preserve"> plot size of REIT is: 34645198.92212711
</t>
  </si>
  <si>
    <t xml:space="preserve"> 34645198.92212711
</t>
  </si>
  <si>
    <t xml:space="preserve">collateral ratio is: 1.3959947250491538
</t>
  </si>
  <si>
    <t xml:space="preserve"> 1.3959947250491538
</t>
  </si>
  <si>
    <t>S_gtbcps_0 is: 0.9997818065789404</t>
  </si>
  <si>
    <t xml:space="preserve">stdev_gtbcps is: 0.008653237027950286
</t>
  </si>
  <si>
    <t xml:space="preserve"> 0.008653237027950286
</t>
  </si>
  <si>
    <t>predicted price of GTBCPS is: 0.999779092506291</t>
  </si>
  <si>
    <t xml:space="preserve"> actual price is: 0.9997818065789404
</t>
  </si>
  <si>
    <t xml:space="preserve"> 0.9997818065789404
</t>
  </si>
  <si>
    <t>predicted amount of GTBCPS is: 103016170.73857948</t>
  </si>
  <si>
    <t xml:space="preserve"> actual amount is: 103015891.0841893
</t>
  </si>
  <si>
    <t>plot sizes of gold is: 74964108.5827508</t>
  </si>
  <si>
    <t xml:space="preserve"> plot sizes of tb is: 34168954.7274356 </t>
  </si>
  <si>
    <t xml:space="preserve"> plot sizes of reit is: 34645198.92212711</t>
  </si>
  <si>
    <t xml:space="preserve"> plot sizes of total is: 143778262.2323135.
</t>
  </si>
  <si>
    <t xml:space="preserve"> 143778262.2323135.
</t>
  </si>
  <si>
    <t>predicted stdevs of gold is: 0.009207783915840874</t>
  </si>
  <si>
    <t xml:space="preserve"> predicted stdevs of tb is: 0.0031737959946333207</t>
  </si>
  <si>
    <t xml:space="preserve"> predicted stdevs of reit is: 0.012857446096236992</t>
  </si>
  <si>
    <t xml:space="preserve"> predicted stdevs of GTBCPS is: 0.008653237027950286.
</t>
  </si>
  <si>
    <t xml:space="preserve"> 0.008653237027950286.
</t>
  </si>
  <si>
    <t>total_value_of_collaterals is: 143778166.43174046</t>
  </si>
  <si>
    <t xml:space="preserve"> createdtionValue_gold is: 203.50225320001485</t>
  </si>
  <si>
    <t xml:space="preserve"> createdValue_tb is: 92.75723460570654</t>
  </si>
  <si>
    <t xml:space="preserve"> createdValue_reit is: 94.05006425067162
</t>
  </si>
  <si>
    <t xml:space="preserve"> 94.05006425067162
</t>
  </si>
  <si>
    <t>plotValue_gold_after_creation is: 74963836.3878043</t>
  </si>
  <si>
    <t xml:space="preserve"> plotValue_tb_after_creation  is: 34168850.955832355</t>
  </si>
  <si>
    <t xml:space="preserve"> plotValue_reit_after_creation  is: 34645088.77855174</t>
  </si>
  <si>
    <t xml:space="preserve">total_value_after_creation is: 143777776.1221884
</t>
  </si>
  <si>
    <t xml:space="preserve"> 143777776.1221884
</t>
  </si>
  <si>
    <t>total_amount_gtncps_before_creation is: 103015891.0841893</t>
  </si>
  <si>
    <t>creation_amount_gtbcps is: 279.6543901860714</t>
  </si>
  <si>
    <t xml:space="preserve">total_amount_gtbcps_new is: 103016170.73857948
</t>
  </si>
  <si>
    <t xml:space="preserve"> 103016170.73857948
</t>
  </si>
  <si>
    <t>payout of tranche of gold is: -68.69269329883448</t>
  </si>
  <si>
    <t xml:space="preserve"> payout of tranche of Treausry Bill Option is: -11.01436863700297</t>
  </si>
  <si>
    <t xml:space="preserve"> payout of tranche of Collar of REIT is: -16.09351112016921
</t>
  </si>
  <si>
    <t xml:space="preserve"> -16.09351112016921
</t>
  </si>
  <si>
    <t>Collateral size of tranche of gold is: 74963836.3878043</t>
  </si>
  <si>
    <t xml:space="preserve"> collateral size of tranche of Treausry Bill Option is: 34168850.955832355</t>
  </si>
  <si>
    <t xml:space="preserve"> collateral size of tranche of Collar of REIT is: 34645088.77855174
</t>
  </si>
  <si>
    <t xml:space="preserve"> 34645088.77855174
</t>
  </si>
  <si>
    <t>Collateral ratio of tranche of gold is: 0.7278527548608468</t>
  </si>
  <si>
    <t xml:space="preserve"> collateral ratio of tranche of Treausry Bill Option is: 0.3317585318069218</t>
  </si>
  <si>
    <t xml:space="preserve"> collateral ratio of tranche of Collar of REIT is: 0.33638250821925536
</t>
  </si>
  <si>
    <t xml:space="preserve"> 0.33638250821925536
</t>
  </si>
  <si>
    <t xml:space="preserve">date is: 2022-10-06 00:00:00
</t>
  </si>
  <si>
    <t xml:space="preserve"> 2022-10-06 00</t>
  </si>
  <si>
    <t>current price of gold is: 1712.53</t>
  </si>
  <si>
    <t xml:space="preserve"> predicted price of gold is: 1708.8812092378676
</t>
  </si>
  <si>
    <t xml:space="preserve"> 1708.8812092378676
</t>
  </si>
  <si>
    <t>current price of tb is: 88.40234375</t>
  </si>
  <si>
    <t xml:space="preserve"> current price of tb option is: 4.2267027655240454</t>
  </si>
  <si>
    <t xml:space="preserve"> predicted price of tb is: 88.6849453088909
</t>
  </si>
  <si>
    <t xml:space="preserve"> 88.6849453088909
</t>
  </si>
  <si>
    <t>current price of reit is: 54.95</t>
  </si>
  <si>
    <t xml:space="preserve"> current price of reit option is: 5.391754405553037</t>
  </si>
  <si>
    <t xml:space="preserve"> predicted price of reit is: 55.385915784713454
</t>
  </si>
  <si>
    <t xml:space="preserve"> 55.385915784713454
</t>
  </si>
  <si>
    <t>value_ratio_gold_to_total is: -0.5455577922394524</t>
  </si>
  <si>
    <t xml:space="preserve"> risk_ratio_to_gold is: 0.5375504328491787</t>
  </si>
  <si>
    <t xml:space="preserve"> risk_ratio_to_gold_before is: 0.5446450760083491
</t>
  </si>
  <si>
    <t xml:space="preserve"> 0.5446450760083491
</t>
  </si>
  <si>
    <t>value_ratio_tb_to_total is: 0.6742195626273507</t>
  </si>
  <si>
    <t xml:space="preserve"> risk_ratio_tb_to_gold is: 0.4214622618935307</t>
  </si>
  <si>
    <t xml:space="preserve"> risk_ratio_tb_to_gold_before is: 0.4093180921780992
</t>
  </si>
  <si>
    <t xml:space="preserve"> 0.4093180921780992
</t>
  </si>
  <si>
    <t>value_ratio_reit_to_total is: 0.8713382296121017</t>
  </si>
  <si>
    <t xml:space="preserve"> risk_ratio_reit_to_gold is: 0.43882830600667505</t>
  </si>
  <si>
    <t xml:space="preserve"> risk_ratio_reit_to_gold_before is: 0.4267400015237716
</t>
  </si>
  <si>
    <t xml:space="preserve"> 0.4267400015237716
</t>
  </si>
  <si>
    <t>delta_gold is: 0.9978266696188223</t>
  </si>
  <si>
    <t xml:space="preserve"> delta_tb is: 0.9968030115865764</t>
  </si>
  <si>
    <t xml:space="preserve"> delta_reit is: 0.983159958933389
</t>
  </si>
  <si>
    <t xml:space="preserve"> 0.983159958933389
</t>
  </si>
  <si>
    <t>delta_gold_risk is: 0.9954069428185378</t>
  </si>
  <si>
    <t xml:space="preserve"> delta_tb_risk is: 1.0086170537246582</t>
  </si>
  <si>
    <t xml:space="preserve"> delta_reit_risk is: 1.0084726750984714
</t>
  </si>
  <si>
    <t xml:space="preserve"> 1.0084726750984714
</t>
  </si>
  <si>
    <t xml:space="preserve">collateral_ratio_tranche_gold is: 0.7296220863190048
</t>
  </si>
  <si>
    <t xml:space="preserve"> 0.7296220863190048
</t>
  </si>
  <si>
    <t xml:space="preserve">collateral_ratio_tranche_tb is: 0.3285867352835085
</t>
  </si>
  <si>
    <t xml:space="preserve"> 0.3285867352835085
</t>
  </si>
  <si>
    <t xml:space="preserve">collateral_ratio_tranche_reit is: 0.32865356268397494
</t>
  </si>
  <si>
    <t xml:space="preserve"> 0.32865356268397494
</t>
  </si>
  <si>
    <t>Total plot size is: 142922192.80068415</t>
  </si>
  <si>
    <t xml:space="preserve"> plot size of gold is: 74800915.20469305</t>
  </si>
  <si>
    <t xml:space="preserve"> plot size of TB is: 34059613.53522656</t>
  </si>
  <si>
    <t xml:space="preserve"> plot size of REIT is: 34061664.06076455
</t>
  </si>
  <si>
    <t xml:space="preserve"> 34061664.06076455
</t>
  </si>
  <si>
    <t xml:space="preserve">collateral ratio is: 1.3876828398428946
</t>
  </si>
  <si>
    <t xml:space="preserve"> 1.3876828398428946
</t>
  </si>
  <si>
    <t>S_gtbcps_0 is: 0.999779092506291</t>
  </si>
  <si>
    <t xml:space="preserve">stdev_gtbcps is: 0.008524815043427898
</t>
  </si>
  <si>
    <t xml:space="preserve"> 0.008524815043427898
</t>
  </si>
  <si>
    <t>predicted price of GTBCPS is: 0.9997858754704199</t>
  </si>
  <si>
    <t xml:space="preserve"> actual price is: 0.999779092506291
</t>
  </si>
  <si>
    <t xml:space="preserve"> 0.999779092506291
</t>
  </si>
  <si>
    <t>predicted amount of GTBCPS is: 103015471.83393605</t>
  </si>
  <si>
    <t xml:space="preserve"> actual amount is: 103016170.73857948
</t>
  </si>
  <si>
    <t>plot sizes of gold is: 74800915.20469305</t>
  </si>
  <si>
    <t xml:space="preserve"> plot sizes of tb is: 34059613.53522656 </t>
  </si>
  <si>
    <t xml:space="preserve"> plot sizes of reit is: 34061664.06076455</t>
  </si>
  <si>
    <t xml:space="preserve"> plot sizes of total is: 142922192.80068415.
</t>
  </si>
  <si>
    <t xml:space="preserve"> 142922192.80068415.
</t>
  </si>
  <si>
    <t>predicted stdevs of gold is: 0.008963303822175544</t>
  </si>
  <si>
    <t xml:space="preserve"> predicted stdevs of tb is: 0.003136323676202863</t>
  </si>
  <si>
    <t xml:space="preserve"> predicted stdevs of reit is: 0.012950041341220643</t>
  </si>
  <si>
    <t xml:space="preserve"> predicted stdevs of GTBCPS is: 0.008524815043427898.
</t>
  </si>
  <si>
    <t xml:space="preserve"> 0.008524815043427898.
</t>
  </si>
  <si>
    <t>total_value_of_collaterals is: 142922432.2724326</t>
  </si>
  <si>
    <t xml:space="preserve"> createdtionValue_gold is: -507.4851360587928</t>
  </si>
  <si>
    <t xml:space="preserve"> createdValue_tb is: -231.07643585940426</t>
  </si>
  <si>
    <t xml:space="preserve"> createdValue_reit is: -231.09036276132065
</t>
  </si>
  <si>
    <t xml:space="preserve"> -231.09036276132065
</t>
  </si>
  <si>
    <t>plotValue_gold_after_creation is: 74801585.47360156</t>
  </si>
  <si>
    <t xml:space="preserve"> plotValue_tb_after_creation  is: 34059881.83636172</t>
  </si>
  <si>
    <t xml:space="preserve"> plotValue_reit_after_creation  is: 34061934.614404</t>
  </si>
  <si>
    <t xml:space="preserve">total_value_after_creation is: 142923401.92436728
</t>
  </si>
  <si>
    <t xml:space="preserve"> 142923401.92436728
</t>
  </si>
  <si>
    <t>total_amount_gtncps_before_creation is: 103016170.73857948</t>
  </si>
  <si>
    <t>creation_amount_gtbcps is: -698.9046434313059</t>
  </si>
  <si>
    <t xml:space="preserve">total_amount_gtbcps_new is: 103015471.83393605
</t>
  </si>
  <si>
    <t xml:space="preserve"> 103015471.83393605
</t>
  </si>
  <si>
    <t>payout of tranche of gold is: 162.78377245223524</t>
  </si>
  <si>
    <t xml:space="preserve"> payout of tranche of Treausry Bill Option is: 37.22469930575031</t>
  </si>
  <si>
    <t xml:space="preserve"> payout of tranche of Collar of REIT is: 39.46327668343214
</t>
  </si>
  <si>
    <t xml:space="preserve"> 39.46327668343214
</t>
  </si>
  <si>
    <t>Collateral size of tranche of gold is: 74801585.47360156</t>
  </si>
  <si>
    <t xml:space="preserve"> collateral size of tranche of Treausry Bill Option is: 34059881.83636172</t>
  </si>
  <si>
    <t xml:space="preserve"> collateral size of tranche of Collar of REIT is: 34061934.614404
</t>
  </si>
  <si>
    <t xml:space="preserve"> 34061934.614404
</t>
  </si>
  <si>
    <t>Collateral ratio of tranche of gold is: 0.7262704992995795</t>
  </si>
  <si>
    <t xml:space="preserve"> collateral ratio of tranche of Treausry Bill Option is: 0.3306973673186246</t>
  </si>
  <si>
    <t xml:space="preserve"> collateral ratio of tranche of Collar of REIT is: 0.3307172983418011
</t>
  </si>
  <si>
    <t xml:space="preserve"> 0.3307172983418011
</t>
  </si>
  <si>
    <t xml:space="preserve">date is: 2022-10-07 00:00:00
</t>
  </si>
  <si>
    <t xml:space="preserve"> 2022-10-07 00</t>
  </si>
  <si>
    <t>current price of gold is: 1694.82</t>
  </si>
  <si>
    <t xml:space="preserve"> predicted price of gold is: 1699.6747451701933
</t>
  </si>
  <si>
    <t xml:space="preserve"> 1699.6747451701933
</t>
  </si>
  <si>
    <t>current price of tb is: 88.234375</t>
  </si>
  <si>
    <t xml:space="preserve"> current price of tb option is: 4.222941122494513</t>
  </si>
  <si>
    <t xml:space="preserve"> predicted price of tb is: 88.5208655348204
</t>
  </si>
  <si>
    <t xml:space="preserve"> 88.5208655348204
</t>
  </si>
  <si>
    <t>current price of reit is: 54.85</t>
  </si>
  <si>
    <t xml:space="preserve"> current price of reit option is: 5.363737253593818</t>
  </si>
  <si>
    <t xml:space="preserve"> predicted price of reit is: 55.53780124674967
</t>
  </si>
  <si>
    <t xml:space="preserve"> 55.53780124674967
</t>
  </si>
  <si>
    <t>value_ratio_gold_to_total is: 0.314921822759807</t>
  </si>
  <si>
    <t xml:space="preserve"> risk_ratio_to_gold is: 0.5359903881460032</t>
  </si>
  <si>
    <t xml:space="preserve"> risk_ratio_to_gold_before is: 0.5375504328491787
</t>
  </si>
  <si>
    <t xml:space="preserve"> 0.5375504328491787
</t>
  </si>
  <si>
    <t>value_ratio_tb_to_total is: 0.2925217261353851</t>
  </si>
  <si>
    <t xml:space="preserve"> risk_ratio_tb_to_gold is: 0.4233511552437221</t>
  </si>
  <si>
    <t xml:space="preserve"> risk_ratio_tb_to_gold_before is: 0.4214622618935307
</t>
  </si>
  <si>
    <t xml:space="preserve"> 0.4214622618935307
</t>
  </si>
  <si>
    <t>value_ratio_reit_to_total is: 0.3925564511048079</t>
  </si>
  <si>
    <t xml:space="preserve"> risk_ratio_reit_to_gold is: 0.4423539434223404</t>
  </si>
  <si>
    <t xml:space="preserve"> risk_ratio_reit_to_gold_before is: 0.43882830600667505
</t>
  </si>
  <si>
    <t xml:space="preserve"> 0.43882830600667505
</t>
  </si>
  <si>
    <t>delta_gold is: 0.9896585753242279</t>
  </si>
  <si>
    <t xml:space="preserve"> delta_tb is: 0.998146041663068</t>
  </si>
  <si>
    <t xml:space="preserve"> delta_reit is: 0.9978784648669837
</t>
  </si>
  <si>
    <t xml:space="preserve"> 0.9978784648669837
</t>
  </si>
  <si>
    <t>delta_gold_risk is: 0.9989853700601647</t>
  </si>
  <si>
    <t xml:space="preserve"> delta_tb_risk is: 1.0013288381976988</t>
  </si>
  <si>
    <t xml:space="preserve"> delta_reit_risk is: 1.0024503531108937
</t>
  </si>
  <si>
    <t xml:space="preserve"> 1.0024503531108937
</t>
  </si>
  <si>
    <t xml:space="preserve">collateral_ratio_tranche_gold is: 0.7194898435735345
</t>
  </si>
  <si>
    <t xml:space="preserve"> 0.7194898435735345
</t>
  </si>
  <si>
    <t xml:space="preserve">collateral_ratio_tranche_tb is: 0.3330908556805881
</t>
  </si>
  <si>
    <t xml:space="preserve"> 0.3330908556805881
</t>
  </si>
  <si>
    <t xml:space="preserve">collateral_ratio_tranche_reit is: 0.33264905686234153
</t>
  </si>
  <si>
    <t xml:space="preserve"> 0.33264905686234153
</t>
  </si>
  <si>
    <t>Total plot size is: 142014437.76969528</t>
  </si>
  <si>
    <t xml:space="preserve"> plot size of gold is: 74028030.51179798</t>
  </si>
  <si>
    <t xml:space="preserve"> plot size of TB is: 33996736.234476276</t>
  </si>
  <si>
    <t xml:space="preserve"> plot size of REIT is: 33989671.02342104
</t>
  </si>
  <si>
    <t xml:space="preserve"> 33989671.02342104
</t>
  </si>
  <si>
    <t xml:space="preserve">collateral ratio is: 1.3788691206114734
</t>
  </si>
  <si>
    <t xml:space="preserve"> 1.3788691206114734
</t>
  </si>
  <si>
    <t>S_gtbcps_0 is: 0.9997858754704199</t>
  </si>
  <si>
    <t xml:space="preserve">stdev_gtbcps is: 0.008501990731343563
</t>
  </si>
  <si>
    <t xml:space="preserve"> 0.008501990731343563
</t>
  </si>
  <si>
    <t>predicted price of GTBCPS is: 0.9997478377008511</t>
  </si>
  <si>
    <t xml:space="preserve"> actual price is: 0.9997858754704199
</t>
  </si>
  <si>
    <t xml:space="preserve"> 0.9997858754704199
</t>
  </si>
  <si>
    <t>predicted amount of GTBCPS is: 103019391.30105755</t>
  </si>
  <si>
    <t xml:space="preserve"> actual amount is: 103015471.83393605
</t>
  </si>
  <si>
    <t>plot sizes of gold is: 74028030.51179798</t>
  </si>
  <si>
    <t xml:space="preserve"> plot sizes of tb is: 33996736.234476276 </t>
  </si>
  <si>
    <t xml:space="preserve"> plot sizes of reit is: 33989671.02342104</t>
  </si>
  <si>
    <t xml:space="preserve"> plot sizes of total is: 142014437.7696953.
</t>
  </si>
  <si>
    <t xml:space="preserve"> 142014437.7696953.
</t>
  </si>
  <si>
    <t>predicted stdevs of gold is: 0.008924300044012968</t>
  </si>
  <si>
    <t xml:space="preserve"> predicted stdevs of tb is: 0.003139656214580612</t>
  </si>
  <si>
    <t xml:space="preserve"> predicted stdevs of reit is: 0.01294566849979373</t>
  </si>
  <si>
    <t xml:space="preserve"> predicted stdevs of GTBCPS is: 0.008501990731343563.
</t>
  </si>
  <si>
    <t xml:space="preserve"> 0.008501990731343563.
</t>
  </si>
  <si>
    <t>total_value_of_collaterals is: 142013092.7216594</t>
  </si>
  <si>
    <t xml:space="preserve"> createdtionValue_gold is: 2816.429724301103</t>
  </si>
  <si>
    <t xml:space="preserve"> createdValue_tb is: 1293.4283935834721</t>
  </si>
  <si>
    <t xml:space="preserve"> createdValue_reit is: 1293.1600975696451
</t>
  </si>
  <si>
    <t xml:space="preserve"> 1293.1600975696451
</t>
  </si>
  <si>
    <t>plotValue_gold_after_creation is: 74024306.8616943</t>
  </si>
  <si>
    <t xml:space="preserve"> plotValue_tb_after_creation  is: 33995217.23696139</t>
  </si>
  <si>
    <t xml:space="preserve"> plotValue_reit_after_creation  is: 33988165.60478824</t>
  </si>
  <si>
    <t xml:space="preserve">total_value_after_creation is: 142007689.70344394
</t>
  </si>
  <si>
    <t xml:space="preserve"> 142007689.70344394
</t>
  </si>
  <si>
    <t>total_amount_gtncps_before_creation is: 103015471.83393605</t>
  </si>
  <si>
    <t>creation_amount_gtbcps is: 3919.4671214967966</t>
  </si>
  <si>
    <t xml:space="preserve">total_amount_gtbcps_new is: 103019391.30105755
</t>
  </si>
  <si>
    <t xml:space="preserve"> 103019391.30105755
</t>
  </si>
  <si>
    <t>payout of tranche of gold is: -907.2203793618844</t>
  </si>
  <si>
    <t xml:space="preserve"> payout of tranche of Treausry Bill Option is: -225.56912130733383</t>
  </si>
  <si>
    <t xml:space="preserve"> payout of tranche of Collar of REIT is: -212.25853523807982
</t>
  </si>
  <si>
    <t xml:space="preserve"> -212.25853523807982
</t>
  </si>
  <si>
    <t>Collateral size of tranche of gold is: 74024306.8616943</t>
  </si>
  <si>
    <t xml:space="preserve"> collateral size of tranche of Treausry Bill Option is: 33995217.23696139</t>
  </si>
  <si>
    <t xml:space="preserve"> collateral size of tranche of Collar of REIT is: 33988165.60478824
</t>
  </si>
  <si>
    <t xml:space="preserve"> 33988165.60478824
</t>
  </si>
  <si>
    <t>Collateral ratio of tranche of gold is: 0.7187558955080916</t>
  </si>
  <si>
    <t xml:space="preserve"> collateral ratio of tranche of Treausry Bill Option is: 0.3300843174904269</t>
  </si>
  <si>
    <t xml:space="preserve"> collateral ratio of tranche of Collar of REIT is: 0.33001584805907
</t>
  </si>
  <si>
    <t xml:space="preserve"> 0.33001584805907
</t>
  </si>
  <si>
    <t xml:space="preserve">date is: 2022-10-11 00:00:00
</t>
  </si>
  <si>
    <t xml:space="preserve"> 2022-10-11 00</t>
  </si>
  <si>
    <t>current price of gold is: 1666.34</t>
  </si>
  <si>
    <t xml:space="preserve"> predicted price of gold is: 1683.2712740530808
</t>
  </si>
  <si>
    <t xml:space="preserve"> 1683.2712740530808
</t>
  </si>
  <si>
    <t>current price of tb is: 88.22265625</t>
  </si>
  <si>
    <t xml:space="preserve"> current price of tb option is: 4.220124799020214</t>
  </si>
  <si>
    <t xml:space="preserve"> predicted price of tb is: 88.51205908769666
</t>
  </si>
  <si>
    <t xml:space="preserve"> 88.51205908769666
</t>
  </si>
  <si>
    <t>current price of reit is: 53.3</t>
  </si>
  <si>
    <t xml:space="preserve"> current price of reit option is: 5.414608272316713</t>
  </si>
  <si>
    <t xml:space="preserve"> predicted price of reit is: 53.85255532778639
</t>
  </si>
  <si>
    <t xml:space="preserve"> 53.85255532778639
</t>
  </si>
  <si>
    <t>value_ratio_gold_to_total is: 0.6177501275265999</t>
  </si>
  <si>
    <t xml:space="preserve"> risk_ratio_to_gold is: 0.534886562742603</t>
  </si>
  <si>
    <t xml:space="preserve"> risk_ratio_to_gold_before is: 0.5359903881460032
</t>
  </si>
  <si>
    <t xml:space="preserve"> 0.5359903881460032
</t>
  </si>
  <si>
    <t>value_ratio_tb_to_total is: 0.1645334700704148</t>
  </si>
  <si>
    <t xml:space="preserve"> risk_ratio_tb_to_gold is: 0.42754241154539485</t>
  </si>
  <si>
    <t xml:space="preserve"> risk_ratio_tb_to_gold_before is: 0.4233511552437221
</t>
  </si>
  <si>
    <t xml:space="preserve"> 0.4233511552437221
</t>
  </si>
  <si>
    <t>value_ratio_reit_to_total is: 0.21771640240298532</t>
  </si>
  <si>
    <t xml:space="preserve"> risk_ratio_reit_to_gold is: 0.4420128729855009</t>
  </si>
  <si>
    <t xml:space="preserve"> risk_ratio_reit_to_gold_before is: 0.4423539434223404
</t>
  </si>
  <si>
    <t xml:space="preserve"> 0.4423539434223404
</t>
  </si>
  <si>
    <t>delta_gold is: 0.9831958556070851</t>
  </si>
  <si>
    <t xml:space="preserve"> delta_tb is: 0.9998427915271189</t>
  </si>
  <si>
    <t xml:space="preserve"> delta_reit is: 0.9751032065164227
</t>
  </si>
  <si>
    <t xml:space="preserve"> 0.9751032065164227
</t>
  </si>
  <si>
    <t>delta_gold_risk is: 0.99928135917261</t>
  </si>
  <si>
    <t xml:space="preserve"> delta_tb_risk is: 1.002944639687987</t>
  </si>
  <si>
    <t xml:space="preserve"> delta_reit_risk is: 0.9997635320800452
</t>
  </si>
  <si>
    <t xml:space="preserve"> 0.9997635320800452
</t>
  </si>
  <si>
    <t xml:space="preserve">collateral_ratio_tranche_gold is: 0.7071860304107278
</t>
  </si>
  <si>
    <t xml:space="preserve"> 0.7071860304107278
</t>
  </si>
  <si>
    <t xml:space="preserve">collateral_ratio_tranche_tb is: 0.33468759073921944
</t>
  </si>
  <si>
    <t xml:space="preserve"> 0.33468759073921944
</t>
  </si>
  <si>
    <t xml:space="preserve">collateral_ratio_tranche_reit is: 0.32737691383411605
</t>
  </si>
  <si>
    <t xml:space="preserve"> 0.32737691383411605
</t>
  </si>
  <si>
    <t>Total plot size is: 139912233.88621944</t>
  </si>
  <si>
    <t xml:space="preserve"> plot size of gold is: 72780391.72060496</t>
  </si>
  <si>
    <t xml:space="preserve"> plot size of TB is: 33989872.9007743</t>
  </si>
  <si>
    <t xml:space="preserve"> plot size of REIT is: 33141969.264840197
</t>
  </si>
  <si>
    <t xml:space="preserve"> 33141969.264840197
</t>
  </si>
  <si>
    <t xml:space="preserve">collateral ratio is: 1.358458068991108
</t>
  </si>
  <si>
    <t xml:space="preserve"> 1.358458068991108
</t>
  </si>
  <si>
    <t>S_gtbcps_0 is: 0.9997478377008511</t>
  </si>
  <si>
    <t xml:space="preserve">stdev_gtbcps is: 0.00848347592934361
</t>
  </si>
  <si>
    <t xml:space="preserve"> 0.00848347592934361
</t>
  </si>
  <si>
    <t>predicted price of GTBCPS is: 0.9997407802290548</t>
  </si>
  <si>
    <t xml:space="preserve"> actual price is: 0.9997478377008511
</t>
  </si>
  <si>
    <t xml:space="preserve"> 0.9997478377008511
</t>
  </si>
  <si>
    <t>predicted amount of GTBCPS is: 103020118.5460224</t>
  </si>
  <si>
    <t xml:space="preserve"> actual amount is: 103019391.30105755
</t>
  </si>
  <si>
    <t>plot sizes of gold is: 72780391.72060496</t>
  </si>
  <si>
    <t xml:space="preserve"> plot sizes of tb is: 33989872.9007743 </t>
  </si>
  <si>
    <t xml:space="preserve"> plot sizes of reit is: 33141969.264840197</t>
  </si>
  <si>
    <t xml:space="preserve"> plot sizes of total is: 139912233.88621944.
</t>
  </si>
  <si>
    <t xml:space="preserve"> 139912233.88621944.
</t>
  </si>
  <si>
    <t>predicted stdevs of gold is: 0.008834327953097182</t>
  </si>
  <si>
    <t xml:space="preserve"> predicted stdevs of tb is: 0.0031246563474979882</t>
  </si>
  <si>
    <t xml:space="preserve"> predicted stdevs of reit is: 0.01320891778552524</t>
  </si>
  <si>
    <t xml:space="preserve"> predicted stdevs of GTBCPS is: 0.00848347592934361.
</t>
  </si>
  <si>
    <t xml:space="preserve"> 0.00848347592934361.
</t>
  </si>
  <si>
    <t>total_value_of_collaterals is: 139911984.17962432</t>
  </si>
  <si>
    <t xml:space="preserve"> createdtionValue_gold is: 513.7738609466368</t>
  </si>
  <si>
    <t xml:space="preserve"> createdValue_tb is: 239.94276917864377</t>
  </si>
  <si>
    <t xml:space="preserve"> createdValue_reit is: 233.95730631810798
</t>
  </si>
  <si>
    <t xml:space="preserve"> 233.95730631810798
</t>
  </si>
  <si>
    <t>plotValue_gold_after_creation is: 72779700.07234147</t>
  </si>
  <si>
    <t xml:space="preserve"> plotValue_tb_after_creation  is: 33989589.78405978</t>
  </si>
  <si>
    <t xml:space="preserve"> plotValue_reit_after_creation  is: 33141706.64928664</t>
  </si>
  <si>
    <t xml:space="preserve">total_value_after_creation is: 139910996.5056879
</t>
  </si>
  <si>
    <t xml:space="preserve"> 139910996.5056879
</t>
  </si>
  <si>
    <t>total_amount_gtncps_before_creation is: 103019391.30105755</t>
  </si>
  <si>
    <t>creation_amount_gtbcps is: 727.2449648529291</t>
  </si>
  <si>
    <t xml:space="preserve">total_amount_gtbcps_new is: 103020118.5460224
</t>
  </si>
  <si>
    <t xml:space="preserve"> 103020118.5460224
</t>
  </si>
  <si>
    <t>payout of tranche of gold is: -177.87440254492714</t>
  </si>
  <si>
    <t xml:space="preserve"> payout of tranche of Treausry Bill Option is: -43.17394534412775</t>
  </si>
  <si>
    <t xml:space="preserve"> payout of tranche of Collar of REIT is: -28.65824724145543
</t>
  </si>
  <si>
    <t xml:space="preserve"> -28.65824724145543
</t>
  </si>
  <si>
    <t>Collateral size of tranche of gold is: 72779700.07234147</t>
  </si>
  <si>
    <t xml:space="preserve"> collateral size of tranche of Treausry Bill Option is: 33989589.78405978</t>
  </si>
  <si>
    <t xml:space="preserve"> collateral size of tranche of Collar of REIT is: 33141706.64928664
</t>
  </si>
  <si>
    <t xml:space="preserve"> 33141706.64928664
</t>
  </si>
  <si>
    <t>Collateral ratio of tranche of gold is: 0.7066492044053487</t>
  </si>
  <si>
    <t xml:space="preserve"> collateral ratio of tranche of Treausry Bill Option is: 0.3300194498616499</t>
  </si>
  <si>
    <t xml:space="preserve"> collateral ratio of tranche of Collar of REIT is: 0.32178699023320123
</t>
  </si>
  <si>
    <t xml:space="preserve"> 0.32178699023320123
</t>
  </si>
  <si>
    <t xml:space="preserve">date is: 2022-10-12 00:00:00
</t>
  </si>
  <si>
    <t xml:space="preserve"> 2022-10-12 00</t>
  </si>
  <si>
    <t>current price of gold is: 1673.19</t>
  </si>
  <si>
    <t xml:space="preserve"> predicted price of gold is: 1669.9562337001466
</t>
  </si>
  <si>
    <t xml:space="preserve"> 1669.9562337001466
</t>
  </si>
  <si>
    <t>current price of tb is: 88.34375</t>
  </si>
  <si>
    <t xml:space="preserve"> current price of tb option is: 4.221169837691919</t>
  </si>
  <si>
    <t xml:space="preserve"> predicted price of tb is: 88.63207285631616
</t>
  </si>
  <si>
    <t xml:space="preserve"> 88.63207285631616
</t>
  </si>
  <si>
    <t>current price of reit is: 52.25</t>
  </si>
  <si>
    <t xml:space="preserve"> current price of reit option is: 5.520105231257183</t>
  </si>
  <si>
    <t xml:space="preserve"> predicted price of reit is: 52.734526000949614
</t>
  </si>
  <si>
    <t xml:space="preserve"> 52.734526000949614
</t>
  </si>
  <si>
    <t>value_ratio_gold_to_total is: -0.4441768475966435</t>
  </si>
  <si>
    <t xml:space="preserve"> risk_ratio_to_gold is: 0.5416495985453562</t>
  </si>
  <si>
    <t xml:space="preserve"> risk_ratio_to_gold_before is: 0.534886562742603
</t>
  </si>
  <si>
    <t xml:space="preserve"> 0.534886562742603
</t>
  </si>
  <si>
    <t>value_ratio_tb_to_total is: 0.6194053816366994</t>
  </si>
  <si>
    <t xml:space="preserve"> risk_ratio_tb_to_gold is: 0.4201886078152508</t>
  </si>
  <si>
    <t xml:space="preserve"> risk_ratio_tb_to_gold_before is: 0.42754241154539485
</t>
  </si>
  <si>
    <t xml:space="preserve"> 0.42754241154539485
</t>
  </si>
  <si>
    <t>value_ratio_reit_to_total is: 0.824771465959944</t>
  </si>
  <si>
    <t xml:space="preserve"> risk_ratio_reit_to_gold is: 0.426023413176883</t>
  </si>
  <si>
    <t xml:space="preserve"> risk_ratio_reit_to_gold_before is: 0.4420128729855009
</t>
  </si>
  <si>
    <t xml:space="preserve"> 0.4420128729855009
</t>
  </si>
  <si>
    <t>delta_gold is: 1.0041108057179209</t>
  </si>
  <si>
    <t xml:space="preserve"> delta_tb is: 1.0013212366318462</t>
  </si>
  <si>
    <t xml:space="preserve"> delta_reit is: 0.9839136618832753
</t>
  </si>
  <si>
    <t xml:space="preserve"> 0.9839136618832753
</t>
  </si>
  <si>
    <t>delta_gold_risk is: 1.0044062121377026</t>
  </si>
  <si>
    <t xml:space="preserve"> delta_tb_risk is: 0.9948486267933832</t>
  </si>
  <si>
    <t xml:space="preserve"> delta_reit_risk is: 0.9889117079963969
</t>
  </si>
  <si>
    <t xml:space="preserve"> 0.9889117079963969
</t>
  </si>
  <si>
    <t xml:space="preserve">collateral_ratio_tranche_gold is: 0.7064413714499246
</t>
  </si>
  <si>
    <t xml:space="preserve"> 0.7064413714499246
</t>
  </si>
  <si>
    <t xml:space="preserve">collateral_ratio_tranche_tb is: 0.33080671562175756
</t>
  </si>
  <si>
    <t xml:space="preserve"> 0.33080671562175756
</t>
  </si>
  <si>
    <t xml:space="preserve">collateral_ratio_tranche_reit is: 0.3188499206128434
</t>
  </si>
  <si>
    <t xml:space="preserve"> 0.3188499206128434
</t>
  </si>
  <si>
    <t>Total plot size is: 139721959.30509225</t>
  </si>
  <si>
    <t xml:space="preserve"> plot size of gold is: 73078883.27954742</t>
  </si>
  <si>
    <t xml:space="preserve"> plot size of TB is: 34034498.075183906</t>
  </si>
  <si>
    <t xml:space="preserve"> plot size of REIT is: 32608577.950360913
</t>
  </si>
  <si>
    <t xml:space="preserve"> 32608577.950360913
</t>
  </si>
  <si>
    <t xml:space="preserve">collateral ratio is: 1.3566106248264589
</t>
  </si>
  <si>
    <t xml:space="preserve"> 1.3566106248264589
</t>
  </si>
  <si>
    <t>S_gtbcps_0 is: 0.9997407802290548</t>
  </si>
  <si>
    <t xml:space="preserve">stdev_gtbcps is: 0.008484990993534561
</t>
  </si>
  <si>
    <t xml:space="preserve"> 0.008484990993534561
</t>
  </si>
  <si>
    <t>predicted price of GTBCPS is: 0.9997437148874996</t>
  </si>
  <si>
    <t xml:space="preserve"> actual price is: 0.9997407802290548
</t>
  </si>
  <si>
    <t xml:space="preserve"> 0.9997407802290548
</t>
  </si>
  <si>
    <t>predicted amount of GTBCPS is: 103019816.13965927</t>
  </si>
  <si>
    <t xml:space="preserve"> actual amount is: 103020118.5460224
</t>
  </si>
  <si>
    <t>plot sizes of gold is: 73078883.27954742</t>
  </si>
  <si>
    <t xml:space="preserve"> plot sizes of tb is: 34034498.075183906 </t>
  </si>
  <si>
    <t xml:space="preserve"> plot sizes of reit is: 32608577.950360913</t>
  </si>
  <si>
    <t xml:space="preserve"> plot sizes of total is: 139721959.30509225.
</t>
  </si>
  <si>
    <t xml:space="preserve"> 139721959.30509225.
</t>
  </si>
  <si>
    <t>predicted stdevs of gold is: 0.008969015871097807</t>
  </si>
  <si>
    <t xml:space="preserve"> predicted stdevs of tb is: 0.003129036921461687</t>
  </si>
  <si>
    <t xml:space="preserve"> predicted stdevs of reit is: 0.01299040706069765</t>
  </si>
  <si>
    <t xml:space="preserve"> predicted stdevs of GTBCPS is: 0.008484990993534561.
</t>
  </si>
  <si>
    <t xml:space="preserve"> 0.008484990993534561.
</t>
  </si>
  <si>
    <t>total_value_of_collaterals is: 139722063.158369</t>
  </si>
  <si>
    <t xml:space="preserve"> createdtionValue_gold is: -214.51737536329446</t>
  </si>
  <si>
    <t xml:space="preserve"> createdValue_tb is: -99.90557451969663</t>
  </si>
  <si>
    <t xml:space="preserve"> createdValue_reit is: -95.71989983252968
</t>
  </si>
  <si>
    <t xml:space="preserve"> -95.71989983252968
</t>
  </si>
  <si>
    <t>plotValue_gold_after_creation is: 73079168.08164504</t>
  </si>
  <si>
    <t xml:space="preserve"> plotValue_tb_after_creation  is: 34034614.95952781</t>
  </si>
  <si>
    <t xml:space="preserve"> plotValue_reit_after_creation  is: 32608690.260045867</t>
  </si>
  <si>
    <t xml:space="preserve">total_value_after_creation is: 139722473.30121872
</t>
  </si>
  <si>
    <t xml:space="preserve"> 139722473.30121872
</t>
  </si>
  <si>
    <t>total_amount_gtncps_before_creation is: 103020118.5460224</t>
  </si>
  <si>
    <t>creation_amount_gtbcps is: -302.4063631296158</t>
  </si>
  <si>
    <t xml:space="preserve">total_amount_gtbcps_new is: 103019816.13965927
</t>
  </si>
  <si>
    <t xml:space="preserve"> 103019816.13965927
</t>
  </si>
  <si>
    <t>payout of tranche of gold is: 70.28472225392288</t>
  </si>
  <si>
    <t xml:space="preserve"> payout of tranche of Treausry Bill Option is: 16.97876938261258</t>
  </si>
  <si>
    <t xml:space="preserve"> payout of tranche of Collar of REIT is: 16.589785120692877
</t>
  </si>
  <si>
    <t xml:space="preserve"> 16.589785120692877
</t>
  </si>
  <si>
    <t>Collateral size of tranche of gold is: 73079168.08164504</t>
  </si>
  <si>
    <t xml:space="preserve"> collateral size of tranche of Treausry Bill Option is: 34034614.95952781</t>
  </si>
  <si>
    <t xml:space="preserve"> collateral size of tranche of Collar of REIT is: 32608690.260045867
</t>
  </si>
  <si>
    <t xml:space="preserve"> 32608690.260045867
</t>
  </si>
  <si>
    <t>Collateral ratio of tranche of gold is: 0.70954977549384</t>
  </si>
  <si>
    <t xml:space="preserve"> collateral ratio of tranche of Treausry Bill Option is: 0.3304533157324995</t>
  </si>
  <si>
    <t xml:space="preserve"> collateral ratio of tranche of Collar of REIT is: 0.31660854194883825
</t>
  </si>
  <si>
    <t xml:space="preserve"> 0.31660854194883825
</t>
  </si>
  <si>
    <t xml:space="preserve">date is: 2022-10-13 00:00:00
</t>
  </si>
  <si>
    <t xml:space="preserve"> 2022-10-13 00</t>
  </si>
  <si>
    <t>current price of gold is: 1666.37</t>
  </si>
  <si>
    <t xml:space="preserve"> predicted price of gold is: 1670.3751930762694
</t>
  </si>
  <si>
    <t xml:space="preserve"> 1670.3751930762694
</t>
  </si>
  <si>
    <t>current price of tb is: 87.98046875</t>
  </si>
  <si>
    <t xml:space="preserve"> current price of tb option is: 4.218046380083818</t>
  </si>
  <si>
    <t xml:space="preserve"> predicted price of tb is: 88.2720194750187
</t>
  </si>
  <si>
    <t xml:space="preserve"> 88.2720194750187
</t>
  </si>
  <si>
    <t>current price of reit is: 52.05</t>
  </si>
  <si>
    <t xml:space="preserve"> current price of reit option is: 5.500526998686176</t>
  </si>
  <si>
    <t xml:space="preserve"> predicted price of reit is: 52.59912464778394
</t>
  </si>
  <si>
    <t xml:space="preserve"> 52.59912464778394
</t>
  </si>
  <si>
    <t>value_ratio_gold_to_total is: 0.2749980482336764</t>
  </si>
  <si>
    <t xml:space="preserve"> risk_ratio_to_gold is: 0.5389161428491215</t>
  </si>
  <si>
    <t xml:space="preserve"> risk_ratio_to_gold_before is: 0.5416495985453562
</t>
  </si>
  <si>
    <t xml:space="preserve"> 0.5416495985453562
</t>
  </si>
  <si>
    <t>value_ratio_tb_to_total is: 0.3096306167038778</t>
  </si>
  <si>
    <t xml:space="preserve"> risk_ratio_tb_to_gold is: 0.42320342246604736</t>
  </si>
  <si>
    <t xml:space="preserve"> risk_ratio_tb_to_gold_before is: 0.4201886078152508
</t>
  </si>
  <si>
    <t xml:space="preserve"> 0.4201886078152508
</t>
  </si>
  <si>
    <t>value_ratio_reit_to_total is: 0.4153713350624458</t>
  </si>
  <si>
    <t xml:space="preserve"> risk_ratio_reit_to_gold is: 0.4323728360465252</t>
  </si>
  <si>
    <t xml:space="preserve"> risk_ratio_reit_to_gold_before is: 0.426023413176883
</t>
  </si>
  <si>
    <t xml:space="preserve"> 0.426023413176883
</t>
  </si>
  <si>
    <t>delta_gold is: 0.9959239536454317</t>
  </si>
  <si>
    <t xml:space="preserve"> delta_tb is: 0.9960416461414262</t>
  </si>
  <si>
    <t xml:space="preserve"> delta_reit is: 0.9961991027765654
</t>
  </si>
  <si>
    <t xml:space="preserve"> 0.9961991027765654
</t>
  </si>
  <si>
    <t>delta_gold_risk is: 0.9982269280264374</t>
  </si>
  <si>
    <t xml:space="preserve"> delta_tb_risk is: 1.0021228269500306</t>
  </si>
  <si>
    <t xml:space="preserve"> delta_reit_risk is: 1.0044525376027993
</t>
  </si>
  <si>
    <t xml:space="preserve"> 1.0044525376027993
</t>
  </si>
  <si>
    <t xml:space="preserve">collateral_ratio_tranche_gold is: 0.70791279806002
</t>
  </si>
  <si>
    <t xml:space="preserve"> 0.70791279806002
</t>
  </si>
  <si>
    <t xml:space="preserve">collateral_ratio_tranche_tb is: 0.3297922748529556
</t>
  </si>
  <si>
    <t xml:space="preserve"> 0.3297922748529556
</t>
  </si>
  <si>
    <t xml:space="preserve">collateral_ratio_tranche_reit is: 0.3152921628394189
</t>
  </si>
  <si>
    <t xml:space="preserve"> 0.3152921628394189
</t>
  </si>
  <si>
    <t>Total plot size is: 139165935.89484528</t>
  </si>
  <si>
    <t xml:space="preserve"> plot size of gold is: 72781294.00499097</t>
  </si>
  <si>
    <t xml:space="preserve"> plot size of TB is: 33899893.91007769</t>
  </si>
  <si>
    <t xml:space="preserve"> plot size of REIT is: 32484747.97977662
</t>
  </si>
  <si>
    <t xml:space="preserve"> 32484747.97977662
</t>
  </si>
  <si>
    <t xml:space="preserve">collateral ratio is: 1.3512119940761829
</t>
  </si>
  <si>
    <t xml:space="preserve"> 1.3512119940761829
</t>
  </si>
  <si>
    <t>S_gtbcps_0 is: 0.9997437148874996</t>
  </si>
  <si>
    <t xml:space="preserve">stdev_gtbcps is: 0.008478549119896706
</t>
  </si>
  <si>
    <t xml:space="preserve"> 0.008478549119896706
</t>
  </si>
  <si>
    <t>predicted price of GTBCPS is: 0.9997733998579361</t>
  </si>
  <si>
    <t xml:space="preserve"> actual price is: 0.9997437148874996
</t>
  </si>
  <si>
    <t xml:space="preserve"> 0.9997437148874996
</t>
  </si>
  <si>
    <t>predicted amount of GTBCPS is: 103016757.30633073</t>
  </si>
  <si>
    <t xml:space="preserve"> actual amount is: 103019816.13965927
</t>
  </si>
  <si>
    <t>plot sizes of gold is: 72781294.00499097</t>
  </si>
  <si>
    <t xml:space="preserve"> plot sizes of tb is: 33899893.91007769 </t>
  </si>
  <si>
    <t xml:space="preserve"> plot sizes of reit is: 32484747.97977662</t>
  </si>
  <si>
    <t xml:space="preserve"> plot sizes of total is: 139165935.89484528.
</t>
  </si>
  <si>
    <t xml:space="preserve"> 139165935.89484528.
</t>
  </si>
  <si>
    <t>predicted stdevs of gold is: 0.008949630618794883</t>
  </si>
  <si>
    <t xml:space="preserve"> predicted stdevs of tb is: 0.003147385521292344</t>
  </si>
  <si>
    <t xml:space="preserve"> predicted stdevs of reit is: 0.012986509576585545</t>
  </si>
  <si>
    <t xml:space="preserve"> predicted stdevs of GTBCPS is: 0.008478549119896706.
</t>
  </si>
  <si>
    <t xml:space="preserve"> 0.008478549119896706.
</t>
  </si>
  <si>
    <t>total_value_of_collaterals is: 139166985.1938382</t>
  </si>
  <si>
    <t xml:space="preserve"> createdtionValue_gold is: -2161.088153250456</t>
  </si>
  <si>
    <t xml:space="preserve"> createdValue_tb is: -1006.5793003852856</t>
  </si>
  <si>
    <t xml:space="preserve"> createdValue_reit is: -964.5594158067298
</t>
  </si>
  <si>
    <t xml:space="preserve"> -964.5594158067298
</t>
  </si>
  <si>
    <t>plotValue_gold_after_creation is: 72784254.74569811</t>
  </si>
  <si>
    <t xml:space="preserve"> plotValue_tb_after_creation  is: 33901034.5833396</t>
  </si>
  <si>
    <t xml:space="preserve"> plotValue_reit_after_creation  is: 32485828.09166994</t>
  </si>
  <si>
    <t xml:space="preserve">total_value_after_creation is: 139171117.42070764
</t>
  </si>
  <si>
    <t xml:space="preserve"> 139171117.42070764
</t>
  </si>
  <si>
    <t>total_amount_gtncps_before_creation is: 103019816.13965927</t>
  </si>
  <si>
    <t>creation_amount_gtbcps is: -3058.8333285450935</t>
  </si>
  <si>
    <t xml:space="preserve">total_amount_gtbcps_new is: 103016757.30633073
</t>
  </si>
  <si>
    <t xml:space="preserve"> 103016757.30633073
</t>
  </si>
  <si>
    <t>payout of tranche of gold is: 799.6525538951081</t>
  </si>
  <si>
    <t xml:space="preserve"> payout of tranche of Treausry Bill Option is: 134.093961518836</t>
  </si>
  <si>
    <t xml:space="preserve"> payout of tranche of Collar of REIT is: 115.55247751350458
</t>
  </si>
  <si>
    <t xml:space="preserve"> 115.55247751350458
</t>
  </si>
  <si>
    <t>Collateral size of tranche of gold is: 72784254.74569811</t>
  </si>
  <si>
    <t xml:space="preserve"> collateral size of tranche of Treausry Bill Option is: 33901034.5833396</t>
  </si>
  <si>
    <t xml:space="preserve"> collateral size of tranche of Collar of REIT is: 32485828.09166994
</t>
  </si>
  <si>
    <t xml:space="preserve"> 32485828.09166994
</t>
  </si>
  <si>
    <t>Collateral ratio of tranche of gold is: 0.7066674561680103</t>
  </si>
  <si>
    <t xml:space="preserve"> collateral ratio of tranche of Treausry Bill Option is: 0.3291475327208498</t>
  </si>
  <si>
    <t xml:space="preserve"> collateral ratio of tranche of Collar of REIT is: 0.31540719320765637
</t>
  </si>
  <si>
    <t xml:space="preserve"> 0.31540719320765637
</t>
  </si>
  <si>
    <t xml:space="preserve">date is: 2022-10-14 00:00:00
</t>
  </si>
  <si>
    <t xml:space="preserve"> 2022-10-14 00</t>
  </si>
  <si>
    <t>current price of gold is: 1644.47</t>
  </si>
  <si>
    <t xml:space="preserve"> predicted price of gold is: 1648.790273289618
</t>
  </si>
  <si>
    <t xml:space="preserve"> 1648.790273289618
</t>
  </si>
  <si>
    <t>current price of tb is: 87.859375</t>
  </si>
  <si>
    <t xml:space="preserve"> current price of tb option is: 4.216302619825224</t>
  </si>
  <si>
    <t xml:space="preserve"> predicted price of tb is: 88.1527282337663
</t>
  </si>
  <si>
    <t xml:space="preserve"> 88.1527282337663
</t>
  </si>
  <si>
    <t>current price of reit is: 51.5</t>
  </si>
  <si>
    <t xml:space="preserve"> current price of reit option is: 5.521046076093228</t>
  </si>
  <si>
    <t xml:space="preserve"> predicted price of reit is: 52.04184722278396
</t>
  </si>
  <si>
    <t xml:space="preserve"> 52.04184722278396
</t>
  </si>
  <si>
    <t>value_ratio_gold_to_total is: 0.29009096874807194</t>
  </si>
  <si>
    <t xml:space="preserve"> risk_ratio_to_gold is: 0.5418930074787729</t>
  </si>
  <si>
    <t xml:space="preserve"> risk_ratio_to_gold_before is: 0.5389161428491215
</t>
  </si>
  <si>
    <t xml:space="preserve"> 0.5389161428491215
</t>
  </si>
  <si>
    <t>value_ratio_tb_to_total is: 0.30280733360839496</t>
  </si>
  <si>
    <t xml:space="preserve"> risk_ratio_tb_to_gold is: 0.4186168808993839</t>
  </si>
  <si>
    <t xml:space="preserve"> risk_ratio_tb_to_gold_before is: 0.42320342246604736
</t>
  </si>
  <si>
    <t xml:space="preserve"> 0.42320342246604736
</t>
  </si>
  <si>
    <t>value_ratio_reit_to_total is: 0.4071016976435331</t>
  </si>
  <si>
    <t xml:space="preserve"> risk_ratio_reit_to_gold is: 0.4267658536973014</t>
  </si>
  <si>
    <t xml:space="preserve"> risk_ratio_reit_to_gold_before is: 0.4323728360465252
</t>
  </si>
  <si>
    <t xml:space="preserve"> 0.4323728360465252
</t>
  </si>
  <si>
    <t>delta_gold is: 0.9868576606635981</t>
  </si>
  <si>
    <t xml:space="preserve"> delta_tb is: 0.9986676845057073</t>
  </si>
  <si>
    <t xml:space="preserve"> delta_reit is: 0.9907997206940428
</t>
  </si>
  <si>
    <t xml:space="preserve"> 0.9907997206940428
</t>
  </si>
  <si>
    <t>delta_gold_risk is: 1.0019343904107343</t>
  </si>
  <si>
    <t xml:space="preserve"> delta_tb_risk is: 0.9967773113145582</t>
  </si>
  <si>
    <t xml:space="preserve"> delta_reit_risk is: 0.9960855287058503
</t>
  </si>
  <si>
    <t xml:space="preserve"> 0.9960855287058503
</t>
  </si>
  <si>
    <t xml:space="preserve">collateral_ratio_tranche_gold is: 0.6960337915691002
</t>
  </si>
  <si>
    <t xml:space="preserve"> 0.6960337915691002
</t>
  </si>
  <si>
    <t xml:space="preserve">collateral_ratio_tranche_tb is: 0.3341634454642759
</t>
  </si>
  <si>
    <t xml:space="preserve"> 0.3341634454642759
</t>
  </si>
  <si>
    <t xml:space="preserve">collateral_ratio_tranche_reit is: 0.3179115611723788
</t>
  </si>
  <si>
    <t xml:space="preserve"> 0.3179115611723788
</t>
  </si>
  <si>
    <t>Total plot size is: 137870516.48091596</t>
  </si>
  <si>
    <t xml:space="preserve"> plot size of gold is: 71827699.37148303</t>
  </si>
  <si>
    <t xml:space="preserve"> plot size of TB is: 33855867.709691666</t>
  </si>
  <si>
    <t xml:space="preserve"> plot size of REIT is: 32186949.399741266
</t>
  </si>
  <si>
    <t xml:space="preserve"> 32186949.399741266
</t>
  </si>
  <si>
    <t xml:space="preserve">collateral ratio is: 1.3386343022854057
</t>
  </si>
  <si>
    <t xml:space="preserve"> 1.3386343022854057
</t>
  </si>
  <si>
    <t>S_gtbcps_0 is: 0.9997733998579361</t>
  </si>
  <si>
    <t xml:space="preserve">stdev_gtbcps is: 0.008457217788964497
</t>
  </si>
  <si>
    <t xml:space="preserve"> 0.008457217788964497
</t>
  </si>
  <si>
    <t>predicted price of GTBCPS is: 0.9997277009872814</t>
  </si>
  <si>
    <t xml:space="preserve"> actual price is: 0.9997733998579361
</t>
  </si>
  <si>
    <t xml:space="preserve"> 0.9997733998579361
</t>
  </si>
  <si>
    <t>predicted amount of GTBCPS is: 103021466.33806282</t>
  </si>
  <si>
    <t xml:space="preserve"> actual amount is: 103016757.30633073
</t>
  </si>
  <si>
    <t>plot sizes of gold is: 71827699.37148303</t>
  </si>
  <si>
    <t xml:space="preserve"> plot sizes of tb is: 33855867.709691666 </t>
  </si>
  <si>
    <t xml:space="preserve"> plot sizes of reit is: 32186949.399741266</t>
  </si>
  <si>
    <t xml:space="preserve"> plot sizes of total is: 137870516.48091596.
</t>
  </si>
  <si>
    <t xml:space="preserve"> 137870516.48091596.
</t>
  </si>
  <si>
    <t>predicted stdevs of gold is: 0.00894609332734199</t>
  </si>
  <si>
    <t xml:space="preserve"> predicted stdevs of tb is: 0.003114297304450575</t>
  </si>
  <si>
    <t xml:space="preserve"> predicted stdevs of reit is: 0.01298620878143259</t>
  </si>
  <si>
    <t xml:space="preserve"> predicted stdevs of GTBCPS is: 0.008457217788964497.
</t>
  </si>
  <si>
    <t xml:space="preserve"> 0.008457217788964497.
</t>
  </si>
  <si>
    <t>total_value_of_collaterals is: 137868898.17497373</t>
  </si>
  <si>
    <t xml:space="preserve"> createdtionValue_gold is: 3283.138967735074</t>
  </si>
  <si>
    <t xml:space="preserve"> createdValue_tb is: 1547.5124900213257</t>
  </si>
  <si>
    <t xml:space="preserve"> createdValue_reit is: 1471.2294943629056
</t>
  </si>
  <si>
    <t xml:space="preserve"> 1471.2294943629056
</t>
  </si>
  <si>
    <t>plotValue_gold_after_creation is: 71823327.9119333</t>
  </si>
  <si>
    <t xml:space="preserve"> plotValue_tb_after_creation  is: 33854033.62785188</t>
  </si>
  <si>
    <t xml:space="preserve"> plotValue_reit_after_creation  is: 32185234.754236422</t>
  </si>
  <si>
    <t xml:space="preserve">total_value_after_creation is: 137862596.2940216
</t>
  </si>
  <si>
    <t xml:space="preserve"> 137862596.2940216
</t>
  </si>
  <si>
    <t>total_amount_gtncps_before_creation is: 103016757.30633073</t>
  </si>
  <si>
    <t>creation_amount_gtbcps is: 4709.031732097268</t>
  </si>
  <si>
    <t xml:space="preserve">total_amount_gtbcps_new is: 103021466.33806282
</t>
  </si>
  <si>
    <t xml:space="preserve"> 103021466.33806282
</t>
  </si>
  <si>
    <t>payout of tranche of gold is: -1088.3205819886216</t>
  </si>
  <si>
    <t xml:space="preserve"> payout of tranche of Treausry Bill Option is: -286.56934976596915</t>
  </si>
  <si>
    <t xml:space="preserve"> payout of tranche of Collar of REIT is: -243.41601047910981
</t>
  </si>
  <si>
    <t xml:space="preserve"> -243.41601047910981
</t>
  </si>
  <si>
    <t>Collateral size of tranche of gold is: 71823327.9119333</t>
  </si>
  <si>
    <t xml:space="preserve"> collateral size of tranche of Treausry Bill Option is: 33854033.62785188</t>
  </si>
  <si>
    <t xml:space="preserve"> collateral size of tranche of Collar of REIT is: 32185234.754236422
</t>
  </si>
  <si>
    <t xml:space="preserve"> 32185234.754236422
</t>
  </si>
  <si>
    <t>Collateral ratio of tranche of gold is: 0.697390332783421</t>
  </si>
  <si>
    <t xml:space="preserve"> collateral ratio of tranche of Treausry Bill Option is: 0.3287159821769562</t>
  </si>
  <si>
    <t xml:space="preserve"> collateral ratio of tranche of Collar of REIT is: 0.3125122746121064
</t>
  </si>
  <si>
    <t xml:space="preserve"> 0.3125122746121064
</t>
  </si>
  <si>
    <t xml:space="preserve">date is: 2022-10-17 00:00:00
</t>
  </si>
  <si>
    <t xml:space="preserve"> 2022-10-17 00</t>
  </si>
  <si>
    <t>current price of gold is: 1650.09</t>
  </si>
  <si>
    <t xml:space="preserve"> predicted price of gold is: 1646.2924299252065
</t>
  </si>
  <si>
    <t xml:space="preserve"> 1646.2924299252065
</t>
  </si>
  <si>
    <t>current price of tb is: 88.03515625</t>
  </si>
  <si>
    <t xml:space="preserve"> current price of tb option is: 4.214312447627046</t>
  </si>
  <si>
    <t xml:space="preserve"> predicted price of tb is: 88.33056856278942
</t>
  </si>
  <si>
    <t xml:space="preserve"> 88.33056856278942
</t>
  </si>
  <si>
    <t>current price of reit is: 51.9</t>
  </si>
  <si>
    <t xml:space="preserve"> current price of reit option is: 5.478354261100101</t>
  </si>
  <si>
    <t xml:space="preserve"> predicted price of reit is: 52.51562650906095
</t>
  </si>
  <si>
    <t xml:space="preserve"> 52.51562650906095
</t>
  </si>
  <si>
    <t>value_ratio_gold_to_total is: -0.5579627527932973</t>
  </si>
  <si>
    <t xml:space="preserve"> risk_ratio_to_gold is: 0.5425768274988508</t>
  </si>
  <si>
    <t xml:space="preserve"> risk_ratio_to_gold_before is: 0.5418930074787729
</t>
  </si>
  <si>
    <t xml:space="preserve"> 0.5418930074787729
</t>
  </si>
  <si>
    <t>value_ratio_tb_to_total is: 0.6625969744084241</t>
  </si>
  <si>
    <t xml:space="preserve"> risk_ratio_tb_to_gold is: 0.41621783846447563</t>
  </si>
  <si>
    <t xml:space="preserve"> risk_ratio_tb_to_gold_before is: 0.4186168808993839
</t>
  </si>
  <si>
    <t xml:space="preserve"> 0.4186168808993839
</t>
  </si>
  <si>
    <t>value_ratio_reit_to_total is: 0.8953657783848731</t>
  </si>
  <si>
    <t xml:space="preserve"> risk_ratio_reit_to_gold is: 0.4268391247489375</t>
  </si>
  <si>
    <t xml:space="preserve"> risk_ratio_reit_to_gold_before is: 0.4267658536973014
</t>
  </si>
  <si>
    <t xml:space="preserve"> 0.4267658536973014
</t>
  </si>
  <si>
    <t>delta_gold is: 1.0034175144575455</t>
  </si>
  <si>
    <t xml:space="preserve"> delta_tb is: 1.0018874808450435</t>
  </si>
  <si>
    <t xml:space="preserve"> delta_reit is: 1.006266250965127
</t>
  </si>
  <si>
    <t xml:space="preserve"> 1.006266250965127
</t>
  </si>
  <si>
    <t>delta_gold_risk is: 1.0004434938201037</t>
  </si>
  <si>
    <t xml:space="preserve"> delta_tb_risk is: 0.9983088863052388</t>
  </si>
  <si>
    <t xml:space="preserve"> delta_reit_risk is: 1.0000513546434031
</t>
  </si>
  <si>
    <t xml:space="preserve"> 1.0000513546434031
</t>
  </si>
  <si>
    <t xml:space="preserve">collateral_ratio_tranche_gold is: 0.6994634666034338
</t>
  </si>
  <si>
    <t xml:space="preserve"> 0.6994634666034338
</t>
  </si>
  <si>
    <t xml:space="preserve">collateral_ratio_tranche_tb is: 0.3287707373444502
</t>
  </si>
  <si>
    <t xml:space="preserve"> 0.3287707373444502
</t>
  </si>
  <si>
    <t xml:space="preserve">collateral_ratio_tranche_reit is: 0.3133834139128065
</t>
  </si>
  <si>
    <t xml:space="preserve"> 0.3133834139128065
</t>
  </si>
  <si>
    <t>Total plot size is: 138373633.15389127</t>
  </si>
  <si>
    <t xml:space="preserve"> plot size of gold is: 72068785.17346136</t>
  </si>
  <si>
    <t xml:space="preserve"> plot size of TB is: 33917932.467851914</t>
  </si>
  <si>
    <t xml:space="preserve"> plot size of REIT is: 32386915.512577996
</t>
  </si>
  <si>
    <t xml:space="preserve"> 32386915.512577996
</t>
  </si>
  <si>
    <t xml:space="preserve">collateral ratio is: 1.343519242544476
</t>
  </si>
  <si>
    <t xml:space="preserve"> 1.343519242544476
</t>
  </si>
  <si>
    <t>S_gtbcps_0 is: 0.9997277009872814</t>
  </si>
  <si>
    <t xml:space="preserve">stdev_gtbcps is: 0.008515159743748637
</t>
  </si>
  <si>
    <t xml:space="preserve"> 0.008515159743748637
</t>
  </si>
  <si>
    <t>predicted price of GTBCPS is: 0.9997201805394541</t>
  </si>
  <si>
    <t xml:space="preserve"> actual price is: 0.9997277009872814
</t>
  </si>
  <si>
    <t xml:space="preserve"> 0.9997277009872814
</t>
  </si>
  <si>
    <t>predicted amount of GTBCPS is: 103022241.32248123</t>
  </si>
  <si>
    <t xml:space="preserve"> actual amount is: 103021466.33806282
</t>
  </si>
  <si>
    <t>plot sizes of gold is: 72068785.17346136</t>
  </si>
  <si>
    <t xml:space="preserve"> plot sizes of tb is: 33917932.467851914 </t>
  </si>
  <si>
    <t xml:space="preserve"> plot sizes of reit is: 32386915.512577996</t>
  </si>
  <si>
    <t xml:space="preserve"> plot sizes of total is: 138373633.15389127.
</t>
  </si>
  <si>
    <t xml:space="preserve"> 138373633.15389127.
</t>
  </si>
  <si>
    <t>predicted stdevs of gold is: 0.009029491245083777</t>
  </si>
  <si>
    <t xml:space="preserve"> predicted stdevs of tb is: 0.003112472153710709</t>
  </si>
  <si>
    <t xml:space="preserve"> predicted stdevs of reit is: 0.01302873394594057</t>
  </si>
  <si>
    <t xml:space="preserve"> predicted stdevs of GTBCPS is: 0.008515159743748637.
</t>
  </si>
  <si>
    <t xml:space="preserve"> 0.008515159743748637.
</t>
  </si>
  <si>
    <t>total_value_of_collaterals is: 138373367.5269966</t>
  </si>
  <si>
    <t xml:space="preserve"> createdtionValue_gold is: 542.1357275136289</t>
  </si>
  <si>
    <t xml:space="preserve"> createdValue_tb is: 255.14727318632075</t>
  </si>
  <si>
    <t xml:space="preserve"> createdValue_reit is: 243.63013008958515
</t>
  </si>
  <si>
    <t xml:space="preserve"> 243.63013008958515
</t>
  </si>
  <si>
    <t>plotValue_gold_after_creation is: 72068052.30678701</t>
  </si>
  <si>
    <t xml:space="preserve"> plotValue_tb_after_creation  is: 33917644.78289909</t>
  </si>
  <si>
    <t xml:space="preserve"> plotValue_reit_after_creation  is: 32386629.524179716</t>
  </si>
  <si>
    <t xml:space="preserve">total_value_after_creation is: 138372326.61386582
</t>
  </si>
  <si>
    <t xml:space="preserve"> 138372326.61386582
</t>
  </si>
  <si>
    <t>total_amount_gtncps_before_creation is: 103021466.33806282</t>
  </si>
  <si>
    <t>creation_amount_gtbcps is: 774.9844184070826</t>
  </si>
  <si>
    <t xml:space="preserve">total_amount_gtbcps_new is: 103022241.32248123
</t>
  </si>
  <si>
    <t xml:space="preserve"> 103022241.32248123
</t>
  </si>
  <si>
    <t>payout of tranche of gold is: -190.7309468368951</t>
  </si>
  <si>
    <t xml:space="preserve"> payout of tranche of Treausry Bill Option is: -32.53767964597364</t>
  </si>
  <si>
    <t xml:space="preserve"> payout of tranche of Collar of REIT is: -42.358268188726406
</t>
  </si>
  <si>
    <t xml:space="preserve"> -42.358268188726406
</t>
  </si>
  <si>
    <t>Collateral size of tranche of gold is: 72068052.30678701</t>
  </si>
  <si>
    <t xml:space="preserve"> collateral size of tranche of Treausry Bill Option is: 33917644.78289909</t>
  </si>
  <si>
    <t xml:space="preserve"> collateral size of tranche of Collar of REIT is: 32386629.524179716
</t>
  </si>
  <si>
    <t xml:space="preserve"> 32386629.524179716
</t>
  </si>
  <si>
    <t>Collateral ratio of tranche of gold is: 0.699739836338389</t>
  </si>
  <si>
    <t xml:space="preserve"> collateral ratio of tranche of Treausry Bill Option is: 0.3293210576628045</t>
  </si>
  <si>
    <t xml:space="preserve"> collateral ratio of tranche of Collar of REIT is: 0.31445576947647486
</t>
  </si>
  <si>
    <t xml:space="preserve"> 0.31445576947647486
</t>
  </si>
  <si>
    <t xml:space="preserve">date is: 2022-10-18 00:00:00
</t>
  </si>
  <si>
    <t xml:space="preserve"> 2022-10-18 00</t>
  </si>
  <si>
    <t>current price of gold is: 1652.22</t>
  </si>
  <si>
    <t xml:space="preserve"> predicted price of gold is: 1655.8487914431369
</t>
  </si>
  <si>
    <t xml:space="preserve"> 1655.8487914431369
</t>
  </si>
  <si>
    <t>current price of tb is: 88.05859375</t>
  </si>
  <si>
    <t xml:space="preserve"> current price of tb option is: 4.214948527770125</t>
  </si>
  <si>
    <t xml:space="preserve"> predicted price of tb is: 88.35334842910366
</t>
  </si>
  <si>
    <t xml:space="preserve"> 88.35334842910366
</t>
  </si>
  <si>
    <t>current price of reit is: 52.6</t>
  </si>
  <si>
    <t xml:space="preserve"> current price of reit option is: 5.426749707029522</t>
  </si>
  <si>
    <t xml:space="preserve"> predicted price of reit is: 53.185656047611644
</t>
  </si>
  <si>
    <t xml:space="preserve"> 53.185656047611644
</t>
  </si>
  <si>
    <t>value_ratio_gold_to_total is: 0.25643537438394753</t>
  </si>
  <si>
    <t xml:space="preserve"> risk_ratio_to_gold is: 0.5403124074855549</t>
  </si>
  <si>
    <t xml:space="preserve"> risk_ratio_to_gold_before is: 0.5425768274988508
</t>
  </si>
  <si>
    <t xml:space="preserve"> 0.5425768274988508
</t>
  </si>
  <si>
    <t>value_ratio_tb_to_total is: 0.31868666147853886</t>
  </si>
  <si>
    <t xml:space="preserve"> risk_ratio_tb_to_gold is: 0.4181561815025093</t>
  </si>
  <si>
    <t xml:space="preserve"> risk_ratio_tb_to_gold_before is: 0.41621783846447563
</t>
  </si>
  <si>
    <t xml:space="preserve"> 0.41621783846447563
</t>
  </si>
  <si>
    <t>value_ratio_reit_to_total is: 0.4248779641375136</t>
  </si>
  <si>
    <t xml:space="preserve"> risk_ratio_reit_to_gold is: 0.4326249335447789</t>
  </si>
  <si>
    <t xml:space="preserve"> risk_ratio_reit_to_gold_before is: 0.4268391247489375
</t>
  </si>
  <si>
    <t xml:space="preserve"> 0.4268391247489375
</t>
  </si>
  <si>
    <t>delta_gold is: 1.0012908386815265</t>
  </si>
  <si>
    <t xml:space="preserve"> delta_tb is: 1.0002609617213296</t>
  </si>
  <si>
    <t xml:space="preserve"> delta_reit is: 1.01130034930906
</t>
  </si>
  <si>
    <t xml:space="preserve"> 1.01130034930906
</t>
  </si>
  <si>
    <t>delta_gold_risk is: 0.9985320536566289</t>
  </si>
  <si>
    <t xml:space="preserve"> delta_tb_risk is: 1.0013686757682245</t>
  </si>
  <si>
    <t xml:space="preserve"> delta_reit_risk is: 1.0040549832812156
</t>
  </si>
  <si>
    <t xml:space="preserve"> 1.0040549832812156
</t>
  </si>
  <si>
    <t xml:space="preserve">collateral_ratio_tranche_gold is: 0.701673106056417
</t>
  </si>
  <si>
    <t xml:space="preserve"> 0.701673106056417
</t>
  </si>
  <si>
    <t xml:space="preserve">collateral_ratio_tranche_tb is: 0.3285326800114728
</t>
  </si>
  <si>
    <t xml:space="preserve"> 0.3285326800114728
</t>
  </si>
  <si>
    <t xml:space="preserve">collateral_ratio_tranche_reit is: 0.3163166015726941
</t>
  </si>
  <si>
    <t xml:space="preserve"> 0.3163166015726941
</t>
  </si>
  <si>
    <t>Total plot size is: 138840186.277018</t>
  </si>
  <si>
    <t xml:space="preserve"> plot size of gold is: 72161080.53640689</t>
  </si>
  <si>
    <t xml:space="preserve"> plot size of TB is: 33926495.98986508</t>
  </si>
  <si>
    <t xml:space="preserve"> plot size of REIT is: 32752609.75074606
</t>
  </si>
  <si>
    <t xml:space="preserve"> 32752609.75074606
</t>
  </si>
  <si>
    <t xml:space="preserve">collateral ratio is: 1.348049174181762
</t>
  </si>
  <si>
    <t xml:space="preserve"> 1.348049174181762
</t>
  </si>
  <si>
    <t>S_gtbcps_0 is: 0.9997201805394541</t>
  </si>
  <si>
    <t xml:space="preserve">stdev_gtbcps is: 0.00848565318600359
</t>
  </si>
  <si>
    <t xml:space="preserve"> 0.00848565318600359
</t>
  </si>
  <si>
    <t>predicted price of GTBCPS is: 0.9997671273335388</t>
  </si>
  <si>
    <t xml:space="preserve"> actual price is: 0.9997201805394541
</t>
  </si>
  <si>
    <t xml:space="preserve"> 0.9997201805394541
</t>
  </si>
  <si>
    <t>predicted amount of GTBCPS is: 103017403.63196585</t>
  </si>
  <si>
    <t xml:space="preserve"> actual amount is: 103022241.32248123
</t>
  </si>
  <si>
    <t>plot sizes of gold is: 72161080.53640689</t>
  </si>
  <si>
    <t xml:space="preserve"> plot sizes of tb is: 33926495.98986508 </t>
  </si>
  <si>
    <t xml:space="preserve"> plot sizes of reit is: 32752609.75074606</t>
  </si>
  <si>
    <t xml:space="preserve"> plot sizes of total is: 138840186.27701804.
</t>
  </si>
  <si>
    <t xml:space="preserve"> 138840186.27701804.
</t>
  </si>
  <si>
    <t>predicted stdevs of gold is: 0.008914010401850088</t>
  </si>
  <si>
    <t xml:space="preserve"> predicted stdevs of tb is: 0.003102822546176572</t>
  </si>
  <si>
    <t xml:space="preserve"> predicted stdevs of reit is: 0.013117646291887566</t>
  </si>
  <si>
    <t xml:space="preserve"> predicted stdevs of GTBCPS is: 0.00848565318600359.
</t>
  </si>
  <si>
    <t xml:space="preserve"> 0.00848565318600359.
</t>
  </si>
  <si>
    <t>total_value_of_collaterals is: 138841843.0475253</t>
  </si>
  <si>
    <t xml:space="preserve"> createdtionValue_gold is: -3388.7351089534855</t>
  </si>
  <si>
    <t xml:space="preserve"> createdValue_tb is: -1593.1995661423418</t>
  </si>
  <si>
    <t xml:space="preserve"> createdValue_reit is: -1538.0691647314889
</t>
  </si>
  <si>
    <t xml:space="preserve"> -1538.0691647314889
</t>
  </si>
  <si>
    <t>plotValue_gold_after_creation is: 72165651.16399421</t>
  </si>
  <si>
    <t xml:space="preserve"> plotValue_tb_after_creation  is: 33928377.52973902</t>
  </si>
  <si>
    <t xml:space="preserve"> plotValue_reit_after_creation  is: 32754334.35763188</t>
  </si>
  <si>
    <t xml:space="preserve">total_value_after_creation is: 138848363.0513651
</t>
  </si>
  <si>
    <t xml:space="preserve"> 138848363.0513651
</t>
  </si>
  <si>
    <t>total_amount_gtncps_before_creation is: 103022241.32248123</t>
  </si>
  <si>
    <t>creation_amount_gtbcps is: -4837.690515384078</t>
  </si>
  <si>
    <t xml:space="preserve">total_amount_gtbcps_new is: 103017403.63196585
</t>
  </si>
  <si>
    <t xml:space="preserve"> 103017403.63196585
</t>
  </si>
  <si>
    <t>payout of tranche of gold is: 1181.8924783628238</t>
  </si>
  <si>
    <t xml:space="preserve"> payout of tranche of Treausry Bill Option is: 288.34030780438604</t>
  </si>
  <si>
    <t xml:space="preserve"> payout of tranche of Collar of REIT is: 186.53772108938904
</t>
  </si>
  <si>
    <t xml:space="preserve"> 186.53772108938904
</t>
  </si>
  <si>
    <t>Collateral size of tranche of gold is: 72165651.16399421</t>
  </si>
  <si>
    <t xml:space="preserve"> collateral size of tranche of Treausry Bill Option is: 33928377.52973902</t>
  </si>
  <si>
    <t xml:space="preserve"> collateral size of tranche of Collar of REIT is: 32754334.35763188
</t>
  </si>
  <si>
    <t xml:space="preserve"> 32754334.35763188
</t>
  </si>
  <si>
    <t>Collateral ratio of tranche of gold is: 0.7006492924192269</t>
  </si>
  <si>
    <t xml:space="preserve"> collateral ratio of tranche of Treausry Bill Option is: 0.3294073194894778</t>
  </si>
  <si>
    <t xml:space="preserve"> collateral ratio of tranche of Collar of REIT is: 0.3180086484522391
</t>
  </si>
  <si>
    <t xml:space="preserve"> 0.3180086484522391
</t>
  </si>
  <si>
    <t xml:space="preserve">date is: 2022-10-19 00:00:00
</t>
  </si>
  <si>
    <t xml:space="preserve"> 2022-10-19 00</t>
  </si>
  <si>
    <t>current price of gold is: 1629.44</t>
  </si>
  <si>
    <t xml:space="preserve"> predicted price of gold is: 1636.5083965164029
</t>
  </si>
  <si>
    <t xml:space="preserve"> 1636.5083965164029
</t>
  </si>
  <si>
    <t>current price of tb is: 87.70703125</t>
  </si>
  <si>
    <t xml:space="preserve"> current price of tb option is: 4.206864928914711</t>
  </si>
  <si>
    <t xml:space="preserve"> predicted price of tb is: 88.01014307506176
</t>
  </si>
  <si>
    <t xml:space="preserve"> 88.01014307506176
</t>
  </si>
  <si>
    <t>current price of reit is: 51.6</t>
  </si>
  <si>
    <t xml:space="preserve"> current price of reit option is: 5.435836371191016</t>
  </si>
  <si>
    <t xml:space="preserve"> predicted price of reit is: 52.200697438410835
</t>
  </si>
  <si>
    <t xml:space="preserve"> 52.200697438410835
</t>
  </si>
  <si>
    <t>value_ratio_gold_to_total is: 0.4012735624609593</t>
  </si>
  <si>
    <t xml:space="preserve"> risk_ratio_to_gold is: 0.5383650948131712</t>
  </si>
  <si>
    <t xml:space="preserve"> risk_ratio_to_gold_before is: 0.5403124074855549
</t>
  </si>
  <si>
    <t xml:space="preserve"> 0.5403124074855549
</t>
  </si>
  <si>
    <t>value_ratio_tb_to_total is: 0.25603182199592434</t>
  </si>
  <si>
    <t xml:space="preserve"> risk_ratio_tb_to_gold is: 0.42022386218443175</t>
  </si>
  <si>
    <t xml:space="preserve"> risk_ratio_tb_to_gold_before is: 0.4181561815025093
</t>
  </si>
  <si>
    <t xml:space="preserve"> 0.4181561815025093
</t>
  </si>
  <si>
    <t>value_ratio_reit_to_total is: 0.34269461554311637</t>
  </si>
  <si>
    <t xml:space="preserve"> risk_ratio_reit_to_gold is: 0.43725168672170595</t>
  </si>
  <si>
    <t xml:space="preserve"> risk_ratio_reit_to_gold_before is: 0.4326249335447789
</t>
  </si>
  <si>
    <t xml:space="preserve"> 0.4326249335447789
</t>
  </si>
  <si>
    <t>delta_gold is: 0.986212489862125</t>
  </si>
  <si>
    <t xml:space="preserve"> delta_tb is: 0.9961023919752342</t>
  </si>
  <si>
    <t xml:space="preserve"> delta_reit is: 0.9829231631817823
</t>
  </si>
  <si>
    <t xml:space="preserve"> 0.9829231631817823
</t>
  </si>
  <si>
    <t>delta_gold_risk is: 0.9987357677163932</t>
  </si>
  <si>
    <t xml:space="preserve"> delta_tb_risk is: 1.001458006324615</t>
  </si>
  <si>
    <t xml:space="preserve"> delta_reit_risk is: 1.0032295634876875
</t>
  </si>
  <si>
    <t xml:space="preserve"> 1.0032295634876875
</t>
  </si>
  <si>
    <t xml:space="preserve">collateral_ratio_tranche_gold is: 0.6918637596977694
</t>
  </si>
  <si>
    <t xml:space="preserve"> 0.6918637596977694
</t>
  </si>
  <si>
    <t xml:space="preserve">collateral_ratio_tranche_tb is: 0.3322262826005613
</t>
  </si>
  <si>
    <t xml:space="preserve"> 0.3322262826005613
</t>
  </si>
  <si>
    <t xml:space="preserve">collateral_ratio_tranche_reit is: 0.31592768177924874
</t>
  </si>
  <si>
    <t xml:space="preserve"> 0.31592768177924874
</t>
  </si>
  <si>
    <t>Total plot size is: 137161798.4648934</t>
  </si>
  <si>
    <t xml:space="preserve"> plot size of gold is: 71170666.51696429</t>
  </si>
  <si>
    <t xml:space="preserve"> plot size of TB is: 33796138.01321183</t>
  </si>
  <si>
    <t xml:space="preserve"> plot size of REIT is: 32194993.93471726
</t>
  </si>
  <si>
    <t xml:space="preserve"> 32194993.93471726
</t>
  </si>
  <si>
    <t xml:space="preserve">collateral ratio is: 1.3317531048320923
</t>
  </si>
  <si>
    <t xml:space="preserve"> 1.3317531048320923
</t>
  </si>
  <si>
    <t>S_gtbcps_0 is: 0.9997671273335388</t>
  </si>
  <si>
    <t xml:space="preserve">stdev_gtbcps is: 0.00844215764337301
</t>
  </si>
  <si>
    <t xml:space="preserve"> 0.00844215764337301
</t>
  </si>
  <si>
    <t>predicted price of GTBCPS is: 0.999795707289485</t>
  </si>
  <si>
    <t xml:space="preserve"> actual price is: 0.9997671273335388
</t>
  </si>
  <si>
    <t xml:space="preserve"> 0.9997671273335388
</t>
  </si>
  <si>
    <t>predicted amount of GTBCPS is: 103014458.79750012</t>
  </si>
  <si>
    <t xml:space="preserve"> actual amount is: 103017403.63196585
</t>
  </si>
  <si>
    <t>plot sizes of gold is: 71170666.51696429</t>
  </si>
  <si>
    <t xml:space="preserve"> plot sizes of tb is: 33796138.01321183 </t>
  </si>
  <si>
    <t xml:space="preserve"> plot sizes of reit is: 32194993.93471726</t>
  </si>
  <si>
    <t xml:space="preserve"> plot sizes of total is: 137161798.46489337.
</t>
  </si>
  <si>
    <t xml:space="preserve"> 137161798.46489337.
</t>
  </si>
  <si>
    <t>predicted stdevs of gold is: 0.008909778774214115</t>
  </si>
  <si>
    <t xml:space="preserve"> predicted stdevs of tb is: 0.00311727613405175</t>
  </si>
  <si>
    <t xml:space="preserve"> predicted stdevs of reit is: 0.012998130635045855</t>
  </si>
  <si>
    <t xml:space="preserve"> predicted stdevs of GTBCPS is: 0.00844215764337301.
</t>
  </si>
  <si>
    <t xml:space="preserve"> 0.00844215764337301.
</t>
  </si>
  <si>
    <t>total_value_of_collaterals is: 137162808.7742609</t>
  </si>
  <si>
    <t xml:space="preserve"> createdtionValue_gold is: -2034.548926767549</t>
  </si>
  <si>
    <t xml:space="preserve"> createdValue_tb is: -966.1207146394089</t>
  </si>
  <si>
    <t xml:space="preserve"> createdValue_reit is: -920.3504892564494
</t>
  </si>
  <si>
    <t xml:space="preserve"> -920.3504892564494
</t>
  </si>
  <si>
    <t>plotValue_gold_after_creation is: 71173422.62769173</t>
  </si>
  <si>
    <t xml:space="preserve"> plotValue_tb_after_creation  is: 33797229.954870686</t>
  </si>
  <si>
    <t xml:space="preserve"> plotValue_reit_after_creation  is: 32196077.211829145</t>
  </si>
  <si>
    <t xml:space="preserve">total_value_after_creation is: 137166729.79439157
</t>
  </si>
  <si>
    <t xml:space="preserve"> 137166729.79439157
</t>
  </si>
  <si>
    <t>total_amount_gtncps_before_creation is: 103017403.63196585</t>
  </si>
  <si>
    <t>creation_amount_gtbcps is: -2944.83446572721</t>
  </si>
  <si>
    <t xml:space="preserve">total_amount_gtbcps_new is: 103014458.79750012
</t>
  </si>
  <si>
    <t xml:space="preserve"> 103014458.79750012
</t>
  </si>
  <si>
    <t>payout of tranche of gold is: 721.5618006776932</t>
  </si>
  <si>
    <t xml:space="preserve"> payout of tranche of Treausry Bill Option is: 125.82094420865516</t>
  </si>
  <si>
    <t xml:space="preserve"> payout of tranche of Collar of REIT is: 162.9266226304299
</t>
  </si>
  <si>
    <t xml:space="preserve"> 162.9266226304299
</t>
  </si>
  <si>
    <t>Collateral size of tranche of gold is: 71173422.62769173</t>
  </si>
  <si>
    <t xml:space="preserve"> collateral size of tranche of Treausry Bill Option is: 33797229.954870686</t>
  </si>
  <si>
    <t xml:space="preserve"> collateral size of tranche of Collar of REIT is: 32196077.211829145
</t>
  </si>
  <si>
    <t xml:space="preserve"> 32196077.211829145
</t>
  </si>
  <si>
    <t>Collateral ratio of tranche of gold is: 0.6910285379012778</t>
  </si>
  <si>
    <t xml:space="preserve"> collateral ratio of tranche of Treausry Bill Option is: 0.3281400491725235</t>
  </si>
  <si>
    <t xml:space="preserve"> collateral ratio of tranche of Collar of REIT is: 0.3125943272143648
</t>
  </si>
  <si>
    <t xml:space="preserve"> 0.3125943272143648
</t>
  </si>
  <si>
    <t xml:space="preserve">date is: 2022-10-20 00:00:00
</t>
  </si>
  <si>
    <t xml:space="preserve"> 2022-10-20 00</t>
  </si>
  <si>
    <t>current price of gold is: 1628.02</t>
  </si>
  <si>
    <t xml:space="preserve"> predicted price of gold is: 1628.7051440734435
</t>
  </si>
  <si>
    <t xml:space="preserve"> 1628.7051440734435
</t>
  </si>
  <si>
    <t>current price of tb is: 87.4921875</t>
  </si>
  <si>
    <t xml:space="preserve"> current price of tb option is: 4.200506389201819</t>
  </si>
  <si>
    <t xml:space="preserve"> predicted price of tb is: 87.80187335198393
</t>
  </si>
  <si>
    <t xml:space="preserve"> 87.80187335198393
</t>
  </si>
  <si>
    <t>current price of reit is: 51.0</t>
  </si>
  <si>
    <t xml:space="preserve"> current price of reit option is: 5.420162421230707</t>
  </si>
  <si>
    <t xml:space="preserve"> predicted price of reit is: 51.597297597139224
</t>
  </si>
  <si>
    <t xml:space="preserve"> 51.597297597139224
</t>
  </si>
  <si>
    <t>value_ratio_gold_to_total is: 0.06110376511764291</t>
  </si>
  <si>
    <t xml:space="preserve"> risk_ratio_to_gold is: 0.5385167430458884</t>
  </si>
  <si>
    <t xml:space="preserve"> risk_ratio_to_gold_before is: 0.5383650948131712
</t>
  </si>
  <si>
    <t xml:space="preserve"> 0.5383650948131712
</t>
  </si>
  <si>
    <t>value_ratio_tb_to_total is: 0.40223616903771486</t>
  </si>
  <si>
    <t xml:space="preserve"> risk_ratio_tb_to_gold is: 0.41828791866888165</t>
  </si>
  <si>
    <t xml:space="preserve"> risk_ratio_tb_to_gold_before is: 0.42022386218443175
</t>
  </si>
  <si>
    <t xml:space="preserve"> 0.42022386218443175
</t>
  </si>
  <si>
    <t>value_ratio_reit_to_total is: 0.5366600658446422</t>
  </si>
  <si>
    <t xml:space="preserve"> risk_ratio_reit_to_gold is: 0.43866455850746383</t>
  </si>
  <si>
    <t xml:space="preserve"> risk_ratio_reit_to_gold_before is: 0.43725168672170595
</t>
  </si>
  <si>
    <t xml:space="preserve"> 0.43725168672170595
</t>
  </si>
  <si>
    <t>delta_gold is: 0.9991285349567949</t>
  </si>
  <si>
    <t xml:space="preserve"> delta_tb is: 0.9975933748985865</t>
  </si>
  <si>
    <t xml:space="preserve"> delta_reit is: 0.9892054892304291
</t>
  </si>
  <si>
    <t xml:space="preserve"> 0.9892054892304291
</t>
  </si>
  <si>
    <t>delta_gold_risk is: 1.000098577530931</t>
  </si>
  <si>
    <t xml:space="preserve"> delta_tb_risk is: 0.9986368743920606</t>
  </si>
  <si>
    <t xml:space="preserve"> delta_reit_risk is: 1.0009830371387356
</t>
  </si>
  <si>
    <t xml:space="preserve"> 1.0009830371387356
</t>
  </si>
  <si>
    <t xml:space="preserve">collateral_ratio_tranche_gold is: 0.6903582768722478
</t>
  </si>
  <si>
    <t xml:space="preserve"> 0.6903582768722478
</t>
  </si>
  <si>
    <t xml:space="preserve">collateral_ratio_tranche_tb is: 0.32808308074318837
</t>
  </si>
  <si>
    <t xml:space="preserve"> 0.32808308074318837
</t>
  </si>
  <si>
    <t xml:space="preserve">collateral_ratio_tranche_reit is: 0.3091857927499959
</t>
  </si>
  <si>
    <t xml:space="preserve"> 0.3091857927499959
</t>
  </si>
  <si>
    <t>Total plot size is: 136675826.48039758</t>
  </si>
  <si>
    <t xml:space="preserve"> plot size of gold is: 71111397.47786643</t>
  </si>
  <si>
    <t xml:space="preserve"> plot size of TB is: 33715892.69290305</t>
  </si>
  <si>
    <t xml:space="preserve"> plot size of REIT is: 31848536.309628118
</t>
  </si>
  <si>
    <t xml:space="preserve"> 31848536.309628118
</t>
  </si>
  <si>
    <t xml:space="preserve">collateral ratio is: 1.3270346285037191
</t>
  </si>
  <si>
    <t xml:space="preserve"> 1.3270346285037191
</t>
  </si>
  <si>
    <t>S_gtbcps_0 is: 0.999795707289485</t>
  </si>
  <si>
    <t xml:space="preserve">stdev_gtbcps is: 0.008479383897522369
</t>
  </si>
  <si>
    <t xml:space="preserve"> 0.008479383897522369
</t>
  </si>
  <si>
    <t>predicted price of GTBCPS is: 0.9997987611826918</t>
  </si>
  <si>
    <t xml:space="preserve"> actual price is: 0.999795707289485
</t>
  </si>
  <si>
    <t xml:space="preserve"> 0.999795707289485
</t>
  </si>
  <si>
    <t>predicted amount of GTBCPS is: 103014144.13902271</t>
  </si>
  <si>
    <t xml:space="preserve"> actual amount is: 103014458.79750012
</t>
  </si>
  <si>
    <t>plot sizes of gold is: 71111397.47786643</t>
  </si>
  <si>
    <t xml:space="preserve"> plot sizes of tb is: 33715892.69290305 </t>
  </si>
  <si>
    <t xml:space="preserve"> plot sizes of reit is: 31848536.309628118</t>
  </si>
  <si>
    <t xml:space="preserve"> plot sizes of total is: 136675826.4803976.
</t>
  </si>
  <si>
    <t xml:space="preserve"> 136675826.4803976.
</t>
  </si>
  <si>
    <t>predicted stdevs of gold is: 0.008985964657707539</t>
  </si>
  <si>
    <t xml:space="preserve"> predicted stdevs of tb is: 0.0031196351971582974</t>
  </si>
  <si>
    <t xml:space="preserve"> predicted stdevs of reit is: 0.013022294279450812</t>
  </si>
  <si>
    <t xml:space="preserve"> predicted stdevs of GTBCPS is: 0.008479383897522369.
</t>
  </si>
  <si>
    <t xml:space="preserve"> 0.008479383897522369.
</t>
  </si>
  <si>
    <t>total_value_of_collaterals is: 136675934.37074387</t>
  </si>
  <si>
    <t xml:space="preserve"> createdtionValue_gold is: -217.21121030125866</t>
  </si>
  <si>
    <t xml:space="preserve"> createdValue_tb is: -102.9858302951925</t>
  </si>
  <si>
    <t xml:space="preserve"> createdValue_reit is: -97.28195480965944
</t>
  </si>
  <si>
    <t xml:space="preserve"> -97.28195480965944
</t>
  </si>
  <si>
    <t>plotValue_gold_after_creation is: 71111687.36995576</t>
  </si>
  <si>
    <t xml:space="preserve"> plotValue_tb_after_creation  is: 33716013.81590668</t>
  </si>
  <si>
    <t xml:space="preserve"> plotValue_reit_after_creation  is: 31848650.66387681</t>
  </si>
  <si>
    <t xml:space="preserve">total_value_after_creation is: 136676351.84973925
</t>
  </si>
  <si>
    <t xml:space="preserve"> 136676351.84973925
</t>
  </si>
  <si>
    <t>total_amount_gtncps_before_creation is: 103014458.79750012</t>
  </si>
  <si>
    <t>creation_amount_gtbcps is: -314.6584774106741</t>
  </si>
  <si>
    <t xml:space="preserve">total_amount_gtbcps_new is: 103014144.13902271
</t>
  </si>
  <si>
    <t xml:space="preserve"> 103014144.13902271
</t>
  </si>
  <si>
    <t>payout of tranche of gold is: 72.68087904580796</t>
  </si>
  <si>
    <t xml:space="preserve"> payout of tranche of Treausry Bill Option is: 18.13717334314641</t>
  </si>
  <si>
    <t xml:space="preserve"> payout of tranche of Collar of REIT is: 17.072293883144383
</t>
  </si>
  <si>
    <t xml:space="preserve"> 17.072293883144383
</t>
  </si>
  <si>
    <t>Collateral size of tranche of gold is: 71111687.36995576</t>
  </si>
  <si>
    <t xml:space="preserve"> collateral size of tranche of Treausry Bill Option is: 33716013.81590668</t>
  </si>
  <si>
    <t xml:space="preserve"> collateral size of tranche of Collar of REIT is: 31848650.66387681
</t>
  </si>
  <si>
    <t xml:space="preserve"> 31848650.66387681
</t>
  </si>
  <si>
    <t>Collateral ratio of tranche of gold is: 0.6904467733216781</t>
  </si>
  <si>
    <t xml:space="preserve"> collateral ratio of tranche of Treausry Bill Option is: 0.32735987303118286</t>
  </si>
  <si>
    <t xml:space="preserve"> collateral ratio of tranche of Collar of REIT is: 0.30922902969693294
</t>
  </si>
  <si>
    <t xml:space="preserve"> 0.30922902969693294
</t>
  </si>
  <si>
    <t xml:space="preserve">date is: 2022-10-21 00:00:00
</t>
  </si>
  <si>
    <t xml:space="preserve"> 2022-10-21 00</t>
  </si>
  <si>
    <t>current price of gold is: 1657.69</t>
  </si>
  <si>
    <t xml:space="preserve"> predicted price of gold is: 1657.68330584257
</t>
  </si>
  <si>
    <t xml:space="preserve"> 1657.68330584257
</t>
  </si>
  <si>
    <t>current price of tb is: 87.90234375</t>
  </si>
  <si>
    <t xml:space="preserve"> current price of tb option is: 4.2012375433673315</t>
  </si>
  <si>
    <t xml:space="preserve"> predicted price of tb is: 88.21127607457038
</t>
  </si>
  <si>
    <t xml:space="preserve"> 88.21127607457038
</t>
  </si>
  <si>
    <t>current price of reit is: 48.6</t>
  </si>
  <si>
    <t xml:space="preserve"> current price of reit option is: 5.5310758252467735</t>
  </si>
  <si>
    <t xml:space="preserve"> predicted price of reit is: 49.2416843763823
</t>
  </si>
  <si>
    <t xml:space="preserve"> 49.2416843763823
</t>
  </si>
  <si>
    <t>value_ratio_gold_to_total is: -0.0006270147536209169</t>
  </si>
  <si>
    <t xml:space="preserve"> risk_ratio_to_gold is: 0.5421316184310113</t>
  </si>
  <si>
    <t xml:space="preserve"> risk_ratio_to_gold_before is: 0.5385167430458884
</t>
  </si>
  <si>
    <t xml:space="preserve"> 0.5385167430458884
</t>
  </si>
  <si>
    <t>value_ratio_tb_to_total is: 0.4224494386463069</t>
  </si>
  <si>
    <t xml:space="preserve"> risk_ratio_tb_to_gold is: 0.41916837155754333</t>
  </si>
  <si>
    <t xml:space="preserve"> risk_ratio_tb_to_gold_before is: 0.41828791866888165
</t>
  </si>
  <si>
    <t xml:space="preserve"> 0.41828791866888165
</t>
  </si>
  <si>
    <t>value_ratio_reit_to_total is: 0.578177576107314</t>
  </si>
  <si>
    <t xml:space="preserve"> risk_ratio_reit_to_gold is: 0.4254021460118067</t>
  </si>
  <si>
    <t xml:space="preserve"> risk_ratio_reit_to_gold_before is: 0.43866455850746383
</t>
  </si>
  <si>
    <t xml:space="preserve"> 0.43866455850746383
</t>
  </si>
  <si>
    <t>delta_gold is: 1.018224591835481</t>
  </si>
  <si>
    <t xml:space="preserve"> delta_tb is: 1.0044811357016297</t>
  </si>
  <si>
    <t xml:space="preserve"> delta_reit is: 0.9594278623500992
</t>
  </si>
  <si>
    <t xml:space="preserve"> 0.9594278623500992
</t>
  </si>
  <si>
    <t>delta_gold_risk is: 1.0023495846902297</t>
  </si>
  <si>
    <t xml:space="preserve"> delta_tb_risk is: 1.000620785721342</t>
  </si>
  <si>
    <t xml:space="preserve"> delta_reit_risk is: 0.9907814421247604
</t>
  </si>
  <si>
    <t xml:space="preserve"> 0.9907814421247604
</t>
  </si>
  <si>
    <t xml:space="preserve">collateral_ratio_tranche_gold is: 0.7013819277102389
</t>
  </si>
  <si>
    <t xml:space="preserve"> 0.7013819277102389
</t>
  </si>
  <si>
    <t xml:space="preserve">collateral_ratio_tranche_tb is: 0.3227409898864161
</t>
  </si>
  <si>
    <t xml:space="preserve"> 0.3227409898864161
</t>
  </si>
  <si>
    <t xml:space="preserve">collateral_ratio_tranche_reit is: 0.2940838254125918
</t>
  </si>
  <si>
    <t xml:space="preserve"> 0.2940838254125918
</t>
  </si>
  <si>
    <t>Total plot size is: 136831251.52131772</t>
  </si>
  <si>
    <t xml:space="preserve"> plot size of gold is: 72407668.84700555</t>
  </si>
  <si>
    <t xml:space="preserve"> plot size of TB is: 33867099.84913378</t>
  </si>
  <si>
    <t xml:space="preserve"> plot size of REIT is: 30556482.825178396
</t>
  </si>
  <si>
    <t xml:space="preserve"> 30556482.825178396
</t>
  </si>
  <si>
    <t xml:space="preserve">collateral ratio is: 1.3285437059810532
</t>
  </si>
  <si>
    <t xml:space="preserve"> 1.3285437059810532
</t>
  </si>
  <si>
    <t>S_gtbcps_0 is: 0.9997987611826918</t>
  </si>
  <si>
    <t xml:space="preserve">stdev_gtbcps is: 0.008576704147965485
</t>
  </si>
  <si>
    <t xml:space="preserve"> 0.008576704147965485
</t>
  </si>
  <si>
    <t>predicted price of GTBCPS is: 0.9998067059640457</t>
  </si>
  <si>
    <t xml:space="preserve"> actual price is: 0.9997987611826918
</t>
  </si>
  <si>
    <t xml:space="preserve"> 0.9997987611826918
</t>
  </si>
  <si>
    <t>predicted amount of GTBCPS is: 103013325.55594394</t>
  </si>
  <si>
    <t xml:space="preserve"> actual amount is: 103014144.13902271
</t>
  </si>
  <si>
    <t>plot sizes of gold is: 72407668.84700555</t>
  </si>
  <si>
    <t xml:space="preserve"> plot sizes of tb is: 33867099.84913378 </t>
  </si>
  <si>
    <t xml:space="preserve"> plot sizes of reit is: 30556482.825178396</t>
  </si>
  <si>
    <t xml:space="preserve"> plot sizes of total is: 136831251.52131772.
</t>
  </si>
  <si>
    <t xml:space="preserve"> 136831251.52131772.
</t>
  </si>
  <si>
    <t>predicted stdevs of gold is: 0.008947333279541727</t>
  </si>
  <si>
    <t xml:space="preserve"> predicted stdevs of tb is: 0.003121668929304275</t>
  </si>
  <si>
    <t xml:space="preserve"> predicted stdevs of reit is: 0.013744505426344212</t>
  </si>
  <si>
    <t xml:space="preserve"> predicted stdevs of GTBCPS is: 0.008576704147965485.
</t>
  </si>
  <si>
    <t xml:space="preserve"> 0.008576704147965485.
</t>
  </si>
  <si>
    <t>total_value_of_collaterals is: 136831532.70587274</t>
  </si>
  <si>
    <t xml:space="preserve"> createdtionValue_gold is: -575.3804218305588</t>
  </si>
  <si>
    <t xml:space="preserve"> createdValue_tb is: -269.12123542341544</t>
  </si>
  <si>
    <t xml:space="preserve"> createdValue_reit is: -242.81376248376543
</t>
  </si>
  <si>
    <t xml:space="preserve"> -242.81376248376543
</t>
  </si>
  <si>
    <t>plotValue_gold_after_creation is: 72408437.5139476</t>
  </si>
  <si>
    <t xml:space="preserve"> plotValue_tb_after_creation  is: 33867416.09461869</t>
  </si>
  <si>
    <t xml:space="preserve"> plotValue_reit_after_creation  is: 30556766.41272619</t>
  </si>
  <si>
    <t xml:space="preserve">total_value_after_creation is: 136832620.02129248
</t>
  </si>
  <si>
    <t xml:space="preserve"> 136832620.02129248
</t>
  </si>
  <si>
    <t>total_amount_gtncps_before_creation is: 103014144.13902271</t>
  </si>
  <si>
    <t>creation_amount_gtbcps is: -818.5830787718296</t>
  </si>
  <si>
    <t xml:space="preserve">total_amount_gtbcps_new is: 103013325.55594394
</t>
  </si>
  <si>
    <t xml:space="preserve"> 103013325.55594394
</t>
  </si>
  <si>
    <t>payout of tranche of gold is: 193.2865202284094</t>
  </si>
  <si>
    <t xml:space="preserve"> payout of tranche of Treausry Bill Option is: 47.124249486946454</t>
  </si>
  <si>
    <t xml:space="preserve"> payout of tranche of Collar of REIT is: 40.773785312331654
</t>
  </si>
  <si>
    <t xml:space="preserve"> 40.773785312331654
</t>
  </si>
  <si>
    <t>Collateral size of tranche of gold is: 72408437.5139476</t>
  </si>
  <si>
    <t xml:space="preserve"> collateral size of tranche of Treausry Bill Option is: 33867416.09461869</t>
  </si>
  <si>
    <t xml:space="preserve"> collateral size of tranche of Collar of REIT is: 30556766.41272619
</t>
  </si>
  <si>
    <t xml:space="preserve"> 30556766.41272619
</t>
  </si>
  <si>
    <t>Collateral ratio of tranche of gold is: 0.7030339080546407</t>
  </si>
  <si>
    <t xml:space="preserve"> collateral ratio of tranche of Treausry Bill Option is: 0.32882827899892264</t>
  </si>
  <si>
    <t xml:space="preserve"> collateral ratio of tranche of Collar of REIT is: 0.29668424904920293
</t>
  </si>
  <si>
    <t xml:space="preserve"> 0.29668424904920293
</t>
  </si>
  <si>
    <t xml:space="preserve">date is: 2022-10-24 00:00:00
</t>
  </si>
  <si>
    <t xml:space="preserve"> 2022-10-24 00</t>
  </si>
  <si>
    <t>current price of gold is: 1649.78</t>
  </si>
  <si>
    <t xml:space="preserve"> predicted price of gold is: 1643.5720163273686
</t>
  </si>
  <si>
    <t xml:space="preserve"> 1643.5720163273686
</t>
  </si>
  <si>
    <t>current price of tb is: 87.875</t>
  </si>
  <si>
    <t xml:space="preserve"> current price of tb option is: 4.198487747770293</t>
  </si>
  <si>
    <t xml:space="preserve"> predicted price of tb is: 88.18677573530394
</t>
  </si>
  <si>
    <t xml:space="preserve"> 88.18677573530394
</t>
  </si>
  <si>
    <t>current price of reit is: 47.8</t>
  </si>
  <si>
    <t xml:space="preserve"> current price of reit option is: 5.562597156292526</t>
  </si>
  <si>
    <t xml:space="preserve"> predicted price of reit is: 48.32117576724841
</t>
  </si>
  <si>
    <t xml:space="preserve"> 48.32117576724841
</t>
  </si>
  <si>
    <t>value_ratio_gold_to_total is: -1.41539193647422</t>
  </si>
  <si>
    <t xml:space="preserve"> risk_ratio_to_gold is: 0.5469247820926685</t>
  </si>
  <si>
    <t xml:space="preserve"> risk_ratio_to_gold_before is: 0.5421316184310113
</t>
  </si>
  <si>
    <t xml:space="preserve"> 0.5421316184310113
</t>
  </si>
  <si>
    <t>value_ratio_tb_to_total is: 1.0283194837417313</t>
  </si>
  <si>
    <t xml:space="preserve"> risk_ratio_tb_to_gold is: 0.4119324590364417</t>
  </si>
  <si>
    <t xml:space="preserve"> risk_ratio_tb_to_gold_before is: 0.41916837155754333
</t>
  </si>
  <si>
    <t xml:space="preserve"> 0.41916837155754333
</t>
  </si>
  <si>
    <t>value_ratio_reit_to_total is: 1.3870724527324887</t>
  </si>
  <si>
    <t xml:space="preserve"> risk_ratio_reit_to_gold is: 0.41647252962352466</t>
  </si>
  <si>
    <t xml:space="preserve"> risk_ratio_reit_to_gold_before is: 0.4254021460118067
</t>
  </si>
  <si>
    <t xml:space="preserve"> 0.4254021460118067
</t>
  </si>
  <si>
    <t>delta_gold is: 0.9952282996217627</t>
  </si>
  <si>
    <t xml:space="preserve"> delta_tb is: 0.999673264110098</t>
  </si>
  <si>
    <t xml:space="preserve"> delta_reit is: 0.9858033734368192
</t>
  </si>
  <si>
    <t xml:space="preserve"> 0.9858033734368192
</t>
  </si>
  <si>
    <t>delta_gold_risk is: 1.0031081417463796</t>
  </si>
  <si>
    <t xml:space="preserve"> delta_tb_risk is: 0.9949013008842916</t>
  </si>
  <si>
    <t xml:space="preserve"> delta_reit_risk is: 0.9937353704614053
</t>
  </si>
  <si>
    <t xml:space="preserve"> 0.9937353704614053
</t>
  </si>
  <si>
    <t xml:space="preserve">collateral_ratio_tranche_gold is: 0.6975112769711382
</t>
  </si>
  <si>
    <t xml:space="preserve"> 0.6975112769711382
</t>
  </si>
  <si>
    <t xml:space="preserve">collateral_ratio_tranche_tb is: 0.33198963216591487
</t>
  </si>
  <si>
    <t xml:space="preserve"> 0.33198963216591487
</t>
  </si>
  <si>
    <t xml:space="preserve">collateral_ratio_tranche_reit is: 0.2957272367533699
</t>
  </si>
  <si>
    <t xml:space="preserve"> 0.2957272367533699
</t>
  </si>
  <si>
    <t>Total plot size is: 136042239.95054343</t>
  </si>
  <si>
    <t xml:space="preserve"> plot size of gold is: 72062926.14527473</t>
  </si>
  <si>
    <t xml:space="preserve"> plot size of TB is: 33856350.39428234</t>
  </si>
  <si>
    <t xml:space="preserve"> plot size of REIT is: 30122963.41098637
</t>
  </si>
  <si>
    <t xml:space="preserve"> 30122963.41098637
</t>
  </si>
  <si>
    <t xml:space="preserve">collateral ratio is: 1.3208829096012504
</t>
  </si>
  <si>
    <t xml:space="preserve"> 1.3208829096012504
</t>
  </si>
  <si>
    <t>S_gtbcps_0 is: 0.9998067059640457</t>
  </si>
  <si>
    <t xml:space="preserve">stdev_gtbcps is: 0.008673646624484334
</t>
  </si>
  <si>
    <t xml:space="preserve"> 0.008673646624484334
</t>
  </si>
  <si>
    <t>predicted price of GTBCPS is: 0.9998244940065038</t>
  </si>
  <si>
    <t xml:space="preserve"> actual price is: 0.9998067059640457
</t>
  </si>
  <si>
    <t xml:space="preserve"> 0.9998067059640457
</t>
  </si>
  <si>
    <t>predicted amount of GTBCPS is: 103011492.82888062</t>
  </si>
  <si>
    <t xml:space="preserve"> actual amount is: 103013325.55594394
</t>
  </si>
  <si>
    <t>plot sizes of gold is: 72062926.14527473</t>
  </si>
  <si>
    <t xml:space="preserve"> plot sizes of tb is: 33856350.39428234 </t>
  </si>
  <si>
    <t xml:space="preserve"> plot sizes of reit is: 30122963.41098637</t>
  </si>
  <si>
    <t xml:space="preserve"> plot sizes of total is: 136042239.95054343.
</t>
  </si>
  <si>
    <t xml:space="preserve"> 136042239.95054343.
</t>
  </si>
  <si>
    <t>predicted stdevs of gold is: 0.009142170776729748</t>
  </si>
  <si>
    <t xml:space="preserve"> predicted stdevs of tb is: 0.0031192793375965505</t>
  </si>
  <si>
    <t xml:space="preserve"> predicted stdevs of reit is: 0.013795565792855466</t>
  </si>
  <si>
    <t xml:space="preserve"> predicted stdevs of GTBCPS is: 0.008673646624484334.
</t>
  </si>
  <si>
    <t xml:space="preserve"> 0.008673646624484334.
</t>
  </si>
  <si>
    <t>total_value_of_collaterals is: 136042871.65582004</t>
  </si>
  <si>
    <t xml:space="preserve"> createdtionValue_gold is: -1282.1144212053066</t>
  </si>
  <si>
    <t xml:space="preserve"> createdValue_tb is: -602.3560501827452</t>
  </si>
  <si>
    <t xml:space="preserve"> createdValue_reit is: -535.9337554357813
</t>
  </si>
  <si>
    <t xml:space="preserve"> -535.9337554357813
</t>
  </si>
  <si>
    <t>plotValue_gold_after_creation is: 72064669.59288172</t>
  </si>
  <si>
    <t xml:space="preserve"> plotValue_tb_after_creation  is: 33857032.58285225</t>
  </si>
  <si>
    <t xml:space="preserve"> plotValue_reit_after_creation  is: 30123589.884312898</t>
  </si>
  <si>
    <t xml:space="preserve">total_value_after_creation is: 136045292.06004688
</t>
  </si>
  <si>
    <t xml:space="preserve"> 136045292.06004688
</t>
  </si>
  <si>
    <t>total_amount_gtncps_before_creation is: 103013325.55594394</t>
  </si>
  <si>
    <t>creation_amount_gtbcps is: -1832.7270633131266</t>
  </si>
  <si>
    <t xml:space="preserve">total_amount_gtbcps_new is: 103011492.82888062
</t>
  </si>
  <si>
    <t xml:space="preserve"> 103011492.82888062
</t>
  </si>
  <si>
    <t>payout of tranche of gold is: 461.333185787104</t>
  </si>
  <si>
    <t xml:space="preserve"> payout of tranche of Treausry Bill Option is: 79.83251972726332</t>
  </si>
  <si>
    <t xml:space="preserve"> payout of tranche of Collar of REIT is: 90.5395710926714
</t>
  </si>
  <si>
    <t xml:space="preserve"> 90.5395710926714
</t>
  </si>
  <si>
    <t>Collateral size of tranche of gold is: 72064669.59288172</t>
  </si>
  <si>
    <t xml:space="preserve"> collateral size of tranche of Treausry Bill Option is: 33857032.58285225</t>
  </si>
  <si>
    <t xml:space="preserve"> collateral size of tranche of Collar of REIT is: 30123589.884312898
</t>
  </si>
  <si>
    <t xml:space="preserve"> 30123589.884312898
</t>
  </si>
  <si>
    <t>Collateral ratio of tranche of gold is: 0.6996892800565139</t>
  </si>
  <si>
    <t xml:space="preserve"> collateral ratio of tranche of Treausry Bill Option is: 0.3287242262619875</t>
  </si>
  <si>
    <t xml:space="preserve"> collateral ratio of tranche of Collar of REIT is: 0.29247553673588894
</t>
  </si>
  <si>
    <t xml:space="preserve"> 0.29247553673588894
</t>
  </si>
  <si>
    <t xml:space="preserve">date is: 2022-10-25 00:00:00
</t>
  </si>
  <si>
    <t xml:space="preserve"> 2022-10-25 00</t>
  </si>
  <si>
    <t>current price of gold is: 1653.17</t>
  </si>
  <si>
    <t xml:space="preserve"> predicted price of gold is: 1651.8940383195193
</t>
  </si>
  <si>
    <t xml:space="preserve"> 1651.8940383195193
</t>
  </si>
  <si>
    <t>current price of tb is: 88.0859375</t>
  </si>
  <si>
    <t xml:space="preserve"> current price of tb option is: 4.208449988939903</t>
  </si>
  <si>
    <t xml:space="preserve"> predicted price of tb is: 88.38741251299709
</t>
  </si>
  <si>
    <t xml:space="preserve"> 88.38741251299709
</t>
  </si>
  <si>
    <t>current price of reit is: 47.15</t>
  </si>
  <si>
    <t xml:space="preserve"> current price of reit option is: 5.683237959035758</t>
  </si>
  <si>
    <t xml:space="preserve"> predicted price of reit is: 47.670293150957626
</t>
  </si>
  <si>
    <t xml:space="preserve"> 47.670293150957626
</t>
  </si>
  <si>
    <t>value_ratio_gold_to_total is: -0.13520131744171218</t>
  </si>
  <si>
    <t xml:space="preserve"> risk_ratio_to_gold is: 0.5491506928376889</t>
  </si>
  <si>
    <t xml:space="preserve"> risk_ratio_to_gold_before is: 0.5469247820926685
</t>
  </si>
  <si>
    <t xml:space="preserve"> 0.5469247820926685
</t>
  </si>
  <si>
    <t>value_ratio_tb_to_total is: 0.4778731298540518</t>
  </si>
  <si>
    <t xml:space="preserve"> risk_ratio_tb_to_gold is: 0.41451346471269085</t>
  </si>
  <si>
    <t xml:space="preserve"> risk_ratio_tb_to_gold_before is: 0.4119324590364417
</t>
  </si>
  <si>
    <t xml:space="preserve"> 0.4119324590364417
</t>
  </si>
  <si>
    <t>value_ratio_reit_to_total is: 0.6573281875876604</t>
  </si>
  <si>
    <t xml:space="preserve"> risk_ratio_reit_to_gold is: 0.40648032268032186</t>
  </si>
  <si>
    <t xml:space="preserve"> risk_ratio_reit_to_gold_before is: 0.41647252962352466
</t>
  </si>
  <si>
    <t xml:space="preserve"> 0.41647252962352466
</t>
  </si>
  <si>
    <t>delta_gold is: 1.0020548194304695</t>
  </si>
  <si>
    <t xml:space="preserve"> delta_tb is: 1.0023991677362625</t>
  </si>
  <si>
    <t xml:space="preserve"> delta_reit is: 0.9900799581454715
</t>
  </si>
  <si>
    <t xml:space="preserve"> 0.9900799581454715
</t>
  </si>
  <si>
    <t>delta_gold_risk is: 1.0014389262947931</t>
  </si>
  <si>
    <t xml:space="preserve"> delta_tb_risk is: 1.0018279951422113</t>
  </si>
  <si>
    <t xml:space="preserve"> delta_reit_risk is: 0.9929457107467811
</t>
  </si>
  <si>
    <t xml:space="preserve"> 0.9929457107467811
</t>
  </si>
  <si>
    <t xml:space="preserve">collateral_ratio_tranche_gold is: 0.7001195946901655
</t>
  </si>
  <si>
    <t xml:space="preserve"> 0.7001195946901655
</t>
  </si>
  <si>
    <t xml:space="preserve">collateral_ratio_tranche_tb is: 0.3282371738135328
</t>
  </si>
  <si>
    <t xml:space="preserve"> 0.3282371738135328
</t>
  </si>
  <si>
    <t xml:space="preserve">collateral_ratio_tranche_reit is: 0.29103339847683307
</t>
  </si>
  <si>
    <t xml:space="preserve"> 0.29103339847683307
</t>
  </si>
  <si>
    <t>Total plot size is: 135975773.371134</t>
  </si>
  <si>
    <t xml:space="preserve"> plot size of gold is: 72212749.47621155</t>
  </si>
  <si>
    <t xml:space="preserve"> plot size of TB is: 33938261.28307062</t>
  </si>
  <si>
    <t xml:space="preserve"> plot size of REIT is: 29824762.61185186
</t>
  </si>
  <si>
    <t xml:space="preserve"> 29824762.61185186
</t>
  </si>
  <si>
    <t xml:space="preserve">collateral ratio is: 1.320237561738458
</t>
  </si>
  <si>
    <t xml:space="preserve"> 1.320237561738458
</t>
  </si>
  <si>
    <t>S_gtbcps_0 is: 0.9998244940065038</t>
  </si>
  <si>
    <t xml:space="preserve">stdev_gtbcps is: 0.008670526147466238
</t>
  </si>
  <si>
    <t xml:space="preserve"> 0.008670526147466238
</t>
  </si>
  <si>
    <t>predicted price of GTBCPS is: 0.9998186271269629</t>
  </si>
  <si>
    <t xml:space="preserve"> actual price is: 0.9998244940065038
</t>
  </si>
  <si>
    <t xml:space="preserve"> 0.9998244940065038
</t>
  </si>
  <si>
    <t>predicted amount of GTBCPS is: 103012097.29453409</t>
  </si>
  <si>
    <t xml:space="preserve"> actual amount is: 103011492.82888062
</t>
  </si>
  <si>
    <t>plot sizes of gold is: 72212749.47621155</t>
  </si>
  <si>
    <t xml:space="preserve"> plot sizes of tb is: 33938261.28307062 </t>
  </si>
  <si>
    <t xml:space="preserve"> plot sizes of reit is: 29824762.61185186</t>
  </si>
  <si>
    <t xml:space="preserve"> plot sizes of total is: 135975773.37113404.
</t>
  </si>
  <si>
    <t xml:space="preserve"> 135975773.37113404.
</t>
  </si>
  <si>
    <t>predicted stdevs of gold is: 0.009149542246047304</t>
  </si>
  <si>
    <t xml:space="preserve"> predicted stdevs of tb is: 0.003130824365831937</t>
  </si>
  <si>
    <t xml:space="preserve"> predicted stdevs of reit is: 0.013814465731163876</t>
  </si>
  <si>
    <t xml:space="preserve"> predicted stdevs of GTBCPS is: 0.008670526147466238.
</t>
  </si>
  <si>
    <t xml:space="preserve"> 0.008670526147466238.
</t>
  </si>
  <si>
    <t>total_value_of_collaterals is: 135975565.1880265</t>
  </si>
  <si>
    <t xml:space="preserve"> createdtionValue_gold is: 423.7369878520553</t>
  </si>
  <si>
    <t xml:space="preserve"> createdValue_tb is: 199.14642201467638</t>
  </si>
  <si>
    <t xml:space="preserve"> createdValue_reit is: 175.00888652577476
</t>
  </si>
  <si>
    <t xml:space="preserve"> 175.00888652577476
</t>
  </si>
  <si>
    <t>plotValue_gold_after_creation is: 72212175.2250044</t>
  </si>
  <si>
    <t xml:space="preserve"> plotValue_tb_after_creation  is: 33938024.61015614</t>
  </si>
  <si>
    <t xml:space="preserve"> plotValue_reit_after_creation  is: 29824567.460569542</t>
  </si>
  <si>
    <t xml:space="preserve">total_value_after_creation is: 135974767.29573008
</t>
  </si>
  <si>
    <t xml:space="preserve"> 135974767.29573008
</t>
  </si>
  <si>
    <t>total_amount_gtncps_before_creation is: 103011492.82888062</t>
  </si>
  <si>
    <t>creation_amount_gtbcps is: 604.4656534641981</t>
  </si>
  <si>
    <t xml:space="preserve">total_amount_gtbcps_new is: 103012097.29453409
</t>
  </si>
  <si>
    <t xml:space="preserve"> 103012097.29453409
</t>
  </si>
  <si>
    <t>payout of tranche of gold is: -150.5142192796115</t>
  </si>
  <si>
    <t xml:space="preserve"> payout of tranche of Treausry Bill Option is: -37.52649246230052</t>
  </si>
  <si>
    <t xml:space="preserve"> payout of tranche of Collar of REIT is: -20.142395789576543
</t>
  </si>
  <si>
    <t xml:space="preserve"> -20.142395789576543
</t>
  </si>
  <si>
    <t>Collateral size of tranche of gold is: 72212175.2250044</t>
  </si>
  <si>
    <t xml:space="preserve"> collateral size of tranche of Treausry Bill Option is: 33938024.61015614</t>
  </si>
  <si>
    <t xml:space="preserve"> collateral size of tranche of Collar of REIT is: 29824567.460569542
</t>
  </si>
  <si>
    <t xml:space="preserve"> 29824567.460569542
</t>
  </si>
  <si>
    <t>Collateral ratio of tranche of gold is: 0.7011380278761981</t>
  </si>
  <si>
    <t xml:space="preserve"> collateral ratio of tranche of Treausry Bill Option is: 0.32951838898406893</t>
  </si>
  <si>
    <t xml:space="preserve"> collateral ratio of tranche of Collar of REIT is: 0.289579123553719
</t>
  </si>
  <si>
    <t xml:space="preserve"> 0.289579123553719
</t>
  </si>
  <si>
    <t xml:space="preserve">date is: 2022-10-26 00:00:00
</t>
  </si>
  <si>
    <t xml:space="preserve"> 2022-10-26 00</t>
  </si>
  <si>
    <t>current price of gold is: 1664.57</t>
  </si>
  <si>
    <t xml:space="preserve"> predicted price of gold is: 1657.0120350915277
</t>
  </si>
  <si>
    <t xml:space="preserve"> 1657.0120350915277
</t>
  </si>
  <si>
    <t>current price of tb is: 88.31640625</t>
  </si>
  <si>
    <t xml:space="preserve"> current price of tb option is: 4.211973238498732</t>
  </si>
  <si>
    <t xml:space="preserve"> predicted price of tb is: 88.61423922189681
</t>
  </si>
  <si>
    <t xml:space="preserve"> 88.61423922189681
</t>
  </si>
  <si>
    <t>current price of reit is: 48.1</t>
  </si>
  <si>
    <t xml:space="preserve"> current price of reit option is: 5.629713446465139</t>
  </si>
  <si>
    <t xml:space="preserve"> predicted price of reit is: 48.51207335301297
</t>
  </si>
  <si>
    <t xml:space="preserve"> 48.51207335301297
</t>
  </si>
  <si>
    <t>value_ratio_gold_to_total is: -2.524683979594622</t>
  </si>
  <si>
    <t xml:space="preserve"> risk_ratio_to_gold is: 0.5473988785834054</t>
  </si>
  <si>
    <t xml:space="preserve"> risk_ratio_to_gold_before is: 0.5491506928376889
</t>
  </si>
  <si>
    <t xml:space="preserve"> 0.5491506928376889
</t>
  </si>
  <si>
    <t>value_ratio_tb_to_total is: 1.5064684248134994</t>
  </si>
  <si>
    <t xml:space="preserve"> risk_ratio_tb_to_gold is: 0.41645401476532834</t>
  </si>
  <si>
    <t xml:space="preserve"> risk_ratio_tb_to_gold_before is: 0.41451346471269085
</t>
  </si>
  <si>
    <t xml:space="preserve"> 0.41451346471269085
</t>
  </si>
  <si>
    <t>value_ratio_reit_to_total is: 2.0182155547811225</t>
  </si>
  <si>
    <t xml:space="preserve"> risk_ratio_reit_to_gold is: 0.41036741129945525</t>
  </si>
  <si>
    <t xml:space="preserve"> risk_ratio_reit_to_gold_before is: 0.40648032268032186
</t>
  </si>
  <si>
    <t xml:space="preserve"> 0.40648032268032186
</t>
  </si>
  <si>
    <t>delta_gold is: 1.0068958425328307</t>
  </si>
  <si>
    <t xml:space="preserve"> delta_tb is: 1.002535278752317</t>
  </si>
  <si>
    <t xml:space="preserve"> delta_reit is: 1.0169680209288794
</t>
  </si>
  <si>
    <t xml:space="preserve"> 1.0169680209288794
</t>
  </si>
  <si>
    <t>delta_gold_risk is: 0.9988691776323744</t>
  </si>
  <si>
    <t xml:space="preserve"> delta_tb_risk is: 1.001371885175396</t>
  </si>
  <si>
    <t xml:space="preserve"> delta_reit_risk is: 1.0027636992544098
</t>
  </si>
  <si>
    <t xml:space="preserve"> 1.0027636992544098
</t>
  </si>
  <si>
    <t xml:space="preserve">collateral_ratio_tranche_gold is: 0.7067721991217947
</t>
  </si>
  <si>
    <t xml:space="preserve"> 0.7067721991217947
</t>
  </si>
  <si>
    <t xml:space="preserve">collateral_ratio_tranche_tb is: 0.32764185670548485
</t>
  </si>
  <si>
    <t xml:space="preserve"> 0.32764185670548485
</t>
  </si>
  <si>
    <t xml:space="preserve">collateral_ratio_tranche_reit is: 0.2916697533597633
</t>
  </si>
  <si>
    <t xml:space="preserve"> 0.2916697533597633
</t>
  </si>
  <si>
    <t>Total plot size is: 137064837.32259035</t>
  </si>
  <si>
    <t xml:space="preserve"> plot size of gold is: 72710139.01430921</t>
  </si>
  <si>
    <t xml:space="preserve"> plot size of TB is: 34024066.96284588</t>
  </si>
  <si>
    <t xml:space="preserve"> plot size of REIT is: 30330631.34543526
</t>
  </si>
  <si>
    <t xml:space="preserve"> 30330631.34543526
</t>
  </si>
  <si>
    <t xml:space="preserve">collateral ratio is: 1.3308116743189653
</t>
  </si>
  <si>
    <t xml:space="preserve"> 1.3308116743189653
</t>
  </si>
  <si>
    <t>S_gtbcps_0 is: 0.9998186271269629</t>
  </si>
  <si>
    <t xml:space="preserve">stdev_gtbcps is: 0.00873100656225463
</t>
  </si>
  <si>
    <t xml:space="preserve"> 0.00873100656225463
</t>
  </si>
  <si>
    <t>predicted price of GTBCPS is: 0.999803402223354</t>
  </si>
  <si>
    <t xml:space="preserve"> actual price is: 0.9998186271269629
</t>
  </si>
  <si>
    <t xml:space="preserve"> 0.9998186271269629
</t>
  </si>
  <si>
    <t>predicted amount of GTBCPS is: 103013665.95218055</t>
  </si>
  <si>
    <t xml:space="preserve"> actual amount is: 103012097.29453409
</t>
  </si>
  <si>
    <t>plot sizes of gold is: 72710139.01430921</t>
  </si>
  <si>
    <t xml:space="preserve"> plot sizes of tb is: 34024066.96284588 </t>
  </si>
  <si>
    <t xml:space="preserve"> plot sizes of reit is: 30330631.34543526</t>
  </si>
  <si>
    <t xml:space="preserve"> plot sizes of total is: 137064837.32259035.
</t>
  </si>
  <si>
    <t xml:space="preserve"> 137064837.32259035.
</t>
  </si>
  <si>
    <t>predicted stdevs of gold is: 0.009150826363794598</t>
  </si>
  <si>
    <t xml:space="preserve"> predicted stdevs of tb is: 0.003145748747882348</t>
  </si>
  <si>
    <t xml:space="preserve"> predicted stdevs of reit is: 0.013989981488737188</t>
  </si>
  <si>
    <t xml:space="preserve"> predicted stdevs of GTBCPS is: 0.00873100656225463.
</t>
  </si>
  <si>
    <t xml:space="preserve"> 0.00873100656225463.
</t>
  </si>
  <si>
    <t>total_value_of_collaterals is: 137064298.00141585</t>
  </si>
  <si>
    <t xml:space="preserve"> createdtionValue_gold is: 1107.1996486358792</t>
  </si>
  <si>
    <t xml:space="preserve"> createdValue_tb is: 518.1060865903695</t>
  </si>
  <si>
    <t xml:space="preserve"> createdValue_reit is: 461.86354595163453
</t>
  </si>
  <si>
    <t xml:space="preserve"> 461.86354595163453
</t>
  </si>
  <si>
    <t>plotValue_gold_after_creation is: 72708636.06662227</t>
  </si>
  <si>
    <t xml:space="preserve"> plotValue_tb_after_creation  is: 34023481.618887074</t>
  </si>
  <si>
    <t xml:space="preserve"> plotValue_reit_after_creation  is: 30330093.146625344</t>
  </si>
  <si>
    <t xml:space="preserve">total_value_after_creation is: 137062210.8321347
</t>
  </si>
  <si>
    <t xml:space="preserve"> 137062210.8321347
</t>
  </si>
  <si>
    <t>total_amount_gtncps_before_creation is: 103012097.29453409</t>
  </si>
  <si>
    <t>creation_amount_gtbcps is: 1568.6576464623213</t>
  </si>
  <si>
    <t xml:space="preserve">total_amount_gtbcps_new is: 103013665.95218055
</t>
  </si>
  <si>
    <t xml:space="preserve"> 103013665.95218055
</t>
  </si>
  <si>
    <t>payout of tranche of gold is: -395.74803830824135</t>
  </si>
  <si>
    <t xml:space="preserve"> payout of tranche of Treausry Bill Option is: -67.23787221178422</t>
  </si>
  <si>
    <t xml:space="preserve"> payout of tranche of Collar of REIT is: -76.33526396780621
</t>
  </si>
  <si>
    <t xml:space="preserve"> -76.33526396780621
</t>
  </si>
  <si>
    <t>Collateral size of tranche of gold is: 72708636.06662227</t>
  </si>
  <si>
    <t xml:space="preserve"> collateral size of tranche of Treausry Bill Option is: 34023481.618887074</t>
  </si>
  <si>
    <t xml:space="preserve"> collateral size of tranche of Collar of REIT is: 30330093.146625344
</t>
  </si>
  <si>
    <t xml:space="preserve"> 30330093.146625344
</t>
  </si>
  <si>
    <t>Collateral ratio of tranche of gold is: 0.7059649802651471</t>
  </si>
  <si>
    <t xml:space="preserve"> collateral ratio of tranche of Treausry Bill Option is: 0.3303512186313117</t>
  </si>
  <si>
    <t xml:space="preserve"> collateral ratio of tranche of Collar of REIT is: 0.29449023895975474
</t>
  </si>
  <si>
    <t xml:space="preserve"> 0.29449023895975474
</t>
  </si>
  <si>
    <t xml:space="preserve">date is: 2022-10-27 00:00:00
</t>
  </si>
  <si>
    <t xml:space="preserve"> 2022-10-27 00</t>
  </si>
  <si>
    <t>current price of gold is: 1663.31</t>
  </si>
  <si>
    <t xml:space="preserve"> predicted price of gold is: 1666.6166000897963
</t>
  </si>
  <si>
    <t xml:space="preserve"> 1666.6166000897963
</t>
  </si>
  <si>
    <t>current price of tb is: 88.71875</t>
  </si>
  <si>
    <t xml:space="preserve"> current price of tb option is: 4.216402012886105</t>
  </si>
  <si>
    <t xml:space="preserve"> predicted price of tb is: 89.01200548041338
</t>
  </si>
  <si>
    <t xml:space="preserve"> 89.01200548041338
</t>
  </si>
  <si>
    <t>current price of reit is: 47.9</t>
  </si>
  <si>
    <t xml:space="preserve"> current price of reit option is: 5.691535665817277</t>
  </si>
  <si>
    <t xml:space="preserve"> predicted price of reit is: 48.40306564155018
</t>
  </si>
  <si>
    <t xml:space="preserve"> 48.40306564155018
</t>
  </si>
  <si>
    <t>value_ratio_gold_to_total is: 0.23600266876194412</t>
  </si>
  <si>
    <t xml:space="preserve"> risk_ratio_to_gold is: 0.5484442026668992</t>
  </si>
  <si>
    <t xml:space="preserve"> risk_ratio_to_gold_before is: 0.5473988785834054
</t>
  </si>
  <si>
    <t xml:space="preserve"> 0.5473988785834054
</t>
  </si>
  <si>
    <t>value_ratio_tb_to_total is: 0.32186873970796</t>
  </si>
  <si>
    <t xml:space="preserve"> risk_ratio_tb_to_gold is: 0.4184375180845033</t>
  </si>
  <si>
    <t xml:space="preserve"> risk_ratio_tb_to_gold_before is: 0.41645401476532834
</t>
  </si>
  <si>
    <t xml:space="preserve"> 0.41645401476532834
</t>
  </si>
  <si>
    <t>value_ratio_reit_to_total is: 0.44212859153009587</t>
  </si>
  <si>
    <t xml:space="preserve"> risk_ratio_reit_to_gold is: 0.40490202153928573</t>
  </si>
  <si>
    <t xml:space="preserve"> risk_ratio_reit_to_gold_before is: 0.41036741129945525
</t>
  </si>
  <si>
    <t xml:space="preserve"> 0.41036741129945525
</t>
  </si>
  <si>
    <t>delta_gold is: 0.9992430477540746</t>
  </si>
  <si>
    <t xml:space="preserve"> delta_tb is: 1.0043961920292568</t>
  </si>
  <si>
    <t xml:space="preserve"> delta_reit is: 0.997428279963087
</t>
  </si>
  <si>
    <t xml:space="preserve"> 0.997428279963087
</t>
  </si>
  <si>
    <t>delta_gold_risk is: 1.0006755362808915</t>
  </si>
  <si>
    <t xml:space="preserve"> delta_tb_risk is: 1.0014003301896839</t>
  </si>
  <si>
    <t xml:space="preserve"> delta_reit_risk is: 0.9961248468190753
</t>
  </si>
  <si>
    <t xml:space="preserve"> 0.9961248468190753
</t>
  </si>
  <si>
    <t xml:space="preserve">collateral_ratio_tranche_gold is: 0.704954376230274
</t>
  </si>
  <si>
    <t xml:space="preserve"> 0.704954376230274
</t>
  </si>
  <si>
    <t xml:space="preserve">collateral_ratio_tranche_tb is: 0.3315905194792624
</t>
  </si>
  <si>
    <t xml:space="preserve"> 0.3315905194792624
</t>
  </si>
  <si>
    <t xml:space="preserve">collateral_ratio_tranche_reit is: 0.2950989563733104
</t>
  </si>
  <si>
    <t xml:space="preserve"> 0.2950989563733104
</t>
  </si>
  <si>
    <t>Total plot size is: 137078747.11719978</t>
  </si>
  <si>
    <t xml:space="preserve"> plot size of gold is: 72653599.10125346</t>
  </si>
  <si>
    <t xml:space="preserve"> plot size of TB is: 34173055.377587594</t>
  </si>
  <si>
    <t xml:space="preserve"> plot size of REIT is: 30252092.63835873
</t>
  </si>
  <si>
    <t xml:space="preserve"> 30252092.63835873
</t>
  </si>
  <si>
    <t xml:space="preserve">collateral ratio is: 1.3309467295046367
</t>
  </si>
  <si>
    <t xml:space="preserve"> 1.3309467295046367
</t>
  </si>
  <si>
    <t>S_gtbcps_0 is: 0.999803402223354</t>
  </si>
  <si>
    <t xml:space="preserve">stdev_gtbcps is: 0.00871403705347366
</t>
  </si>
  <si>
    <t xml:space="preserve"> 0.00871403705347366
</t>
  </si>
  <si>
    <t>predicted price of GTBCPS is: 0.9997969103696268</t>
  </si>
  <si>
    <t xml:space="preserve"> actual price is: 0.999803402223354
</t>
  </si>
  <si>
    <t xml:space="preserve"> 0.999803402223354
</t>
  </si>
  <si>
    <t>predicted amount of GTBCPS is: 103014334.83767553</t>
  </si>
  <si>
    <t xml:space="preserve"> actual amount is: 103013665.95218055
</t>
  </si>
  <si>
    <t>plot sizes of gold is: 72653599.10125346</t>
  </si>
  <si>
    <t xml:space="preserve"> plot sizes of tb is: 34173055.377587594 </t>
  </si>
  <si>
    <t xml:space="preserve"> plot sizes of reit is: 30252092.63835873</t>
  </si>
  <si>
    <t xml:space="preserve"> plot sizes of total is: 137078747.1171998.
</t>
  </si>
  <si>
    <t xml:space="preserve"> 137078747.1171998.
</t>
  </si>
  <si>
    <t>predicted stdevs of gold is: 0.009152193863306835</t>
  </si>
  <si>
    <t xml:space="preserve"> predicted stdevs of tb is: 0.003172483112881649</t>
  </si>
  <si>
    <t xml:space="preserve"> predicted stdevs of reit is: 0.013921549881359241</t>
  </si>
  <si>
    <t xml:space="preserve"> predicted stdevs of GTBCPS is: 0.00871403705347366.
</t>
  </si>
  <si>
    <t xml:space="preserve"> 0.00871403705347366.
</t>
  </si>
  <si>
    <t>total_value_of_collaterals is: 137078516.83372575</t>
  </si>
  <si>
    <t xml:space="preserve"> createdtionValue_gold is: 471.74820367696316</t>
  </si>
  <si>
    <t xml:space="preserve"> createdValue_tb is: 221.88983046931594</t>
  </si>
  <si>
    <t xml:space="preserve"> createdValue_reit is: 196.43063180736624
</t>
  </si>
  <si>
    <t xml:space="preserve"> 196.43063180736624
</t>
  </si>
  <si>
    <t>plotValue_gold_after_creation is: 72652961.13017641</t>
  </si>
  <si>
    <t xml:space="preserve"> plotValue_tb_after_creation  is: 34172791.97380413</t>
  </si>
  <si>
    <t xml:space="preserve"> plotValue_reit_after_creation  is: 30251873.661079254</t>
  </si>
  <si>
    <t xml:space="preserve">total_value_after_creation is: 137077626.7650598
</t>
  </si>
  <si>
    <t xml:space="preserve"> 137077626.7650598
</t>
  </si>
  <si>
    <t>total_amount_gtncps_before_creation is: 103013665.95218055</t>
  </si>
  <si>
    <t>creation_amount_gtbcps is: 668.8854949772358</t>
  </si>
  <si>
    <t xml:space="preserve">total_amount_gtbcps_new is: 103014334.83767553
</t>
  </si>
  <si>
    <t xml:space="preserve"> 103014334.83767553
</t>
  </si>
  <si>
    <t>payout of tranche of gold is: -166.22287337194385</t>
  </si>
  <si>
    <t xml:space="preserve"> payout of tranche of Treausry Bill Option is: -41.513952991328026</t>
  </si>
  <si>
    <t xml:space="preserve"> payout of tranche of Collar of REIT is: -22.54664766934729
</t>
  </si>
  <si>
    <t xml:space="preserve"> -22.54664766934729
</t>
  </si>
  <si>
    <t>Collateral size of tranche of gold is: 72652961.13017641</t>
  </si>
  <si>
    <t xml:space="preserve"> collateral size of tranche of Treausry Bill Option is: 34172791.97380413</t>
  </si>
  <si>
    <t xml:space="preserve"> collateral size of tranche of Collar of REIT is: 30251873.661079254
</t>
  </si>
  <si>
    <t xml:space="preserve"> 30251873.661079254
</t>
  </si>
  <si>
    <t>Collateral ratio of tranche of gold is: 0.7054182425091013</t>
  </si>
  <si>
    <t xml:space="preserve"> collateral ratio of tranche of Treausry Bill Option is: 0.3317980503588526</t>
  </si>
  <si>
    <t xml:space="preserve"> collateral ratio of tranche of Collar of REIT is: 0.2937282007318245
</t>
  </si>
  <si>
    <t xml:space="preserve"> 0.2937282007318245
</t>
  </si>
  <si>
    <t xml:space="preserve">date is: 2022-10-28 00:00:00
</t>
  </si>
  <si>
    <t xml:space="preserve"> 2022-10-28 00</t>
  </si>
  <si>
    <t>current price of gold is: 1644.86</t>
  </si>
  <si>
    <t xml:space="preserve"> predicted price of gold is: 1650.5766500817256
</t>
  </si>
  <si>
    <t xml:space="preserve"> 1650.5766500817256
</t>
  </si>
  <si>
    <t xml:space="preserve"> current price of tb option is: 4.2131230453183255</t>
  </si>
  <si>
    <t xml:space="preserve"> predicted price of tb is: 88.69898820359796
</t>
  </si>
  <si>
    <t xml:space="preserve"> 88.69898820359796
</t>
  </si>
  <si>
    <t>current price of reit is: 48.45</t>
  </si>
  <si>
    <t xml:space="preserve"> current price of reit option is: 5.615191117682393</t>
  </si>
  <si>
    <t xml:space="preserve"> predicted price of reit is: 48.963126824362426
</t>
  </si>
  <si>
    <t xml:space="preserve"> 48.963126824362426
</t>
  </si>
  <si>
    <t>value_ratio_gold_to_total is: 0.34954096773963206</t>
  </si>
  <si>
    <t xml:space="preserve"> risk_ratio_to_gold is: 0.5459244840259041</t>
  </si>
  <si>
    <t xml:space="preserve"> risk_ratio_to_gold_before is: 0.5484442026668992
</t>
  </si>
  <si>
    <t xml:space="preserve"> 0.5484442026668992
</t>
  </si>
  <si>
    <t>value_ratio_tb_to_total is: 0.2757468925535653</t>
  </si>
  <si>
    <t xml:space="preserve"> risk_ratio_tb_to_gold is: 0.4188134254468005</t>
  </si>
  <si>
    <t xml:space="preserve"> risk_ratio_tb_to_gold_before is: 0.4184375180845033
</t>
  </si>
  <si>
    <t xml:space="preserve"> 0.4184375180845033
</t>
  </si>
  <si>
    <t>value_ratio_reit_to_total is: 0.3747121397068026</t>
  </si>
  <si>
    <t xml:space="preserve"> risk_ratio_reit_to_gold is: 0.4129417517995637</t>
  </si>
  <si>
    <t xml:space="preserve"> risk_ratio_reit_to_gold_before is: 0.40490202153928573
</t>
  </si>
  <si>
    <t xml:space="preserve"> 0.40490202153928573
</t>
  </si>
  <si>
    <t>delta_gold is: 0.9889076600272949</t>
  </si>
  <si>
    <t xml:space="preserve"> delta_tb is: 0.9965601259518739</t>
  </si>
  <si>
    <t xml:space="preserve"> delta_reit is: 1.008838251152546
</t>
  </si>
  <si>
    <t xml:space="preserve"> 1.008838251152546
</t>
  </si>
  <si>
    <t>delta_gold_risk is: 0.9983727417257559</t>
  </si>
  <si>
    <t xml:space="preserve"> delta_tb_risk is: 1.000265015101127</t>
  </si>
  <si>
    <t xml:space="preserve"> delta_reit_risk is: 1.0057226270138533
</t>
  </si>
  <si>
    <t xml:space="preserve"> 1.0057226270138533
</t>
  </si>
  <si>
    <t xml:space="preserve">collateral_ratio_tranche_gold is: 0.6987305185580327
</t>
  </si>
  <si>
    <t xml:space="preserve"> 0.6987305185580327
</t>
  </si>
  <si>
    <t xml:space="preserve">collateral_ratio_tranche_tb is: 0.3342770153518029
</t>
  </si>
  <si>
    <t xml:space="preserve"> 0.3342770153518029
</t>
  </si>
  <si>
    <t xml:space="preserve">collateral_ratio_tranche_reit is: 0.29794302549153345
</t>
  </si>
  <si>
    <t xml:space="preserve"> 0.29794302549153345
</t>
  </si>
  <si>
    <t>Total plot size is: 136421558.97716916</t>
  </si>
  <si>
    <t xml:space="preserve"> plot size of gold is: 71847069.78529677</t>
  </si>
  <si>
    <t xml:space="preserve"> plot size of TB is: 34055241.87354143</t>
  </si>
  <si>
    <t xml:space="preserve"> plot size of REIT is: 30519247.318330962
</t>
  </si>
  <si>
    <t xml:space="preserve"> 30519247.318330962
</t>
  </si>
  <si>
    <t xml:space="preserve">collateral ratio is: 1.3245658541024476
</t>
  </si>
  <si>
    <t xml:space="preserve"> 1.3245658541024476
</t>
  </si>
  <si>
    <t>S_gtbcps_0 is: 0.9997969103696268</t>
  </si>
  <si>
    <t xml:space="preserve">stdev_gtbcps is: 0.008732391952010612
</t>
  </si>
  <si>
    <t xml:space="preserve"> 0.008732391952010612
</t>
  </si>
  <si>
    <t>predicted price of GTBCPS is: 0.9997904333079914</t>
  </si>
  <si>
    <t xml:space="preserve"> actual price is: 0.9997969103696268
</t>
  </si>
  <si>
    <t xml:space="preserve"> 0.9997969103696268
</t>
  </si>
  <si>
    <t>predicted amount of GTBCPS is: 103015002.20773014</t>
  </si>
  <si>
    <t xml:space="preserve"> actual amount is: 103014334.83767553
</t>
  </si>
  <si>
    <t>plot sizes of gold is: 71847069.78529677</t>
  </si>
  <si>
    <t xml:space="preserve"> plot sizes of tb is: 34055241.87354143 </t>
  </si>
  <si>
    <t xml:space="preserve"> plot sizes of reit is: 30519247.318330962</t>
  </si>
  <si>
    <t xml:space="preserve"> plot sizes of total is: 136421558.97716916.
</t>
  </si>
  <si>
    <t xml:space="preserve"> 136421558.97716916.
</t>
  </si>
  <si>
    <t>predicted stdevs of gold is: 0.009131938099267468</t>
  </si>
  <si>
    <t xml:space="preserve"> predicted stdevs of tb is: 0.0031745182168116714</t>
  </si>
  <si>
    <t xml:space="preserve"> predicted stdevs of reit is: 0.01399361326443629</t>
  </si>
  <si>
    <t xml:space="preserve"> predicted stdevs of GTBCPS is: 0.008732391952010612.
</t>
  </si>
  <si>
    <t xml:space="preserve"> 0.008732391952010612.
</t>
  </si>
  <si>
    <t>total_value_of_collaterals is: 136421329.38592288</t>
  </si>
  <si>
    <t xml:space="preserve"> createdtionValue_gold is: 465.45141442706984</t>
  </si>
  <si>
    <t xml:space="preserve"> createdValue_tb is: 220.62244936965104</t>
  </si>
  <si>
    <t xml:space="preserve"> createdValue_reit is: 197.71498338195542
</t>
  </si>
  <si>
    <t xml:space="preserve"> 197.71498338195542
</t>
  </si>
  <si>
    <t>plotValue_gold_after_creation is: 71846447.89604679</t>
  </si>
  <si>
    <t xml:space="preserve"> plotValue_tb_after_creation  is: 34054981.512616046</t>
  </si>
  <si>
    <t xml:space="preserve"> plotValue_reit_after_creation  is: 30519016.188412875</t>
  </si>
  <si>
    <t xml:space="preserve">total_value_after_creation is: 136420445.5970757
</t>
  </si>
  <si>
    <t xml:space="preserve"> 136420445.5970757
</t>
  </si>
  <si>
    <t>total_amount_gtncps_before_creation is: 103014334.83767553</t>
  </si>
  <si>
    <t>creation_amount_gtbcps is: 667.3700546175241</t>
  </si>
  <si>
    <t xml:space="preserve">total_amount_gtbcps_new is: 103015002.20773014
</t>
  </si>
  <si>
    <t xml:space="preserve"> 103015002.20773014
</t>
  </si>
  <si>
    <t>payout of tranche of gold is: -156.43783556205796</t>
  </si>
  <si>
    <t xml:space="preserve"> payout of tranche of Treausry Bill Option is: -39.738476014352706</t>
  </si>
  <si>
    <t xml:space="preserve"> payout of tranche of Collar of REIT is: -33.41493470591032
</t>
  </si>
  <si>
    <t xml:space="preserve"> -33.41493470591032
</t>
  </si>
  <si>
    <t>Collateral size of tranche of gold is: 71846447.89604679</t>
  </si>
  <si>
    <t xml:space="preserve"> collateral size of tranche of Treausry Bill Option is: 34054981.512616046</t>
  </si>
  <si>
    <t xml:space="preserve"> collateral size of tranche of Collar of REIT is: 30519016.188412875
</t>
  </si>
  <si>
    <t xml:space="preserve"> 30519016.188412875
</t>
  </si>
  <si>
    <t>Collateral ratio of tranche of gold is: 0.6975874550636899</t>
  </si>
  <si>
    <t xml:space="preserve"> collateral ratio of tranche of Treausry Bill Option is: 0.33065417402401576</t>
  </si>
  <si>
    <t xml:space="preserve"> collateral ratio of tranche of Collar of REIT is: 0.2963219958309716
</t>
  </si>
  <si>
    <t xml:space="preserve"> 0.2963219958309716
</t>
  </si>
  <si>
    <t xml:space="preserve">date is: 2022-10-31 00:00:00
</t>
  </si>
  <si>
    <t xml:space="preserve"> 2022-10-31 00</t>
  </si>
  <si>
    <t>current price of gold is: 1633.56</t>
  </si>
  <si>
    <t xml:space="preserve"> predicted price of gold is: 1637.7572477506585
</t>
  </si>
  <si>
    <t xml:space="preserve"> 1637.7572477506585
</t>
  </si>
  <si>
    <t>current price of tb is: 88.21484375</t>
  </si>
  <si>
    <t xml:space="preserve"> current price of tb option is: 4.208024109523917</t>
  </si>
  <si>
    <t xml:space="preserve"> predicted price of tb is: 88.51675994594294
</t>
  </si>
  <si>
    <t xml:space="preserve"> 88.51675994594294
</t>
  </si>
  <si>
    <t>current price of reit is: 46.4</t>
  </si>
  <si>
    <t xml:space="preserve"> current price of reit option is: 5.669370529496284</t>
  </si>
  <si>
    <t xml:space="preserve"> predicted price of reit is: 47.09777717297872
</t>
  </si>
  <si>
    <t xml:space="preserve"> 47.09777717297872
</t>
  </si>
  <si>
    <t>value_ratio_gold_to_total is: 0.27843666333781175</t>
  </si>
  <si>
    <t xml:space="preserve"> risk_ratio_to_gold is: 0.5457974376726986</t>
  </si>
  <si>
    <t xml:space="preserve"> risk_ratio_to_gold_before is: 0.5459244840259041
</t>
  </si>
  <si>
    <t xml:space="preserve"> 0.5459244840259041
</t>
  </si>
  <si>
    <t>value_ratio_tb_to_total is: 0.2991800353719587</t>
  </si>
  <si>
    <t xml:space="preserve"> risk_ratio_tb_to_gold is: 0.42154752772693643</t>
  </si>
  <si>
    <t xml:space="preserve"> risk_ratio_tb_to_gold_before is: 0.4188134254468005
</t>
  </si>
  <si>
    <t xml:space="preserve"> 0.4188134254468005
</t>
  </si>
  <si>
    <t>value_ratio_reit_to_total is: 0.42238330129022955</t>
  </si>
  <si>
    <t xml:space="preserve"> risk_ratio_reit_to_gold is: 0.410634030808843</t>
  </si>
  <si>
    <t xml:space="preserve"> risk_ratio_reit_to_gold_before is: 0.4129417517995637
</t>
  </si>
  <si>
    <t xml:space="preserve"> 0.4129417517995637
</t>
  </si>
  <si>
    <t>delta_gold is: 0.9931301144170325</t>
  </si>
  <si>
    <t xml:space="preserve"> delta_tb is: 0.9979204452295203</t>
  </si>
  <si>
    <t xml:space="preserve"> delta_reit is: 0.9630849249410428
</t>
  </si>
  <si>
    <t xml:space="preserve"> 0.9630849249410428
</t>
  </si>
  <si>
    <t>delta_gold_risk is: 0.9999178185257313</t>
  </si>
  <si>
    <t xml:space="preserve"> delta_tb_risk is: 1.0019270344014928</t>
  </si>
  <si>
    <t xml:space="preserve"> delta_reit_risk is: 0.9983667260254844
</t>
  </si>
  <si>
    <t xml:space="preserve"> 0.9983667260254844
</t>
  </si>
  <si>
    <t xml:space="preserve">collateral_ratio_tranche_gold is: 0.6928520486660984
</t>
  </si>
  <si>
    <t xml:space="preserve"> 0.6928520486660984
</t>
  </si>
  <si>
    <t xml:space="preserve">collateral_ratio_tranche_tb is: 0.3316100497066102
</t>
  </si>
  <si>
    <t xml:space="preserve"> 0.3316100497066102
</t>
  </si>
  <si>
    <t xml:space="preserve">collateral_ratio_tranche_reit is: 0.28782746039322915
</t>
  </si>
  <si>
    <t xml:space="preserve"> 0.28782746039322915
</t>
  </si>
  <si>
    <t>Total plot size is: 134729437.7479033</t>
  </si>
  <si>
    <t xml:space="preserve"> plot size of gold is: 71352871.01945831</t>
  </si>
  <si>
    <t xml:space="preserve"> plot size of TB is: 33984162.31335288</t>
  </si>
  <si>
    <t xml:space="preserve"> plot size of REIT is: 29392404.415092085
</t>
  </si>
  <si>
    <t xml:space="preserve"> 29392404.415092085
</t>
  </si>
  <si>
    <t xml:space="preserve">collateral ratio is: 1.3081364420792165
</t>
  </si>
  <si>
    <t xml:space="preserve"> 1.3081364420792165
</t>
  </si>
  <si>
    <t>S_gtbcps_0 is: 0.9997904333079914</t>
  </si>
  <si>
    <t xml:space="preserve">stdev_gtbcps is: 0.008781141752262042
</t>
  </si>
  <si>
    <t xml:space="preserve"> 0.008781141752262042
</t>
  </si>
  <si>
    <t>predicted price of GTBCPS is: 0.9997860320678059</t>
  </si>
  <si>
    <t xml:space="preserve"> actual price is: 0.9997904333079914
</t>
  </si>
  <si>
    <t xml:space="preserve"> 0.9997904333079914
</t>
  </si>
  <si>
    <t>predicted amount of GTBCPS is: 103015455.69853005</t>
  </si>
  <si>
    <t xml:space="preserve"> actual amount is: 103015002.20773014
</t>
  </si>
  <si>
    <t>plot sizes of gold is: 71352871.01945831</t>
  </si>
  <si>
    <t xml:space="preserve"> plot sizes of tb is: 33984162.31335288 </t>
  </si>
  <si>
    <t xml:space="preserve"> plot sizes of reit is: 29392404.415092085</t>
  </si>
  <si>
    <t xml:space="preserve"> plot sizes of total is: 134729437.7479033.
</t>
  </si>
  <si>
    <t xml:space="preserve"> 134729437.7479033.
</t>
  </si>
  <si>
    <t>predicted stdevs of gold is: 0.009092100984366403</t>
  </si>
  <si>
    <t xml:space="preserve"> predicted stdevs of tb is: 0.003179120674464815</t>
  </si>
  <si>
    <t xml:space="preserve"> predicted stdevs of reit is: 0.014503441882416462</t>
  </si>
  <si>
    <t xml:space="preserve"> predicted stdevs of GTBCPS is: 0.008781141752262042.
</t>
  </si>
  <si>
    <t xml:space="preserve"> 0.008781141752262042.
</t>
  </si>
  <si>
    <t>total_value_of_collaterals is: 134729281.5083313</t>
  </si>
  <si>
    <t xml:space="preserve"> createdtionValue_gold is: 314.10645479509924</t>
  </si>
  <si>
    <t xml:space="preserve"> createdValue_tb is: 149.6036855965846</t>
  </si>
  <si>
    <t xml:space="preserve"> createdValue_reit is: 129.3900815836349
</t>
  </si>
  <si>
    <t xml:space="preserve"> 129.3900815836349
</t>
  </si>
  <si>
    <t>plotValue_gold_after_creation is: 71352444.50612578</t>
  </si>
  <si>
    <t xml:space="preserve"> plotValue_tb_after_creation  is: 33983983.810219795</t>
  </si>
  <si>
    <t xml:space="preserve"> plotValue_reit_after_creation  is: 29392260.091763765</t>
  </si>
  <si>
    <t xml:space="preserve">total_value_after_creation is: 134728688.40810934
</t>
  </si>
  <si>
    <t xml:space="preserve"> 134728688.40810934
</t>
  </si>
  <si>
    <t>total_amount_gtncps_before_creation is: 103015002.20773014</t>
  </si>
  <si>
    <t>creation_amount_gtbcps is: 453.49079990386963</t>
  </si>
  <si>
    <t xml:space="preserve">total_amount_gtbcps_new is: 103015455.69853005
</t>
  </si>
  <si>
    <t xml:space="preserve"> 103015455.69853005
</t>
  </si>
  <si>
    <t>payout of tranche of gold is: -112.40687773861194</t>
  </si>
  <si>
    <t xml:space="preserve"> payout of tranche of Treausry Bill Option is: -28.899447495521333</t>
  </si>
  <si>
    <t xml:space="preserve"> payout of tranche of Collar of REIT is: -14.933246736370098
</t>
  </si>
  <si>
    <t xml:space="preserve"> -14.933246736370098
</t>
  </si>
  <si>
    <t>Collateral size of tranche of gold is: 71352444.50612578</t>
  </si>
  <si>
    <t xml:space="preserve"> collateral size of tranche of Treausry Bill Option is: 33983983.810219795</t>
  </si>
  <si>
    <t xml:space="preserve"> collateral size of tranche of Collar of REIT is: 29392260.091763765
</t>
  </si>
  <si>
    <t xml:space="preserve"> 29392260.091763765
</t>
  </si>
  <si>
    <t>Collateral ratio of tranche of gold is: 0.692789529476463</t>
  </si>
  <si>
    <t xml:space="preserve"> collateral ratio of tranche of Treausry Bill Option is: 0.32996414231605786</t>
  </si>
  <si>
    <t xml:space="preserve"> collateral ratio of tranche of Collar of REIT is: 0.28538125330064423
</t>
  </si>
  <si>
    <t xml:space="preserve"> 0.28538125330064423
</t>
  </si>
  <si>
    <t xml:space="preserve">date is: 2022-11-01 00:00:00
</t>
  </si>
  <si>
    <t xml:space="preserve"> 2022-11-01 00</t>
  </si>
  <si>
    <t>current price of gold is: 1647.98</t>
  </si>
  <si>
    <t xml:space="preserve"> predicted price of gold is: 1643.6371804204098
</t>
  </si>
  <si>
    <t xml:space="preserve"> 1643.6371804204098
</t>
  </si>
  <si>
    <t>current price of tb is: 88.1015625</t>
  </si>
  <si>
    <t xml:space="preserve"> current price of tb option is: 4.210535526003477</t>
  </si>
  <si>
    <t xml:space="preserve"> predicted price of tb is: 88.4008809400688
</t>
  </si>
  <si>
    <t xml:space="preserve"> 88.4008809400688
</t>
  </si>
  <si>
    <t xml:space="preserve"> current price of reit option is: 5.5381908074427955</t>
  </si>
  <si>
    <t xml:space="preserve"> predicted price of reit is: 48.362661053884274
</t>
  </si>
  <si>
    <t xml:space="preserve"> 48.362661053884274
</t>
  </si>
  <si>
    <t>value_ratio_gold_to_total is: -0.704101762760759</t>
  </si>
  <si>
    <t xml:space="preserve"> risk_ratio_to_gold is: 0.5413656131517316</t>
  </si>
  <si>
    <t xml:space="preserve"> risk_ratio_to_gold_before is: 0.5457974376726986
</t>
  </si>
  <si>
    <t xml:space="preserve"> 0.5457974376726986
</t>
  </si>
  <si>
    <t>value_ratio_tb_to_total is: 0.7311830641614415</t>
  </si>
  <si>
    <t xml:space="preserve"> risk_ratio_tb_to_gold is: 0.4234593358479844</t>
  </si>
  <si>
    <t xml:space="preserve"> risk_ratio_tb_to_gold_before is: 0.42154752772693643
</t>
  </si>
  <si>
    <t xml:space="preserve"> 0.42154752772693643
</t>
  </si>
  <si>
    <t>value_ratio_reit_to_total is: 0.9729186985993175</t>
  </si>
  <si>
    <t xml:space="preserve"> risk_ratio_reit_to_gold is: 0.42372115679206884</t>
  </si>
  <si>
    <t xml:space="preserve"> risk_ratio_reit_to_gold_before is: 0.410634030808843
</t>
  </si>
  <si>
    <t xml:space="preserve"> 0.410634030808843
</t>
  </si>
  <si>
    <t>delta_gold is: 1.0088273464090698</t>
  </si>
  <si>
    <t xml:space="preserve"> delta_tb is: 0.998801488894623</t>
  </si>
  <si>
    <t xml:space="preserve"> delta_reit is: 1.0262883968833674
</t>
  </si>
  <si>
    <t xml:space="preserve"> 1.0262883968833674
</t>
  </si>
  <si>
    <t>delta_gold_risk is: 0.9971329849481188</t>
  </si>
  <si>
    <t xml:space="preserve"> delta_tb_risk is: 1.00134487808797</t>
  </si>
  <si>
    <t xml:space="preserve"> delta_reit_risk is: 1.009277477855629
</t>
  </si>
  <si>
    <t xml:space="preserve"> 1.009277477855629
</t>
  </si>
  <si>
    <t xml:space="preserve">collateral_ratio_tranche_gold is: 0.7009145552216313
</t>
  </si>
  <si>
    <t xml:space="preserve"> 0.7009145552216313
</t>
  </si>
  <si>
    <t xml:space="preserve">collateral_ratio_tranche_tb is: 0.32624615440518606
</t>
  </si>
  <si>
    <t xml:space="preserve"> 0.32624615440518606
</t>
  </si>
  <si>
    <t xml:space="preserve">collateral_ratio_tranche_reit is: 0.28765202222933406
</t>
  </si>
  <si>
    <t xml:space="preserve"> 0.28765202222933406
</t>
  </si>
  <si>
    <t>Total plot size is: 136090486.36948878</t>
  </si>
  <si>
    <t xml:space="preserve"> plot size of gold is: 71982297.25091527</t>
  </si>
  <si>
    <t xml:space="preserve"> plot size of TB is: 33943253.62821829</t>
  </si>
  <si>
    <t xml:space="preserve"> plot size of REIT is: 30164935.49035521
</t>
  </si>
  <si>
    <t xml:space="preserve"> 30164935.49035521
</t>
  </si>
  <si>
    <t xml:space="preserve">collateral ratio is: 1.3213513513900466
</t>
  </si>
  <si>
    <t xml:space="preserve"> 1.3213513513900466
</t>
  </si>
  <si>
    <t>S_gtbcps_0 is: 0.9997860320678059</t>
  </si>
  <si>
    <t xml:space="preserve">stdev_gtbcps is: 0.008855055706377473
</t>
  </si>
  <si>
    <t xml:space="preserve"> 0.008855055706377473
</t>
  </si>
  <si>
    <t>predicted price of GTBCPS is: 0.9998265320974525</t>
  </si>
  <si>
    <t xml:space="preserve"> actual price is: 0.9997860320678059
</t>
  </si>
  <si>
    <t xml:space="preserve"> 0.9997860320678059
</t>
  </si>
  <si>
    <t>predicted amount of GTBCPS is: 103011282.84566419</t>
  </si>
  <si>
    <t xml:space="preserve"> actual amount is: 103015455.69853005
</t>
  </si>
  <si>
    <t>plot sizes of gold is: 71982297.25091527</t>
  </si>
  <si>
    <t xml:space="preserve"> plot sizes of tb is: 33943253.62821829 </t>
  </si>
  <si>
    <t xml:space="preserve"> plot sizes of reit is: 30164935.49035521</t>
  </si>
  <si>
    <t xml:space="preserve"> plot sizes of total is: 136090486.36948878.
</t>
  </si>
  <si>
    <t xml:space="preserve"> 136090486.36948878.
</t>
  </si>
  <si>
    <t>predicted stdevs of gold is: 0.009010236887073255</t>
  </si>
  <si>
    <t xml:space="preserve"> predicted stdevs of tb is: 0.003160124035634639</t>
  </si>
  <si>
    <t xml:space="preserve"> predicted stdevs of reit is: 0.014893000401370772</t>
  </si>
  <si>
    <t xml:space="preserve"> predicted stdevs of GTBCPS is: 0.008855055706377473.
</t>
  </si>
  <si>
    <t xml:space="preserve"> 0.008855055706377473.
</t>
  </si>
  <si>
    <t>total_value_of_collaterals is: 136091919.21460554</t>
  </si>
  <si>
    <t xml:space="preserve"> createdtionValue_gold is: -2915.9510123747414</t>
  </si>
  <si>
    <t xml:space="preserve"> createdValue_tb is: -1375.0074426300253</t>
  </si>
  <si>
    <t xml:space="preserve"> createdValue_reit is: -1221.9478929908696
</t>
  </si>
  <si>
    <t xml:space="preserve"> -1221.9478929908696
</t>
  </si>
  <si>
    <t>plotValue_gold_after_creation is: 71986248.25523904</t>
  </si>
  <si>
    <t xml:space="preserve"> plotValue_tb_after_creation  is: 33944886.830371</t>
  </si>
  <si>
    <t xml:space="preserve"> plotValue_reit_after_creation  is: 30166297.035343487</t>
  </si>
  <si>
    <t xml:space="preserve">total_value_after_creation is: 136097432.12095353
</t>
  </si>
  <si>
    <t xml:space="preserve"> 136097432.12095353
</t>
  </si>
  <si>
    <t>total_amount_gtncps_before_creation is: 103015455.69853005</t>
  </si>
  <si>
    <t>creation_amount_gtbcps is: -4172.852865859866</t>
  </si>
  <si>
    <t xml:space="preserve">total_amount_gtbcps_new is: 103011282.84566419
</t>
  </si>
  <si>
    <t xml:space="preserve"> 103011282.84566419
</t>
  </si>
  <si>
    <t>payout of tranche of gold is: 1035.0533113901363</t>
  </si>
  <si>
    <t xml:space="preserve"> payout of tranche of Treausry Bill Option is: 258.1947100752942</t>
  </si>
  <si>
    <t xml:space="preserve"> payout of tranche of Collar of REIT is: 139.59709528731148
</t>
  </si>
  <si>
    <t xml:space="preserve"> 139.59709528731148
</t>
  </si>
  <si>
    <t>Collateral size of tranche of gold is: 71986248.25523904</t>
  </si>
  <si>
    <t xml:space="preserve"> collateral size of tranche of Treausry Bill Option is: 33944886.830371</t>
  </si>
  <si>
    <t xml:space="preserve"> collateral size of tranche of Collar of REIT is: 30166297.035343487
</t>
  </si>
  <si>
    <t xml:space="preserve"> 30166297.035343487
</t>
  </si>
  <si>
    <t>Collateral ratio of tranche of gold is: 0.6989119956519853</t>
  </si>
  <si>
    <t xml:space="preserve"> collateral ratio of tranche of Treausry Bill Option is: 0.3295697327172313</t>
  </si>
  <si>
    <t xml:space="preserve"> collateral ratio of tranche of Collar of REIT is: 0.29288353502806774
</t>
  </si>
  <si>
    <t xml:space="preserve"> 0.29288353502806774
</t>
  </si>
  <si>
    <t xml:space="preserve">date is: 2022-11-02 00:00:00
</t>
  </si>
  <si>
    <t xml:space="preserve"> 2022-11-02 00</t>
  </si>
  <si>
    <t>current price of gold is: 1635.24</t>
  </si>
  <si>
    <t xml:space="preserve"> predicted price of gold is: 1633.4763355027826
</t>
  </si>
  <si>
    <t xml:space="preserve"> 1633.4763355027826
</t>
  </si>
  <si>
    <t>current price of tb is: 87.90625</t>
  </si>
  <si>
    <t xml:space="preserve"> current price of tb option is: 4.209043639034915</t>
  </si>
  <si>
    <t xml:space="preserve"> predicted price of tb is: 88.20711003070893
</t>
  </si>
  <si>
    <t xml:space="preserve"> 88.20711003070893
</t>
  </si>
  <si>
    <t>current price of reit is: 49.3</t>
  </si>
  <si>
    <t xml:space="preserve"> current price of reit option is: 5.388133288430204</t>
  </si>
  <si>
    <t xml:space="preserve"> predicted price of reit is: 49.94509628456287
</t>
  </si>
  <si>
    <t xml:space="preserve"> 49.94509628456287
</t>
  </si>
  <si>
    <t>value_ratio_gold_to_total is: -0.20088510459331227</t>
  </si>
  <si>
    <t xml:space="preserve"> risk_ratio_to_gold is: 0.5381184324618841</t>
  </si>
  <si>
    <t xml:space="preserve"> risk_ratio_to_gold_before is: 0.5413656131517316
</t>
  </si>
  <si>
    <t xml:space="preserve"> 0.5413656131517316
</t>
  </si>
  <si>
    <t>value_ratio_tb_to_total is: 0.5136875362812146</t>
  </si>
  <si>
    <t xml:space="preserve"> risk_ratio_tb_to_gold is: 0.42289347510813186</t>
  </si>
  <si>
    <t xml:space="preserve"> risk_ratio_tb_to_gold_before is: 0.4234593358479844
</t>
  </si>
  <si>
    <t xml:space="preserve"> 0.4234593358479844
</t>
  </si>
  <si>
    <t>value_ratio_reit_to_total is: 0.6871975683120977</t>
  </si>
  <si>
    <t xml:space="preserve"> risk_ratio_reit_to_gold is: 0.43543350214298066</t>
  </si>
  <si>
    <t xml:space="preserve"> risk_ratio_reit_to_gold_before is: 0.42372115679206884
</t>
  </si>
  <si>
    <t xml:space="preserve"> 0.42372115679206884
</t>
  </si>
  <si>
    <t>delta_gold is: 0.9922693236568405</t>
  </si>
  <si>
    <t xml:space="preserve"> delta_tb is: 0.9978680542293261</t>
  </si>
  <si>
    <t xml:space="preserve"> delta_reit is: 1.0233904341090327
</t>
  </si>
  <si>
    <t xml:space="preserve"> 1.0233904341090327
</t>
  </si>
  <si>
    <t>delta_gold_risk is: 0.9978933092433483</t>
  </si>
  <si>
    <t xml:space="preserve"> delta_tb_risk is: 0.9996024749526721</t>
  </si>
  <si>
    <t xml:space="preserve"> delta_reit_risk is: 1.0082265725244275
</t>
  </si>
  <si>
    <t xml:space="preserve"> 1.0082265725244275
</t>
  </si>
  <si>
    <t xml:space="preserve">collateral_ratio_tranche_gold is: 0.6949730264722394
</t>
  </si>
  <si>
    <t xml:space="preserve"> 0.6949730264722394
</t>
  </si>
  <si>
    <t xml:space="preserve">collateral_ratio_tranche_tb is: 0.33156108425268216
</t>
  </si>
  <si>
    <t xml:space="preserve"> 0.33156108425268216
</t>
  </si>
  <si>
    <t xml:space="preserve">collateral_ratio_tranche_reit is: 0.29960468918481564
</t>
  </si>
  <si>
    <t xml:space="preserve"> 0.29960468918481564
</t>
  </si>
  <si>
    <t>Total plot size is: 136174163.85973865</t>
  </si>
  <si>
    <t xml:space="preserve"> plot size of gold is: 71429745.86881946</t>
  </si>
  <si>
    <t xml:space="preserve"> plot size of TB is: 33872518.17245699</t>
  </si>
  <si>
    <t xml:space="preserve"> plot size of REIT is: 30871899.818462197
</t>
  </si>
  <si>
    <t xml:space="preserve"> 30871899.818462197
</t>
  </si>
  <si>
    <t xml:space="preserve">collateral ratio is: 1.3221638061601941
</t>
  </si>
  <si>
    <t xml:space="preserve"> 1.3221638061601941
</t>
  </si>
  <si>
    <t>S_gtbcps_0 is: 0.9998265320974525</t>
  </si>
  <si>
    <t xml:space="preserve">stdev_gtbcps is: 0.00897654194920513
</t>
  </si>
  <si>
    <t xml:space="preserve"> 0.00897654194920513
</t>
  </si>
  <si>
    <t>predicted price of GTBCPS is: 0.9998286183942235</t>
  </si>
  <si>
    <t xml:space="preserve"> actual price is: 0.9998265320974525
</t>
  </si>
  <si>
    <t xml:space="preserve"> 0.9998265320974525
</t>
  </si>
  <si>
    <t>predicted amount of GTBCPS is: 103011067.89671911</t>
  </si>
  <si>
    <t xml:space="preserve"> actual amount is: 103011282.84566419
</t>
  </si>
  <si>
    <t>plot sizes of gold is: 71429745.86881946</t>
  </si>
  <si>
    <t xml:space="preserve"> plot sizes of tb is: 33872518.17245699 </t>
  </si>
  <si>
    <t xml:space="preserve"> plot sizes of reit is: 30871899.818462197</t>
  </si>
  <si>
    <t xml:space="preserve"> plot sizes of total is: 136174163.85973865.
</t>
  </si>
  <si>
    <t xml:space="preserve"> 136174163.85973865.
</t>
  </si>
  <si>
    <t>predicted stdevs of gold is: 0.009038142463529464</t>
  </si>
  <si>
    <t xml:space="preserve"> predicted stdevs of tb is: 0.0031618017644690663</t>
  </si>
  <si>
    <t xml:space="preserve"> predicted stdevs of reit is: 0.015213922370375606</t>
  </si>
  <si>
    <t xml:space="preserve"> predicted stdevs of GTBCPS is: 0.00897654194920513.
</t>
  </si>
  <si>
    <t xml:space="preserve"> 0.00897654194920513.
</t>
  </si>
  <si>
    <t>total_value_of_collaterals is: 136174237.7009936</t>
  </si>
  <si>
    <t xml:space="preserve"> createdtionValue_gold is: -149.04962108173035</t>
  </si>
  <si>
    <t xml:space="preserve"> createdValue_tb is: -70.6804066426866</t>
  </si>
  <si>
    <t xml:space="preserve"> createdValue_reit is: -64.41913544711032
</t>
  </si>
  <si>
    <t xml:space="preserve"> -64.41913544711032
</t>
  </si>
  <si>
    <t>plotValue_gold_after_creation is: 71429951.28407079</t>
  </si>
  <si>
    <t xml:space="preserve"> plotValue_tb_after_creation  is: 33872598.712995045</t>
  </si>
  <si>
    <t xml:space="preserve"> plotValue_reit_after_creation  is: 30871971.853090934</t>
  </si>
  <si>
    <t xml:space="preserve">total_value_after_creation is: 136174521.85015678
</t>
  </si>
  <si>
    <t xml:space="preserve"> 136174521.85015678
</t>
  </si>
  <si>
    <t>total_amount_gtncps_before_creation is: 103011282.84566419</t>
  </si>
  <si>
    <t>creation_amount_gtbcps is: -214.9489450752735</t>
  </si>
  <si>
    <t xml:space="preserve">total_amount_gtbcps_new is: 103011067.89671911
</t>
  </si>
  <si>
    <t xml:space="preserve"> 103011067.89671911
</t>
  </si>
  <si>
    <t>payout of tranche of gold is: 56.36563024778037</t>
  </si>
  <si>
    <t xml:space="preserve"> payout of tranche of Treausry Bill Option is: 9.860131411772624</t>
  </si>
  <si>
    <t xml:space="preserve"> payout of tranche of Collar of REIT is: 7.615493290125259
</t>
  </si>
  <si>
    <t xml:space="preserve"> 7.615493290125259
</t>
  </si>
  <si>
    <t>Collateral size of tranche of gold is: 71429951.28407079</t>
  </si>
  <si>
    <t xml:space="preserve"> collateral size of tranche of Treausry Bill Option is: 33872598.712995045</t>
  </si>
  <si>
    <t xml:space="preserve"> collateral size of tranche of Collar of REIT is: 30871971.853090934
</t>
  </si>
  <si>
    <t xml:space="preserve"> 30871971.853090934
</t>
  </si>
  <si>
    <t>Collateral ratio of tranche of gold is: 0.6935375736387593</t>
  </si>
  <si>
    <t xml:space="preserve"> collateral ratio of tranche of Treausry Bill Option is: 0.3288805256330722</t>
  </si>
  <si>
    <t xml:space="preserve"> collateral ratio of tranche of Collar of REIT is: 0.2997464238395957
</t>
  </si>
  <si>
    <t xml:space="preserve"> 0.2997464238395957
</t>
  </si>
  <si>
    <t xml:space="preserve">date is: 2022-11-03 00:00:00
</t>
  </si>
  <si>
    <t xml:space="preserve"> 2022-11-03 00</t>
  </si>
  <si>
    <t>current price of gold is: 1629.49</t>
  </si>
  <si>
    <t xml:space="preserve"> predicted price of gold is: 1653.5701037482854
</t>
  </si>
  <si>
    <t xml:space="preserve"> 1653.5701037482854
</t>
  </si>
  <si>
    <t>current price of tb is: 87.7109375</t>
  </si>
  <si>
    <t xml:space="preserve"> current price of tb option is: 4.206851897361379</t>
  </si>
  <si>
    <t xml:space="preserve"> predicted price of tb is: 88.01406282489809
</t>
  </si>
  <si>
    <t xml:space="preserve"> 88.01406282489809
</t>
  </si>
  <si>
    <t>current price of reit is: 48.8</t>
  </si>
  <si>
    <t xml:space="preserve"> current price of reit option is: 5.403157672966245</t>
  </si>
  <si>
    <t xml:space="preserve"> predicted price of reit is: 49.3099185152832
</t>
  </si>
  <si>
    <t xml:space="preserve"> 49.3099185152832
</t>
  </si>
  <si>
    <t>value_ratio_gold_to_total is: 0.6979101546406677</t>
  </si>
  <si>
    <t xml:space="preserve"> risk_ratio_to_gold is: 0.5369777156822847</t>
  </si>
  <si>
    <t xml:space="preserve"> risk_ratio_to_gold_before is: 0.5381184324618841
</t>
  </si>
  <si>
    <t xml:space="preserve"> 0.5381184324618841
</t>
  </si>
  <si>
    <t>value_ratio_tb_to_total is: 0.13071201575853303</t>
  </si>
  <si>
    <t xml:space="preserve"> risk_ratio_tb_to_gold is: 0.4243032477316971</t>
  </si>
  <si>
    <t xml:space="preserve"> risk_ratio_tb_to_gold_before is: 0.42289347510813186
</t>
  </si>
  <si>
    <t xml:space="preserve"> 0.42289347510813186
</t>
  </si>
  <si>
    <t>value_ratio_reit_to_total is: 0.1713778296007992</t>
  </si>
  <si>
    <t xml:space="preserve"> risk_ratio_reit_to_gold is: 0.4379714254908192</t>
  </si>
  <si>
    <t xml:space="preserve"> risk_ratio_reit_to_gold_before is: 0.43543350214298066
</t>
  </si>
  <si>
    <t xml:space="preserve"> 0.43543350214298066
</t>
  </si>
  <si>
    <t>delta_gold is: 0.9964836965827646</t>
  </si>
  <si>
    <t xml:space="preserve"> delta_tb is: 0.9978559017306345</t>
  </si>
  <si>
    <t xml:space="preserve"> delta_reit is: 0.9911319771529565
</t>
  </si>
  <si>
    <t xml:space="preserve"> 0.9911319771529565
</t>
  </si>
  <si>
    <t>delta_gold_risk is: 0.999258368695463</t>
  </si>
  <si>
    <t xml:space="preserve"> delta_tb_risk is: 1.0009907787534538</t>
  </si>
  <si>
    <t xml:space="preserve"> delta_reit_risk is: 1.0017680535838474
</t>
  </si>
  <si>
    <t xml:space="preserve"> 1.0017680535838474
</t>
  </si>
  <si>
    <t xml:space="preserve">collateral_ratio_tranche_gold is: 0.6916118060645571
</t>
  </si>
  <si>
    <t xml:space="preserve"> 0.6916118060645571
</t>
  </si>
  <si>
    <t xml:space="preserve">collateral_ratio_tranche_tb is: 0.32900743608363525
</t>
  </si>
  <si>
    <t xml:space="preserve"> 0.32900743608363525
</t>
  </si>
  <si>
    <t xml:space="preserve">collateral_ratio_tranche_reit is: 0.29761041330791316
</t>
  </si>
  <si>
    <t xml:space="preserve"> 0.29761041330791316
</t>
  </si>
  <si>
    <t>Total plot size is: 135576952.93635768</t>
  </si>
  <si>
    <t xml:space="preserve"> plot size of gold is: 71178781.90227765</t>
  </si>
  <si>
    <t xml:space="preserve"> plot size of TB is: 33799972.5327156</t>
  </si>
  <si>
    <t xml:space="preserve"> plot size of REIT is: 30598198.50136444
</t>
  </si>
  <si>
    <t xml:space="preserve"> 30598198.50136444
</t>
  </si>
  <si>
    <t xml:space="preserve">collateral ratio is: 1.3163652710698583
</t>
  </si>
  <si>
    <t xml:space="preserve"> 1.3163652710698583
</t>
  </si>
  <si>
    <t>S_gtbcps_0 is: 0.9998286183942235</t>
  </si>
  <si>
    <t xml:space="preserve">stdev_gtbcps is: 0.008981121231148474
</t>
  </si>
  <si>
    <t xml:space="preserve"> 0.008981121231148474
</t>
  </si>
  <si>
    <t>predicted price of GTBCPS is: 0.999794463698672</t>
  </si>
  <si>
    <t xml:space="preserve"> actual price is: 0.9998286183942235
</t>
  </si>
  <si>
    <t xml:space="preserve"> 0.9998286183942235
</t>
  </si>
  <si>
    <t>predicted amount of GTBCPS is: 103014586.931671</t>
  </si>
  <si>
    <t xml:space="preserve"> actual amount is: 103011067.89671911
</t>
  </si>
  <si>
    <t>plot sizes of gold is: 71178781.90227765</t>
  </si>
  <si>
    <t xml:space="preserve"> plot sizes of tb is: 33799972.5327156 </t>
  </si>
  <si>
    <t xml:space="preserve"> plot sizes of reit is: 30598198.50136444</t>
  </si>
  <si>
    <t xml:space="preserve"> plot sizes of total is: 135576952.93635768.
</t>
  </si>
  <si>
    <t xml:space="preserve"> 135576952.93635768.
</t>
  </si>
  <si>
    <t>predicted stdevs of gold is: 0.009060552330745458</t>
  </si>
  <si>
    <t xml:space="preserve"> predicted stdevs of tb is: 0.0031656630124872968</t>
  </si>
  <si>
    <t xml:space="preserve"> predicted stdevs of reit is: 0.015220329043756066</t>
  </si>
  <si>
    <t xml:space="preserve"> predicted stdevs of GTBCPS is: 0.008981121231148474.
</t>
  </si>
  <si>
    <t xml:space="preserve"> 0.008981121231148474.
</t>
  </si>
  <si>
    <t>total_value_of_collaterals is: 135575743.893461</t>
  </si>
  <si>
    <t xml:space="preserve"> createdtionValue_gold is: 2431.476753537741</t>
  </si>
  <si>
    <t xml:space="preserve"> createdValue_tb is: 1154.61817452462</t>
  </si>
  <si>
    <t xml:space="preserve"> createdValue_reit is: 1045.2470556195576
</t>
  </si>
  <si>
    <t xml:space="preserve"> 1045.2470556195576
</t>
  </si>
  <si>
    <t>plotValue_gold_after_creation is: 71175484.29410161</t>
  </si>
  <si>
    <t xml:space="preserve"> plotValue_tb_after_creation  is: 33798598.99009549</t>
  </si>
  <si>
    <t xml:space="preserve"> plotValue_reit_after_creation  is: 30597029.267280225</t>
  </si>
  <si>
    <t xml:space="preserve">total_value_after_creation is: 135571112.5514773
</t>
  </si>
  <si>
    <t xml:space="preserve"> 135571112.5514773
</t>
  </si>
  <si>
    <t>total_amount_gtncps_before_creation is: 103011067.89671911</t>
  </si>
  <si>
    <t>creation_amount_gtbcps is: 3519.034951880574</t>
  </si>
  <si>
    <t xml:space="preserve">total_amount_gtbcps_new is: 103014586.931671
</t>
  </si>
  <si>
    <t xml:space="preserve"> 103014586.931671
</t>
  </si>
  <si>
    <t>payout of tranche of gold is: -866.1314224991042</t>
  </si>
  <si>
    <t xml:space="preserve"> payout of tranche of Treausry Bill Option is: -218.92444558999267</t>
  </si>
  <si>
    <t xml:space="preserve"> payout of tranche of Collar of REIT is: -123.98702859636742
</t>
  </si>
  <si>
    <t xml:space="preserve"> -123.98702859636742
</t>
  </si>
  <si>
    <t>Collateral size of tranche of gold is: 71175484.29410161</t>
  </si>
  <si>
    <t xml:space="preserve"> collateral size of tranche of Treausry Bill Option is: 33798598.99009549</t>
  </si>
  <si>
    <t xml:space="preserve"> collateral size of tranche of Collar of REIT is: 30597029.267280225
</t>
  </si>
  <si>
    <t xml:space="preserve"> 30597029.267280225
</t>
  </si>
  <si>
    <t>Collateral ratio of tranche of gold is: 0.6910919176054352</t>
  </si>
  <si>
    <t xml:space="preserve"> collateral ratio of tranche of Treausry Bill Option is: 0.32817393264126926</t>
  </si>
  <si>
    <t xml:space="preserve"> collateral ratio of tranche of Collar of REIT is: 0.29708768179195455
</t>
  </si>
  <si>
    <t xml:space="preserve"> 0.29708768179195455
</t>
  </si>
  <si>
    <t xml:space="preserve">date is: 2022-11-04 00:00:00
</t>
  </si>
  <si>
    <t xml:space="preserve"> 2022-11-04 00</t>
  </si>
  <si>
    <t>current price of gold is: 1681.87</t>
  </si>
  <si>
    <t xml:space="preserve"> predicted price of gold is: 1665.466212187745
</t>
  </si>
  <si>
    <t xml:space="preserve"> 1665.466212187745
</t>
  </si>
  <si>
    <t>current price of tb is: 87.8828125</t>
  </si>
  <si>
    <t xml:space="preserve"> current price of tb option is: 4.204146527118807</t>
  </si>
  <si>
    <t xml:space="preserve"> predicted price of tb is: 88.18873650855046
</t>
  </si>
  <si>
    <t xml:space="preserve"> 88.18873650855046
</t>
  </si>
  <si>
    <t>current price of reit is: 49.8</t>
  </si>
  <si>
    <t xml:space="preserve"> current price of reit option is: 5.2944518644985905</t>
  </si>
  <si>
    <t xml:space="preserve"> predicted price of reit is: 50.41331005966728
</t>
  </si>
  <si>
    <t xml:space="preserve"> 50.41331005966728
</t>
  </si>
  <si>
    <t>value_ratio_gold_to_total is: 2.7403792454990246</t>
  </si>
  <si>
    <t xml:space="preserve"> risk_ratio_to_gold is: 0.5338710509953248</t>
  </si>
  <si>
    <t xml:space="preserve"> risk_ratio_to_gold_before is: 0.5369777156822847
</t>
  </si>
  <si>
    <t xml:space="preserve"> 0.5369777156822847
</t>
  </si>
  <si>
    <t>value_ratio_tb_to_total is: -0.7534420606471988</t>
  </si>
  <si>
    <t xml:space="preserve"> risk_ratio_tb_to_gold is: 0.4254778399730321</t>
  </si>
  <si>
    <t xml:space="preserve"> risk_ratio_tb_to_gold_before is: 0.4243032477316971
</t>
  </si>
  <si>
    <t xml:space="preserve"> 0.4243032477316971
</t>
  </si>
  <si>
    <t>value_ratio_reit_to_total is: -0.9869371848518259</t>
  </si>
  <si>
    <t xml:space="preserve"> risk_ratio_reit_to_gold is: 0.44763365040586295</t>
  </si>
  <si>
    <t xml:space="preserve"> risk_ratio_reit_to_gold_before is: 0.4379714254908192
</t>
  </si>
  <si>
    <t xml:space="preserve"> 0.4379714254908192
</t>
  </si>
  <si>
    <t>delta_gold is: 1.032145026971629</t>
  </si>
  <si>
    <t xml:space="preserve"> delta_tb is: 1.0018404449330924</t>
  </si>
  <si>
    <t xml:space="preserve"> delta_reit is: 1.016443584281749
</t>
  </si>
  <si>
    <t xml:space="preserve"> 1.016443584281749
</t>
  </si>
  <si>
    <t>delta_gold_risk is: 0.9979787184581392</t>
  </si>
  <si>
    <t xml:space="preserve"> delta_tb_risk is: 1.000824678482764</t>
  </si>
  <si>
    <t xml:space="preserve"> delta_reit_risk is: 1.0067193441703792
</t>
  </si>
  <si>
    <t xml:space="preserve"> 1.0067193441703792
</t>
  </si>
  <si>
    <t xml:space="preserve">collateral_ratio_tranche_gold is: 0.7147518005582167
</t>
  </si>
  <si>
    <t xml:space="preserve"> 0.7147518005582167
</t>
  </si>
  <si>
    <t xml:space="preserve">collateral_ratio_tranche_tb is: 0.31827601494851626
</t>
  </si>
  <si>
    <t xml:space="preserve"> 0.31827601494851626
</t>
  </si>
  <si>
    <t xml:space="preserve">collateral_ratio_tranche_reit is: 0.2906155080995371
</t>
  </si>
  <si>
    <t xml:space="preserve"> 0.2906155080995371
</t>
  </si>
  <si>
    <t>Total plot size is: 138424379.7036146</t>
  </si>
  <si>
    <t xml:space="preserve"> plot size of gold is: 73463422.15645427</t>
  </si>
  <si>
    <t xml:space="preserve"> plot size of TB is: 33860803.45035243</t>
  </si>
  <si>
    <t xml:space="preserve"> plot size of REIT is: 31100154.096807886
</t>
  </si>
  <si>
    <t xml:space="preserve"> 31100154.096807886
</t>
  </si>
  <si>
    <t xml:space="preserve">collateral ratio is: 1.3440119589998578
</t>
  </si>
  <si>
    <t xml:space="preserve"> 1.3440119589998578
</t>
  </si>
  <si>
    <t>S_gtbcps_0 is: 0.999794463698672</t>
  </si>
  <si>
    <t xml:space="preserve">stdev_gtbcps is: 0.009045950842115269
</t>
  </si>
  <si>
    <t xml:space="preserve"> 0.009045950842115269
</t>
  </si>
  <si>
    <t>predicted price of GTBCPS is: 0.999805638410314</t>
  </si>
  <si>
    <t xml:space="preserve"> actual price is: 0.999794463698672
</t>
  </si>
  <si>
    <t xml:space="preserve"> 0.999794463698672
</t>
  </si>
  <si>
    <t>predicted amount of GTBCPS is: 103013435.54958266</t>
  </si>
  <si>
    <t xml:space="preserve"> actual amount is: 103014586.931671
</t>
  </si>
  <si>
    <t>plot sizes of gold is: 73463422.15645427</t>
  </si>
  <si>
    <t xml:space="preserve"> plot sizes of tb is: 33860803.45035243 </t>
  </si>
  <si>
    <t xml:space="preserve"> plot sizes of reit is: 31100154.096807886</t>
  </si>
  <si>
    <t xml:space="preserve"> plot sizes of total is: 138424379.7036146.
</t>
  </si>
  <si>
    <t xml:space="preserve"> 138424379.7036146.
</t>
  </si>
  <si>
    <t>predicted stdevs of gold is: 0.009061883352743928</t>
  </si>
  <si>
    <t xml:space="preserve"> predicted stdevs of tb is: 0.0031730394617526148</t>
  </si>
  <si>
    <t xml:space="preserve"> predicted stdevs of reit is: 0.015402544464195214</t>
  </si>
  <si>
    <t xml:space="preserve"> predicted stdevs of GTBCPS is: 0.009045950842115269.
</t>
  </si>
  <si>
    <t xml:space="preserve"> 0.009045950842115269.
</t>
  </si>
  <si>
    <t>total_value_of_collaterals is: 138424774.1714315</t>
  </si>
  <si>
    <t xml:space="preserve"> createdtionValue_gold is: -821.1043797983742</t>
  </si>
  <si>
    <t xml:space="preserve"> createdValue_tb is: -378.46325909332313</t>
  </si>
  <si>
    <t xml:space="preserve"> createdValue_reit is: -347.6072971957866
</t>
  </si>
  <si>
    <t xml:space="preserve"> -347.6072971957866
</t>
  </si>
  <si>
    <t>plotValue_gold_after_creation is: 73464516.57516553</t>
  </si>
  <si>
    <t xml:space="preserve"> plotValue_tb_after_creation  is: 33861249.622831024</t>
  </si>
  <si>
    <t xml:space="preserve"> plotValue_reit_after_creation  is: 31100555.14837106</t>
  </si>
  <si>
    <t xml:space="preserve">total_value_after_creation is: 138426321.34636763
</t>
  </si>
  <si>
    <t xml:space="preserve"> 138426321.34636763
</t>
  </si>
  <si>
    <t>total_amount_gtncps_before_creation is: 103014586.931671</t>
  </si>
  <si>
    <t>creation_amount_gtbcps is: -1151.3820883333683</t>
  </si>
  <si>
    <t xml:space="preserve">total_amount_gtbcps_new is: 103013435.54958266
</t>
  </si>
  <si>
    <t xml:space="preserve"> 103013435.54958266
</t>
  </si>
  <si>
    <t>payout of tranche of gold is: 273.314331451597</t>
  </si>
  <si>
    <t xml:space="preserve"> payout of tranche of Treausry Bill Option is: 67.70921950379879</t>
  </si>
  <si>
    <t xml:space="preserve"> payout of tranche of Collar of REIT is: 53.444265975479205
</t>
  </si>
  <si>
    <t xml:space="preserve"> 53.444265975479205
</t>
  </si>
  <si>
    <t>Collateral size of tranche of gold is: 73464516.57516553</t>
  </si>
  <si>
    <t xml:space="preserve"> collateral size of tranche of Treausry Bill Option is: 33861249.622831024</t>
  </si>
  <si>
    <t xml:space="preserve"> collateral size of tranche of Collar of REIT is: 31100555.14837106
</t>
  </si>
  <si>
    <t xml:space="preserve"> 31100555.14837106
</t>
  </si>
  <si>
    <t>Collateral ratio of tranche of gold is: 0.7132853726812219</t>
  </si>
  <si>
    <t xml:space="preserve"> collateral ratio of tranche of Treausry Bill Option is: 0.328767344871329</t>
  </si>
  <si>
    <t xml:space="preserve"> collateral ratio of tranche of Collar of REIT is: 0.30196307147684737
</t>
  </si>
  <si>
    <t xml:space="preserve"> 0.30196307147684737
</t>
  </si>
  <si>
    <t xml:space="preserve">date is: 2022-11-07 00:00:00
</t>
  </si>
  <si>
    <t xml:space="preserve"> 2022-11-07 00</t>
  </si>
  <si>
    <t>current price of gold is: 1675.63</t>
  </si>
  <si>
    <t xml:space="preserve"> predicted price of gold is: 1667.5420548288319
</t>
  </si>
  <si>
    <t xml:space="preserve"> 1667.5420548288319
</t>
  </si>
  <si>
    <t>current price of tb is: 87.75</t>
  </si>
  <si>
    <t xml:space="preserve"> current price of tb option is: 4.201044758980106</t>
  </si>
  <si>
    <t xml:space="preserve"> predicted price of tb is: 88.05913073629449
</t>
  </si>
  <si>
    <t xml:space="preserve"> 88.05913073629449
</t>
  </si>
  <si>
    <t>current price of reit is: 51.75</t>
  </si>
  <si>
    <t xml:space="preserve"> current price of reit option is: 5.060892608876138</t>
  </si>
  <si>
    <t xml:space="preserve"> predicted price of reit is: 52.30169045207234
</t>
  </si>
  <si>
    <t xml:space="preserve"> 52.30169045207234
</t>
  </si>
  <si>
    <t>value_ratio_gold_to_total is: -3.974784729927638</t>
  </si>
  <si>
    <t xml:space="preserve"> risk_ratio_to_gold is: 0.5414629073158036</t>
  </si>
  <si>
    <t xml:space="preserve"> risk_ratio_to_gold_before is: 0.5338710509953248
</t>
  </si>
  <si>
    <t xml:space="preserve"> 0.5338710509953248
</t>
  </si>
  <si>
    <t>value_ratio_tb_to_total is: 2.2165057141852302</t>
  </si>
  <si>
    <t xml:space="preserve"> risk_ratio_tb_to_gold is: 0.40113541987625295</t>
  </si>
  <si>
    <t xml:space="preserve"> risk_ratio_tb_to_gold_before is: 0.4254778399730321
</t>
  </si>
  <si>
    <t xml:space="preserve"> 0.4254778399730321
</t>
  </si>
  <si>
    <t>value_ratio_reit_to_total is: 2.7582790157424077</t>
  </si>
  <si>
    <t xml:space="preserve"> risk_ratio_reit_to_gold is: 0.44571315735557326</t>
  </si>
  <si>
    <t xml:space="preserve"> risk_ratio_reit_to_gold_before is: 0.44763365040586295
</t>
  </si>
  <si>
    <t xml:space="preserve"> 0.44763365040586295
</t>
  </si>
  <si>
    <t>delta_gold is: 0.9962898440426431</t>
  </si>
  <si>
    <t xml:space="preserve"> delta_tb is: 0.9985240660613119</t>
  </si>
  <si>
    <t xml:space="preserve"> delta_reit is: 1.0311545116847525
</t>
  </si>
  <si>
    <t xml:space="preserve"> 1.0311545116847525
</t>
  </si>
  <si>
    <t>delta_gold_risk is: 1.004949474935036</t>
  </si>
  <si>
    <t xml:space="preserve"> delta_tb_risk is: 0.9829233261898762</t>
  </si>
  <si>
    <t xml:space="preserve"> delta_reit_risk is: 0.998673356999023
</t>
  </si>
  <si>
    <t xml:space="preserve"> 0.998673356999023
</t>
  </si>
  <si>
    <t xml:space="preserve">collateral_ratio_tranche_gold is: 0.7071390059210805
</t>
  </si>
  <si>
    <t xml:space="preserve"> 0.7071390059210805
</t>
  </si>
  <si>
    <t xml:space="preserve">collateral_ratio_tranche_tb is: 0.3352292195500543
</t>
  </si>
  <si>
    <t xml:space="preserve"> 0.3352292195500543
</t>
  </si>
  <si>
    <t xml:space="preserve">collateral_ratio_tranche_reit is: 0.31294528567131646
</t>
  </si>
  <si>
    <t xml:space="preserve"> 0.31294528567131646
</t>
  </si>
  <si>
    <t>Total plot size is: 139072702.1737894</t>
  </si>
  <si>
    <t xml:space="preserve"> plot size of gold is: 73191951.76133983</t>
  </si>
  <si>
    <t xml:space="preserve"> plot size of TB is: 33811272.6553063</t>
  </si>
  <si>
    <t xml:space="preserve"> plot size of REIT is: 32069477.757143274
</t>
  </si>
  <si>
    <t xml:space="preserve"> 32069477.757143274
</t>
  </si>
  <si>
    <t xml:space="preserve">collateral ratio is: 1.3503067544330682
</t>
  </si>
  <si>
    <t xml:space="preserve"> 1.3503067544330682
</t>
  </si>
  <si>
    <t>S_gtbcps_0 is: 0.999805638410314</t>
  </si>
  <si>
    <t xml:space="preserve">stdev_gtbcps is: 0.009465313943708805
</t>
  </si>
  <si>
    <t xml:space="preserve"> 0.009465313943708805
</t>
  </si>
  <si>
    <t>predicted price of GTBCPS is: 0.9997858397248075</t>
  </si>
  <si>
    <t xml:space="preserve"> actual price is: 0.999805638410314
</t>
  </si>
  <si>
    <t xml:space="preserve"> 0.999805638410314
</t>
  </si>
  <si>
    <t>predicted amount of GTBCPS is: 103015475.51707602</t>
  </si>
  <si>
    <t xml:space="preserve"> actual amount is: 103013435.54958266
</t>
  </si>
  <si>
    <t>plot sizes of gold is: 73191951.76133983</t>
  </si>
  <si>
    <t xml:space="preserve"> plot sizes of tb is: 33811272.6553063 </t>
  </si>
  <si>
    <t xml:space="preserve"> plot sizes of reit is: 32069477.757143274</t>
  </si>
  <si>
    <t xml:space="preserve"> plot sizes of total is: 139072702.17378938.
</t>
  </si>
  <si>
    <t xml:space="preserve"> 139072702.17378938.
</t>
  </si>
  <si>
    <t>predicted stdevs of gold is: 0.009562514208099853</t>
  </si>
  <si>
    <t xml:space="preserve"> predicted stdevs of tb is: 0.003091914047111187</t>
  </si>
  <si>
    <t xml:space="preserve"> predicted stdevs of reit is: 0.015963033867952003</t>
  </si>
  <si>
    <t xml:space="preserve"> predicted stdevs of GTBCPS is: 0.009465313943708805.
</t>
  </si>
  <si>
    <t xml:space="preserve"> 0.009465313943708805.
</t>
  </si>
  <si>
    <t>total_value_of_collaterals is: 139071999.89289397</t>
  </si>
  <si>
    <t xml:space="preserve"> createdtionValue_gold is: 1449.3766824749944</t>
  </si>
  <si>
    <t xml:space="preserve"> createdValue_tb is: 669.5465890284561</t>
  </si>
  <si>
    <t xml:space="preserve"> createdValue_reit is: 635.0547846419574
</t>
  </si>
  <si>
    <t xml:space="preserve"> 635.0547846419574
</t>
  </si>
  <si>
    <t>plotValue_gold_after_creation is: 73190024.81830391</t>
  </si>
  <si>
    <t xml:space="preserve"> plotValue_tb_after_creation  is: 33810486.991085485</t>
  </si>
  <si>
    <t xml:space="preserve"> plotValue_reit_after_creation  is: 32068734.10544841</t>
  </si>
  <si>
    <t xml:space="preserve">total_value_after_creation is: 139069245.9148378
</t>
  </si>
  <si>
    <t xml:space="preserve"> 139069245.9148378
</t>
  </si>
  <si>
    <t>total_amount_gtncps_before_creation is: 103013435.54958266</t>
  </si>
  <si>
    <t>creation_amount_gtbcps is: 2039.9674933552742</t>
  </si>
  <si>
    <t xml:space="preserve">total_amount_gtbcps_new is: 103015475.51707602
</t>
  </si>
  <si>
    <t xml:space="preserve"> 103015475.51707602
</t>
  </si>
  <si>
    <t>payout of tranche of gold is: -477.56635343301394</t>
  </si>
  <si>
    <t xml:space="preserve"> payout of tranche of Treausry Bill Option is: -116.11763178189203</t>
  </si>
  <si>
    <t xml:space="preserve"> payout of tranche of Collar of REIT is: -108.59691022385725
</t>
  </si>
  <si>
    <t xml:space="preserve"> -108.59691022385725
</t>
  </si>
  <si>
    <t>Collateral size of tranche of gold is: 73190024.81830391</t>
  </si>
  <si>
    <t xml:space="preserve"> collateral size of tranche of Treausry Bill Option is: 33810486.991085485</t>
  </si>
  <si>
    <t xml:space="preserve"> collateral size of tranche of Collar of REIT is: 32068734.10544841
</t>
  </si>
  <si>
    <t xml:space="preserve"> 32068734.10544841
</t>
  </si>
  <si>
    <t>Collateral ratio of tranche of gold is: 0.7106422786615713</t>
  </si>
  <si>
    <t xml:space="preserve"> collateral ratio of tranche of Treausry Bill Option is: 0.32828464777338767</t>
  </si>
  <si>
    <t xml:space="preserve"> collateral ratio of tranche of Collar of REIT is: 0.31137300930096906
</t>
  </si>
  <si>
    <t xml:space="preserve"> 0.31137300930096906
</t>
  </si>
  <si>
    <t xml:space="preserve">date is: 2022-11-08 00:00:00
</t>
  </si>
  <si>
    <t xml:space="preserve"> 2022-11-08 00</t>
  </si>
  <si>
    <t>current price of gold is: 1712.42</t>
  </si>
  <si>
    <t xml:space="preserve"> predicted price of gold is: 1714.5042041675013
</t>
  </si>
  <si>
    <t xml:space="preserve"> 1714.5042041675013
</t>
  </si>
  <si>
    <t>current price of tb is: 87.99609375</t>
  </si>
  <si>
    <t xml:space="preserve"> current price of tb option is: 4.205900593967978</t>
  </si>
  <si>
    <t xml:space="preserve"> predicted price of tb is: 88.30020456295
</t>
  </si>
  <si>
    <t xml:space="preserve"> 88.30020456295
</t>
  </si>
  <si>
    <t>current price of reit is: 51.85</t>
  </si>
  <si>
    <t xml:space="preserve"> current price of reit option is: 5.097232806669041</t>
  </si>
  <si>
    <t xml:space="preserve"> predicted price of reit is: 52.31186972578954
</t>
  </si>
  <si>
    <t xml:space="preserve"> 52.31186972578954
</t>
  </si>
  <si>
    <t>value_ratio_gold_to_total is: 0.17149260384468182</t>
  </si>
  <si>
    <t xml:space="preserve"> risk_ratio_to_gold is: 0.5316467429764717</t>
  </si>
  <si>
    <t xml:space="preserve"> risk_ratio_to_gold_before is: 0.5414629073158036
</t>
  </si>
  <si>
    <t xml:space="preserve"> 0.5414629073158036
</t>
  </si>
  <si>
    <t>value_ratio_tb_to_total is: 0.3710930107528164</t>
  </si>
  <si>
    <t xml:space="preserve"> risk_ratio_tb_to_gold is: 0.418985995629712</t>
  </si>
  <si>
    <t xml:space="preserve"> risk_ratio_tb_to_gold_before is: 0.40113541987625295
</t>
  </si>
  <si>
    <t xml:space="preserve"> 0.40113541987625295
</t>
  </si>
  <si>
    <t>value_ratio_reit_to_total is: 0.4574143854025018</t>
  </si>
  <si>
    <t xml:space="preserve"> risk_ratio_reit_to_gold is: 0.4619622340188149</t>
  </si>
  <si>
    <t xml:space="preserve"> risk_ratio_reit_to_gold_before is: 0.44571315735557326
</t>
  </si>
  <si>
    <t xml:space="preserve"> 0.44571315735557326
</t>
  </si>
  <si>
    <t>delta_gold is: 1.0219559210565579</t>
  </si>
  <si>
    <t xml:space="preserve"> delta_tb is: 1.002729165129615</t>
  </si>
  <si>
    <t xml:space="preserve"> delta_reit is: 1.0023998953639324
</t>
  </si>
  <si>
    <t xml:space="preserve"> 1.0023998953639324
</t>
  </si>
  <si>
    <t>delta_gold_risk is: 0.9936319166080844</t>
  </si>
  <si>
    <t xml:space="preserve"> delta_tb_risk is: 1.0127400788676342</t>
  </si>
  <si>
    <t xml:space="preserve"> delta_reit_risk is: 1.0112394886776597
</t>
  </si>
  <si>
    <t xml:space="preserve"> 1.0112394886776597
</t>
  </si>
  <si>
    <t xml:space="preserve">collateral_ratio_tranche_gold is: 0.7308995134842957
</t>
  </si>
  <si>
    <t xml:space="preserve"> 0.7308995134842957
</t>
  </si>
  <si>
    <t xml:space="preserve">collateral_ratio_tranche_tb is: 0.31805634122318666
</t>
  </si>
  <si>
    <t xml:space="preserve"> 0.31805634122318666
</t>
  </si>
  <si>
    <t xml:space="preserve">collateral_ratio_tranche_reit is: 0.30202006174952134
</t>
  </si>
  <si>
    <t xml:space="preserve"> 0.30202006174952134
</t>
  </si>
  <si>
    <t>Total plot size is: 140845436.33029422</t>
  </si>
  <si>
    <t xml:space="preserve"> plot size of gold is: 74796979.22534211</t>
  </si>
  <si>
    <t xml:space="preserve"> plot size of TB is: 33902761.39319686</t>
  </si>
  <si>
    <t xml:space="preserve"> plot size of REIT is: 32145695.711755257
</t>
  </si>
  <si>
    <t xml:space="preserve"> 32145695.711755257
</t>
  </si>
  <si>
    <t xml:space="preserve">collateral ratio is: 1.367518866284835
</t>
  </si>
  <si>
    <t xml:space="preserve"> 1.367518866284835
</t>
  </si>
  <si>
    <t>S_gtbcps_0 is: 0.9997858397248075</t>
  </si>
  <si>
    <t xml:space="preserve">stdev_gtbcps is: 0.009236371975139232
</t>
  </si>
  <si>
    <t xml:space="preserve"> 0.009236371975139232
</t>
  </si>
  <si>
    <t>predicted price of GTBCPS is: 0.9997841531203185</t>
  </si>
  <si>
    <t xml:space="preserve"> actual price is: 0.9997858397248075
</t>
  </si>
  <si>
    <t xml:space="preserve"> 0.9997858397248075
</t>
  </si>
  <si>
    <t>predicted amount of GTBCPS is: 103015649.30095017</t>
  </si>
  <si>
    <t xml:space="preserve"> actual amount is: 103015475.51707602
</t>
  </si>
  <si>
    <t>plot sizes of gold is: 74796979.22534211</t>
  </si>
  <si>
    <t xml:space="preserve"> plot sizes of tb is: 33902761.39319686 </t>
  </si>
  <si>
    <t xml:space="preserve"> plot sizes of reit is: 32145695.711755257</t>
  </si>
  <si>
    <t xml:space="preserve"> plot sizes of total is: 140845436.33029422.
</t>
  </si>
  <si>
    <t xml:space="preserve"> 140845436.33029422.
</t>
  </si>
  <si>
    <t>predicted stdevs of gold is: 0.009168295539468505</t>
  </si>
  <si>
    <t xml:space="preserve"> predicted stdevs of tb is: 0.0030026822472981538</t>
  </si>
  <si>
    <t xml:space="preserve"> predicted stdevs of reit is: 0.01596919272748869</t>
  </si>
  <si>
    <t xml:space="preserve"> predicted stdevs of GTBCPS is: 0.009236371975139232.
</t>
  </si>
  <si>
    <t xml:space="preserve"> 0.009236371975139232.
</t>
  </si>
  <si>
    <t>total_value_of_collaterals is: 140845376.82170153</t>
  </si>
  <si>
    <t xml:space="preserve"> createdtionValue_gold is: 126.17986583146738</t>
  </si>
  <si>
    <t xml:space="preserve"> createdValue_tb is: 57.1927857821616</t>
  </si>
  <si>
    <t xml:space="preserve"> createdValue_reit is: 54.22867795972475
</t>
  </si>
  <si>
    <t xml:space="preserve"> 54.22867795972475
</t>
  </si>
  <si>
    <t>plotValue_gold_after_creation is: 74796806.91077216</t>
  </si>
  <si>
    <t xml:space="preserve"> plotValue_tb_after_creation  is: 33902696.96871612</t>
  </si>
  <si>
    <t xml:space="preserve"> plotValue_reit_after_creation  is: 32145635.340883676</t>
  </si>
  <si>
    <t xml:space="preserve">total_value_after_creation is: 140845139.22037196
</t>
  </si>
  <si>
    <t xml:space="preserve"> 140845139.22037196
</t>
  </si>
  <si>
    <t>total_amount_gtncps_before_creation is: 103015475.51707602</t>
  </si>
  <si>
    <t>creation_amount_gtbcps is: 173.78387415409088</t>
  </si>
  <si>
    <t xml:space="preserve">total_amount_gtbcps_new is: 103015649.30095017
</t>
  </si>
  <si>
    <t xml:space="preserve"> 103015649.30095017
</t>
  </si>
  <si>
    <t>payout of tranche of gold is: -46.13470410757106</t>
  </si>
  <si>
    <t xml:space="preserve"> payout of tranche of Treausry Bill Option is: -7.231694954781202</t>
  </si>
  <si>
    <t xml:space="preserve"> payout of tranche of Collar of REIT is: -6.142193622663342
</t>
  </si>
  <si>
    <t xml:space="preserve"> -6.142193622663342
</t>
  </si>
  <si>
    <t>Collateral size of tranche of gold is: 74796806.91077216</t>
  </si>
  <si>
    <t xml:space="preserve"> collateral size of tranche of Treausry Bill Option is: 33902696.96871612</t>
  </si>
  <si>
    <t xml:space="preserve"> collateral size of tranche of Collar of REIT is: 32145635.340883676
</t>
  </si>
  <si>
    <t xml:space="preserve"> 32145635.340883676
</t>
  </si>
  <si>
    <t>Collateral ratio of tranche of gold is: 0.7262302549996883</t>
  </si>
  <si>
    <t xml:space="preserve"> collateral ratio of tranche of Treausry Bill Option is: 0.3291740019615991</t>
  </si>
  <si>
    <t xml:space="preserve"> collateral ratio of tranche of Collar of REIT is: 0.3121140315332739
</t>
  </si>
  <si>
    <t xml:space="preserve"> 0.3121140315332739
</t>
  </si>
  <si>
    <t xml:space="preserve">date is: 2022-11-09 00:00:00
</t>
  </si>
  <si>
    <t xml:space="preserve"> 2022-11-09 00</t>
  </si>
  <si>
    <t>current price of gold is: 1706.74</t>
  </si>
  <si>
    <t xml:space="preserve"> predicted price of gold is: 1691.2028653740467
</t>
  </si>
  <si>
    <t xml:space="preserve"> 1691.2028653740467
</t>
  </si>
  <si>
    <t>current price of tb is: 88.1953125</t>
  </si>
  <si>
    <t xml:space="preserve"> current price of tb option is: 4.206662322180828</t>
  </si>
  <si>
    <t xml:space="preserve"> predicted price of tb is: 88.49863681503089
</t>
  </si>
  <si>
    <t xml:space="preserve"> 88.49863681503089
</t>
  </si>
  <si>
    <t xml:space="preserve"> current price of reit option is: 5.218882893854655</t>
  </si>
  <si>
    <t xml:space="preserve"> predicted price of reit is: 50.375645326326485
</t>
  </si>
  <si>
    <t xml:space="preserve"> 50.375645326326485
</t>
  </si>
  <si>
    <t>value_ratio_gold_to_total is: 2.9692840896459427</t>
  </si>
  <si>
    <t xml:space="preserve"> risk_ratio_to_gold is: 0.5428048896930312</t>
  </si>
  <si>
    <t xml:space="preserve"> risk_ratio_to_gold_before is: 0.5316467429764717
</t>
  </si>
  <si>
    <t xml:space="preserve"> 0.5316467429764717
</t>
  </si>
  <si>
    <t>value_ratio_tb_to_total is: -0.8618984059016574</t>
  </si>
  <si>
    <t xml:space="preserve"> risk_ratio_tb_to_gold is: 0.40844602700809124</t>
  </si>
  <si>
    <t xml:space="preserve"> risk_ratio_tb_to_gold_before is: 0.418985995629712
</t>
  </si>
  <si>
    <t xml:space="preserve"> 0.418985995629712
</t>
  </si>
  <si>
    <t>value_ratio_reit_to_total is: -1.1073856837442853</t>
  </si>
  <si>
    <t xml:space="preserve"> risk_ratio_reit_to_gold is: 0.4338365665874147</t>
  </si>
  <si>
    <t xml:space="preserve"> risk_ratio_reit_to_gold_before is: 0.4619622340188149
</t>
  </si>
  <si>
    <t xml:space="preserve"> 0.4619622340188149
</t>
  </si>
  <si>
    <t>delta_gold is: 0.9966830567267375</t>
  </si>
  <si>
    <t xml:space="preserve"> delta_tb is: 1.002168938748405</t>
  </si>
  <si>
    <t xml:space="preserve"> delta_reit is: 0.9661379523152429
</t>
  </si>
  <si>
    <t xml:space="preserve"> 0.9661379523152429
</t>
  </si>
  <si>
    <t>delta_gold_risk is: 1.0072850654158514</t>
  </si>
  <si>
    <t xml:space="preserve"> delta_tb_risk is: 0.9925721827741201</t>
  </si>
  <si>
    <t xml:space="preserve"> delta_reit_risk is: 0.9807617004208891
</t>
  </si>
  <si>
    <t xml:space="preserve"> 0.9807617004208891
</t>
  </si>
  <si>
    <t xml:space="preserve">collateral_ratio_tranche_gold is: 0.7185864412093732
</t>
  </si>
  <si>
    <t xml:space="preserve"> 0.7185864412093732
</t>
  </si>
  <si>
    <t xml:space="preserve">collateral_ratio_tranche_tb is: 0.33346272155059226
</t>
  </si>
  <si>
    <t xml:space="preserve"> 0.33346272155059226
</t>
  </si>
  <si>
    <t xml:space="preserve">collateral_ratio_tranche_reit is: 0.30848344528568855
</t>
  </si>
  <si>
    <t xml:space="preserve"> 0.30848344528568855
</t>
  </si>
  <si>
    <t>Total plot size is: 139582058.29118884</t>
  </si>
  <si>
    <t xml:space="preserve"> plot size of gold is: 74548710.14522795</t>
  </si>
  <si>
    <t xml:space="preserve"> plot size of TB is: 33976229.841847</t>
  </si>
  <si>
    <t xml:space="preserve"> plot size of REIT is: 31057118.30411386
</t>
  </si>
  <si>
    <t xml:space="preserve"> 31057118.30411386
</t>
  </si>
  <si>
    <t xml:space="preserve">collateral ratio is: 1.3552522756963052
</t>
  </si>
  <si>
    <t xml:space="preserve"> 1.3552522756963052
</t>
  </si>
  <si>
    <t>S_gtbcps_0 is: 0.9997841531203185</t>
  </si>
  <si>
    <t xml:space="preserve">stdev_gtbcps is: 0.009412091806796736
</t>
  </si>
  <si>
    <t xml:space="preserve"> 0.009412091806796736
</t>
  </si>
  <si>
    <t>predicted price of GTBCPS is: 0.9997496463510305</t>
  </si>
  <si>
    <t xml:space="preserve"> actual price is: 0.9997841531203185
</t>
  </si>
  <si>
    <t xml:space="preserve"> 0.9997841531203185
</t>
  </si>
  <si>
    <t>predicted amount of GTBCPS is: 103019204.92835791</t>
  </si>
  <si>
    <t xml:space="preserve"> actual amount is: 103015649.30095017
</t>
  </si>
  <si>
    <t>plot sizes of gold is: 74548710.14522795</t>
  </si>
  <si>
    <t xml:space="preserve"> plot sizes of tb is: 33976229.841847 </t>
  </si>
  <si>
    <t xml:space="preserve"> plot sizes of reit is: 31057118.30411386</t>
  </si>
  <si>
    <t xml:space="preserve"> plot sizes of total is: 139582058.2911888.
</t>
  </si>
  <si>
    <t xml:space="preserve"> 139582058.2911888.
</t>
  </si>
  <si>
    <t>predicted stdevs of gold is: 0.009433529603694854</t>
  </si>
  <si>
    <t xml:space="preserve"> predicted stdevs of tb is: 0.0029905912478977613</t>
  </si>
  <si>
    <t xml:space="preserve"> predicted stdevs of reit is: 0.016385701421533658</t>
  </si>
  <si>
    <t xml:space="preserve"> predicted stdevs of GTBCPS is: 0.009412091806796736.
</t>
  </si>
  <si>
    <t xml:space="preserve"> 0.009412091806796736.
</t>
  </si>
  <si>
    <t>total_value_of_collaterals is: 139580829.93787283</t>
  </si>
  <si>
    <t xml:space="preserve"> createdtionValue_gold is: 2572.9597040570616</t>
  </si>
  <si>
    <t xml:space="preserve"> createdValue_tb is: 1172.6557201874361</t>
  </si>
  <si>
    <t xml:space="preserve"> createdValue_reit is: 1071.90791878621
</t>
  </si>
  <si>
    <t xml:space="preserve"> 1071.90791878621
</t>
  </si>
  <si>
    <t>plotValue_gold_after_creation is: 74545244.52176884</t>
  </si>
  <si>
    <t xml:space="preserve"> plotValue_tb_after_creation  is: 33974845.10285385</t>
  </si>
  <si>
    <t xml:space="preserve"> plotValue_reit_after_creation  is: 31055922.789907113</t>
  </si>
  <si>
    <t xml:space="preserve">total_value_after_creation is: 139576012.4145298
</t>
  </si>
  <si>
    <t xml:space="preserve"> 139576012.4145298
</t>
  </si>
  <si>
    <t>total_amount_gtncps_before_creation is: 103015649.30095017</t>
  </si>
  <si>
    <t>creation_amount_gtbcps is: 3555.627407744527</t>
  </si>
  <si>
    <t xml:space="preserve">total_amount_gtbcps_new is: 103019204.92835791
</t>
  </si>
  <si>
    <t xml:space="preserve"> 103019204.92835791
</t>
  </si>
  <si>
    <t>payout of tranche of gold is: -892.6637550562832</t>
  </si>
  <si>
    <t xml:space="preserve"> payout of tranche of Treausry Bill Option is: -212.08327296285066</t>
  </si>
  <si>
    <t xml:space="preserve"> payout of tranche of Collar of REIT is: -123.60628796446832
</t>
  </si>
  <si>
    <t xml:space="preserve"> -123.60628796446832
</t>
  </si>
  <si>
    <t>Collateral size of tranche of gold is: 74545244.52176884</t>
  </si>
  <si>
    <t xml:space="preserve"> collateral size of tranche of Treausry Bill Option is: 33974845.10285385</t>
  </si>
  <si>
    <t xml:space="preserve"> collateral size of tranche of Collar of REIT is: 31055922.789907113
</t>
  </si>
  <si>
    <t xml:space="preserve"> 31055922.789907113
</t>
  </si>
  <si>
    <t>Collateral ratio of tranche of gold is: 0.7238115021859983</t>
  </si>
  <si>
    <t xml:space="preserve"> collateral ratio of tranche of Treausry Bill Option is: 0.3298853445071474</t>
  </si>
  <si>
    <t xml:space="preserve"> collateral ratio of tranche of Collar of REIT is: 0.3015435024801722
</t>
  </si>
  <si>
    <t xml:space="preserve"> 0.3015435024801722
</t>
  </si>
  <si>
    <t xml:space="preserve">date is: 2022-11-10 00:00:00
</t>
  </si>
  <si>
    <t xml:space="preserve"> 2022-11-10 00</t>
  </si>
  <si>
    <t>current price of gold is: 1755.45</t>
  </si>
  <si>
    <t xml:space="preserve"> predicted price of gold is: 1748.7923727092723
</t>
  </si>
  <si>
    <t xml:space="preserve"> 1748.7923727092723
</t>
  </si>
  <si>
    <t>current price of tb is: 89.0625</t>
  </si>
  <si>
    <t xml:space="preserve"> current price of tb option is: 4.225385588025888</t>
  </si>
  <si>
    <t xml:space="preserve"> predicted price of tb is: 89.34646736659063
</t>
  </si>
  <si>
    <t xml:space="preserve"> 89.34646736659063
</t>
  </si>
  <si>
    <t>current price of reit is: 50.95</t>
  </si>
  <si>
    <t xml:space="preserve"> current price of reit option is: 5.273758172414574</t>
  </si>
  <si>
    <t xml:space="preserve"> predicted price of reit is: 51.555010153344384
</t>
  </si>
  <si>
    <t xml:space="preserve"> 51.555010153344384
</t>
  </si>
  <si>
    <t>value_ratio_gold_to_total is: -1.7846503195563304</t>
  </si>
  <si>
    <t xml:space="preserve"> risk_ratio_to_gold is: 0.5397621846729249</t>
  </si>
  <si>
    <t xml:space="preserve"> risk_ratio_to_gold_before is: 0.5428048896930312
</t>
  </si>
  <si>
    <t xml:space="preserve"> 0.5428048896930312
</t>
  </si>
  <si>
    <t>value_ratio_tb_to_total is: 1.2087817235814273</t>
  </si>
  <si>
    <t xml:space="preserve"> risk_ratio_tb_to_gold is: 0.41870509142655143</t>
  </si>
  <si>
    <t xml:space="preserve"> risk_ratio_tb_to_gold_before is: 0.40844602700809124
</t>
  </si>
  <si>
    <t xml:space="preserve"> 0.40844602700809124
</t>
  </si>
  <si>
    <t>value_ratio_reit_to_total is: 1.575868595974903</t>
  </si>
  <si>
    <t xml:space="preserve"> risk_ratio_reit_to_gold is: 0.4339626730000387</t>
  </si>
  <si>
    <t xml:space="preserve"> risk_ratio_reit_to_gold_before is: 0.4338365665874147
</t>
  </si>
  <si>
    <t xml:space="preserve"> 0.4338365665874147
</t>
  </si>
  <si>
    <t>delta_gold is: 1.0285397893059283</t>
  </si>
  <si>
    <t xml:space="preserve"> delta_tb is: 1.0095875739403828</t>
  </si>
  <si>
    <t xml:space="preserve"> delta_reit is: 1.0218993046602642
</t>
  </si>
  <si>
    <t xml:space="preserve"> 1.0218993046602642
</t>
  </si>
  <si>
    <t>delta_gold_risk is: 0.9980278095821232</t>
  </si>
  <si>
    <t xml:space="preserve"> delta_tb_risk is: 1.0072839599258574</t>
  </si>
  <si>
    <t xml:space="preserve"> delta_reit_risk is: 1.0000879503393643
</t>
  </si>
  <si>
    <t xml:space="preserve"> 1.0000879503393643
</t>
  </si>
  <si>
    <t xml:space="preserve">collateral_ratio_tranche_gold is: 0.7459400658056866
</t>
  </si>
  <si>
    <t xml:space="preserve"> 0.7459400658056866
</t>
  </si>
  <si>
    <t xml:space="preserve">collateral_ratio_tranche_tb is: 0.3214652278756898
</t>
  </si>
  <si>
    <t xml:space="preserve"> 0.3214652278756898
</t>
  </si>
  <si>
    <t xml:space="preserve">collateral_ratio_tranche_reit is: 0.2995703223683711
</t>
  </si>
  <si>
    <t xml:space="preserve"> 0.2995703223683711
</t>
  </si>
  <si>
    <t>Total plot size is: 142709357.44115847</t>
  </si>
  <si>
    <t xml:space="preserve"> plot size of gold is: 76672750.09417902</t>
  </si>
  <si>
    <t xml:space="preserve"> plot size of TB is: 34300581.44239052</t>
  </si>
  <si>
    <t xml:space="preserve"> plot size of REIT is: 31736025.90458893
</t>
  </si>
  <si>
    <t xml:space="preserve"> 31736025.90458893
</t>
  </si>
  <si>
    <t xml:space="preserve">collateral ratio is: 1.3856163449876309
</t>
  </si>
  <si>
    <t xml:space="preserve"> 1.3856163449876309
</t>
  </si>
  <si>
    <t>S_gtbcps_0 is: 0.9997496463510305</t>
  </si>
  <si>
    <t xml:space="preserve">stdev_gtbcps is: 0.00942808901352909
</t>
  </si>
  <si>
    <t xml:space="preserve"> 0.00942808901352909
</t>
  </si>
  <si>
    <t>predicted price of GTBCPS is: 0.9997873618425778</t>
  </si>
  <si>
    <t xml:space="preserve"> actual price is: 0.9997496463510305
</t>
  </si>
  <si>
    <t xml:space="preserve"> 0.9997496463510305
</t>
  </si>
  <si>
    <t>predicted amount of GTBCPS is: 103015318.68204097</t>
  </si>
  <si>
    <t xml:space="preserve"> actual amount is: 103019204.92835791
</t>
  </si>
  <si>
    <t>plot sizes of gold is: 76672750.09417902</t>
  </si>
  <si>
    <t xml:space="preserve"> plot sizes of tb is: 34300581.44239052 </t>
  </si>
  <si>
    <t xml:space="preserve"> plot sizes of reit is: 31736025.90458893</t>
  </si>
  <si>
    <t xml:space="preserve"> plot sizes of total is: 142709357.44115847.
</t>
  </si>
  <si>
    <t xml:space="preserve"> 142709357.44115847.
</t>
  </si>
  <si>
    <t>predicted stdevs of gold is: 0.009321457435607623</t>
  </si>
  <si>
    <t xml:space="preserve"> predicted stdevs of tb is: 0.0030372793849322626</t>
  </si>
  <si>
    <t xml:space="preserve"> predicted stdevs of reit is: 0.01659295027114927</t>
  </si>
  <si>
    <t xml:space="preserve"> predicted stdevs of GTBCPS is: 0.00942808901352909.
</t>
  </si>
  <si>
    <t xml:space="preserve"> 0.00942808901352909.
</t>
  </si>
  <si>
    <t>total_value_of_collaterals is: 142710692.4197521</t>
  </si>
  <si>
    <t xml:space="preserve"> createdtionValue_gold is: -2892.509937645026</t>
  </si>
  <si>
    <t xml:space="preserve"> createdValue_tb is: -1293.9955285012593</t>
  </si>
  <si>
    <t xml:space="preserve"> createdValue_reit is: -1197.2462894151668
</t>
  </si>
  <si>
    <t xml:space="preserve"> -1197.2462894151668
</t>
  </si>
  <si>
    <t>plotValue_gold_after_creation is: 76676579.33175638</t>
  </si>
  <si>
    <t xml:space="preserve"> plotValue_tb_after_creation  is: 34302095.043740936</t>
  </si>
  <si>
    <t xml:space="preserve"> plotValue_reit_after_creation  is: 31737401.796010334</t>
  </si>
  <si>
    <t xml:space="preserve">total_value_after_creation is: 142716076.17150766
</t>
  </si>
  <si>
    <t xml:space="preserve"> 142716076.17150766
</t>
  </si>
  <si>
    <t>total_amount_gtncps_before_creation is: 103019204.92835791</t>
  </si>
  <si>
    <t>creation_amount_gtbcps is: -3886.2463169395924</t>
  </si>
  <si>
    <t xml:space="preserve">total_amount_gtbcps_new is: 103015318.68204097
</t>
  </si>
  <si>
    <t xml:space="preserve"> 103015318.68204097
</t>
  </si>
  <si>
    <t>payout of tranche of gold is: 936.7276397253718</t>
  </si>
  <si>
    <t xml:space="preserve"> payout of tranche of Treausry Bill Option is: 219.60582191426192</t>
  </si>
  <si>
    <t xml:space="preserve"> payout of tranche of Collar of REIT is: 178.64513198911314
</t>
  </si>
  <si>
    <t xml:space="preserve"> 178.64513198911314
</t>
  </si>
  <si>
    <t>Collateral size of tranche of gold is: 76676579.33175638</t>
  </si>
  <si>
    <t xml:space="preserve"> collateral size of tranche of Treausry Bill Option is: 34302095.043740936</t>
  </si>
  <si>
    <t xml:space="preserve"> collateral size of tranche of Collar of REIT is: 31737401.796010334
</t>
  </si>
  <si>
    <t xml:space="preserve"> 31737401.796010334
</t>
  </si>
  <si>
    <t>Collateral ratio of tranche of gold is: 0.7444523302165345</t>
  </si>
  <si>
    <t xml:space="preserve"> collateral ratio of tranche of Treausry Bill Option is: 0.33303878197453535</t>
  </si>
  <si>
    <t xml:space="preserve"> collateral ratio of tranche of Collar of REIT is: 0.3081381945826184
</t>
  </si>
  <si>
    <t xml:space="preserve"> 0.3081381945826184
</t>
  </si>
  <si>
    <t xml:space="preserve">date is: 2022-11-14 00:00:00
</t>
  </si>
  <si>
    <t xml:space="preserve"> 2022-11-14 00</t>
  </si>
  <si>
    <t>current price of gold is: 1771.4</t>
  </si>
  <si>
    <t xml:space="preserve"> predicted price of gold is: 1754.8421992530139
</t>
  </si>
  <si>
    <t xml:space="preserve"> 1754.8421992530139
</t>
  </si>
  <si>
    <t>current price of tb is: 88.95703125</t>
  </si>
  <si>
    <t xml:space="preserve"> current price of tb option is: 4.221395270446968</t>
  </si>
  <si>
    <t xml:space="preserve"> predicted price of tb is: 89.24512448411565
</t>
  </si>
  <si>
    <t xml:space="preserve"> 89.24512448411565
</t>
  </si>
  <si>
    <t>current price of reit is: 55.0</t>
  </si>
  <si>
    <t xml:space="preserve"> current price of reit option is: 4.775318927725415</t>
  </si>
  <si>
    <t xml:space="preserve"> predicted price of reit is: 55.77712291086241
</t>
  </si>
  <si>
    <t xml:space="preserve"> 55.77712291086241
</t>
  </si>
  <si>
    <t>value_ratio_gold_to_total is: 2.5489733811821265</t>
  </si>
  <si>
    <t xml:space="preserve"> risk_ratio_to_gold is: 0.5326898698773964</t>
  </si>
  <si>
    <t xml:space="preserve"> risk_ratio_to_gold_before is: 0.5397621846729249
</t>
  </si>
  <si>
    <t xml:space="preserve"> 0.5397621846729249
</t>
  </si>
  <si>
    <t>value_ratio_tb_to_total is: -0.6942085085163906</t>
  </si>
  <si>
    <t xml:space="preserve"> risk_ratio_tb_to_gold is: 0.40727925753400807</t>
  </si>
  <si>
    <t xml:space="preserve"> risk_ratio_tb_to_gold_before is: 0.41870509142655143
</t>
  </si>
  <si>
    <t xml:space="preserve"> 0.41870509142655143
</t>
  </si>
  <si>
    <t>value_ratio_reit_to_total is: -0.8547648726657358</t>
  </si>
  <si>
    <t xml:space="preserve"> risk_ratio_reit_to_gold is: 0.46998565127711567</t>
  </si>
  <si>
    <t xml:space="preserve"> risk_ratio_reit_to_gold_before is: 0.4339626730000387
</t>
  </si>
  <si>
    <t xml:space="preserve"> 0.4339626730000387
</t>
  </si>
  <si>
    <t>delta_gold is: 1.0090859893474609</t>
  </si>
  <si>
    <t xml:space="preserve"> delta_tb is: 0.9988266529261655</t>
  </si>
  <si>
    <t xml:space="preserve"> delta_reit is: 1.063168327247348
</t>
  </si>
  <si>
    <t xml:space="preserve"> 1.063168327247348
</t>
  </si>
  <si>
    <t>delta_gold_risk is: 0.9954068784998568</t>
  </si>
  <si>
    <t xml:space="preserve"> delta_tb_risk is: 0.9919462938692535</t>
  </si>
  <si>
    <t xml:space="preserve"> delta_reit_risk is: 1.025121280320158
</t>
  </si>
  <si>
    <t xml:space="preserve"> 1.025121280320158
</t>
  </si>
  <si>
    <t xml:space="preserve">collateral_ratio_tranche_gold is: 0.7546827657959392
</t>
  </si>
  <si>
    <t xml:space="preserve"> 0.7546827657959392
</t>
  </si>
  <si>
    <t xml:space="preserve">collateral_ratio_tranche_tb is: 0.3323292724535127
</t>
  </si>
  <si>
    <t xml:space="preserve"> 0.3323292724535127
</t>
  </si>
  <si>
    <t xml:space="preserve">collateral_ratio_tranche_reit is: 0.31669713784279974
</t>
  </si>
  <si>
    <t xml:space="preserve"> 0.31669713784279974
</t>
  </si>
  <si>
    <t>Total plot size is: 145377309.0743007</t>
  </si>
  <si>
    <t xml:space="preserve"> plot size of gold is: 77373261.91476446</t>
  </si>
  <si>
    <t xml:space="preserve"> plot size of TB is: 34261846.780894965</t>
  </si>
  <si>
    <t xml:space="preserve"> plot size of REIT is: 33742200.378641285
</t>
  </si>
  <si>
    <t xml:space="preserve"> 33742200.378641285
</t>
  </si>
  <si>
    <t xml:space="preserve">collateral ratio is: 1.4115204444580707
</t>
  </si>
  <si>
    <t xml:space="preserve"> 1.4115204444580707
</t>
  </si>
  <si>
    <t>S_gtbcps_0 is: 0.9997873618425778</t>
  </si>
  <si>
    <t xml:space="preserve">stdev_gtbcps is: 0.01005415226844512
</t>
  </si>
  <si>
    <t xml:space="preserve"> 0.01005415226844512
</t>
  </si>
  <si>
    <t>predicted price of GTBCPS is: 0.9997331424797263</t>
  </si>
  <si>
    <t xml:space="preserve"> actual price is: 0.9997873618425778
</t>
  </si>
  <si>
    <t xml:space="preserve"> 0.9997873618425778
</t>
  </si>
  <si>
    <t>predicted amount of GTBCPS is: 103020905.59789437</t>
  </si>
  <si>
    <t xml:space="preserve"> actual amount is: 103015318.68204097
</t>
  </si>
  <si>
    <t>plot sizes of gold is: 77373261.91476446</t>
  </si>
  <si>
    <t xml:space="preserve"> plot sizes of tb is: 34261846.780894965 </t>
  </si>
  <si>
    <t xml:space="preserve"> plot sizes of reit is: 33742200.378641285</t>
  </si>
  <si>
    <t xml:space="preserve"> plot sizes of total is: 145377309.0743007.
</t>
  </si>
  <si>
    <t xml:space="preserve"> 145377309.0743007.
</t>
  </si>
  <si>
    <t>predicted stdevs of gold is: 0.0096808701335903</t>
  </si>
  <si>
    <t xml:space="preserve"> predicted stdevs of tb is: 0.0030275872547905203</t>
  </si>
  <si>
    <t xml:space="preserve"> predicted stdevs of reit is: 0.01804489226928773</t>
  </si>
  <si>
    <t xml:space="preserve"> predicted stdevs of GTBCPS is: 0.01005415226844512.
</t>
  </si>
  <si>
    <t xml:space="preserve"> 0.01005415226844512.
</t>
  </si>
  <si>
    <t>total_value_of_collaterals is: 145375391.23602748</t>
  </si>
  <si>
    <t xml:space="preserve"> createdtionValue_gold is: 4195.944807811017</t>
  </si>
  <si>
    <t xml:space="preserve"> createdValue_tb is: 1858.0388405642307</t>
  </si>
  <si>
    <t xml:space="preserve"> createdValue_reit is: 1829.8538434087177
</t>
  </si>
  <si>
    <t xml:space="preserve"> 1829.8538434087177
</t>
  </si>
  <si>
    <t>plotValue_gold_after_creation is: 77367657.37865232</t>
  </si>
  <si>
    <t xml:space="preserve"> plotValue_tb_after_creation  is: 34259771.993520536</t>
  </si>
  <si>
    <t xml:space="preserve"> plotValue_reit_after_creation  is: 33740078.02636285</t>
  </si>
  <si>
    <t xml:space="preserve">total_value_after_creation is: 145367507.39853573
</t>
  </si>
  <si>
    <t xml:space="preserve"> 145367507.39853573
</t>
  </si>
  <si>
    <t>total_amount_gtncps_before_creation is: 103015318.68204097</t>
  </si>
  <si>
    <t>creation_amount_gtbcps is: 5586.915853396058</t>
  </si>
  <si>
    <t xml:space="preserve">total_amount_gtbcps_new is: 103020905.59789437
</t>
  </si>
  <si>
    <t xml:space="preserve"> 103020905.59789437
</t>
  </si>
  <si>
    <t>payout of tranche of gold is: -1408.591304336263</t>
  </si>
  <si>
    <t xml:space="preserve"> payout of tranche of Treausry Bill Option is: -216.74853386585534</t>
  </si>
  <si>
    <t xml:space="preserve"> payout of tranche of Collar of REIT is: -292.4984350313672
</t>
  </si>
  <si>
    <t xml:space="preserve"> -292.4984350313672
</t>
  </si>
  <si>
    <t>Collateral size of tranche of gold is: 77367657.37865232</t>
  </si>
  <si>
    <t xml:space="preserve"> collateral size of tranche of Treausry Bill Option is: 34259771.993520536</t>
  </si>
  <si>
    <t xml:space="preserve"> collateral size of tranche of Collar of REIT is: 33740078.02636285
</t>
  </si>
  <si>
    <t xml:space="preserve"> 33740078.02636285
</t>
  </si>
  <si>
    <t>Collateral ratio of tranche of gold is: 0.7512310792316159</t>
  </si>
  <si>
    <t xml:space="preserve"> collateral ratio of tranche of Treausry Bill Option is: 0.33265845652996345</t>
  </si>
  <si>
    <t xml:space="preserve"> collateral ratio of tranche of Collar of REIT is: 0.3276122877167178
</t>
  </si>
  <si>
    <t xml:space="preserve"> 0.3276122877167178
</t>
  </si>
  <si>
    <t xml:space="preserve">date is: 2022-11-15 00:00:00
</t>
  </si>
  <si>
    <t xml:space="preserve"> 2022-11-15 00</t>
  </si>
  <si>
    <t>current price of gold is: 1778.94</t>
  </si>
  <si>
    <t xml:space="preserve"> predicted price of gold is: 1774.698306632444
</t>
  </si>
  <si>
    <t xml:space="preserve"> 1774.698306632444
</t>
  </si>
  <si>
    <t>current price of tb is: 89.23046875</t>
  </si>
  <si>
    <t xml:space="preserve"> current price of tb option is: 4.226311287673354</t>
  </si>
  <si>
    <t xml:space="preserve"> predicted price of tb is: 89.51347976531834
</t>
  </si>
  <si>
    <t xml:space="preserve"> 89.51347976531834
</t>
  </si>
  <si>
    <t>current price of reit is: 56.5</t>
  </si>
  <si>
    <t xml:space="preserve"> current price of reit option is: 4.710434045340222</t>
  </si>
  <si>
    <t xml:space="preserve"> predicted price of reit is: 57.06605935711549
</t>
  </si>
  <si>
    <t xml:space="preserve"> 57.06605935711549
</t>
  </si>
  <si>
    <t>value_ratio_gold_to_total is: -0.7650793234785266</t>
  </si>
  <si>
    <t xml:space="preserve"> risk_ratio_to_gold is: 0.529042680954184</t>
  </si>
  <si>
    <t xml:space="preserve"> risk_ratio_to_gold_before is: 0.5326898698773964
</t>
  </si>
  <si>
    <t xml:space="preserve"> 0.5326898698773964
</t>
  </si>
  <si>
    <t>value_ratio_tb_to_total is: 0.8133518757644852</t>
  </si>
  <si>
    <t xml:space="preserve"> risk_ratio_tb_to_gold is: 0.40790338910700497</t>
  </si>
  <si>
    <t xml:space="preserve"> risk_ratio_tb_to_gold_before is: 0.40727925753400807
</t>
  </si>
  <si>
    <t xml:space="preserve"> 0.40727925753400807
</t>
  </si>
  <si>
    <t>value_ratio_reit_to_total is: 0.9517274477140414</t>
  </si>
  <si>
    <t xml:space="preserve"> risk_ratio_reit_to_gold is: 0.4823032728515253</t>
  </si>
  <si>
    <t xml:space="preserve"> risk_ratio_reit_to_gold_before is: 0.46998565127711567
</t>
  </si>
  <si>
    <t xml:space="preserve"> 0.46998565127711567
</t>
  </si>
  <si>
    <t>delta_gold is: 1.004256520266456</t>
  </si>
  <si>
    <t xml:space="preserve"> delta_tb is: 1.0029873172108708</t>
  </si>
  <si>
    <t xml:space="preserve"> delta_reit is: 1.0240084895130381
</t>
  </si>
  <si>
    <t xml:space="preserve"> 1.0240084895130381
</t>
  </si>
  <si>
    <t>delta_gold_risk is: 0.9976203999289799</t>
  </si>
  <si>
    <t xml:space="preserve"> delta_tb_risk is: 1.0004435022897236</t>
  </si>
  <si>
    <t xml:space="preserve"> delta_reit_risk is: 1.0083794161961432
</t>
  </si>
  <si>
    <t xml:space="preserve"> 1.0083794161961432
</t>
  </si>
  <si>
    <t xml:space="preserve">collateral_ratio_tranche_gold is: 0.756228230295676
</t>
  </si>
  <si>
    <t xml:space="preserve"> 0.756228230295676
</t>
  </si>
  <si>
    <t xml:space="preserve">collateral_ratio_tranche_tb is: 0.33209075192464055
</t>
  </si>
  <si>
    <t xml:space="preserve"> 0.33209075192464055
</t>
  </si>
  <si>
    <t xml:space="preserve">collateral_ratio_tranche_reit is: 0.33127991610736934
</t>
  </si>
  <si>
    <t xml:space="preserve"> 0.33127991610736934
</t>
  </si>
  <si>
    <t>Total plot size is: 146609217.51611793</t>
  </si>
  <si>
    <t xml:space="preserve"> plot size of gold is: 77696974.38025278</t>
  </si>
  <si>
    <t xml:space="preserve"> plot size of TB is: 34362116.80003729</t>
  </si>
  <si>
    <t xml:space="preserve"> plot size of REIT is: 34550126.33582787
</t>
  </si>
  <si>
    <t xml:space="preserve"> 34550126.33582787
</t>
  </si>
  <si>
    <t xml:space="preserve">collateral ratio is: 1.4234814854375595
</t>
  </si>
  <si>
    <t xml:space="preserve"> 1.4234814854375595
</t>
  </si>
  <si>
    <t>S_gtbcps_0 is: 0.9997331424797263</t>
  </si>
  <si>
    <t xml:space="preserve">stdev_gtbcps is: 0.01009362377083188
</t>
  </si>
  <si>
    <t xml:space="preserve"> 0.01009362377083188
</t>
  </si>
  <si>
    <t>predicted price of GTBCPS is: 0.999755733980902</t>
  </si>
  <si>
    <t xml:space="preserve"> actual price is: 0.9997331424797263
</t>
  </si>
  <si>
    <t xml:space="preserve"> 0.9997331424797263
</t>
  </si>
  <si>
    <t>predicted amount of GTBCPS is: 103018577.63234155</t>
  </si>
  <si>
    <t xml:space="preserve"> actual amount is: 103020905.59789437
</t>
  </si>
  <si>
    <t>plot sizes of gold is: 77696974.38025278</t>
  </si>
  <si>
    <t xml:space="preserve"> plot sizes of tb is: 34362116.80003729 </t>
  </si>
  <si>
    <t xml:space="preserve"> plot sizes of reit is: 34550126.33582787</t>
  </si>
  <si>
    <t xml:space="preserve"> plot sizes of total is: 146609217.51611793.
</t>
  </si>
  <si>
    <t xml:space="preserve"> 146609217.51611793.
</t>
  </si>
  <si>
    <t>predicted stdevs of gold is: 0.009683767572498806</t>
  </si>
  <si>
    <t xml:space="preserve"> predicted stdevs of tb is: 0.003039905176931331</t>
  </si>
  <si>
    <t xml:space="preserve"> predicted stdevs of reit is: 0.018030650862258496</t>
  </si>
  <si>
    <t xml:space="preserve"> predicted stdevs of GTBCPS is: 0.01009362377083188.
</t>
  </si>
  <si>
    <t xml:space="preserve"> 0.01009362377083188.
</t>
  </si>
  <si>
    <t>total_value_of_collaterals is: 146610016.9259595</t>
  </si>
  <si>
    <t xml:space="preserve"> createdtionValue_gold is: -1755.77299757142</t>
  </si>
  <si>
    <t xml:space="preserve"> createdValue_tb is: -776.5019002680237</t>
  </si>
  <si>
    <t xml:space="preserve"> createdValue_reit is: -780.7495774188893
</t>
  </si>
  <si>
    <t xml:space="preserve"> -780.7495774188893
</t>
  </si>
  <si>
    <t>plotValue_gold_after_creation is: 77699313.0396147</t>
  </si>
  <si>
    <t xml:space="preserve"> plotValue_tb_after_creation  is: 34363020.907733634</t>
  </si>
  <si>
    <t xml:space="preserve"> plotValue_reit_after_creation  is: 34550996.00308641</t>
  </si>
  <si>
    <t xml:space="preserve">total_value_after_creation is: 146613329.95043474
</t>
  </si>
  <si>
    <t xml:space="preserve"> 146613329.95043474
</t>
  </si>
  <si>
    <t>total_amount_gtncps_before_creation is: 103020905.59789437</t>
  </si>
  <si>
    <t>creation_amount_gtbcps is: -2327.9655528217554</t>
  </si>
  <si>
    <t xml:space="preserve">total_amount_gtbcps_new is: 103018577.63234155
</t>
  </si>
  <si>
    <t xml:space="preserve"> 103018577.63234155
</t>
  </si>
  <si>
    <t>payout of tranche of gold is: 582.886364353724</t>
  </si>
  <si>
    <t xml:space="preserve"> payout of tranche of Treausry Bill Option is: 127.6057960789269</t>
  </si>
  <si>
    <t xml:space="preserve"> payout of tranche of Collar of REIT is: 88.9176811183434
</t>
  </si>
  <si>
    <t xml:space="preserve"> 88.9176811183434
</t>
  </si>
  <si>
    <t>Collateral size of tranche of gold is: 77699313.0396147</t>
  </si>
  <si>
    <t xml:space="preserve"> collateral size of tranche of Treausry Bill Option is: 34363020.907733634</t>
  </si>
  <si>
    <t xml:space="preserve"> collateral size of tranche of Collar of REIT is: 34550996.00308641
</t>
  </si>
  <si>
    <t xml:space="preserve"> 34550996.00308641
</t>
  </si>
  <si>
    <t>Collateral ratio of tranche of gold is: 0.7543934556542786</t>
  </si>
  <si>
    <t xml:space="preserve"> collateral ratio of tranche of Treausry Bill Option is: 0.3336353575750217</t>
  </si>
  <si>
    <t xml:space="preserve"> collateral ratio of tranche of Collar of REIT is: 0.3354604339651801
</t>
  </si>
  <si>
    <t xml:space="preserve"> 0.3354604339651801
</t>
  </si>
  <si>
    <t xml:space="preserve">date is: 2022-11-16 00:00:00
</t>
  </si>
  <si>
    <t xml:space="preserve"> 2022-11-16 00</t>
  </si>
  <si>
    <t>current price of gold is: 1773.87</t>
  </si>
  <si>
    <t xml:space="preserve"> predicted price of gold is: 1771.9258433973357
</t>
  </si>
  <si>
    <t xml:space="preserve"> 1771.9258433973357
</t>
  </si>
  <si>
    <t>current price of tb is: 89.24609375</t>
  </si>
  <si>
    <t xml:space="preserve"> current price of tb option is: 4.235641925354908</t>
  </si>
  <si>
    <t xml:space="preserve"> predicted price of tb is: 89.51945585653453
</t>
  </si>
  <si>
    <t xml:space="preserve"> 89.51945585653453
</t>
  </si>
  <si>
    <t>current price of reit is: 56.1</t>
  </si>
  <si>
    <t xml:space="preserve"> current price of reit option is: 4.833507322477807</t>
  </si>
  <si>
    <t xml:space="preserve"> predicted price of reit is: 56.60712563261415
</t>
  </si>
  <si>
    <t xml:space="preserve"> 56.60712563261415
</t>
  </si>
  <si>
    <t>value_ratio_gold_to_total is: -0.24592516939526776</t>
  </si>
  <si>
    <t xml:space="preserve"> risk_ratio_to_gold is: 0.5328458721542287</t>
  </si>
  <si>
    <t xml:space="preserve"> risk_ratio_to_gold_before is: 0.529042680954184
</t>
  </si>
  <si>
    <t xml:space="preserve"> 0.529042680954184
</t>
  </si>
  <si>
    <t>value_ratio_tb_to_total is: 0.5703643311587167</t>
  </si>
  <si>
    <t xml:space="preserve"> risk_ratio_tb_to_gold is: 0.4070125509291717</t>
  </si>
  <si>
    <t xml:space="preserve"> risk_ratio_tb_to_gold_before is: 0.40790338910700497
</t>
  </si>
  <si>
    <t xml:space="preserve"> 0.40790338910700497
</t>
  </si>
  <si>
    <t>value_ratio_reit_to_total is: 0.6755608382365511</t>
  </si>
  <si>
    <t xml:space="preserve"> risk_ratio_reit_to_gold is: 0.46970274754377295</t>
  </si>
  <si>
    <t xml:space="preserve"> risk_ratio_reit_to_gold_before is: 0.4823032728515253
</t>
  </si>
  <si>
    <t xml:space="preserve"> 0.4823032728515253
</t>
  </si>
  <si>
    <t>delta_gold is: 0.9971499881952173</t>
  </si>
  <si>
    <t xml:space="preserve"> delta_tb is: 1.00026702864866</t>
  </si>
  <si>
    <t xml:space="preserve"> delta_reit is: 0.995475824878855
</t>
  </si>
  <si>
    <t xml:space="preserve"> 0.995475824878855
</t>
  </si>
  <si>
    <t>delta_gold_risk is: 1.0024873021841818</t>
  </si>
  <si>
    <t xml:space="preserve"> delta_tb_risk is: 0.9993672590145563</t>
  </si>
  <si>
    <t xml:space="preserve"> delta_reit_risk is: 0.991499360799823
</t>
  </si>
  <si>
    <t xml:space="preserve"> 0.991499360799823
</t>
  </si>
  <si>
    <t xml:space="preserve">collateral_ratio_tranche_gold is: 0.7503770110217389
</t>
  </si>
  <si>
    <t xml:space="preserve"> 0.7503770110217389
</t>
  </si>
  <si>
    <t xml:space="preserve">collateral_ratio_tranche_tb is: 0.3348901835810625
</t>
  </si>
  <si>
    <t xml:space="preserve"> 0.3348901835810625
</t>
  </si>
  <si>
    <t xml:space="preserve">collateral_ratio_tranche_reit is: 0.3377684610473541
</t>
  </si>
  <si>
    <t xml:space="preserve"> 0.3377684610473541
</t>
  </si>
  <si>
    <t>Total plot size is: 146244747.14555725</t>
  </si>
  <si>
    <t xml:space="preserve"> plot size of gold is: 77477869.0802283</t>
  </si>
  <si>
    <t xml:space="preserve"> plot size of TB is: 34372196.8187705</t>
  </si>
  <si>
    <t xml:space="preserve"> plot size of REIT is: 34394681.246558465
</t>
  </si>
  <si>
    <t xml:space="preserve"> 34394681.246558465
</t>
  </si>
  <si>
    <t xml:space="preserve">collateral ratio is: 1.4199427118646997
</t>
  </si>
  <si>
    <t xml:space="preserve"> 1.4199427118646997
</t>
  </si>
  <si>
    <t>S_gtbcps_0 is: 0.999755733980902</t>
  </si>
  <si>
    <t xml:space="preserve">stdev_gtbcps is: 0.010059581073992229
</t>
  </si>
  <si>
    <t xml:space="preserve"> 0.010059581073992229
</t>
  </si>
  <si>
    <t>predicted price of GTBCPS is: 0.9997615523782595</t>
  </si>
  <si>
    <t xml:space="preserve"> actual price is: 0.999755733980902
</t>
  </si>
  <si>
    <t xml:space="preserve"> 0.999755733980902
</t>
  </si>
  <si>
    <t>predicted amount of GTBCPS is: 103017978.08636138</t>
  </si>
  <si>
    <t xml:space="preserve"> actual amount is: 103018577.63234155
</t>
  </si>
  <si>
    <t>plot sizes of gold is: 77477869.0802283</t>
  </si>
  <si>
    <t xml:space="preserve"> plot sizes of tb is: 34372196.8187705 </t>
  </si>
  <si>
    <t xml:space="preserve"> plot sizes of reit is: 34394681.246558465</t>
  </si>
  <si>
    <t xml:space="preserve"> plot sizes of total is: 146244747.14555725.
</t>
  </si>
  <si>
    <t xml:space="preserve"> 146244747.14555725.
</t>
  </si>
  <si>
    <t>predicted stdevs of gold is: 0.009689344644605188</t>
  </si>
  <si>
    <t xml:space="preserve"> predicted stdevs of tb is: 0.003039991492488096</t>
  </si>
  <si>
    <t xml:space="preserve"> predicted stdevs of reit is: 0.017908580817644272</t>
  </si>
  <si>
    <t xml:space="preserve"> predicted stdevs of GTBCPS is: 0.010059581073992229.
</t>
  </si>
  <si>
    <t xml:space="preserve"> 0.010059581073992229.
</t>
  </si>
  <si>
    <t>total_value_of_collaterals is: 146244953.52916107</t>
  </si>
  <si>
    <t xml:space="preserve"> createdtionValue_gold is: -450.908042473589</t>
  </si>
  <si>
    <t xml:space="preserve"> createdValue_tb is: -200.040096022676</t>
  </si>
  <si>
    <t xml:space="preserve"> createdValue_reit is: -200.17101213496892
</t>
  </si>
  <si>
    <t xml:space="preserve"> -200.17101213496892
</t>
  </si>
  <si>
    <t>plotValue_gold_after_creation is: 77478469.90052813</t>
  </si>
  <si>
    <t xml:space="preserve"> plotValue_tb_after_creation  is: 34372419.86984402</t>
  </si>
  <si>
    <t xml:space="preserve"> plotValue_reit_after_creation  is: 34394914.877939545</t>
  </si>
  <si>
    <t xml:space="preserve">total_value_after_creation is: 146245804.6483117
</t>
  </si>
  <si>
    <t xml:space="preserve"> 146245804.6483117
</t>
  </si>
  <si>
    <t>total_amount_gtncps_before_creation is: 103018577.63234155</t>
  </si>
  <si>
    <t>creation_amount_gtbcps is: -599.5459801703691</t>
  </si>
  <si>
    <t xml:space="preserve">total_amount_gtbcps_new is: 103017978.08636138
</t>
  </si>
  <si>
    <t xml:space="preserve"> 103017978.08636138
</t>
  </si>
  <si>
    <t>payout of tranche of gold is: 149.912257353289</t>
  </si>
  <si>
    <t xml:space="preserve"> payout of tranche of Treausry Bill Option is: 23.010977496927516</t>
  </si>
  <si>
    <t xml:space="preserve"> payout of tranche of Collar of REIT is: 33.460368947056395
</t>
  </si>
  <si>
    <t xml:space="preserve"> 33.460368947056395
</t>
  </si>
  <si>
    <t>Collateral size of tranche of gold is: 77478469.90052813</t>
  </si>
  <si>
    <t xml:space="preserve"> collateral size of tranche of Treausry Bill Option is: 34372419.86984402</t>
  </si>
  <si>
    <t xml:space="preserve"> collateral size of tranche of Collar of REIT is: 34394914.877939545
</t>
  </si>
  <si>
    <t xml:space="preserve"> 34394914.877939545
</t>
  </si>
  <si>
    <t>Collateral ratio of tranche of gold is: 0.7522618797965961</t>
  </si>
  <si>
    <t xml:space="preserve"> collateral ratio of tranche of Treausry Bill Option is: 0.3337322125442552</t>
  </si>
  <si>
    <t xml:space="preserve"> collateral ratio of tranche of Collar of REIT is: 0.3339506233762929
</t>
  </si>
  <si>
    <t xml:space="preserve"> 0.3339506233762929
</t>
  </si>
  <si>
    <t xml:space="preserve">date is: 2022-11-17 00:00:00
</t>
  </si>
  <si>
    <t xml:space="preserve"> 2022-11-17 00</t>
  </si>
  <si>
    <t>current price of gold is: 1760.44</t>
  </si>
  <si>
    <t xml:space="preserve"> predicted price of gold is: 1767.4090782876415
</t>
  </si>
  <si>
    <t xml:space="preserve"> 1767.4090782876415
</t>
  </si>
  <si>
    <t>current price of tb is: 89.03515625</t>
  </si>
  <si>
    <t xml:space="preserve"> current price of tb option is: 4.229068516649271</t>
  </si>
  <si>
    <t xml:space="preserve"> predicted price of tb is: 89.31531488464195
</t>
  </si>
  <si>
    <t xml:space="preserve"> 89.31531488464195
</t>
  </si>
  <si>
    <t>current price of reit is: 55.75</t>
  </si>
  <si>
    <t xml:space="preserve"> current price of reit option is: 4.807850857174827</t>
  </si>
  <si>
    <t xml:space="preserve"> predicted price of reit is: 56.475581460236654
</t>
  </si>
  <si>
    <t xml:space="preserve"> 56.475581460236654
</t>
  </si>
  <si>
    <t>value_ratio_gold_to_total is: 0.4096629272951538</t>
  </si>
  <si>
    <t xml:space="preserve"> risk_ratio_to_gold is: 0.5355801979902415</t>
  </si>
  <si>
    <t xml:space="preserve"> risk_ratio_to_gold_before is: 0.5328458721542287
</t>
  </si>
  <si>
    <t xml:space="preserve"> 0.5328458721542287
</t>
  </si>
  <si>
    <t>value_ratio_tb_to_total is: 0.26506563972922786</t>
  </si>
  <si>
    <t xml:space="preserve"> risk_ratio_tb_to_gold is: 0.40332109621817264</t>
  </si>
  <si>
    <t xml:space="preserve"> risk_ratio_tb_to_gold_before is: 0.4070125509291717
</t>
  </si>
  <si>
    <t xml:space="preserve"> 0.4070125509291717
</t>
  </si>
  <si>
    <t>value_ratio_reit_to_total is: 0.32527143297561834</t>
  </si>
  <si>
    <t xml:space="preserve"> risk_ratio_reit_to_gold is: 0.46381290864699687</t>
  </si>
  <si>
    <t xml:space="preserve"> risk_ratio_reit_to_gold_before is: 0.46970274754377295
</t>
  </si>
  <si>
    <t xml:space="preserve"> 0.46970274754377295
</t>
  </si>
  <si>
    <t>delta_gold is: 0.9924289829581651</t>
  </si>
  <si>
    <t xml:space="preserve"> delta_tb is: 0.9976732256078235</t>
  </si>
  <si>
    <t xml:space="preserve"> delta_reit is: 0.9938349771445963
</t>
  </si>
  <si>
    <t xml:space="preserve"> 0.9938349771445963
</t>
  </si>
  <si>
    <t>delta_gold_risk is: 1.0017838230742468</t>
  </si>
  <si>
    <t xml:space="preserve"> delta_tb_risk is: 0.9973763882144752</t>
  </si>
  <si>
    <t xml:space="preserve"> delta_reit_risk is: 0.9959924965054197
</t>
  </si>
  <si>
    <t xml:space="preserve"> 0.9959924965054197
</t>
  </si>
  <si>
    <t xml:space="preserve">collateral_ratio_tranche_gold is: 0.7452371211123079
</t>
  </si>
  <si>
    <t xml:space="preserve"> 0.7452371211123079
</t>
  </si>
  <si>
    <t xml:space="preserve">collateral_ratio_tranche_tb is: 0.3363782628948721
</t>
  </si>
  <si>
    <t xml:space="preserve"> 0.3363782628948721
</t>
  </si>
  <si>
    <t xml:space="preserve">collateral_ratio_tranche_reit is: 0.33576933475235954
</t>
  </si>
  <si>
    <t xml:space="preserve"> 0.33576933475235954
</t>
  </si>
  <si>
    <t>Total plot size is: 145367191.52963704</t>
  </si>
  <si>
    <t xml:space="preserve"> plot size of gold is: 76891879.08453594</t>
  </si>
  <si>
    <t xml:space="preserve"> plot size of TB is: 34292443.003493726</t>
  </si>
  <si>
    <t xml:space="preserve"> plot size of REIT is: 34182869.441607386
</t>
  </si>
  <si>
    <t xml:space="preserve"> 34182869.441607386
</t>
  </si>
  <si>
    <t xml:space="preserve">collateral ratio is: 1.4114222095875024
</t>
  </si>
  <si>
    <t xml:space="preserve"> 1.4114222095875024
</t>
  </si>
  <si>
    <t>S_gtbcps_0 is: 0.9997615523782595</t>
  </si>
  <si>
    <t xml:space="preserve">stdev_gtbcps is: 0.010028865715335684
</t>
  </si>
  <si>
    <t xml:space="preserve"> 0.010028865715335684
</t>
  </si>
  <si>
    <t>predicted price of GTBCPS is: 0.9997840441627315</t>
  </si>
  <si>
    <t xml:space="preserve"> actual price is: 0.9997615523782595
</t>
  </si>
  <si>
    <t xml:space="preserve"> 0.9997615523782595
</t>
  </si>
  <si>
    <t>predicted amount of GTBCPS is: 103015660.5277112</t>
  </si>
  <si>
    <t xml:space="preserve"> actual amount is: 103017978.08636138
</t>
  </si>
  <si>
    <t>plot sizes of gold is: 76891879.08453594</t>
  </si>
  <si>
    <t xml:space="preserve"> plot sizes of tb is: 34292443.003493726 </t>
  </si>
  <si>
    <t xml:space="preserve"> plot sizes of reit is: 34182869.441607386</t>
  </si>
  <si>
    <t xml:space="preserve"> plot sizes of total is: 145367191.52963704.
</t>
  </si>
  <si>
    <t xml:space="preserve"> 145367191.52963704.
</t>
  </si>
  <si>
    <t>predicted stdevs of gold is: 0.00968846150616727</t>
  </si>
  <si>
    <t xml:space="preserve"> predicted stdevs of tb is: 0.003008401714550752</t>
  </si>
  <si>
    <t xml:space="preserve"> predicted stdevs of reit is: 0.017837548405131843</t>
  </si>
  <si>
    <t xml:space="preserve"> predicted stdevs of GTBCPS is: 0.010028865715335684.
</t>
  </si>
  <si>
    <t xml:space="preserve"> 0.010028865715335684.
</t>
  </si>
  <si>
    <t>total_value_of_collaterals is: 145367989.3485061</t>
  </si>
  <si>
    <t xml:space="preserve"> createdtionValue_gold is: -1729.8618361860604</t>
  </si>
  <si>
    <t xml:space="preserve"> createdValue_tb is: -771.4842220473207</t>
  </si>
  <si>
    <t xml:space="preserve"> createdValue_reit is: -769.0192381516291
</t>
  </si>
  <si>
    <t xml:space="preserve"> -769.0192381516291
</t>
  </si>
  <si>
    <t>plotValue_gold_after_creation is: 76894221.73577087</t>
  </si>
  <si>
    <t xml:space="preserve"> plotValue_tb_after_creation  is: 34293304.58353135</t>
  </si>
  <si>
    <t xml:space="preserve"> plotValue_reit_after_creation  is: 34183733.394500256</t>
  </si>
  <si>
    <t xml:space="preserve">total_value_after_creation is: 145371259.71380246
</t>
  </si>
  <si>
    <t xml:space="preserve"> 145371259.71380246
</t>
  </si>
  <si>
    <t>total_amount_gtncps_before_creation is: 103017978.08636138</t>
  </si>
  <si>
    <t>creation_amount_gtbcps is: -2317.5586501806974</t>
  </si>
  <si>
    <t xml:space="preserve">total_amount_gtbcps_new is: 103015660.5277112
</t>
  </si>
  <si>
    <t xml:space="preserve"> 103015660.5277112
</t>
  </si>
  <si>
    <t>payout of tranche of gold is: 612.7893987519174</t>
  </si>
  <si>
    <t xml:space="preserve"> payout of tranche of Treausry Bill Option is: 90.09581557336762</t>
  </si>
  <si>
    <t xml:space="preserve"> payout of tranche of Collar of REIT is: 94.93365471443865
</t>
  </si>
  <si>
    <t xml:space="preserve"> 94.93365471443865
</t>
  </si>
  <si>
    <t>Collateral size of tranche of gold is: 76894221.73577087</t>
  </si>
  <si>
    <t xml:space="preserve"> collateral size of tranche of Treausry Bill Option is: 34293304.58353135</t>
  </si>
  <si>
    <t xml:space="preserve"> collateral size of tranche of Collar of REIT is: 34183733.394500256
</t>
  </si>
  <si>
    <t xml:space="preserve"> 34183733.394500256
</t>
  </si>
  <si>
    <t>Collateral ratio of tranche of gold is: 0.7465767869586422</t>
  </si>
  <si>
    <t xml:space="preserve"> collateral ratio of tranche of Treausry Bill Option is: 0.3329585054927046</t>
  </si>
  <si>
    <t xml:space="preserve"> collateral ratio of tranche of Collar of REIT is: 0.3318946634457538
</t>
  </si>
  <si>
    <t xml:space="preserve"> 0.3318946634457538
</t>
  </si>
  <si>
    <t xml:space="preserve">date is: 2022-11-18 00:00:00
</t>
  </si>
  <si>
    <t xml:space="preserve"> 2022-11-18 00</t>
  </si>
  <si>
    <t>current price of gold is: 1750.68</t>
  </si>
  <si>
    <t xml:space="preserve"> predicted price of gold is: 1752.1488867449204
</t>
  </si>
  <si>
    <t xml:space="preserve"> 1752.1488867449204
</t>
  </si>
  <si>
    <t>current price of tb is: 88.84765625</t>
  </si>
  <si>
    <t xml:space="preserve"> current price of tb option is: 4.226046838454628</t>
  </si>
  <si>
    <t xml:space="preserve"> predicted price of tb is: 89.13093860759227
</t>
  </si>
  <si>
    <t xml:space="preserve"> 89.13093860759227
</t>
  </si>
  <si>
    <t>current price of reit is: 55.1</t>
  </si>
  <si>
    <t xml:space="preserve"> current price of reit option is: 4.8236606563713025</t>
  </si>
  <si>
    <t xml:space="preserve"> predicted price of reit is: 55.72788659741151
</t>
  </si>
  <si>
    <t xml:space="preserve"> 55.72788659741151
</t>
  </si>
  <si>
    <t>value_ratio_gold_to_total is: 0.12851418877996273</t>
  </si>
  <si>
    <t xml:space="preserve"> risk_ratio_to_gold is: 0.5361952261096279</t>
  </si>
  <si>
    <t xml:space="preserve"> risk_ratio_to_gold_before is: 0.5355801979902415
</t>
  </si>
  <si>
    <t xml:space="preserve"> 0.5355801979902415
</t>
  </si>
  <si>
    <t>value_ratio_tb_to_total is: 0.394525163751259</t>
  </si>
  <si>
    <t xml:space="preserve"> risk_ratio_tb_to_gold is: 0.40194632298512917</t>
  </si>
  <si>
    <t xml:space="preserve"> risk_ratio_tb_to_gold_before is: 0.40332109621817264
</t>
  </si>
  <si>
    <t xml:space="preserve"> 0.40332109621817264
</t>
  </si>
  <si>
    <t>value_ratio_reit_to_total is: 0.47696064746877825</t>
  </si>
  <si>
    <t xml:space="preserve"> risk_ratio_reit_to_gold is: 0.4630460367110102</t>
  </si>
  <si>
    <t xml:space="preserve"> risk_ratio_reit_to_gold_before is: 0.46381290864699687
</t>
  </si>
  <si>
    <t xml:space="preserve"> 0.46381290864699687
</t>
  </si>
  <si>
    <t>delta_gold is: 0.9944559314716775</t>
  </si>
  <si>
    <t xml:space="preserve"> delta_tb is: 0.9979571837039192</t>
  </si>
  <si>
    <t xml:space="preserve"> delta_reit is: 0.9895275312477774
</t>
  </si>
  <si>
    <t xml:space="preserve"> 0.9895275312477774
</t>
  </si>
  <si>
    <t>delta_gold_risk is: 1.0004005183970146</t>
  </si>
  <si>
    <t xml:space="preserve"> delta_tb_risk is: 0.9990203430727663</t>
  </si>
  <si>
    <t xml:space="preserve"> delta_reit_risk is: 0.9994761134216971
</t>
  </si>
  <si>
    <t xml:space="preserve"> 0.9994761134216971
</t>
  </si>
  <si>
    <t xml:space="preserve">collateral_ratio_tranche_gold is: 0.7421404731774119
</t>
  </si>
  <si>
    <t xml:space="preserve"> 0.7421404731774119
</t>
  </si>
  <si>
    <t xml:space="preserve">collateral_ratio_tranche_tb is: 0.3344584308719651
</t>
  </si>
  <si>
    <t xml:space="preserve"> 0.3344584308719651
</t>
  </si>
  <si>
    <t xml:space="preserve">collateral_ratio_tranche_reit is: 0.3304229388114656
</t>
  </si>
  <si>
    <t xml:space="preserve"> 0.3304229388114656
</t>
  </si>
  <si>
    <t>Total plot size is: 144516909.87780944</t>
  </si>
  <si>
    <t xml:space="preserve"> plot size of gold is: 76467914.90103573</t>
  </si>
  <si>
    <t xml:space="preserve"> plot size of TB is: 34223249.66208165</t>
  </si>
  <si>
    <t xml:space="preserve"> plot size of REIT is: 33825745.31469204
</t>
  </si>
  <si>
    <t xml:space="preserve"> 33825745.31469204
</t>
  </si>
  <si>
    <t xml:space="preserve">collateral ratio is: 1.403166520011567
</t>
  </si>
  <si>
    <t xml:space="preserve"> 1.403166520011567
</t>
  </si>
  <si>
    <t>S_gtbcps_0 is: 0.9997840441627315</t>
  </si>
  <si>
    <t xml:space="preserve">stdev_gtbcps is: 0.010015816383664276
</t>
  </si>
  <si>
    <t xml:space="preserve"> 0.010015816383664276
</t>
  </si>
  <si>
    <t>predicted price of GTBCPS is: 0.9998019586019102</t>
  </si>
  <si>
    <t xml:space="preserve"> actual price is: 0.9997840441627315
</t>
  </si>
  <si>
    <t xml:space="preserve"> 0.9997840441627315
</t>
  </si>
  <si>
    <t>predicted amount of GTBCPS is: 103013814.6943748</t>
  </si>
  <si>
    <t xml:space="preserve"> actual amount is: 103015660.5277112
</t>
  </si>
  <si>
    <t>plot sizes of gold is: 76467914.90103573</t>
  </si>
  <si>
    <t xml:space="preserve"> plot sizes of tb is: 34223249.66208165 </t>
  </si>
  <si>
    <t xml:space="preserve"> plot sizes of reit is: 33825745.31469204</t>
  </si>
  <si>
    <t xml:space="preserve"> plot sizes of total is: 144516909.87780944.
</t>
  </si>
  <si>
    <t xml:space="preserve"> 144516909.87780944.
</t>
  </si>
  <si>
    <t>predicted stdevs of gold is: 0.009683979954540844</t>
  </si>
  <si>
    <t xml:space="preserve"> predicted stdevs of tb is: 0.0029968648084182778</t>
  </si>
  <si>
    <t xml:space="preserve"> predicted stdevs of reit is: 0.017867414906568763</t>
  </si>
  <si>
    <t xml:space="preserve"> predicted stdevs of GTBCPS is: 0.010015816383664276.
</t>
  </si>
  <si>
    <t xml:space="preserve"> 0.010015816383664276.
</t>
  </si>
  <si>
    <t>total_value_of_collaterals is: 144517544.91329753</t>
  </si>
  <si>
    <t xml:space="preserve"> createdtionValue_gold is: -1370.183975549885</t>
  </si>
  <si>
    <t xml:space="preserve"> createdValue_tb is: -613.2240472985709</t>
  </si>
  <si>
    <t xml:space="preserve"> createdValue_reit is: -606.1019655621283
</t>
  </si>
  <si>
    <t xml:space="preserve"> -606.1019655621283
</t>
  </si>
  <si>
    <t>plotValue_gold_after_creation is: 76469746.48382951</t>
  </si>
  <si>
    <t xml:space="preserve"> plotValue_tb_after_creation  is: 34223935.0857175</t>
  </si>
  <si>
    <t xml:space="preserve"> plotValue_reit_after_creation  is: 33826452.853738904</t>
  </si>
  <si>
    <t xml:space="preserve">total_value_after_creation is: 144520134.4232859
</t>
  </si>
  <si>
    <t xml:space="preserve"> 144520134.4232859
</t>
  </si>
  <si>
    <t>total_amount_gtncps_before_creation is: 103015660.5277112</t>
  </si>
  <si>
    <t>creation_amount_gtbcps is: -1845.8333363980055</t>
  </si>
  <si>
    <t xml:space="preserve">total_amount_gtbcps_new is: 103013814.6943748
</t>
  </si>
  <si>
    <t xml:space="preserve"> 103013814.6943748
</t>
  </si>
  <si>
    <t>payout of tranche of gold is: 461.3988182324969</t>
  </si>
  <si>
    <t xml:space="preserve"> payout of tranche of Treausry Bill Option is: 72.19958855130878</t>
  </si>
  <si>
    <t xml:space="preserve"> payout of tranche of Collar of REIT is: 101.43708129668441
</t>
  </si>
  <si>
    <t xml:space="preserve"> 101.43708129668441
</t>
  </si>
  <si>
    <t>Collateral size of tranche of gold is: 76469746.48382951</t>
  </si>
  <si>
    <t xml:space="preserve"> collateral size of tranche of Treausry Bill Option is: 34223935.0857175</t>
  </si>
  <si>
    <t xml:space="preserve"> collateral size of tranche of Collar of REIT is: 33826452.853738904
</t>
  </si>
  <si>
    <t xml:space="preserve"> 33826452.853738904
</t>
  </si>
  <si>
    <t>Collateral ratio of tranche of gold is: 0.7424588967085066</t>
  </si>
  <si>
    <t xml:space="preserve"> collateral ratio of tranche of Treausry Bill Option is: 0.33228650875857946</t>
  </si>
  <si>
    <t xml:space="preserve"> collateral ratio of tranche of Collar of REIT is: 0.32842728033183854
</t>
  </si>
  <si>
    <t xml:space="preserve"> 0.32842728033183854
</t>
  </si>
  <si>
    <t xml:space="preserve">date is: 2022-11-21 00:00:00
</t>
  </si>
  <si>
    <t xml:space="preserve"> 2022-11-21 00</t>
  </si>
  <si>
    <t>current price of gold is: 1738.05</t>
  </si>
  <si>
    <t xml:space="preserve"> predicted price of gold is: 1745.8827175117501
</t>
  </si>
  <si>
    <t xml:space="preserve"> 1745.8827175117501
</t>
  </si>
  <si>
    <t>current price of tb is: 88.8046875</t>
  </si>
  <si>
    <t xml:space="preserve"> current price of tb option is: 4.225461177083133</t>
  </si>
  <si>
    <t xml:space="preserve"> predicted price of tb is: 89.08857525749308
</t>
  </si>
  <si>
    <t xml:space="preserve"> 89.08857525749308
</t>
  </si>
  <si>
    <t xml:space="preserve"> current price of reit option is: 4.92541376064689</t>
  </si>
  <si>
    <t xml:space="preserve"> predicted price of reit is: 53.88472918532617
</t>
  </si>
  <si>
    <t xml:space="preserve"> 53.88472918532617
</t>
  </si>
  <si>
    <t>value_ratio_gold_to_total is: 0.4387533968276672</t>
  </si>
  <si>
    <t xml:space="preserve"> risk_ratio_to_gold is: 0.538915413742068</t>
  </si>
  <si>
    <t xml:space="preserve"> risk_ratio_to_gold_before is: 0.5361952261096279
</t>
  </si>
  <si>
    <t xml:space="preserve"> 0.5361952261096279
</t>
  </si>
  <si>
    <t>value_ratio_tb_to_total is: 0.252593325312514</t>
  </si>
  <si>
    <t xml:space="preserve"> risk_ratio_tb_to_gold is: 0.4027962030174425</t>
  </si>
  <si>
    <t xml:space="preserve"> risk_ratio_tb_to_gold_before is: 0.40194632298512917
</t>
  </si>
  <si>
    <t xml:space="preserve"> 0.40194632298512917
</t>
  </si>
  <si>
    <t>value_ratio_reit_to_total is: 0.30865327785981883</t>
  </si>
  <si>
    <t xml:space="preserve"> risk_ratio_reit_to_gold is: 0.4527825659331395</t>
  </si>
  <si>
    <t xml:space="preserve"> risk_ratio_reit_to_gold_before is: 0.4630460367110102
</t>
  </si>
  <si>
    <t xml:space="preserve"> 0.4630460367110102
</t>
  </si>
  <si>
    <t>delta_gold is: 0.9927856604290903</t>
  </si>
  <si>
    <t xml:space="preserve"> delta_tb is: 0.999532043854212</t>
  </si>
  <si>
    <t xml:space="preserve"> delta_reit is: 0.971659827234806
</t>
  </si>
  <si>
    <t xml:space="preserve"> 0.971659827234806
</t>
  </si>
  <si>
    <t>delta_gold_risk is: 1.0017707304294448</t>
  </si>
  <si>
    <t xml:space="preserve"> delta_tb_risk is: 1.0006062143880827</t>
  </si>
  <si>
    <t xml:space="preserve"> delta_reit_risk is: 0.9929848613643468
</t>
  </si>
  <si>
    <t xml:space="preserve"> 0.9929848613643468
</t>
  </si>
  <si>
    <t xml:space="preserve">collateral_ratio_tranche_gold is: 0.735799643291857
</t>
  </si>
  <si>
    <t xml:space="preserve"> 0.735799643291857
</t>
  </si>
  <si>
    <t xml:space="preserve">collateral_ratio_tranche_tb is: 0.3343418482545929
</t>
  </si>
  <si>
    <t xml:space="preserve"> 0.3343418482545929
</t>
  </si>
  <si>
    <t xml:space="preserve">collateral_ratio_tranche_reit is: 0.3237094279140375
</t>
  </si>
  <si>
    <t xml:space="preserve"> 0.3237094279140375
</t>
  </si>
  <si>
    <t>Total plot size is: 142993792.88658512</t>
  </si>
  <si>
    <t xml:space="preserve"> plot size of gold is: 75918067.76579379</t>
  </si>
  <si>
    <t xml:space="preserve"> plot size of TB is: 34207919.78496109</t>
  </si>
  <si>
    <t xml:space="preserve"> plot size of REIT is: 32867805.335830256
</t>
  </si>
  <si>
    <t xml:space="preserve"> 32867805.335830256
</t>
  </si>
  <si>
    <t xml:space="preserve">collateral ratio is: 1.3883780307617364
</t>
  </si>
  <si>
    <t xml:space="preserve"> 1.3883780307617364
</t>
  </si>
  <si>
    <t>S_gtbcps_0 is: 0.9998019586019102</t>
  </si>
  <si>
    <t xml:space="preserve">stdev_gtbcps is: 0.010030506064548913
</t>
  </si>
  <si>
    <t xml:space="preserve"> 0.010030506064548913
</t>
  </si>
  <si>
    <t>predicted price of GTBCPS is: 0.9998384939112418</t>
  </si>
  <si>
    <t xml:space="preserve"> actual price is: 0.9998019586019102
</t>
  </si>
  <si>
    <t xml:space="preserve"> 0.9998019586019102
</t>
  </si>
  <si>
    <t>predicted amount of GTBCPS is: 103010050.4448403</t>
  </si>
  <si>
    <t xml:space="preserve"> actual amount is: 103013814.6943748
</t>
  </si>
  <si>
    <t>plot sizes of gold is: 75918067.76579379</t>
  </si>
  <si>
    <t xml:space="preserve"> plot sizes of tb is: 34207919.78496109 </t>
  </si>
  <si>
    <t xml:space="preserve"> plot sizes of reit is: 32867805.335830256</t>
  </si>
  <si>
    <t xml:space="preserve"> plot sizes of total is: 142993792.88658512.
</t>
  </si>
  <si>
    <t xml:space="preserve"> 142993792.88658512.
</t>
  </si>
  <si>
    <t>predicted stdevs of gold is: 0.00969462897826689</t>
  </si>
  <si>
    <t xml:space="preserve"> predicted stdevs of tb is: 0.0029963658104586875</t>
  </si>
  <si>
    <t xml:space="preserve"> predicted stdevs of reit is: 0.018127257345819024</t>
  </si>
  <si>
    <t xml:space="preserve"> predicted stdevs of GTBCPS is: 0.010030506064548913.
</t>
  </si>
  <si>
    <t xml:space="preserve"> 0.010030506064548913.
</t>
  </si>
  <si>
    <t>total_value_of_collaterals is: 142995089.67911845</t>
  </si>
  <si>
    <t xml:space="preserve"> createdtionValue_gold is: -2774.274063176888</t>
  </si>
  <si>
    <t xml:space="preserve"> createdValue_tb is: -1250.0499788816385</t>
  </si>
  <si>
    <t xml:space="preserve"> createdValue_reit is: -1201.0806387110883
</t>
  </si>
  <si>
    <t xml:space="preserve"> -1201.0806387110883
</t>
  </si>
  <si>
    <t>plotValue_gold_after_creation is: 75921787.7656657</t>
  </si>
  <si>
    <t xml:space="preserve"> plotValue_tb_after_creation  is: 34209319.99935416</t>
  </si>
  <si>
    <t xml:space="preserve"> plotValue_reit_after_creation  is: 32869207.31877934</t>
  </si>
  <si>
    <t xml:space="preserve">total_value_after_creation is: 143000315.0837992
</t>
  </si>
  <si>
    <t xml:space="preserve"> 143000315.0837992
</t>
  </si>
  <si>
    <t>total_amount_gtncps_before_creation is: 103013814.6943748</t>
  </si>
  <si>
    <t>creation_amount_gtbcps is: -3764.2495345026255</t>
  </si>
  <si>
    <t xml:space="preserve">total_amount_gtbcps_new is: 103010050.4448403
</t>
  </si>
  <si>
    <t xml:space="preserve"> 103010050.4448403
</t>
  </si>
  <si>
    <t>payout of tranche of gold is: 945.7258087336487</t>
  </si>
  <si>
    <t xml:space="preserve"> payout of tranche of Treausry Bill Option is: 150.16441419036394</t>
  </si>
  <si>
    <t xml:space="preserve"> payout of tranche of Collar of REIT is: 200.90231036987592
</t>
  </si>
  <si>
    <t xml:space="preserve"> 200.90231036987592
</t>
  </si>
  <si>
    <t>Collateral size of tranche of gold is: 75921787.7656657</t>
  </si>
  <si>
    <t xml:space="preserve"> collateral size of tranche of Treausry Bill Option is: 34209319.99935416</t>
  </si>
  <si>
    <t xml:space="preserve"> collateral size of tranche of Collar of REIT is: 32869207.31877934
</t>
  </si>
  <si>
    <t xml:space="preserve"> 32869207.31877934
</t>
  </si>
  <si>
    <t>Collateral ratio of tranche of gold is: 0.737124936132338</t>
  </si>
  <si>
    <t xml:space="preserve"> collateral ratio of tranche of Treausry Bill Option is: 0.33213842247084685</t>
  </si>
  <si>
    <t xml:space="preserve"> collateral ratio of tranche of Collar of REIT is: 0.3191272631824511
</t>
  </si>
  <si>
    <t xml:space="preserve"> 0.3191272631824511
</t>
  </si>
  <si>
    <t xml:space="preserve">date is: 2022-11-22 00:00:00
</t>
  </si>
  <si>
    <t xml:space="preserve"> 2022-11-22 00</t>
  </si>
  <si>
    <t>current price of gold is: 1740.25</t>
  </si>
  <si>
    <t xml:space="preserve"> predicted price of gold is: 1738.1030167415167
</t>
  </si>
  <si>
    <t xml:space="preserve"> 1738.1030167415167
</t>
  </si>
  <si>
    <t>current price of tb is: 88.90625</t>
  </si>
  <si>
    <t xml:space="preserve"> current price of tb option is: 4.230178762355056</t>
  </si>
  <si>
    <t xml:space="preserve"> predicted price of tb is: 89.18525980375456
</t>
  </si>
  <si>
    <t xml:space="preserve"> 89.18525980375456
</t>
  </si>
  <si>
    <t>current price of reit is: 53.15</t>
  </si>
  <si>
    <t xml:space="preserve"> current price of reit option is: 4.987164338979106</t>
  </si>
  <si>
    <t xml:space="preserve"> predicted price of reit is: 53.81440527871998
</t>
  </si>
  <si>
    <t xml:space="preserve"> 53.81440527871998
</t>
  </si>
  <si>
    <t>value_ratio_gold_to_total is: -0.26791159952574667</t>
  </si>
  <si>
    <t xml:space="preserve"> risk_ratio_to_gold is: 0.5412601859890215</t>
  </si>
  <si>
    <t xml:space="preserve"> risk_ratio_to_gold_before is: 0.538915413742068
</t>
  </si>
  <si>
    <t xml:space="preserve"> 0.538915413742068
</t>
  </si>
  <si>
    <t>value_ratio_tb_to_total is: 0.5626797118870286</t>
  </si>
  <si>
    <t xml:space="preserve"> risk_ratio_tb_to_gold is: 0.40298294335025425</t>
  </si>
  <si>
    <t xml:space="preserve"> risk_ratio_tb_to_gold_before is: 0.4027962030174425
</t>
  </si>
  <si>
    <t xml:space="preserve"> 0.4027962030174425
</t>
  </si>
  <si>
    <t>value_ratio_reit_to_total is: 0.705231887638718</t>
  </si>
  <si>
    <t xml:space="preserve"> risk_ratio_reit_to_gold is: 0.4445573448250953</t>
  </si>
  <si>
    <t xml:space="preserve"> risk_ratio_reit_to_gold_before is: 0.4527825659331395
</t>
  </si>
  <si>
    <t xml:space="preserve"> 0.4527825659331395
</t>
  </si>
  <si>
    <t>delta_gold is: 1.0012657863697823</t>
  </si>
  <si>
    <t xml:space="preserve"> delta_tb is: 1.0011424262648534</t>
  </si>
  <si>
    <t xml:space="preserve"> delta_reit is: 0.9984843487410745
</t>
  </si>
  <si>
    <t xml:space="preserve"> 0.9984843487410745
</t>
  </si>
  <si>
    <t>delta_gold_risk is: 1.0015236524541995</t>
  </si>
  <si>
    <t xml:space="preserve"> delta_tb_risk is: 1.0001331200729016</t>
  </si>
  <si>
    <t xml:space="preserve"> delta_reit_risk is: 0.9943382985858169
</t>
  </si>
  <si>
    <t xml:space="preserve"> 0.9943382985858169
</t>
  </si>
  <si>
    <t xml:space="preserve">collateral_ratio_tranche_gold is: 0.7369351457858585
</t>
  </si>
  <si>
    <t xml:space="preserve"> 0.7369351457858585
</t>
  </si>
  <si>
    <t xml:space="preserve">collateral_ratio_tranche_tb is: 0.3320532986779062
</t>
  </si>
  <si>
    <t xml:space="preserve"> 0.3320532986779062
</t>
  </si>
  <si>
    <t xml:space="preserve">collateral_ratio_tranche_reit is: 0.32005279610545073
</t>
  </si>
  <si>
    <t xml:space="preserve"> 0.32005279610545073
</t>
  </si>
  <si>
    <t>Total plot size is: 143085679.21813992</t>
  </si>
  <si>
    <t xml:space="preserve"> plot size of gold is: 76017888.52978897</t>
  </si>
  <si>
    <t xml:space="preserve"> plot size of TB is: 34248401.6250242</t>
  </si>
  <si>
    <t xml:space="preserve"> plot size of REIT is: 32819389.063326746
</t>
  </si>
  <si>
    <t xml:space="preserve"> 32819389.063326746
</t>
  </si>
  <si>
    <t xml:space="preserve">collateral ratio is: 1.3892701881168403
</t>
  </si>
  <si>
    <t xml:space="preserve"> 1.3892701881168403
</t>
  </si>
  <si>
    <t>S_gtbcps_0 is: 0.9998384939112418</t>
  </si>
  <si>
    <t xml:space="preserve">stdev_gtbcps is: 0.01001593311028324
</t>
  </si>
  <si>
    <t xml:space="preserve"> 0.01001593311028324
</t>
  </si>
  <si>
    <t>predicted price of GTBCPS is: 0.9998765170334178</t>
  </si>
  <si>
    <t xml:space="preserve"> actual price is: 0.9998384939112418
</t>
  </si>
  <si>
    <t xml:space="preserve"> 0.9998384939112418
</t>
  </si>
  <si>
    <t>predicted amount of GTBCPS is: 103006133.19739354</t>
  </si>
  <si>
    <t xml:space="preserve"> actual amount is: 103010050.4448403
</t>
  </si>
  <si>
    <t>plot sizes of gold is: 76017888.52978897</t>
  </si>
  <si>
    <t xml:space="preserve"> plot sizes of tb is: 34248401.6250242 </t>
  </si>
  <si>
    <t xml:space="preserve"> plot sizes of reit is: 32819389.063326746</t>
  </si>
  <si>
    <t xml:space="preserve"> plot sizes of total is: 143085679.21813992.
</t>
  </si>
  <si>
    <t xml:space="preserve"> 143085679.21813992.
</t>
  </si>
  <si>
    <t>predicted stdevs of gold is: 0.009717253213371219</t>
  </si>
  <si>
    <t xml:space="preserve"> predicted stdevs of tb is: 0.002994468245988629</t>
  </si>
  <si>
    <t xml:space="preserve"> predicted stdevs of reit is: 0.01803494172955056</t>
  </si>
  <si>
    <t xml:space="preserve"> predicted stdevs of GTBCPS is: 0.01001593311028324.
</t>
  </si>
  <si>
    <t xml:space="preserve"> 0.01001593311028324.
</t>
  </si>
  <si>
    <t>total_value_of_collaterals is: 143087027.50018558</t>
  </si>
  <si>
    <t xml:space="preserve"> createdtionValue_gold is: -2890.9396921810726</t>
  </si>
  <si>
    <t xml:space="preserve"> createdValue_tb is: -1302.4495836206106</t>
  </si>
  <si>
    <t xml:space="preserve"> createdValue_reit is: -1248.1050871168875
</t>
  </si>
  <si>
    <t xml:space="preserve"> -1248.1050871168875
</t>
  </si>
  <si>
    <t>plotValue_gold_after_creation is: 76021708.50116529</t>
  </si>
  <si>
    <t xml:space="preserve"> plotValue_tb_after_creation  is: 34249916.333871566</t>
  </si>
  <si>
    <t xml:space="preserve"> plotValue_reit_after_creation  is: 32820844.15951164</t>
  </si>
  <si>
    <t xml:space="preserve">total_value_after_creation is: 143092468.9945485
</t>
  </si>
  <si>
    <t xml:space="preserve"> 143092468.9945485
</t>
  </si>
  <si>
    <t>total_amount_gtncps_before_creation is: 103010050.4448403</t>
  </si>
  <si>
    <t>creation_amount_gtbcps is: -3917.2474467605352</t>
  </si>
  <si>
    <t xml:space="preserve">total_amount_gtbcps_new is: 103006133.19739354
</t>
  </si>
  <si>
    <t xml:space="preserve"> 103006133.19739354
</t>
  </si>
  <si>
    <t>payout of tranche of gold is: 929.0316841293666</t>
  </si>
  <si>
    <t xml:space="preserve"> payout of tranche of Treausry Bill Option is: 212.25926374865298</t>
  </si>
  <si>
    <t xml:space="preserve"> payout of tranche of Collar of REIT is: 206.99109777769965
</t>
  </si>
  <si>
    <t xml:space="preserve"> 206.99109777769965
</t>
  </si>
  <si>
    <t>Collateral size of tranche of gold is: 76021708.50116529</t>
  </si>
  <si>
    <t xml:space="preserve"> collateral size of tranche of Treausry Bill Option is: 34249916.333871566</t>
  </si>
  <si>
    <t xml:space="preserve"> collateral size of tranche of Collar of REIT is: 32820844.15951164
</t>
  </si>
  <si>
    <t xml:space="preserve"> 32820844.15951164
</t>
  </si>
  <si>
    <t>Collateral ratio of tranche of gold is: 0.7380939696490503</t>
  </si>
  <si>
    <t xml:space="preserve"> collateral ratio of tranche of Treausry Bill Option is: 0.33253207807908736</t>
  </si>
  <si>
    <t xml:space="preserve"> collateral ratio of tranche of Collar of REIT is: 0.3186572313427482
</t>
  </si>
  <si>
    <t xml:space="preserve"> 0.3186572313427482
</t>
  </si>
  <si>
    <t xml:space="preserve">date is: 2022-11-23 00:00:00
</t>
  </si>
  <si>
    <t xml:space="preserve"> 2022-11-23 00</t>
  </si>
  <si>
    <t>current price of gold is: 1749.68</t>
  </si>
  <si>
    <t xml:space="preserve"> predicted price of gold is: 1752.5767567486798
</t>
  </si>
  <si>
    <t xml:space="preserve"> 1752.5767567486798
</t>
  </si>
  <si>
    <t>current price of tb is: 89.078125</t>
  </si>
  <si>
    <t xml:space="preserve"> current price of tb option is: 4.233258413154969</t>
  </si>
  <si>
    <t xml:space="preserve"> predicted price of tb is: 89.35395103116018
</t>
  </si>
  <si>
    <t xml:space="preserve"> 89.35395103116018
</t>
  </si>
  <si>
    <t>current price of reit is: 50.65</t>
  </si>
  <si>
    <t xml:space="preserve"> current price of reit option is: 5.146625579645644</t>
  </si>
  <si>
    <t xml:space="preserve"> predicted price of reit is: 50.84906795778782
</t>
  </si>
  <si>
    <t xml:space="preserve"> 50.84906795778782
</t>
  </si>
  <si>
    <t>value_ratio_gold_to_total is: 0.2271692631450371</t>
  </si>
  <si>
    <t xml:space="preserve"> risk_ratio_to_gold is: 0.5436632691877137</t>
  </si>
  <si>
    <t xml:space="preserve"> risk_ratio_to_gold_before is: 0.5412601859890215
</t>
  </si>
  <si>
    <t xml:space="preserve"> 0.5412601859890215
</t>
  </si>
  <si>
    <t>value_ratio_tb_to_total is: 0.3536111173783135</t>
  </si>
  <si>
    <t xml:space="preserve"> risk_ratio_tb_to_gold is: 0.40400277203822393</t>
  </si>
  <si>
    <t xml:space="preserve"> risk_ratio_tb_to_gold_before is: 0.40298294335025425
</t>
  </si>
  <si>
    <t xml:space="preserve"> 0.40298294335025425
</t>
  </si>
  <si>
    <t>value_ratio_reit_to_total is: 0.4192196194766494</t>
  </si>
  <si>
    <t xml:space="preserve"> risk_ratio_reit_to_gold is: 0.43537107695123994</t>
  </si>
  <si>
    <t xml:space="preserve"> risk_ratio_reit_to_gold_before is: 0.4445573448250953
</t>
  </si>
  <si>
    <t xml:space="preserve"> 0.4445573448250953
</t>
  </si>
  <si>
    <t>delta_gold is: 1.0054187616721735</t>
  </si>
  <si>
    <t xml:space="preserve"> delta_tb is: 1.0018784771235574</t>
  </si>
  <si>
    <t xml:space="preserve"> delta_reit is: 0.9597410918481243
</t>
  </si>
  <si>
    <t xml:space="preserve"> 0.9597410918481243
</t>
  </si>
  <si>
    <t>delta_gold_risk is: 1.0015591677644942</t>
  </si>
  <si>
    <t xml:space="preserve"> delta_tb_risk is: 1.0007269002754478</t>
  </si>
  <si>
    <t xml:space="preserve"> delta_reit_risk is: 0.9936407731359619
</t>
  </si>
  <si>
    <t xml:space="preserve"> 0.9936407731359619
</t>
  </si>
  <si>
    <t xml:space="preserve">collateral_ratio_tranche_gold is: 0.7409382778838904
</t>
  </si>
  <si>
    <t xml:space="preserve"> 0.7409382778838904
</t>
  </si>
  <si>
    <t xml:space="preserve">collateral_ratio_tranche_tb is: 0.3311204732379337
</t>
  </si>
  <si>
    <t xml:space="preserve"> 0.3311204732379337
</t>
  </si>
  <si>
    <t xml:space="preserve">collateral_ratio_tranche_reit is: 0.30612688968598917
</t>
  </si>
  <si>
    <t xml:space="preserve"> 0.30612688968598917
</t>
  </si>
  <si>
    <t>Total plot size is: 142247418.84865987</t>
  </si>
  <si>
    <t xml:space="preserve"> plot size of gold is: 76433652.02144454</t>
  </si>
  <si>
    <t xml:space="preserve"> plot size of TB is: 34314254.0181885</t>
  </si>
  <si>
    <t xml:space="preserve"> plot size of REIT is: 31499512.809026834
</t>
  </si>
  <si>
    <t xml:space="preserve"> 31499512.809026834
</t>
  </si>
  <si>
    <t xml:space="preserve">collateral ratio is: 1.3811312174835668
</t>
  </si>
  <si>
    <t xml:space="preserve"> 1.3811312174835668
</t>
  </si>
  <si>
    <t>S_gtbcps_0 is: 0.9998765170334178</t>
  </si>
  <si>
    <t xml:space="preserve">stdev_gtbcps is: 0.010057751202712283
</t>
  </si>
  <si>
    <t xml:space="preserve"> 0.010057751202712283
</t>
  </si>
  <si>
    <t>predicted price of GTBCPS is: 0.9998555735533852</t>
  </si>
  <si>
    <t xml:space="preserve"> actual price is: 0.9998765170334178
</t>
  </si>
  <si>
    <t xml:space="preserve"> 0.9998765170334178
</t>
  </si>
  <si>
    <t>predicted amount of GTBCPS is: 103008290.81590457</t>
  </si>
  <si>
    <t xml:space="preserve"> actual amount is: 103006133.19739354
</t>
  </si>
  <si>
    <t>plot sizes of gold is: 76433652.02144454</t>
  </si>
  <si>
    <t xml:space="preserve"> plot sizes of tb is: 34314254.0181885 </t>
  </si>
  <si>
    <t xml:space="preserve"> plot sizes of reit is: 31499512.809026834</t>
  </si>
  <si>
    <t xml:space="preserve"> plot sizes of total is: 142247418.84865987.
</t>
  </si>
  <si>
    <t xml:space="preserve"> 142247418.84865987.
</t>
  </si>
  <si>
    <t>predicted stdevs of gold is: 0.00971807882620466</t>
  </si>
  <si>
    <t xml:space="preserve"> predicted stdevs of tb is: 0.0030010133196201254</t>
  </si>
  <si>
    <t xml:space="preserve"> predicted stdevs of reit is: 0.018569282733785573</t>
  </si>
  <si>
    <t xml:space="preserve"> predicted stdevs of GTBCPS is: 0.010057751202712283.
</t>
  </si>
  <si>
    <t xml:space="preserve"> 0.010057751202712283.
</t>
  </si>
  <si>
    <t>total_value_of_collaterals is: 142246674.695305</t>
  </si>
  <si>
    <t xml:space="preserve"> createdtionValue_gold is: 1600.9722188122605</t>
  </si>
  <si>
    <t xml:space="preserve"> createdValue_tb is: 718.7467317285002</t>
  </si>
  <si>
    <t xml:space="preserve"> createdValue_reit is: 659.7893591779739
</t>
  </si>
  <si>
    <t xml:space="preserve"> 659.7893591779739
</t>
  </si>
  <si>
    <t>plotValue_gold_after_creation is: 76431471.44539303</t>
  </si>
  <si>
    <t xml:space="preserve"> plotValue_tb_after_creation  is: 34313443.82935755</t>
  </si>
  <si>
    <t xml:space="preserve"> plotValue_reit_after_creation  is: 31498779.912244707</t>
  </si>
  <si>
    <t xml:space="preserve">total_value_after_creation is: 142243695.18699527
</t>
  </si>
  <si>
    <t xml:space="preserve"> 142243695.18699527
</t>
  </si>
  <si>
    <t>total_amount_gtncps_before_creation is: 103006133.19739354</t>
  </si>
  <si>
    <t>creation_amount_gtbcps is: 2157.6185110360384</t>
  </si>
  <si>
    <t xml:space="preserve">total_amount_gtbcps_new is: 103008290.81590457
</t>
  </si>
  <si>
    <t xml:space="preserve"> 103008290.81590457
</t>
  </si>
  <si>
    <t>payout of tranche of gold is: -579.6038327111723</t>
  </si>
  <si>
    <t xml:space="preserve"> payout of tranche of Treausry Bill Option is: -91.44209922051772</t>
  </si>
  <si>
    <t xml:space="preserve"> payout of tranche of Collar of REIT is: -73.1074229463396
</t>
  </si>
  <si>
    <t xml:space="preserve"> -73.1074229463396
</t>
  </si>
  <si>
    <t>Collateral size of tranche of gold is: 76431471.44539303</t>
  </si>
  <si>
    <t xml:space="preserve"> collateral size of tranche of Treausry Bill Option is: 34313443.82935755</t>
  </si>
  <si>
    <t xml:space="preserve"> collateral size of tranche of Collar of REIT is: 31498779.912244707
</t>
  </si>
  <si>
    <t xml:space="preserve"> 31498779.912244707
</t>
  </si>
  <si>
    <t>Collateral ratio of tranche of gold is: 0.7421161186513888</t>
  </si>
  <si>
    <t xml:space="preserve"> collateral ratio of tranche of Treausry Bill Option is: 0.33316851384182233</t>
  </si>
  <si>
    <t xml:space="preserve"> collateral ratio of tranche of Collar of REIT is: 0.30583935973848597
</t>
  </si>
  <si>
    <t xml:space="preserve"> 0.30583935973848597
</t>
  </si>
  <si>
    <t xml:space="preserve">date is: 2022-11-25 00:00:00
</t>
  </si>
  <si>
    <t xml:space="preserve"> 2022-11-25 00</t>
  </si>
  <si>
    <t>current price of gold is: 1754.93</t>
  </si>
  <si>
    <t xml:space="preserve"> predicted price of gold is: 1748.657949639115
</t>
  </si>
  <si>
    <t xml:space="preserve"> 1748.657949639115
</t>
  </si>
  <si>
    <t xml:space="preserve"> current price of tb option is: 4.23511742364432</t>
  </si>
  <si>
    <t xml:space="preserve"> predicted price of tb is: 89.45359164669861
</t>
  </si>
  <si>
    <t xml:space="preserve"> 89.45359164669861
</t>
  </si>
  <si>
    <t xml:space="preserve"> current price of reit option is: 5.052362522435359</t>
  </si>
  <si>
    <t xml:space="preserve"> predicted price of reit is: 52.32304224347344
</t>
  </si>
  <si>
    <t xml:space="preserve"> 52.32304224347344
</t>
  </si>
  <si>
    <t>value_ratio_gold_to_total is: -1.6670450805421497</t>
  </si>
  <si>
    <t xml:space="preserve"> risk_ratio_to_gold is: 0.5437194608899744</t>
  </si>
  <si>
    <t xml:space="preserve"> risk_ratio_to_gold_before is: 0.5436632691877137
</t>
  </si>
  <si>
    <t xml:space="preserve"> 0.5436632691877137
</t>
  </si>
  <si>
    <t>value_ratio_tb_to_total is: 1.1984505535503969</t>
  </si>
  <si>
    <t xml:space="preserve"> risk_ratio_tb_to_gold is: 0.402076097754055</t>
  </si>
  <si>
    <t xml:space="preserve"> risk_ratio_tb_to_gold_before is: 0.40400277203822393
</t>
  </si>
  <si>
    <t xml:space="preserve"> 0.40400277203822393
</t>
  </si>
  <si>
    <t>value_ratio_reit_to_total is: 1.4685945269917529</t>
  </si>
  <si>
    <t xml:space="preserve"> risk_ratio_reit_to_gold is: 0.43710765771273236</t>
  </si>
  <si>
    <t xml:space="preserve"> risk_ratio_reit_to_gold_before is: 0.43537107695123994
</t>
  </si>
  <si>
    <t xml:space="preserve"> 0.43537107695123994
</t>
  </si>
  <si>
    <t>delta_gold is: 1.003000548671757</t>
  </si>
  <si>
    <t xml:space="preserve"> delta_tb is: 1.001108348271201</t>
  </si>
  <si>
    <t xml:space="preserve"> delta_reit is: 1.019817272663046
</t>
  </si>
  <si>
    <t xml:space="preserve"> 1.019817272663046
</t>
  </si>
  <si>
    <t>delta_gold_risk is: 1.000036401528353</t>
  </si>
  <si>
    <t xml:space="preserve"> delta_tb_risk is: 0.9986277275782212</t>
  </si>
  <si>
    <t xml:space="preserve"> delta_reit_risk is: 1.001209847954566
</t>
  </si>
  <si>
    <t xml:space="preserve"> 1.001209847954566
</t>
  </si>
  <si>
    <t xml:space="preserve">collateral_ratio_tranche_gold is: 0.7443157799535303
</t>
  </si>
  <si>
    <t xml:space="preserve"> 0.7443157799535303
</t>
  </si>
  <si>
    <t xml:space="preserve">collateral_ratio_tranche_tb is: 0.33299694071655067
</t>
  </si>
  <si>
    <t xml:space="preserve"> 0.33299694071655067
</t>
  </si>
  <si>
    <t xml:space="preserve">collateral_ratio_tranche_reit is: 0.3105914211384286
</t>
  </si>
  <si>
    <t xml:space="preserve"> 0.3105914211384286
</t>
  </si>
  <si>
    <t>Total plot size is: 143135282.69334266</t>
  </si>
  <si>
    <t xml:space="preserve"> plot size of gold is: 76660807.79551893</t>
  </si>
  <si>
    <t xml:space="preserve"> plot size of TB is: 34351475.07550477</t>
  </si>
  <si>
    <t xml:space="preserve"> plot size of REIT is: 32122999.822318934
</t>
  </si>
  <si>
    <t xml:space="preserve"> 32122999.822318934
</t>
  </si>
  <si>
    <t xml:space="preserve">collateral ratio is: 1.389751806051652
</t>
  </si>
  <si>
    <t xml:space="preserve"> 1.389751806051652
</t>
  </si>
  <si>
    <t>S_gtbcps_0 is: 0.9998555735533852</t>
  </si>
  <si>
    <t xml:space="preserve">stdev_gtbcps is: 0.010139188570946872
</t>
  </si>
  <si>
    <t xml:space="preserve"> 0.010139188570946872
</t>
  </si>
  <si>
    <t>predicted price of GTBCPS is: 0.9998649665973772</t>
  </si>
  <si>
    <t xml:space="preserve"> actual price is: 0.9998555735533852
</t>
  </si>
  <si>
    <t xml:space="preserve"> 0.9998555735533852
</t>
  </si>
  <si>
    <t>predicted amount of GTBCPS is: 103007323.12382664</t>
  </si>
  <si>
    <t xml:space="preserve"> actual amount is: 103008290.81590457
</t>
  </si>
  <si>
    <t>plot sizes of gold is: 76660807.79551893</t>
  </si>
  <si>
    <t xml:space="preserve"> plot sizes of tb is: 34351475.07550477 </t>
  </si>
  <si>
    <t xml:space="preserve"> plot sizes of reit is: 32122999.822318934</t>
  </si>
  <si>
    <t xml:space="preserve"> plot sizes of total is: 143135282.69334266.
</t>
  </si>
  <si>
    <t xml:space="preserve"> 143135282.69334266.
</t>
  </si>
  <si>
    <t>predicted stdevs of gold is: 0.009735290026361426</t>
  </si>
  <si>
    <t xml:space="preserve"> predicted stdevs of tb is: 0.002987203945011923</t>
  </si>
  <si>
    <t xml:space="preserve"> predicted stdevs of reit is: 0.01875122393015206</t>
  </si>
  <si>
    <t xml:space="preserve"> predicted stdevs of GTBCPS is: 0.010139188570946872.
</t>
  </si>
  <si>
    <t xml:space="preserve"> 0.010139188570946872.
</t>
  </si>
  <si>
    <t>total_value_of_collaterals is: 143135616.1203375</t>
  </si>
  <si>
    <t xml:space="preserve"> createdtionValue_gold is: -720.1846474200642</t>
  </si>
  <si>
    <t xml:space="preserve"> createdValue_tb is: -322.7120480422666</t>
  </si>
  <si>
    <t xml:space="preserve"> createdValue_reit is: -301.77664997984294
</t>
  </si>
  <si>
    <t xml:space="preserve"> -301.77664997984294
</t>
  </si>
  <si>
    <t>plotValue_gold_after_creation is: 76661772.16302319</t>
  </si>
  <si>
    <t xml:space="preserve"> plotValue_tb_after_creation  is: 34351853.500216104</t>
  </si>
  <si>
    <t xml:space="preserve"> plotValue_reit_after_creation  is: 32123335.13044364</t>
  </si>
  <si>
    <t xml:space="preserve">total_value_after_creation is: 143136960.79368293
</t>
  </si>
  <si>
    <t xml:space="preserve"> 143136960.79368293
</t>
  </si>
  <si>
    <t>total_amount_gtncps_before_creation is: 103008290.81590457</t>
  </si>
  <si>
    <t>creation_amount_gtbcps is: -967.692077934742</t>
  </si>
  <si>
    <t xml:space="preserve">total_amount_gtbcps_new is: 103007323.12382664
</t>
  </si>
  <si>
    <t xml:space="preserve"> 103007323.12382664
</t>
  </si>
  <si>
    <t>payout of tranche of gold is: 244.18285682111065</t>
  </si>
  <si>
    <t xml:space="preserve"> payout of tranche of Treausry Bill Option is: 55.71266328923927</t>
  </si>
  <si>
    <t xml:space="preserve"> payout of tranche of Collar of REIT is: 33.531474727098214
</t>
  </si>
  <si>
    <t xml:space="preserve"> 33.531474727098214
</t>
  </si>
  <si>
    <t>Collateral size of tranche of gold is: 76661772.16302319</t>
  </si>
  <si>
    <t xml:space="preserve"> collateral size of tranche of Treausry Bill Option is: 34351853.500216104</t>
  </si>
  <si>
    <t xml:space="preserve"> collateral size of tranche of Collar of REIT is: 32123335.13044364
</t>
  </si>
  <si>
    <t xml:space="preserve"> 32123335.13044364
</t>
  </si>
  <si>
    <t>Collateral ratio of tranche of gold is: 0.7443296539890968</t>
  </si>
  <si>
    <t xml:space="preserve"> collateral ratio of tranche of Treausry Bill Option is: 0.33353133521785355</t>
  </si>
  <si>
    <t xml:space="preserve"> collateral ratio of tranche of Collar of REIT is: 0.3118940542070036
</t>
  </si>
  <si>
    <t xml:space="preserve"> 0.3118940542070036
</t>
  </si>
  <si>
    <t xml:space="preserve">date is: 2022-11-28 00:00:00
</t>
  </si>
  <si>
    <t xml:space="preserve"> 2022-11-28 00</t>
  </si>
  <si>
    <t>current price of gold is: 1741.36</t>
  </si>
  <si>
    <t xml:space="preserve"> predicted price of gold is: 1740.4867480706523
</t>
  </si>
  <si>
    <t xml:space="preserve"> 1740.4867480706523
</t>
  </si>
  <si>
    <t>current price of tb is: 89.20703125</t>
  </si>
  <si>
    <t xml:space="preserve"> current price of tb option is: 4.23431527631247</t>
  </si>
  <si>
    <t xml:space="preserve"> predicted price of tb is: 89.48176505784167
</t>
  </si>
  <si>
    <t xml:space="preserve"> 89.48176505784167
</t>
  </si>
  <si>
    <t xml:space="preserve"> current price of reit option is: 5.114381319980112</t>
  </si>
  <si>
    <t xml:space="preserve"> predicted price of reit is: 51.57941917233835
</t>
  </si>
  <si>
    <t xml:space="preserve"> 51.57941917233835
</t>
  </si>
  <si>
    <t>value_ratio_gold_to_total is: -0.0931012141672467</t>
  </si>
  <si>
    <t xml:space="preserve"> risk_ratio_to_gold is: 0.5491266856588173</t>
  </si>
  <si>
    <t xml:space="preserve"> risk_ratio_to_gold_before is: 0.5437194608899744
</t>
  </si>
  <si>
    <t xml:space="preserve"> 0.5437194608899744
</t>
  </si>
  <si>
    <t>value_ratio_tb_to_total is: 0.480729478362671</t>
  </si>
  <si>
    <t xml:space="preserve"> risk_ratio_tb_to_gold is: 0.3981670063982133</t>
  </si>
  <si>
    <t xml:space="preserve"> risk_ratio_tb_to_gold_before is: 0.402076097754055
</t>
  </si>
  <si>
    <t xml:space="preserve"> 0.402076097754055
</t>
  </si>
  <si>
    <t>value_ratio_reit_to_total is: 0.6123717358045757</t>
  </si>
  <si>
    <t xml:space="preserve"> risk_ratio_reit_to_gold is: 0.4229063927214184</t>
  </si>
  <si>
    <t xml:space="preserve"> risk_ratio_reit_to_gold_before is: 0.43710765771273236
</t>
  </si>
  <si>
    <t xml:space="preserve"> 0.43710765771273236
</t>
  </si>
  <si>
    <t>delta_gold is: 0.992267497848917</t>
  </si>
  <si>
    <t xml:space="preserve"> delta_tb is: 1.0002841262976445</t>
  </si>
  <si>
    <t xml:space="preserve"> delta_reit is: 0.9852733495533714
</t>
  </si>
  <si>
    <t xml:space="preserve"> 0.9852733495533714
</t>
  </si>
  <si>
    <t>delta_gold_risk is: 1.0035027250130832</t>
  </si>
  <si>
    <t xml:space="preserve"> delta_tb_risk is: 0.9972119263982151</t>
  </si>
  <si>
    <t xml:space="preserve"> delta_reit_risk is: 0.9901181620492395
</t>
  </si>
  <si>
    <t xml:space="preserve"> 0.9901181620492395
</t>
  </si>
  <si>
    <t xml:space="preserve">collateral_ratio_tranche_gold is: 0.7359961312799445
</t>
  </si>
  <si>
    <t xml:space="preserve"> 0.7359961312799445
</t>
  </si>
  <si>
    <t xml:space="preserve">collateral_ratio_tranche_tb is: 0.33716601192138684
</t>
  </si>
  <si>
    <t xml:space="preserve"> 0.33716601192138684
</t>
  </si>
  <si>
    <t xml:space="preserve">collateral_ratio_tranche_reit is: 0.31278652733042417
</t>
  </si>
  <si>
    <t xml:space="preserve"> 0.31278652733042417
</t>
  </si>
  <si>
    <t>Total plot size is: 142080864.6128328</t>
  </si>
  <si>
    <t xml:space="preserve"> plot size of gold is: 76068984.84486678</t>
  </si>
  <si>
    <t xml:space="preserve"> plot size of TB is: 34361613.76516835</t>
  </si>
  <si>
    <t xml:space="preserve"> plot size of REIT is: 31650266.002797693
</t>
  </si>
  <si>
    <t xml:space="preserve"> 31650266.002797693
</t>
  </si>
  <si>
    <t xml:space="preserve">collateral ratio is: 1.379514082660547
</t>
  </si>
  <si>
    <t xml:space="preserve"> 1.379514082660547
</t>
  </si>
  <si>
    <t>S_gtbcps_0 is: 0.9998649665973772</t>
  </si>
  <si>
    <t xml:space="preserve">stdev_gtbcps is: 0.01010321082686037
</t>
  </si>
  <si>
    <t xml:space="preserve"> 0.01010321082686037
</t>
  </si>
  <si>
    <t>predicted price of GTBCPS is: 0.9998535556814302</t>
  </si>
  <si>
    <t xml:space="preserve"> actual price is: 0.9998649665973772
</t>
  </si>
  <si>
    <t xml:space="preserve"> 0.9998649665973772
</t>
  </si>
  <si>
    <t>predicted amount of GTBCPS is: 103008498.70388976</t>
  </si>
  <si>
    <t xml:space="preserve"> actual amount is: 103007323.12382664
</t>
  </si>
  <si>
    <t>plot sizes of gold is: 76068984.84486678</t>
  </si>
  <si>
    <t xml:space="preserve"> plot sizes of tb is: 34361613.76516835 </t>
  </si>
  <si>
    <t xml:space="preserve"> plot sizes of reit is: 31650266.002797693</t>
  </si>
  <si>
    <t xml:space="preserve"> plot sizes of total is: 142080864.6128328.
</t>
  </si>
  <si>
    <t xml:space="preserve"> 142080864.6128328.
</t>
  </si>
  <si>
    <t>predicted stdevs of gold is: 0.009725378465308252</t>
  </si>
  <si>
    <t xml:space="preserve"> predicted stdevs of tb is: 0.0029651898916219447</t>
  </si>
  <si>
    <t xml:space="preserve"> predicted stdevs of reit is: 0.018760807656692247</t>
  </si>
  <si>
    <t xml:space="preserve"> predicted stdevs of GTBCPS is: 0.01010321082686037.
</t>
  </si>
  <si>
    <t xml:space="preserve"> 0.01010321082686037.
</t>
  </si>
  <si>
    <t>total_value_of_collaterals is: 142080458.58609456</t>
  </si>
  <si>
    <t xml:space="preserve"> createdtionValue_gold is: 868.1306396149873</t>
  </si>
  <si>
    <t xml:space="preserve"> createdValue_tb is: 392.14965065133237</t>
  </si>
  <si>
    <t xml:space="preserve"> createdValue_reit is: 361.20683530408473
</t>
  </si>
  <si>
    <t xml:space="preserve"> 361.20683530408473
</t>
  </si>
  <si>
    <t>plotValue_gold_after_creation is: 76067820.57125007</t>
  </si>
  <si>
    <t xml:space="preserve"> plotValue_tb_after_creation  is: 34361152.459788114</t>
  </si>
  <si>
    <t xml:space="preserve"> plotValue_reit_after_creation  is: 31649864.06793083</t>
  </si>
  <si>
    <t xml:space="preserve">total_value_after_creation is: 142078837.098969
</t>
  </si>
  <si>
    <t xml:space="preserve"> 142078837.098969
</t>
  </si>
  <si>
    <t>total_amount_gtncps_before_creation is: 103007323.12382664</t>
  </si>
  <si>
    <t>creation_amount_gtbcps is: 1175.5800631195307</t>
  </si>
  <si>
    <t xml:space="preserve">total_amount_gtbcps_new is: 103008498.70388976
</t>
  </si>
  <si>
    <t xml:space="preserve"> 103008498.70388976
</t>
  </si>
  <si>
    <t>payout of tranche of gold is: -296.1429771075944</t>
  </si>
  <si>
    <t xml:space="preserve"> payout of tranche of Treausry Bill Option is: -69.15572958249632</t>
  </si>
  <si>
    <t xml:space="preserve"> payout of tranche of Collar of REIT is: -40.728031560710605
</t>
  </si>
  <si>
    <t xml:space="preserve"> -40.728031560710605
</t>
  </si>
  <si>
    <t>Collateral size of tranche of gold is: 76067820.57125007</t>
  </si>
  <si>
    <t xml:space="preserve"> collateral size of tranche of Treausry Bill Option is: 34361152.459788114</t>
  </si>
  <si>
    <t xml:space="preserve"> collateral size of tranche of Collar of REIT is: 31649864.06793083
</t>
  </si>
  <si>
    <t xml:space="preserve"> 31649864.06793083
</t>
  </si>
  <si>
    <t>Collateral ratio of tranche of gold is: 0.7385781864414416</t>
  </si>
  <si>
    <t xml:space="preserve"> collateral ratio of tranche of Treausry Bill Option is: 0.3336285630007912</t>
  </si>
  <si>
    <t xml:space="preserve"> collateral ratio of tranche of Collar of REIT is: 0.3073033909590602
</t>
  </si>
  <si>
    <t xml:space="preserve"> 0.3073033909590602
</t>
  </si>
  <si>
    <t xml:space="preserve">date is: 2022-11-29 00:00:00
</t>
  </si>
  <si>
    <t xml:space="preserve"> 2022-11-29 00</t>
  </si>
  <si>
    <t>current price of gold is: 1749.85</t>
  </si>
  <si>
    <t xml:space="preserve"> predicted price of gold is: 1750.3218010266976
</t>
  </si>
  <si>
    <t xml:space="preserve"> 1750.3218010266976
</t>
  </si>
  <si>
    <t>current price of tb is: 89.11328125</t>
  </si>
  <si>
    <t xml:space="preserve"> current price of tb option is: 4.230271942171261</t>
  </si>
  <si>
    <t xml:space="preserve"> predicted price of tb is: 89.39219583095776
</t>
  </si>
  <si>
    <t xml:space="preserve"> 89.39219583095776
</t>
  </si>
  <si>
    <t xml:space="preserve"> current price of reit option is: 4.920350482372129</t>
  </si>
  <si>
    <t xml:space="preserve"> predicted price of reit is: 53.229485944476586
</t>
  </si>
  <si>
    <t xml:space="preserve"> 53.229485944476586
</t>
  </si>
  <si>
    <t>value_ratio_gold_to_total is: 0.044801909873592276</t>
  </si>
  <si>
    <t xml:space="preserve"> risk_ratio_to_gold is: 0.5376001751283547</t>
  </si>
  <si>
    <t xml:space="preserve"> risk_ratio_to_gold_before is: 0.5491266856588173
</t>
  </si>
  <si>
    <t xml:space="preserve"> 0.5491266856588173
</t>
  </si>
  <si>
    <t>value_ratio_tb_to_total is: 0.42818933571735307</t>
  </si>
  <si>
    <t xml:space="preserve"> risk_ratio_tb_to_gold is: 0.4071666989090767</t>
  </si>
  <si>
    <t xml:space="preserve"> risk_ratio_tb_to_gold_before is: 0.3981670063982133
</t>
  </si>
  <si>
    <t xml:space="preserve"> 0.3981670063982133
</t>
  </si>
  <si>
    <t>value_ratio_reit_to_total is: 0.5270087544090546</t>
  </si>
  <si>
    <t xml:space="preserve"> risk_ratio_reit_to_gold is: 0.4529517427585533</t>
  </si>
  <si>
    <t xml:space="preserve"> risk_ratio_reit_to_gold_before is: 0.4229063927214184
</t>
  </si>
  <si>
    <t xml:space="preserve"> 0.4229063927214184
</t>
  </si>
  <si>
    <t>delta_gold is: 1.0048754996095006</t>
  </si>
  <si>
    <t xml:space="preserve"> delta_tb is: 0.9989534254612472</t>
  </si>
  <si>
    <t xml:space="preserve"> delta_reit is: 1.0259695929592492
</t>
  </si>
  <si>
    <t xml:space="preserve"> 1.0259695929592492
</t>
  </si>
  <si>
    <t>delta_gold_risk is: 0.9925593493177993</t>
  </si>
  <si>
    <t xml:space="preserve"> delta_tb_risk is: 1.0064367793473024</t>
  </si>
  <si>
    <t xml:space="preserve"> delta_reit_risk is: 1.0211154789878139
</t>
  </si>
  <si>
    <t xml:space="preserve"> 1.0211154789878139
</t>
  </si>
  <si>
    <t xml:space="preserve">collateral_ratio_tranche_gold is: 0.7477428172039619
</t>
  </si>
  <si>
    <t xml:space="preserve"> 0.7477428172039619
</t>
  </si>
  <si>
    <t xml:space="preserve">collateral_ratio_tranche_tb is: 0.32954119211690136
</t>
  </si>
  <si>
    <t xml:space="preserve"> 0.32954119211690136
</t>
  </si>
  <si>
    <t xml:space="preserve">collateral_ratio_tranche_reit is: 0.30726615430443455
</t>
  </si>
  <si>
    <t xml:space="preserve"> 0.30726615430443455
</t>
  </si>
  <si>
    <t>Total plot size is: 143235678.3082328</t>
  </si>
  <si>
    <t xml:space="preserve"> plot size of gold is: 76438689.20074075</t>
  </si>
  <si>
    <t xml:space="preserve"> plot size of TB is: 34325190.9525015</t>
  </si>
  <si>
    <t xml:space="preserve"> plot size of REIT is: 32471798.154990558
</t>
  </si>
  <si>
    <t xml:space="preserve"> 32471798.154990558
</t>
  </si>
  <si>
    <t xml:space="preserve">collateral ratio is: 1.3907265830911621
</t>
  </si>
  <si>
    <t xml:space="preserve"> 1.3907265830911621
</t>
  </si>
  <si>
    <t>S_gtbcps_0 is: 0.9998535556814302</t>
  </si>
  <si>
    <t xml:space="preserve">stdev_gtbcps is: 0.010063242601496799
</t>
  </si>
  <si>
    <t xml:space="preserve"> 0.010063242601496799
</t>
  </si>
  <si>
    <t>predicted price of GTBCPS is: 0.9998387979580975</t>
  </si>
  <si>
    <t xml:space="preserve"> actual price is: 0.9998535556814302
</t>
  </si>
  <si>
    <t xml:space="preserve"> 0.9998535556814302
</t>
  </si>
  <si>
    <t>predicted amount of GTBCPS is: 103010019.1199087</t>
  </si>
  <si>
    <t xml:space="preserve"> actual amount is: 103008498.70388976
</t>
  </si>
  <si>
    <t>plot sizes of gold is: 76438689.20074075</t>
  </si>
  <si>
    <t xml:space="preserve"> plot sizes of tb is: 34325190.9525015 </t>
  </si>
  <si>
    <t xml:space="preserve"> plot sizes of reit is: 32471798.154990558</t>
  </si>
  <si>
    <t xml:space="preserve"> plot sizes of total is: 143235678.3082328.
</t>
  </si>
  <si>
    <t xml:space="preserve"> 143235678.3082328.
</t>
  </si>
  <si>
    <t>predicted stdevs of gold is: 0.009465885233618626</t>
  </si>
  <si>
    <t xml:space="preserve"> predicted stdevs of tb is: 0.0028712350945055936</t>
  </si>
  <si>
    <t xml:space="preserve"> predicted stdevs of reit is: 0.019071928963676325</t>
  </si>
  <si>
    <t xml:space="preserve"> predicted stdevs of GTBCPS is: 0.010063242601496799.
</t>
  </si>
  <si>
    <t xml:space="preserve"> 0.010063242601496799.
</t>
  </si>
  <si>
    <t>total_value_of_collaterals is: 143235156.22913292</t>
  </si>
  <si>
    <t xml:space="preserve"> createdtionValue_gold is: 1128.2205636083063</t>
  </si>
  <si>
    <t xml:space="preserve"> createdValue_tb is: 506.63497424982694</t>
  </si>
  <si>
    <t xml:space="preserve"> createdValue_reit is: 479.2788722499174
</t>
  </si>
  <si>
    <t xml:space="preserve"> 479.2788722499174
</t>
  </si>
  <si>
    <t>plotValue_gold_after_creation is: 76437175.7570425</t>
  </si>
  <si>
    <t xml:space="preserve"> plotValue_tb_after_creation  is: 34324623.94369499</t>
  </si>
  <si>
    <t xml:space="preserve"> plotValue_reit_after_creation  is: 32471242.393985324</t>
  </si>
  <si>
    <t xml:space="preserve">total_value_after_creation is: 143233042.0947228
</t>
  </si>
  <si>
    <t xml:space="preserve"> 143233042.0947228
</t>
  </si>
  <si>
    <t>total_amount_gtncps_before_creation is: 103008498.70388976</t>
  </si>
  <si>
    <t>creation_amount_gtbcps is: 1520.416018947959</t>
  </si>
  <si>
    <t xml:space="preserve">total_amount_gtbcps_new is: 103010019.1199087
</t>
  </si>
  <si>
    <t xml:space="preserve"> 103010019.1199087
</t>
  </si>
  <si>
    <t>payout of tranche of gold is: -385.2231346443379</t>
  </si>
  <si>
    <t xml:space="preserve"> payout of tranche of Treausry Bill Option is: -60.373832264243255</t>
  </si>
  <si>
    <t xml:space="preserve"> payout of tranche of Collar of REIT is: -76.48213298179505
</t>
  </si>
  <si>
    <t xml:space="preserve"> -76.48213298179505
</t>
  </si>
  <si>
    <t>Collateral size of tranche of gold is: 76437175.7570425</t>
  </si>
  <si>
    <t xml:space="preserve"> collateral size of tranche of Treausry Bill Option is: 34324623.94369499</t>
  </si>
  <si>
    <t xml:space="preserve"> collateral size of tranche of Collar of REIT is: 32471242.393985324
</t>
  </si>
  <si>
    <t xml:space="preserve"> 32471242.393985324
</t>
  </si>
  <si>
    <t>Collateral ratio of tranche of gold is: 0.742166913744071</t>
  </si>
  <si>
    <t xml:space="preserve"> collateral ratio of tranche of Treausry Bill Option is: 0.33327500611338146</t>
  </si>
  <si>
    <t xml:space="preserve"> collateral ratio of tranche of Collar of REIT is: 0.31527959418044527
</t>
  </si>
  <si>
    <t xml:space="preserve"> 0.31527959418044527
</t>
  </si>
  <si>
    <t xml:space="preserve">date is: 2022-11-30 00:00:00
</t>
  </si>
  <si>
    <t xml:space="preserve"> 2022-11-30 00</t>
  </si>
  <si>
    <t>current price of gold is: 1768.52</t>
  </si>
  <si>
    <t xml:space="preserve"> predicted price of gold is: 1767.5745693715817
</t>
  </si>
  <si>
    <t xml:space="preserve"> 1767.5745693715817
</t>
  </si>
  <si>
    <t>current price of tb is: 89.66796875</t>
  </si>
  <si>
    <t xml:space="preserve"> current price of tb option is: 4.233669741302558</t>
  </si>
  <si>
    <t xml:space="preserve"> predicted price of tb is: 89.94337259088773
</t>
  </si>
  <si>
    <t xml:space="preserve"> 89.94337259088773
</t>
  </si>
  <si>
    <t>current price of reit is: 52.5</t>
  </si>
  <si>
    <t xml:space="preserve"> current price of reit option is: 4.973069990383479</t>
  </si>
  <si>
    <t xml:space="preserve"> predicted price of reit is: 53.04035849279906
</t>
  </si>
  <si>
    <t xml:space="preserve"> 53.04035849279906
</t>
  </si>
  <si>
    <t>value_ratio_gold_to_total is: -0.10415590920319029</t>
  </si>
  <si>
    <t xml:space="preserve"> risk_ratio_to_gold is: 0.5344572693479962</t>
  </si>
  <si>
    <t xml:space="preserve"> risk_ratio_to_gold_before is: 0.5376001751283547
</t>
  </si>
  <si>
    <t xml:space="preserve"> 0.5376001751283547
</t>
  </si>
  <si>
    <t>value_ratio_tb_to_total is: 0.49675422447739914</t>
  </si>
  <si>
    <t xml:space="preserve"> risk_ratio_tb_to_gold is: 0.4152177912420032</t>
  </si>
  <si>
    <t xml:space="preserve"> risk_ratio_tb_to_gold_before is: 0.4071666989090767
</t>
  </si>
  <si>
    <t xml:space="preserve"> 0.4071666989090767
</t>
  </si>
  <si>
    <t>value_ratio_reit_to_total is: 0.6074016847257911</t>
  </si>
  <si>
    <t xml:space="preserve"> risk_ratio_reit_to_gold is: 0.4558391806650984</t>
  </si>
  <si>
    <t xml:space="preserve"> risk_ratio_reit_to_gold_before is: 0.4529517427585533
</t>
  </si>
  <si>
    <t xml:space="preserve"> 0.4529517427585533
</t>
  </si>
  <si>
    <t>delta_gold is: 1.010669485955939</t>
  </si>
  <si>
    <t xml:space="preserve"> delta_tb is: 1.0059788306749191</t>
  </si>
  <si>
    <t xml:space="preserve"> delta_reit is: 0.9991780214899222
</t>
  </si>
  <si>
    <t xml:space="preserve"> 0.9991780214899222
</t>
  </si>
  <si>
    <t>delta_gold_risk is: 0.9979559668168636</t>
  </si>
  <si>
    <t xml:space="preserve"> delta_tb_risk is: 1.0057214915185018</t>
  </si>
  <si>
    <t xml:space="preserve"> delta_reit_risk is: 1.001987290989488
</t>
  </si>
  <si>
    <t xml:space="preserve"> 1.001987290989488
</t>
  </si>
  <si>
    <t xml:space="preserve">collateral_ratio_tranche_gold is: 0.7516217930934775
</t>
  </si>
  <si>
    <t xml:space="preserve"> 0.7516217930934775
</t>
  </si>
  <si>
    <t xml:space="preserve">collateral_ratio_tranche_tb is: 0.32984104847740864
</t>
  </si>
  <si>
    <t xml:space="preserve"> 0.32984104847740864
</t>
  </si>
  <si>
    <t xml:space="preserve">collateral_ratio_tranche_reit is: 0.31107661789013474
</t>
  </si>
  <si>
    <t xml:space="preserve"> 0.31107661789013474
</t>
  </si>
  <si>
    <t>Total plot size is: 144227117.91907045</t>
  </si>
  <si>
    <t xml:space="preserve"> plot size of gold is: 77252721.1302939</t>
  </si>
  <si>
    <t xml:space="preserve"> plot size of TB is: 34529845.05823461</t>
  </si>
  <si>
    <t xml:space="preserve"> plot size of REIT is: 32444551.73054194
</t>
  </si>
  <si>
    <t xml:space="preserve"> 32444551.73054194
</t>
  </si>
  <si>
    <t xml:space="preserve">collateral ratio is: 1.40035282592819
</t>
  </si>
  <si>
    <t xml:space="preserve"> 1.40035282592819
</t>
  </si>
  <si>
    <t>S_gtbcps_0 is: 0.9998387979580975</t>
  </si>
  <si>
    <t xml:space="preserve">stdev_gtbcps is: 0.009985379347597235
</t>
  </si>
  <si>
    <t xml:space="preserve"> 0.009985379347597235
</t>
  </si>
  <si>
    <t>predicted price of GTBCPS is: 0.9998180270416341</t>
  </si>
  <si>
    <t xml:space="preserve"> actual price is: 0.9998387979580975
</t>
  </si>
  <si>
    <t xml:space="preserve"> 0.9998387979580975
</t>
  </si>
  <si>
    <t>predicted amount of GTBCPS is: 103012159.12183322</t>
  </si>
  <si>
    <t xml:space="preserve"> actual amount is: 103010019.1199087
</t>
  </si>
  <si>
    <t>plot sizes of gold is: 77252721.1302939</t>
  </si>
  <si>
    <t xml:space="preserve"> plot sizes of tb is: 34529845.05823461 </t>
  </si>
  <si>
    <t xml:space="preserve"> plot sizes of reit is: 32444551.73054194</t>
  </si>
  <si>
    <t xml:space="preserve"> plot sizes of total is: 144227117.91907045.
</t>
  </si>
  <si>
    <t xml:space="preserve"> 144227117.91907045.
</t>
  </si>
  <si>
    <t>predicted stdevs of gold is: 0.009361859884205933</t>
  </si>
  <si>
    <t xml:space="preserve"> predicted stdevs of tb is: 0.0028886066527484817</t>
  </si>
  <si>
    <t xml:space="preserve"> predicted stdevs of reit is: 0.0190229225143685</t>
  </si>
  <si>
    <t xml:space="preserve"> predicted stdevs of GTBCPS is: 0.009985379347597235.
</t>
  </si>
  <si>
    <t xml:space="preserve"> 0.009985379347597235.
</t>
  </si>
  <si>
    <t>total_value_of_collaterals is: 144226381.78239065</t>
  </si>
  <si>
    <t xml:space="preserve"> createdtionValue_gold is: 1604.8566208740867</t>
  </si>
  <si>
    <t xml:space="preserve"> createdValue_tb is: 717.3303170200431</t>
  </si>
  <si>
    <t xml:space="preserve"> createdValue_reit is: 674.0101830212919
</t>
  </si>
  <si>
    <t xml:space="preserve"> 674.0101830212919
</t>
  </si>
  <si>
    <t>plotValue_gold_after_creation is: 77250543.2388506</t>
  </si>
  <si>
    <t xml:space="preserve"> plotValue_tb_after_creation  is: 34529038.887794144</t>
  </si>
  <si>
    <t xml:space="preserve"> plotValue_reit_after_creation  is: 32443803.45862499</t>
  </si>
  <si>
    <t xml:space="preserve">total_value_after_creation is: 144223385.58526972
</t>
  </si>
  <si>
    <t xml:space="preserve"> 144223385.58526972
</t>
  </si>
  <si>
    <t>total_amount_gtncps_before_creation is: 103010019.1199087</t>
  </si>
  <si>
    <t>creation_amount_gtbcps is: 2140.0019245147705</t>
  </si>
  <si>
    <t xml:space="preserve">total_amount_gtbcps_new is: 103012159.12183322
</t>
  </si>
  <si>
    <t xml:space="preserve"> 103012159.12183322
</t>
  </si>
  <si>
    <t>payout of tranche of gold is: -573.0348224350854</t>
  </si>
  <si>
    <t xml:space="preserve"> payout of tranche of Treausry Bill Option is: -88.84012344538077</t>
  </si>
  <si>
    <t xml:space="preserve"> payout of tranche of Collar of REIT is: -74.26173393146767
</t>
  </si>
  <si>
    <t xml:space="preserve"> -74.26173393146767
</t>
  </si>
  <si>
    <t>Collateral size of tranche of gold is: 77250543.2388506</t>
  </si>
  <si>
    <t xml:space="preserve"> collateral size of tranche of Treausry Bill Option is: 34529038.887794144</t>
  </si>
  <si>
    <t xml:space="preserve"> collateral size of tranche of Collar of REIT is: 32443803.45862499
</t>
  </si>
  <si>
    <t xml:space="preserve"> 32443803.45862499
</t>
  </si>
  <si>
    <t>Collateral ratio of tranche of gold is: 0.7500688182316675</t>
  </si>
  <si>
    <t xml:space="preserve"> collateral ratio of tranche of Treausry Bill Option is: 0.3352617898513097</t>
  </si>
  <si>
    <t xml:space="preserve"> collateral ratio of tranche of Collar of REIT is: 0.3150150704301171
</t>
  </si>
  <si>
    <t xml:space="preserve"> 0.3150150704301171
</t>
  </si>
  <si>
    <t xml:space="preserve">date is: 2022-12-01 00:00:00
</t>
  </si>
  <si>
    <t xml:space="preserve"> 2022-12-01 00</t>
  </si>
  <si>
    <t>current price of gold is: 1803.1</t>
  </si>
  <si>
    <t xml:space="preserve"> predicted price of gold is: 1787.7379278212009
</t>
  </si>
  <si>
    <t xml:space="preserve"> 1787.7379278212009
</t>
  </si>
  <si>
    <t>current price of tb is: 89.91015625</t>
  </si>
  <si>
    <t xml:space="preserve"> current price of tb option is: 4.243852246259634</t>
  </si>
  <si>
    <t xml:space="preserve"> predicted price of tb is: 90.17503135576425
</t>
  </si>
  <si>
    <t xml:space="preserve"> 90.17503135576425
</t>
  </si>
  <si>
    <t xml:space="preserve"> current price of reit option is: 4.990691628448637</t>
  </si>
  <si>
    <t xml:space="preserve"> predicted price of reit is: 53.95352457982506
</t>
  </si>
  <si>
    <t xml:space="preserve"> 53.95352457982506
</t>
  </si>
  <si>
    <t>value_ratio_gold_to_total is: 2.9490675511902236</t>
  </si>
  <si>
    <t xml:space="preserve"> risk_ratio_to_gold is: 0.5332837151909077</t>
  </si>
  <si>
    <t xml:space="preserve"> risk_ratio_to_gold_before is: 0.5344572693479962
</t>
  </si>
  <si>
    <t xml:space="preserve"> 0.5344572693479962
</t>
  </si>
  <si>
    <t>value_ratio_tb_to_total is: -0.8655434876401501</t>
  </si>
  <si>
    <t xml:space="preserve"> risk_ratio_tb_to_gold is: 0.4152645003048367</t>
  </si>
  <si>
    <t xml:space="preserve"> risk_ratio_tb_to_gold_before is: 0.4152177912420032
</t>
  </si>
  <si>
    <t xml:space="preserve"> 0.4152177912420032
</t>
  </si>
  <si>
    <t>value_ratio_reit_to_total is: -1.0835240635500734</t>
  </si>
  <si>
    <t xml:space="preserve"> risk_ratio_reit_to_gold is: 0.45990995470737916</t>
  </si>
  <si>
    <t xml:space="preserve"> risk_ratio_reit_to_gold_before is: 0.4558391806650984
</t>
  </si>
  <si>
    <t xml:space="preserve"> 0.4558391806650984
</t>
  </si>
  <si>
    <t>delta_gold is: 1.0195530726256983</t>
  </si>
  <si>
    <t xml:space="preserve"> delta_tb is: 1.0026875995883762</t>
  </si>
  <si>
    <t xml:space="preserve"> delta_reit is: 1.0142261695469192
</t>
  </si>
  <si>
    <t xml:space="preserve"> 1.0142261695469192
</t>
  </si>
  <si>
    <t>delta_gold_risk is: 0.9992351991935319</t>
  </si>
  <si>
    <t xml:space="preserve"> delta_tb_risk is: 1.00003300485842</t>
  </si>
  <si>
    <t xml:space="preserve"> delta_reit_risk is: 1.0027961701377077
</t>
  </si>
  <si>
    <t xml:space="preserve"> 1.0027961701377077
</t>
  </si>
  <si>
    <t xml:space="preserve">collateral_ratio_tranche_gold is: 0.7653202858806708
</t>
  </si>
  <si>
    <t xml:space="preserve"> 0.7653202858806708
</t>
  </si>
  <si>
    <t xml:space="preserve">collateral_ratio_tranche_tb is: 0.32970499887099197
</t>
  </si>
  <si>
    <t xml:space="preserve"> 0.32970499887099197
</t>
  </si>
  <si>
    <t xml:space="preserve">collateral_ratio_tranche_reit is: 0.3124954072276102
</t>
  </si>
  <si>
    <t xml:space="preserve"> 0.3124954072276102
</t>
  </si>
  <si>
    <t>Total plot size is: 146288222.3470448</t>
  </si>
  <si>
    <t xml:space="preserve"> plot size of gold is: 78761028.72117448</t>
  </si>
  <si>
    <t xml:space="preserve"> plot size of TB is: 34621839.11849601</t>
  </si>
  <si>
    <t xml:space="preserve"> plot size of REIT is: 32905354.507374313
</t>
  </si>
  <si>
    <t xml:space="preserve"> 32905354.507374313
</t>
  </si>
  <si>
    <t xml:space="preserve">collateral ratio is: 1.4203648281916377
</t>
  </si>
  <si>
    <t xml:space="preserve"> 1.4203648281916377
</t>
  </si>
  <si>
    <t>S_gtbcps_0 is: 0.9998180270416341</t>
  </si>
  <si>
    <t xml:space="preserve">stdev_gtbcps is: 0.010052408459914338
</t>
  </si>
  <si>
    <t xml:space="preserve"> 0.010052408459914338
</t>
  </si>
  <si>
    <t>predicted price of GTBCPS is: 0.9998441182021942</t>
  </si>
  <si>
    <t xml:space="preserve"> actual price is: 0.9998180270416341
</t>
  </si>
  <si>
    <t xml:space="preserve"> 0.9998180270416341
</t>
  </si>
  <si>
    <t>predicted amount of GTBCPS is: 103009470.99602005</t>
  </si>
  <si>
    <t xml:space="preserve"> actual amount is: 103012159.12183322
</t>
  </si>
  <si>
    <t>plot sizes of gold is: 78761028.72117448</t>
  </si>
  <si>
    <t xml:space="preserve"> plot sizes of tb is: 34621839.11849601 </t>
  </si>
  <si>
    <t xml:space="preserve"> plot sizes of reit is: 32905354.507374313</t>
  </si>
  <si>
    <t xml:space="preserve"> plot sizes of total is: 146288222.3470448.
</t>
  </si>
  <si>
    <t xml:space="preserve"> 146288222.3470448.
</t>
  </si>
  <si>
    <t>predicted stdevs of gold is: 0.009421689405900577</t>
  </si>
  <si>
    <t xml:space="preserve"> predicted stdevs of tb is: 0.002901354138767962</t>
  </si>
  <si>
    <t xml:space="preserve"> predicted stdevs of reit is: 0.019086158079475724</t>
  </si>
  <si>
    <t xml:space="preserve"> predicted stdevs of GTBCPS is: 0.010052408459914338.
</t>
  </si>
  <si>
    <t xml:space="preserve"> 0.010052408459914338.
</t>
  </si>
  <si>
    <t>total_value_of_collaterals is: 146289147.3924352</t>
  </si>
  <si>
    <t xml:space="preserve"> createdtionValue_gold is: -2055.357605898942</t>
  </si>
  <si>
    <t xml:space="preserve"> createdValue_tb is: -903.4922620305593</t>
  </si>
  <si>
    <t xml:space="preserve"> createdValue_reit is: -858.6984554437444
</t>
  </si>
  <si>
    <t xml:space="preserve"> -858.6984554437444
</t>
  </si>
  <si>
    <t>plotValue_gold_after_creation is: 78763733.34674804</t>
  </si>
  <si>
    <t xml:space="preserve"> plotValue_tb_after_creation  is: 34622891.60931741</t>
  </si>
  <si>
    <t xml:space="preserve"> plotValue_reit_after_creation  is: 32906339.98469313</t>
  </si>
  <si>
    <t xml:space="preserve">total_value_after_creation is: 146292964.9407586
</t>
  </si>
  <si>
    <t xml:space="preserve"> 146292964.9407586
</t>
  </si>
  <si>
    <t>total_amount_gtncps_before_creation is: 103012159.12183322</t>
  </si>
  <si>
    <t>creation_amount_gtbcps is: -2688.1258131712675</t>
  </si>
  <si>
    <t xml:space="preserve">total_amount_gtbcps_new is: 103009470.99602005
</t>
  </si>
  <si>
    <t xml:space="preserve"> 103009470.99602005
</t>
  </si>
  <si>
    <t>payout of tranche of gold is: 649.2679676563528</t>
  </si>
  <si>
    <t xml:space="preserve"> payout of tranche of Treausry Bill Option is: 148.99855936802433</t>
  </si>
  <si>
    <t xml:space="preserve"> payout of tranche of Collar of REIT is: 126.77886337163933
</t>
  </si>
  <si>
    <t xml:space="preserve"> 126.77886337163933
</t>
  </si>
  <si>
    <t>Collateral size of tranche of gold is: 78763733.34674804</t>
  </si>
  <si>
    <t xml:space="preserve"> collateral size of tranche of Treausry Bill Option is: 34622891.60931741</t>
  </si>
  <si>
    <t xml:space="preserve"> collateral size of tranche of Collar of REIT is: 32906339.98469313
</t>
  </si>
  <si>
    <t xml:space="preserve"> 32906339.98469313
</t>
  </si>
  <si>
    <t>Collateral ratio of tranche of gold is: 0.7647253854773011</t>
  </si>
  <si>
    <t xml:space="preserve"> collateral ratio of tranche of Treausry Bill Option is: 0.33615730244416153</t>
  </si>
  <si>
    <t xml:space="preserve"> collateral ratio of tranche of Collar of REIT is: 0.31949112186770856
</t>
  </si>
  <si>
    <t xml:space="preserve"> 0.31949112186770856
</t>
  </si>
  <si>
    <t xml:space="preserve">date is: 2022-12-02 00:00:00
</t>
  </si>
  <si>
    <t xml:space="preserve"> 2022-12-02 00</t>
  </si>
  <si>
    <t>current price of gold is: 1797.63</t>
  </si>
  <si>
    <t xml:space="preserve"> predicted price of gold is: 1796.85784112476
</t>
  </si>
  <si>
    <t xml:space="preserve"> 1796.85784112476
</t>
  </si>
  <si>
    <t>current price of tb is: 89.90234375</t>
  </si>
  <si>
    <t xml:space="preserve"> current price of tb option is: 4.245327645828088</t>
  </si>
  <si>
    <t xml:space="preserve"> predicted price of tb is: 90.1656930660837
</t>
  </si>
  <si>
    <t xml:space="preserve"> 90.1656930660837
</t>
  </si>
  <si>
    <t>current price of reit is: 52.0</t>
  </si>
  <si>
    <t xml:space="preserve"> current price of reit option is: 5.0855457975301235</t>
  </si>
  <si>
    <t xml:space="preserve"> predicted price of reit is: 52.604833776434376
</t>
  </si>
  <si>
    <t xml:space="preserve"> 52.604833776434376
</t>
  </si>
  <si>
    <t>value_ratio_gold_to_total is: -0.08191017904696983</t>
  </si>
  <si>
    <t xml:space="preserve"> risk_ratio_to_gold is: 0.5410490443654734</t>
  </si>
  <si>
    <t xml:space="preserve"> risk_ratio_to_gold_before is: 0.5332837151909077
</t>
  </si>
  <si>
    <t xml:space="preserve"> 0.5332837151909077
</t>
  </si>
  <si>
    <t>value_ratio_tb_to_total is: 0.47827791540992987</t>
  </si>
  <si>
    <t xml:space="preserve"> risk_ratio_tb_to_gold is: 0.4073572982404447</t>
  </si>
  <si>
    <t xml:space="preserve"> risk_ratio_tb_to_gold_before is: 0.4152645003048367
</t>
  </si>
  <si>
    <t xml:space="preserve"> 0.4152645003048367
</t>
  </si>
  <si>
    <t>value_ratio_reit_to_total is: 0.60363226363704</t>
  </si>
  <si>
    <t xml:space="preserve"> risk_ratio_reit_to_gold is: 0.4409039830871489</t>
  </si>
  <si>
    <t xml:space="preserve"> risk_ratio_reit_to_gold_before is: 0.45990995470737916
</t>
  </si>
  <si>
    <t xml:space="preserve"> 0.45990995470737916
</t>
  </si>
  <si>
    <t>delta_gold is: 0.9969663357550885</t>
  </si>
  <si>
    <t xml:space="preserve"> delta_tb is: 0.9999326943108131</t>
  </si>
  <si>
    <t xml:space="preserve"> delta_reit is: 0.9793252439240172
</t>
  </si>
  <si>
    <t xml:space="preserve"> 0.9793252439240172
</t>
  </si>
  <si>
    <t>delta_gold_risk is: 1.0050645089996268</t>
  </si>
  <si>
    <t xml:space="preserve"> delta_tb_risk is: 0.9944129157039628</t>
  </si>
  <si>
    <t xml:space="preserve"> delta_reit_risk is: 0.9869814082992264
</t>
  </si>
  <si>
    <t xml:space="preserve"> 0.9869814082992264
</t>
  </si>
  <si>
    <t xml:space="preserve">collateral_ratio_tranche_gold is: 0.758563712668602
</t>
  </si>
  <si>
    <t xml:space="preserve"> 0.758563712668602
</t>
  </si>
  <si>
    <t xml:space="preserve">collateral_ratio_tranche_tb is: 0.3390518108452003
</t>
  </si>
  <si>
    <t xml:space="preserve"> 0.3390518108452003
</t>
  </si>
  <si>
    <t xml:space="preserve">collateral_ratio_tranche_reit is: 0.3179774175342323
</t>
  </si>
  <si>
    <t xml:space="preserve"> 0.3179774175342323
</t>
  </si>
  <si>
    <t>Total plot size is: 145371361.3489905</t>
  </si>
  <si>
    <t xml:space="preserve"> plot size of gold is: 78524790.62509827</t>
  </si>
  <si>
    <t xml:space="preserve"> plot size of TB is: 34620561.291736</t>
  </si>
  <si>
    <t xml:space="preserve"> plot size of REIT is: 32226009.43215624
</t>
  </si>
  <si>
    <t xml:space="preserve"> 32226009.43215624
</t>
  </si>
  <si>
    <t xml:space="preserve">collateral ratio is: 1.4114626958594287
</t>
  </si>
  <si>
    <t xml:space="preserve"> 1.4114626958594287
</t>
  </si>
  <si>
    <t>S_gtbcps_0 is: 0.9998441182021942</t>
  </si>
  <si>
    <t xml:space="preserve">stdev_gtbcps is: 0.010143535452031848
</t>
  </si>
  <si>
    <t xml:space="preserve"> 0.010143535452031848
</t>
  </si>
  <si>
    <t>predicted price of GTBCPS is: 0.9998348427633982</t>
  </si>
  <si>
    <t xml:space="preserve"> actual price is: 0.9998441182021942
</t>
  </si>
  <si>
    <t xml:space="preserve"> 0.9998441182021942
</t>
  </si>
  <si>
    <t>predicted amount of GTBCPS is: 103010426.61189055</t>
  </si>
  <si>
    <t xml:space="preserve"> actual amount is: 103009470.99602005
</t>
  </si>
  <si>
    <t>plot sizes of gold is: 78524790.62509827</t>
  </si>
  <si>
    <t xml:space="preserve"> plot sizes of tb is: 34620561.291736 </t>
  </si>
  <si>
    <t xml:space="preserve"> plot sizes of reit is: 32226009.43215624</t>
  </si>
  <si>
    <t xml:space="preserve"> plot sizes of total is: 145371361.3489905.
</t>
  </si>
  <si>
    <t xml:space="preserve"> 145371361.3489905.
</t>
  </si>
  <si>
    <t>predicted stdevs of gold is: 0.009619720161651876</t>
  </si>
  <si>
    <t xml:space="preserve"> predicted stdevs of tb is: 0.0028864430384239357</t>
  </si>
  <si>
    <t xml:space="preserve"> predicted stdevs of reit is: 0.019216241128604802</t>
  </si>
  <si>
    <t xml:space="preserve"> predicted stdevs of GTBCPS is: 0.010143535452031848.
</t>
  </si>
  <si>
    <t xml:space="preserve"> 0.010143535452031848.
</t>
  </si>
  <si>
    <t>total_value_of_collaterals is: 145371030.76587445</t>
  </si>
  <si>
    <t xml:space="preserve"> createdtionValue_gold is: 728.4631865111996</t>
  </si>
  <si>
    <t xml:space="preserve"> createdValue_tb is: 321.1704564580567</t>
  </si>
  <si>
    <t xml:space="preserve"> createdValue_reit is: 298.9566762905981
</t>
  </si>
  <si>
    <t xml:space="preserve"> 298.9566762905981
</t>
  </si>
  <si>
    <t>plotValue_gold_after_creation is: 78523818.82575303</t>
  </si>
  <si>
    <t xml:space="preserve"> plotValue_tb_after_creation  is: 34620185.621019185</t>
  </si>
  <si>
    <t xml:space="preserve"> plotValue_reit_after_creation  is: 32225677.72878296</t>
  </si>
  <si>
    <t xml:space="preserve">total_value_after_creation is: 145369682.17555517
</t>
  </si>
  <si>
    <t xml:space="preserve"> 145369682.17555517
</t>
  </si>
  <si>
    <t>total_amount_gtncps_before_creation is: 103009470.99602005</t>
  </si>
  <si>
    <t>creation_amount_gtbcps is: 955.6158705055714</t>
  </si>
  <si>
    <t xml:space="preserve">total_amount_gtbcps_new is: 103010426.61189055
</t>
  </si>
  <si>
    <t xml:space="preserve"> 103010426.61189055
</t>
  </si>
  <si>
    <t>payout of tranche of gold is: -243.33615872512777</t>
  </si>
  <si>
    <t xml:space="preserve"> payout of tranche of Treausry Bill Option is: -54.50026035667194</t>
  </si>
  <si>
    <t xml:space="preserve"> payout of tranche of Collar of REIT is: -32.74669698897225
</t>
  </si>
  <si>
    <t xml:space="preserve"> -32.74669698897225
</t>
  </si>
  <si>
    <t>Collateral size of tranche of gold is: 78523818.82575303</t>
  </si>
  <si>
    <t xml:space="preserve"> collateral size of tranche of Treausry Bill Option is: 34620185.621019185</t>
  </si>
  <si>
    <t xml:space="preserve"> collateral size of tranche of Collar of REIT is: 32225677.72878296
</t>
  </si>
  <si>
    <t xml:space="preserve"> 32225677.72878296
</t>
  </si>
  <si>
    <t>Collateral ratio of tranche of gold is: 0.7624229984440294</t>
  </si>
  <si>
    <t xml:space="preserve"> collateral ratio of tranche of Treausry Bill Option is: 0.33614291972271754</t>
  </si>
  <si>
    <t xml:space="preserve"> collateral ratio of tranche of Collar of REIT is: 0.31289356794261924
</t>
  </si>
  <si>
    <t xml:space="preserve"> 0.31289356794261924
</t>
  </si>
  <si>
    <t xml:space="preserve">date is: 2022-12-05 00:00:00
</t>
  </si>
  <si>
    <t xml:space="preserve"> 2022-12-05 00</t>
  </si>
  <si>
    <t>current price of gold is: 1768.68</t>
  </si>
  <si>
    <t xml:space="preserve"> predicted price of gold is: 1771.7603940557028
</t>
  </si>
  <si>
    <t xml:space="preserve"> 1771.7603940557028
</t>
  </si>
  <si>
    <t xml:space="preserve"> current price of tb option is: 4.239841769494384</t>
  </si>
  <si>
    <t xml:space="preserve"> predicted price of tb is: 89.80808301650941
</t>
  </si>
  <si>
    <t xml:space="preserve"> 89.80808301650941
</t>
  </si>
  <si>
    <t xml:space="preserve"> current price of reit option is: 4.986483543993643</t>
  </si>
  <si>
    <t xml:space="preserve"> predicted price of reit is: 53.353304461727156
</t>
  </si>
  <si>
    <t xml:space="preserve"> 53.353304461727156
</t>
  </si>
  <si>
    <t>value_ratio_gold_to_total is: 0.2311038942786099</t>
  </si>
  <si>
    <t xml:space="preserve"> risk_ratio_to_gold is: 0.5368585178499022</t>
  </si>
  <si>
    <t xml:space="preserve"> risk_ratio_to_gold_before is: 0.5410490443654734
</t>
  </si>
  <si>
    <t xml:space="preserve"> 0.5410490443654734
</t>
  </si>
  <si>
    <t>value_ratio_tb_to_total is: 0.33827348521606965</t>
  </si>
  <si>
    <t xml:space="preserve"> risk_ratio_tb_to_gold is: 0.40987981816864066</t>
  </si>
  <si>
    <t xml:space="preserve"> risk_ratio_tb_to_gold_before is: 0.4073572982404447
</t>
  </si>
  <si>
    <t xml:space="preserve"> 0.4073572982404447
</t>
  </si>
  <si>
    <t>value_ratio_reit_to_total is: 0.43062262050532046</t>
  </si>
  <si>
    <t xml:space="preserve"> risk_ratio_reit_to_gold is: 0.4528083329013315</t>
  </si>
  <si>
    <t xml:space="preserve"> risk_ratio_reit_to_gold_before is: 0.4409039830871489
</t>
  </si>
  <si>
    <t xml:space="preserve"> 0.4409039830871489
</t>
  </si>
  <si>
    <t>delta_gold is: 0.9838954623587723</t>
  </si>
  <si>
    <t xml:space="preserve"> delta_tb is: 0.9960830988077944</t>
  </si>
  <si>
    <t xml:space="preserve"> delta_reit is: 1.0087752116488513
</t>
  </si>
  <si>
    <t xml:space="preserve"> 1.0087752116488513
</t>
  </si>
  <si>
    <t>delta_gold_risk is: 0.9972807312454506</t>
  </si>
  <si>
    <t xml:space="preserve"> delta_tb_risk is: 1.0017923806067939</t>
  </si>
  <si>
    <t xml:space="preserve"> delta_reit_risk is: 1.008261723164008
</t>
  </si>
  <si>
    <t xml:space="preserve"> 1.008261723164008
</t>
  </si>
  <si>
    <t xml:space="preserve">collateral_ratio_tranche_gold is: 0.7521899351552039
</t>
  </si>
  <si>
    <t xml:space="preserve"> 0.7521899351552039
</t>
  </si>
  <si>
    <t xml:space="preserve">collateral_ratio_tranche_tb is: 0.33969789629206304
</t>
  </si>
  <si>
    <t xml:space="preserve"> 0.33969789629206304
</t>
  </si>
  <si>
    <t xml:space="preserve">collateral_ratio_tranche_reit is: 0.31817701234701745
</t>
  </si>
  <si>
    <t xml:space="preserve"> 0.31817701234701745
</t>
  </si>
  <si>
    <t>Total plot size is: 144252275.6758073</t>
  </si>
  <si>
    <t xml:space="preserve"> plot size of gold is: 77259229.02974075</t>
  </si>
  <si>
    <t xml:space="preserve"> plot size of TB is: 34484581.77468584</t>
  </si>
  <si>
    <t xml:space="preserve"> plot size of REIT is: 32508464.871380705
</t>
  </si>
  <si>
    <t xml:space="preserve"> 32508464.871380705
</t>
  </si>
  <si>
    <t xml:space="preserve">collateral ratio is: 1.4005970916130956
</t>
  </si>
  <si>
    <t xml:space="preserve"> 1.4005970916130956
</t>
  </si>
  <si>
    <t>S_gtbcps_0 is: 0.9998348427633982</t>
  </si>
  <si>
    <t xml:space="preserve">stdev_gtbcps is: 0.010179152644536574
</t>
  </si>
  <si>
    <t xml:space="preserve"> 0.010179152644536574
</t>
  </si>
  <si>
    <t>predicted price of GTBCPS is: 0.9998258324745076</t>
  </si>
  <si>
    <t xml:space="preserve"> actual price is: 0.9998348427633982
</t>
  </si>
  <si>
    <t xml:space="preserve"> 0.9998348427633982
</t>
  </si>
  <si>
    <t>predicted amount of GTBCPS is: 103011354.92727546</t>
  </si>
  <si>
    <t xml:space="preserve"> actual amount is: 103010426.61189055
</t>
  </si>
  <si>
    <t>plot sizes of gold is: 77259229.02974075</t>
  </si>
  <si>
    <t xml:space="preserve"> plot sizes of tb is: 34484581.77468584 </t>
  </si>
  <si>
    <t xml:space="preserve"> plot sizes of reit is: 32508464.871380705</t>
  </si>
  <si>
    <t xml:space="preserve"> plot sizes of total is: 144252275.6758073.
</t>
  </si>
  <si>
    <t xml:space="preserve"> 144252275.6758073.
</t>
  </si>
  <si>
    <t>predicted stdevs of gold is: 0.009611120866238887</t>
  </si>
  <si>
    <t xml:space="preserve"> predicted stdevs of tb is: 0.0029070734146991314</t>
  </si>
  <si>
    <t xml:space="preserve"> predicted stdevs of reit is: 0.01924326284767336</t>
  </si>
  <si>
    <t xml:space="preserve"> predicted stdevs of GTBCPS is: 0.010179152644536574.
</t>
  </si>
  <si>
    <t xml:space="preserve"> 0.010179152644536574.
</t>
  </si>
  <si>
    <t>total_value_of_collaterals is: 144251955.41320953</t>
  </si>
  <si>
    <t xml:space="preserve"> createdtionValue_gold is: 696.2409590114834</t>
  </si>
  <si>
    <t xml:space="preserve"> createdValue_tb is: 310.766912321821</t>
  </si>
  <si>
    <t xml:space="preserve"> createdValue_reit is: 292.95861884540085
</t>
  </si>
  <si>
    <t xml:space="preserve"> 292.95861884540085
</t>
  </si>
  <si>
    <t>plotValue_gold_after_creation is: 77258310.46033537</t>
  </si>
  <si>
    <t xml:space="preserve"> plotValue_tb_after_creation  is: 34484220.27202665</t>
  </si>
  <si>
    <t xml:space="preserve"> plotValue_reit_after_creation  is: 32508124.71435731</t>
  </si>
  <si>
    <t xml:space="preserve">total_value_after_creation is: 144250655.44671935
</t>
  </si>
  <si>
    <t xml:space="preserve"> 144250655.44671935
</t>
  </si>
  <si>
    <t>total_amount_gtncps_before_creation is: 103010426.61189055</t>
  </si>
  <si>
    <t>creation_amount_gtbcps is: 928.3153849095106</t>
  </si>
  <si>
    <t xml:space="preserve">total_amount_gtbcps_new is: 103011354.92727546
</t>
  </si>
  <si>
    <t xml:space="preserve"> 103011354.92727546
</t>
  </si>
  <si>
    <t>payout of tranche of gold is: -222.32844635876233</t>
  </si>
  <si>
    <t xml:space="preserve"> payout of tranche of Treausry Bill Option is: -50.73574686596403</t>
  </si>
  <si>
    <t xml:space="preserve"> payout of tranche of Collar of REIT is: -47.19840454994486
</t>
  </si>
  <si>
    <t xml:space="preserve"> -47.19840454994486
</t>
  </si>
  <si>
    <t>Collateral size of tranche of gold is: 77258310.46033537</t>
  </si>
  <si>
    <t xml:space="preserve"> collateral size of tranche of Treausry Bill Option is: 34484220.27202665</t>
  </si>
  <si>
    <t xml:space="preserve"> collateral size of tranche of Collar of REIT is: 32508124.71435731
</t>
  </si>
  <si>
    <t xml:space="preserve"> 32508124.71435731
</t>
  </si>
  <si>
    <t>Collateral ratio of tranche of gold is: 0.750135410895964</t>
  </si>
  <si>
    <t xml:space="preserve"> collateral ratio of tranche of Treausry Bill Option is: 0.33482268236326834</t>
  </si>
  <si>
    <t xml:space="preserve"> collateral ratio of tranche of Collar of REIT is: 0.3156358888094148
</t>
  </si>
  <si>
    <t xml:space="preserve"> 0.3156358888094148
</t>
  </si>
  <si>
    <t xml:space="preserve">date is: 2022-12-06 00:00:00
</t>
  </si>
  <si>
    <t xml:space="preserve"> 2022-12-06 00</t>
  </si>
  <si>
    <t>current price of gold is: 1771.04</t>
  </si>
  <si>
    <t xml:space="preserve"> predicted price of gold is: 1776.055954468193
</t>
  </si>
  <si>
    <t xml:space="preserve"> 1776.055954468193
</t>
  </si>
  <si>
    <t>current price of tb is: 89.57421875</t>
  </si>
  <si>
    <t xml:space="preserve"> current price of tb option is: 4.246255483787808</t>
  </si>
  <si>
    <t xml:space="preserve"> predicted price of tb is: 89.83660689543191
</t>
  </si>
  <si>
    <t xml:space="preserve"> 89.83660689543191
</t>
  </si>
  <si>
    <t xml:space="preserve"> current price of reit option is: 4.9917829250020915</t>
  </si>
  <si>
    <t xml:space="preserve"> predicted price of reit is: 53.56892704154845
</t>
  </si>
  <si>
    <t xml:space="preserve"> 53.56892704154845
</t>
  </si>
  <si>
    <t>value_ratio_gold_to_total is: 0.33584539714288264</t>
  </si>
  <si>
    <t xml:space="preserve"> risk_ratio_to_gold is: 0.5404442434752152</t>
  </si>
  <si>
    <t xml:space="preserve"> risk_ratio_to_gold_before is: 0.5368585178499022
</t>
  </si>
  <si>
    <t xml:space="preserve"> 0.5368585178499022
</t>
  </si>
  <si>
    <t>value_ratio_tb_to_total is: 0.30187818087920176</t>
  </si>
  <si>
    <t xml:space="preserve"> risk_ratio_tb_to_gold is: 0.4011236045364867</t>
  </si>
  <si>
    <t xml:space="preserve"> risk_ratio_tb_to_gold_before is: 0.40987981816864066
</t>
  </si>
  <si>
    <t xml:space="preserve"> 0.40987981816864066
</t>
  </si>
  <si>
    <t>value_ratio_reit_to_total is: 0.36227642197791565</t>
  </si>
  <si>
    <t xml:space="preserve"> risk_ratio_reit_to_gold is: 0.4492060308939995</t>
  </si>
  <si>
    <t xml:space="preserve"> risk_ratio_reit_to_gold_before is: 0.4528083329013315
</t>
  </si>
  <si>
    <t xml:space="preserve"> 0.4528083329013315
</t>
  </si>
  <si>
    <t>delta_gold is: 1.0013343284257186</t>
  </si>
  <si>
    <t xml:space="preserve"> delta_tb is: 1.0004432762849729</t>
  </si>
  <si>
    <t xml:space="preserve"> delta_reit is: 1.0096428770578467
</t>
  </si>
  <si>
    <t xml:space="preserve"> 1.0096428770578467
</t>
  </si>
  <si>
    <t>delta_gold_risk is: 1.0023331527161847</t>
  </si>
  <si>
    <t xml:space="preserve"> delta_tb_risk is: 0.9937893900463602</t>
  </si>
  <si>
    <t xml:space="preserve"> delta_reit_risk is: 0.9975204561222898
</t>
  </si>
  <si>
    <t xml:space="preserve"> 0.9975204561222898
</t>
  </si>
  <si>
    <t xml:space="preserve">collateral_ratio_tranche_gold is: 0.7493879014800464
</t>
  </si>
  <si>
    <t xml:space="preserve"> 0.7493879014800464
</t>
  </si>
  <si>
    <t xml:space="preserve">collateral_ratio_tranche_tb is: 0.33661532192329263
</t>
  </si>
  <si>
    <t xml:space="preserve"> 0.33661532192329263
</t>
  </si>
  <si>
    <t xml:space="preserve">collateral_ratio_tranche_reit is: 0.31904595881398873
</t>
  </si>
  <si>
    <t xml:space="preserve"> 0.31904595881398873
</t>
  </si>
  <si>
    <t>Total plot size is: 144682501.29354364</t>
  </si>
  <si>
    <t xml:space="preserve"> plot size of gold is: 77361398.42010559</t>
  </si>
  <si>
    <t xml:space="preserve"> plot size of TB is: 34499506.30907902</t>
  </si>
  <si>
    <t xml:space="preserve"> plot size of REIT is: 32821596.564359006
</t>
  </si>
  <si>
    <t xml:space="preserve"> 32821596.564359006
</t>
  </si>
  <si>
    <t xml:space="preserve">collateral ratio is: 1.4047743064689167
</t>
  </si>
  <si>
    <t xml:space="preserve"> 1.4047743064689167
</t>
  </si>
  <si>
    <t>S_gtbcps_0 is: 0.9998258324745076</t>
  </si>
  <si>
    <t xml:space="preserve">stdev_gtbcps is: 0.010275265236204109
</t>
  </si>
  <si>
    <t xml:space="preserve"> 0.010275265236204109
</t>
  </si>
  <si>
    <t>predicted price of GTBCPS is: 0.9998641014730228</t>
  </si>
  <si>
    <t xml:space="preserve"> actual price is: 0.9998258324745076
</t>
  </si>
  <si>
    <t xml:space="preserve"> 0.9998258324745076
</t>
  </si>
  <si>
    <t>predicted amount of GTBCPS is: 103007412.25008264</t>
  </si>
  <si>
    <t xml:space="preserve"> actual amount is: 103011354.92727546
</t>
  </si>
  <si>
    <t>plot sizes of gold is: 77361398.42010559</t>
  </si>
  <si>
    <t xml:space="preserve"> plot sizes of tb is: 34499506.30907902 </t>
  </si>
  <si>
    <t xml:space="preserve"> plot sizes of reit is: 32821596.564359006</t>
  </si>
  <si>
    <t xml:space="preserve"> plot sizes of total is: 144682501.2935436.
</t>
  </si>
  <si>
    <t xml:space="preserve"> 144682501.2935436.
</t>
  </si>
  <si>
    <t>predicted stdevs of gold is: 0.009741076397900934</t>
  </si>
  <si>
    <t xml:space="preserve"> predicted stdevs of tb is: 0.0029053062153755363</t>
  </si>
  <si>
    <t xml:space="preserve"> predicted stdevs of reit is: 0.019281089883054194</t>
  </si>
  <si>
    <t xml:space="preserve"> predicted stdevs of GTBCPS is: 0.010275265236204109.
</t>
  </si>
  <si>
    <t xml:space="preserve"> 0.010275265236204109.
</t>
  </si>
  <si>
    <t>total_value_of_collaterals is: 144683860.44020596</t>
  </si>
  <si>
    <t xml:space="preserve"> createdtionValue_gold is: -2961.096995434943</t>
  </si>
  <si>
    <t xml:space="preserve"> createdValue_tb is: -1320.500161884673</t>
  </si>
  <si>
    <t xml:space="preserve"> createdValue_reit is: -1256.2738003754494
</t>
  </si>
  <si>
    <t xml:space="preserve"> -1256.2738003754494
</t>
  </si>
  <si>
    <t>plotValue_gold_after_creation is: 77365353.19862318</t>
  </si>
  <si>
    <t xml:space="preserve"> plotValue_tb_after_creation  is: 34501052.00219584</t>
  </si>
  <si>
    <t xml:space="preserve"> plotValue_reit_after_creation  is: 32822993.110344622</t>
  </si>
  <si>
    <t xml:space="preserve">total_value_after_creation is: 144689398.31116363
</t>
  </si>
  <si>
    <t xml:space="preserve"> 144689398.31116363
</t>
  </si>
  <si>
    <t>total_amount_gtncps_before_creation is: 103011354.92727546</t>
  </si>
  <si>
    <t>creation_amount_gtbcps is: -3942.6771928220987</t>
  </si>
  <si>
    <t xml:space="preserve">total_amount_gtbcps_new is: 103007412.25008264
</t>
  </si>
  <si>
    <t xml:space="preserve"> 103007412.25008264
</t>
  </si>
  <si>
    <t>payout of tranche of gold is: 993.681522158798</t>
  </si>
  <si>
    <t xml:space="preserve"> payout of tranche of Treausry Bill Option is: 225.1929549326572</t>
  </si>
  <si>
    <t xml:space="preserve"> payout of tranche of Collar of REIT is: 140.27218524053245
</t>
  </si>
  <si>
    <t xml:space="preserve"> 140.27218524053245
</t>
  </si>
  <si>
    <t>Collateral size of tranche of gold is: 77365353.19862318</t>
  </si>
  <si>
    <t xml:space="preserve"> collateral size of tranche of Treausry Bill Option is: 34501052.00219584</t>
  </si>
  <si>
    <t xml:space="preserve"> collateral size of tranche of Collar of REIT is: 32822993.110344622
</t>
  </si>
  <si>
    <t xml:space="preserve"> 32822993.110344622
</t>
  </si>
  <si>
    <t>Collateral ratio of tranche of gold is: 0.751139216834857</t>
  </si>
  <si>
    <t xml:space="preserve"> collateral ratio of tranche of Treausry Bill Option is: 0.33497026911226263</t>
  </si>
  <si>
    <t xml:space="preserve"> collateral ratio of tranche of Collar of REIT is: 0.3186780169643034
</t>
  </si>
  <si>
    <t xml:space="preserve"> 0.3186780169643034
</t>
  </si>
  <si>
    <t xml:space="preserve">date is: 2022-12-07 00:00:00
</t>
  </si>
  <si>
    <t xml:space="preserve"> 2022-12-07 00</t>
  </si>
  <si>
    <t>current price of gold is: 1786.27</t>
  </si>
  <si>
    <t xml:space="preserve"> predicted price of gold is: 1784.7624251130803
</t>
  </si>
  <si>
    <t xml:space="preserve"> 1784.7624251130803
</t>
  </si>
  <si>
    <t>current price of tb is: 89.91796875</t>
  </si>
  <si>
    <t xml:space="preserve"> current price of tb option is: 4.251823628320178</t>
  </si>
  <si>
    <t xml:space="preserve"> predicted price of tb is: 90.17460048745579
</t>
  </si>
  <si>
    <t xml:space="preserve"> 90.17460048745579
</t>
  </si>
  <si>
    <t xml:space="preserve"> current price of reit option is: 5.0957217647415405</t>
  </si>
  <si>
    <t xml:space="preserve"> predicted price of reit is: 52.83227889950808
</t>
  </si>
  <si>
    <t xml:space="preserve"> 52.83227889950808
</t>
  </si>
  <si>
    <t>value_ratio_gold_to_total is: -0.17885824480426032</t>
  </si>
  <si>
    <t xml:space="preserve"> risk_ratio_to_gold is: 0.541259410458802</t>
  </si>
  <si>
    <t xml:space="preserve"> risk_ratio_to_gold_before is: 0.5404442434752152
</t>
  </si>
  <si>
    <t xml:space="preserve"> 0.5404442434752152
</t>
  </si>
  <si>
    <t>value_ratio_tb_to_total is: 0.5348818294185439</t>
  </si>
  <si>
    <t xml:space="preserve"> risk_ratio_tb_to_gold is: 0.40485221282614603</t>
  </si>
  <si>
    <t xml:space="preserve"> risk_ratio_tb_to_gold_before is: 0.4011236045364867
</t>
  </si>
  <si>
    <t xml:space="preserve"> 0.4011236045364867
</t>
  </si>
  <si>
    <t>value_ratio_reit_to_total is: 0.6439764153857165</t>
  </si>
  <si>
    <t xml:space="preserve"> risk_ratio_reit_to_gold is: 0.44269072255181546</t>
  </si>
  <si>
    <t xml:space="preserve"> risk_ratio_reit_to_gold_before is: 0.4492060308939995
</t>
  </si>
  <si>
    <t xml:space="preserve"> 0.4492060308939995
</t>
  </si>
  <si>
    <t>delta_gold is: 1.0085994669798537</t>
  </si>
  <si>
    <t xml:space="preserve"> delta_tb is: 1.003723261339118</t>
  </si>
  <si>
    <t xml:space="preserve"> delta_reit is: 0.990608111193203
</t>
  </si>
  <si>
    <t xml:space="preserve"> 0.990608111193203
</t>
  </si>
  <si>
    <t>delta_gold_risk is: 1.000529176558671</t>
  </si>
  <si>
    <t xml:space="preserve"> delta_tb_risk is: 1.0026611558591882</t>
  </si>
  <si>
    <t xml:space="preserve"> delta_reit_risk is: 0.995504222171802
</t>
  </si>
  <si>
    <t xml:space="preserve"> 0.995504222171802
</t>
  </si>
  <si>
    <t xml:space="preserve">collateral_ratio_tranche_gold is: 0.7571979223365266
</t>
  </si>
  <si>
    <t xml:space="preserve"> 0.7571979223365266
</t>
  </si>
  <si>
    <t xml:space="preserve">collateral_ratio_tranche_tb is: 0.33246606764347064
</t>
  </si>
  <si>
    <t xml:space="preserve"> 0.33246606764347064
</t>
  </si>
  <si>
    <t xml:space="preserve">collateral_ratio_tranche_reit is: 0.3144069554310164
</t>
  </si>
  <si>
    <t xml:space="preserve"> 0.3144069554310164
</t>
  </si>
  <si>
    <t>Total plot size is: 145174885.64285997</t>
  </si>
  <si>
    <t xml:space="preserve"> plot size of gold is: 78030653.99883945</t>
  </si>
  <si>
    <t xml:space="preserve"> plot size of TB is: 34629508.43527452</t>
  </si>
  <si>
    <t xml:space="preserve"> plot size of REIT is: 32514723.208746
</t>
  </si>
  <si>
    <t xml:space="preserve"> 32514723.208746
</t>
  </si>
  <si>
    <t xml:space="preserve">collateral ratio is: 1.4095550427476162
</t>
  </si>
  <si>
    <t xml:space="preserve"> 1.4095550427476162
</t>
  </si>
  <si>
    <t>S_gtbcps_0 is: 0.9998641014730228</t>
  </si>
  <si>
    <t xml:space="preserve">stdev_gtbcps is: 0.01023709023651774
</t>
  </si>
  <si>
    <t xml:space="preserve"> 0.01023709023651774
</t>
  </si>
  <si>
    <t>predicted price of GTBCPS is: 0.9998579912554861</t>
  </si>
  <si>
    <t xml:space="preserve"> actual price is: 0.9998641014730228
</t>
  </si>
  <si>
    <t xml:space="preserve"> 0.9998641014730228
</t>
  </si>
  <si>
    <t>predicted amount of GTBCPS is: 103008041.73717208</t>
  </si>
  <si>
    <t xml:space="preserve"> actual amount is: 103007412.25008264
</t>
  </si>
  <si>
    <t>plot sizes of gold is: 78030653.99883945</t>
  </si>
  <si>
    <t xml:space="preserve"> plot sizes of tb is: 34629508.43527452 </t>
  </si>
  <si>
    <t xml:space="preserve"> plot sizes of reit is: 32514723.208746</t>
  </si>
  <si>
    <t xml:space="preserve"> plot sizes of total is: 145174885.64286.
</t>
  </si>
  <si>
    <t xml:space="preserve"> 145174885.64286.
</t>
  </si>
  <si>
    <t>predicted stdevs of gold is: 0.009727302203719196</t>
  </si>
  <si>
    <t xml:space="preserve"> predicted stdevs of tb is: 0.002929523970781253</t>
  </si>
  <si>
    <t xml:space="preserve"> predicted stdevs of reit is: 0.01924336469749585</t>
  </si>
  <si>
    <t xml:space="preserve"> predicted stdevs of GTBCPS is: 0.01023709023651774.
</t>
  </si>
  <si>
    <t xml:space="preserve"> 0.01023709023651774.
</t>
  </si>
  <si>
    <t>total_value_of_collaterals is: 145174668.71795467</t>
  </si>
  <si>
    <t xml:space="preserve"> createdtionValue_gold is: 476.84803988937625</t>
  </si>
  <si>
    <t xml:space="preserve"> createdValue_tb is: 211.62243007264874</t>
  </si>
  <si>
    <t xml:space="preserve"> createdValue_reit is: 198.69890177389513
</t>
  </si>
  <si>
    <t xml:space="preserve"> 198.69890177389513
</t>
  </si>
  <si>
    <t>plotValue_gold_after_creation is: 78030008.000971</t>
  </si>
  <si>
    <t xml:space="preserve"> plotValue_tb_after_creation  is: 34629270.81672503</t>
  </si>
  <si>
    <t xml:space="preserve"> plotValue_reit_after_creation  is: 32514502.7308869</t>
  </si>
  <si>
    <t xml:space="preserve">total_value_after_creation is: 145173781.54858294
</t>
  </si>
  <si>
    <t xml:space="preserve"> 145173781.54858294
</t>
  </si>
  <si>
    <t>total_amount_gtncps_before_creation is: 103007412.25008264</t>
  </si>
  <si>
    <t>creation_amount_gtbcps is: 629.4870894402266</t>
  </si>
  <si>
    <t xml:space="preserve">total_amount_gtbcps_new is: 103008041.73717208
</t>
  </si>
  <si>
    <t xml:space="preserve"> 103008041.73717208
</t>
  </si>
  <si>
    <t>payout of tranche of gold is: -169.14982854716033</t>
  </si>
  <si>
    <t xml:space="preserve"> payout of tranche of Treausry Bill Option is: -25.99611941779124</t>
  </si>
  <si>
    <t xml:space="preserve"> payout of tranche of Collar of REIT is: -21.778957328723937
</t>
  </si>
  <si>
    <t xml:space="preserve"> -21.778957328723937
</t>
  </si>
  <si>
    <t>Collateral size of tranche of gold is: 78030008.000971</t>
  </si>
  <si>
    <t xml:space="preserve"> collateral size of tranche of Treausry Bill Option is: 34629270.81672503</t>
  </si>
  <si>
    <t xml:space="preserve"> collateral size of tranche of Collar of REIT is: 32514502.7308869
</t>
  </si>
  <si>
    <t xml:space="preserve"> 32514502.7308869
</t>
  </si>
  <si>
    <t>Collateral ratio of tranche of gold is: 0.7576259689816001</t>
  </si>
  <si>
    <t xml:space="preserve"> collateral ratio of tranche of Treausry Bill Option is: 0.3362300675058378</t>
  </si>
  <si>
    <t xml:space="preserve"> collateral ratio of tranche of Collar of REIT is: 0.315696900058456
</t>
  </si>
  <si>
    <t xml:space="preserve"> 0.315696900058456
</t>
  </si>
  <si>
    <t xml:space="preserve">date is: 2022-12-08 00:00:00
</t>
  </si>
  <si>
    <t xml:space="preserve"> 2022-12-08 00</t>
  </si>
  <si>
    <t>current price of gold is: 1789.14</t>
  </si>
  <si>
    <t xml:space="preserve"> predicted price of gold is: 1785.0950039988177
</t>
  </si>
  <si>
    <t xml:space="preserve"> 1785.0950039988177
</t>
  </si>
  <si>
    <t>current price of tb is: 89.7578125</t>
  </si>
  <si>
    <t xml:space="preserve"> current price of tb option is: 4.247912567826241</t>
  </si>
  <si>
    <t xml:space="preserve"> predicted price of tb is: 90.01848795296678
</t>
  </si>
  <si>
    <t xml:space="preserve"> 90.01848795296678
</t>
  </si>
  <si>
    <t>current price of reit is: 54.4</t>
  </si>
  <si>
    <t xml:space="preserve"> current price of reit option is: 4.877993011940717</t>
  </si>
  <si>
    <t xml:space="preserve"> predicted price of reit is: 55.047382369669386
</t>
  </si>
  <si>
    <t xml:space="preserve"> 55.047382369669386
</t>
  </si>
  <si>
    <t>value_ratio_gold_to_total is: -0.6754079176249919</t>
  </si>
  <si>
    <t xml:space="preserve"> risk_ratio_to_gold is: 0.533209199160579</t>
  </si>
  <si>
    <t xml:space="preserve"> risk_ratio_to_gold_before is: 0.541259410458802
</t>
  </si>
  <si>
    <t xml:space="preserve"> 0.541259410458802
</t>
  </si>
  <si>
    <t>value_ratio_tb_to_total is: 0.7528155888566129</t>
  </si>
  <si>
    <t xml:space="preserve"> risk_ratio_tb_to_gold is: 0.41026602391431155</t>
  </si>
  <si>
    <t xml:space="preserve"> risk_ratio_tb_to_gold_before is: 0.40485221282614603
</t>
  </si>
  <si>
    <t xml:space="preserve"> 0.40485221282614603
</t>
  </si>
  <si>
    <t>value_ratio_reit_to_total is: 0.9225923287683789</t>
  </si>
  <si>
    <t xml:space="preserve"> risk_ratio_reit_to_gold is: 0.4651704868853536</t>
  </si>
  <si>
    <t xml:space="preserve"> risk_ratio_reit_to_gold_before is: 0.44269072255181546
</t>
  </si>
  <si>
    <t xml:space="preserve"> 0.44269072255181546
</t>
  </si>
  <si>
    <t>delta_gold is: 1.0016066999949615</t>
  </si>
  <si>
    <t xml:space="preserve"> delta_tb is: 0.9982577501091345</t>
  </si>
  <si>
    <t xml:space="preserve"> delta_reit is: 1.0292082674833154
</t>
  </si>
  <si>
    <t xml:space="preserve"> 1.0292082674833154
</t>
  </si>
  <si>
    <t>delta_gold_risk is: 0.9947768615434914</t>
  </si>
  <si>
    <t xml:space="preserve"> delta_tb_risk is: 1.0038536516786163</t>
  </si>
  <si>
    <t xml:space="preserve"> delta_reit_risk is: 1.0155818319076566
</t>
  </si>
  <si>
    <t xml:space="preserve"> 1.0155818319076566
</t>
  </si>
  <si>
    <t xml:space="preserve">collateral_ratio_tranche_gold is: 0.7628276007995679
</t>
  </si>
  <si>
    <t xml:space="preserve"> 0.7628276007995679
</t>
  </si>
  <si>
    <t xml:space="preserve">collateral_ratio_tranche_tb is: 0.3338194323143713
</t>
  </si>
  <si>
    <t xml:space="preserve"> 0.3338194323143713
</t>
  </si>
  <si>
    <t xml:space="preserve">collateral_ratio_tranche_reit is: 0.31941951034256555
</t>
  </si>
  <si>
    <t xml:space="preserve"> 0.31941951034256555
</t>
  </si>
  <si>
    <t>Total plot size is: 146188511.8115945</t>
  </si>
  <si>
    <t xml:space="preserve"> plot size of gold is: 78155378.81443301</t>
  </si>
  <si>
    <t xml:space="preserve"> plot size of TB is: 34568937.97342384</t>
  </si>
  <si>
    <t xml:space="preserve"> plot size of REIT is: 33464195.02373763
</t>
  </si>
  <si>
    <t xml:space="preserve"> 33464195.02373763
</t>
  </si>
  <si>
    <t xml:space="preserve">collateral ratio is: 1.4193967028341654
</t>
  </si>
  <si>
    <t xml:space="preserve"> 1.4193967028341654
</t>
  </si>
  <si>
    <t>S_gtbcps_0 is: 0.9998579912554861</t>
  </si>
  <si>
    <t xml:space="preserve">stdev_gtbcps is: 0.010337434067501832
</t>
  </si>
  <si>
    <t xml:space="preserve"> 0.010337434067501832
</t>
  </si>
  <si>
    <t>predicted price of GTBCPS is: 0.9998600524311927</t>
  </si>
  <si>
    <t xml:space="preserve"> actual price is: 0.9998579912554861
</t>
  </si>
  <si>
    <t xml:space="preserve"> 0.9998579912554861
</t>
  </si>
  <si>
    <t>predicted amount of GTBCPS is: 103007829.38978136</t>
  </si>
  <si>
    <t xml:space="preserve"> actual amount is: 103008041.73717208
</t>
  </si>
  <si>
    <t>plot sizes of gold is: 78155378.81443301</t>
  </si>
  <si>
    <t xml:space="preserve"> plot sizes of tb is: 34568937.97342384 </t>
  </si>
  <si>
    <t xml:space="preserve"> plot sizes of reit is: 33464195.02373763</t>
  </si>
  <si>
    <t xml:space="preserve"> plot sizes of total is: 146188511.8115945.
</t>
  </si>
  <si>
    <t xml:space="preserve"> 146188511.8115945.
</t>
  </si>
  <si>
    <t>predicted stdevs of gold is: 0.009642737307587742</t>
  </si>
  <si>
    <t xml:space="preserve"> predicted stdevs of tb is: 0.002934105027829919</t>
  </si>
  <si>
    <t xml:space="preserve"> predicted stdevs of reit is: 0.01960762600193977</t>
  </si>
  <si>
    <t xml:space="preserve"> predicted stdevs of GTBCPS is: 0.010337434067501832.
</t>
  </si>
  <si>
    <t xml:space="preserve"> 0.010337434067501832.
</t>
  </si>
  <si>
    <t>total_value_of_collaterals is: 146188584.8226331</t>
  </si>
  <si>
    <t xml:space="preserve"> createdtionValue_gold is: -161.11495835463649</t>
  </si>
  <si>
    <t xml:space="preserve"> createdValue_tb is: -71.26279949351986</t>
  </si>
  <si>
    <t xml:space="preserve"> createdValue_reit is: -68.9853979909734
</t>
  </si>
  <si>
    <t xml:space="preserve"> -68.9853979909734
</t>
  </si>
  <si>
    <t>plotValue_gold_after_creation is: 78155593.52022111</t>
  </si>
  <si>
    <t xml:space="preserve"> plotValue_tb_after_creation  is: 34569021.071706586</t>
  </si>
  <si>
    <t xml:space="preserve"> plotValue_reit_after_creation  is: 33464271.59386122</t>
  </si>
  <si>
    <t xml:space="preserve">total_value_after_creation is: 146188886.18578893
</t>
  </si>
  <si>
    <t xml:space="preserve"> 146188886.18578893
</t>
  </si>
  <si>
    <t>total_amount_gtncps_before_creation is: 103008041.73717208</t>
  </si>
  <si>
    <t>creation_amount_gtbcps is: -212.3473907262087</t>
  </si>
  <si>
    <t xml:space="preserve">total_amount_gtbcps_new is: 103007829.38978136
</t>
  </si>
  <si>
    <t xml:space="preserve"> 103007829.38978136
</t>
  </si>
  <si>
    <t>payout of tranche of gold is: 53.5908297436993</t>
  </si>
  <si>
    <t xml:space="preserve"> payout of tranche of Treausry Bill Option is: 11.83548325456046</t>
  </si>
  <si>
    <t xml:space="preserve"> payout of tranche of Collar of REIT is: 7.584725597862412
</t>
  </si>
  <si>
    <t xml:space="preserve"> 7.584725597862412
</t>
  </si>
  <si>
    <t>Collateral size of tranche of gold is: 78155593.52022111</t>
  </si>
  <si>
    <t xml:space="preserve"> collateral size of tranche of Treausry Bill Option is: 34569021.071706586</t>
  </si>
  <si>
    <t xml:space="preserve"> collateral size of tranche of Collar of REIT is: 33464271.59386122
</t>
  </si>
  <si>
    <t xml:space="preserve"> 33464271.59386122
</t>
  </si>
  <si>
    <t>Collateral ratio of tranche of gold is: 0.7588391296272167</t>
  </si>
  <si>
    <t xml:space="preserve"> collateral ratio of tranche of Treausry Bill Option is: 0.33564233448411696</t>
  </si>
  <si>
    <t xml:space="preserve"> collateral ratio of tranche of Collar of REIT is: 0.3249159476131965
</t>
  </si>
  <si>
    <t xml:space="preserve"> 0.3249159476131965
</t>
  </si>
  <si>
    <t xml:space="preserve">date is: 2022-12-09 00:00:00
</t>
  </si>
  <si>
    <t xml:space="preserve"> 2022-12-09 00</t>
  </si>
  <si>
    <t>current price of gold is: 1797.32</t>
  </si>
  <si>
    <t xml:space="preserve"> predicted price of gold is: 1793.7123921069322
</t>
  </si>
  <si>
    <t xml:space="preserve"> 1793.7123921069322
</t>
  </si>
  <si>
    <t>current price of tb is: 89.65625</t>
  </si>
  <si>
    <t xml:space="preserve"> current price of tb option is: 4.2416758203337706</t>
  </si>
  <si>
    <t xml:space="preserve"> predicted price of tb is: 89.92337449441725
</t>
  </si>
  <si>
    <t xml:space="preserve"> 89.92337449441725
</t>
  </si>
  <si>
    <t>current price of reit is: 55.5</t>
  </si>
  <si>
    <t xml:space="preserve"> current price of reit option is: 4.727325090121845</t>
  </si>
  <si>
    <t xml:space="preserve"> predicted price of reit is: 55.9302933726549
</t>
  </si>
  <si>
    <t xml:space="preserve"> 55.9302933726549
</t>
  </si>
  <si>
    <t>value_ratio_gold_to_total is: -0.5954316716372183</t>
  </si>
  <si>
    <t xml:space="preserve"> risk_ratio_to_gold is: 0.5273135010334433</t>
  </si>
  <si>
    <t xml:space="preserve"> risk_ratio_to_gold_before is: 0.533209199160579
</t>
  </si>
  <si>
    <t xml:space="preserve"> 0.533209199160579
</t>
  </si>
  <si>
    <t>value_ratio_tb_to_total is: 0.7441724788465454</t>
  </si>
  <si>
    <t xml:space="preserve"> risk_ratio_tb_to_gold is: 0.41080987435254845</t>
  </si>
  <si>
    <t xml:space="preserve"> risk_ratio_tb_to_gold_before is: 0.41026602391431155
</t>
  </si>
  <si>
    <t xml:space="preserve"> 0.41026602391431155
</t>
  </si>
  <si>
    <t>value_ratio_reit_to_total is: 0.851259192790673</t>
  </si>
  <si>
    <t xml:space="preserve"> risk_ratio_reit_to_gold is: 0.48559520164147185</t>
  </si>
  <si>
    <t xml:space="preserve"> risk_ratio_reit_to_gold_before is: 0.4651704868853536
</t>
  </si>
  <si>
    <t xml:space="preserve"> 0.4651704868853536
</t>
  </si>
  <si>
    <t>delta_gold is: 1.0045720290195288</t>
  </si>
  <si>
    <t xml:space="preserve"> delta_tb is: 0.9988532693363655</t>
  </si>
  <si>
    <t xml:space="preserve"> delta_reit is: 1.0160149159906595
</t>
  </si>
  <si>
    <t xml:space="preserve"> 1.0160149159906595
</t>
  </si>
  <si>
    <t>delta_gold_risk is: 0.9961546681755082</t>
  </si>
  <si>
    <t xml:space="preserve"> delta_tb_risk is: 1.0003856367727897</t>
  </si>
  <si>
    <t xml:space="preserve"> delta_reit_risk is: 1.0139401625537359
</t>
  </si>
  <si>
    <t xml:space="preserve"> 1.0139401625537359
</t>
  </si>
  <si>
    <t xml:space="preserve">collateral_ratio_tranche_gold is: 0.7652512089766349
</t>
  </si>
  <si>
    <t xml:space="preserve"> 0.7652512089766349
</t>
  </si>
  <si>
    <t xml:space="preserve">collateral_ratio_tranche_tb is: 0.33360296293999897
</t>
  </si>
  <si>
    <t xml:space="preserve"> 0.33360296293999897
</t>
  </si>
  <si>
    <t xml:space="preserve">collateral_ratio_tranche_reit is: 0.3240990098643707
</t>
  </si>
  <si>
    <t xml:space="preserve"> 0.3240990098643707
</t>
  </si>
  <si>
    <t>Total plot size is: 147042501.96919143</t>
  </si>
  <si>
    <t xml:space="preserve"> plot size of gold is: 78512923.16183406</t>
  </si>
  <si>
    <t xml:space="preserve"> plot size of TB is: 34529379.715231836</t>
  </si>
  <si>
    <t xml:space="preserve"> plot size of REIT is: 34000199.09212552
</t>
  </si>
  <si>
    <t xml:space="preserve"> 34000199.09212552
</t>
  </si>
  <si>
    <t xml:space="preserve">collateral ratio is: 1.4276883996229537
</t>
  </si>
  <si>
    <t xml:space="preserve"> 1.4276883996229537
</t>
  </si>
  <si>
    <t>S_gtbcps_0 is: 0.9998600524311927</t>
  </si>
  <si>
    <t xml:space="preserve">stdev_gtbcps is: 0.010397857624324637
</t>
  </si>
  <si>
    <t xml:space="preserve"> 0.010397857624324637
</t>
  </si>
  <si>
    <t>predicted price of GTBCPS is: 0.9998114822937416</t>
  </si>
  <si>
    <t xml:space="preserve"> actual price is: 0.9998600524311927
</t>
  </si>
  <si>
    <t xml:space="preserve"> 0.9998600524311927
</t>
  </si>
  <si>
    <t>predicted amount of GTBCPS is: 103012833.43756495</t>
  </si>
  <si>
    <t xml:space="preserve"> actual amount is: 103007829.38978136
</t>
  </si>
  <si>
    <t>plot sizes of gold is: 78512923.16183406</t>
  </si>
  <si>
    <t xml:space="preserve"> plot sizes of tb is: 34529379.715231836 </t>
  </si>
  <si>
    <t xml:space="preserve"> plot sizes of reit is: 34000199.09212552</t>
  </si>
  <si>
    <t xml:space="preserve"> plot sizes of total is: 147042501.96919143.
</t>
  </si>
  <si>
    <t xml:space="preserve"> 147042501.96919143.
</t>
  </si>
  <si>
    <t>predicted stdevs of gold is: 0.00964212315327892</t>
  </si>
  <si>
    <t xml:space="preserve"> predicted stdevs of tb is: 0.002932488364231995</t>
  </si>
  <si>
    <t xml:space="preserve"> predicted stdevs of reit is: 0.019724552785517473</t>
  </si>
  <si>
    <t xml:space="preserve"> predicted stdevs of GTBCPS is: 0.010397857624324637.
</t>
  </si>
  <si>
    <t xml:space="preserve"> 0.010397857624324637.
</t>
  </si>
  <si>
    <t>total_value_of_collaterals is: 147040781.7729579</t>
  </si>
  <si>
    <t xml:space="preserve"> createdtionValue_gold is: 3813.855748200854</t>
  </si>
  <si>
    <t xml:space="preserve"> createdValue_tb is: 1677.3221655438977</t>
  </si>
  <si>
    <t xml:space="preserve"> createdValue_reit is: 1651.6126840451063
</t>
  </si>
  <si>
    <t xml:space="preserve"> 1651.6126840451063
</t>
  </si>
  <si>
    <t>plotValue_gold_after_creation is: 78507843.89301243</t>
  </si>
  <si>
    <t xml:space="preserve"> plotValue_tb_after_creation  is: 34527511.1133739</t>
  </si>
  <si>
    <t xml:space="preserve"> plotValue_reit_after_creation  is: 33998283.975973755</t>
  </si>
  <si>
    <t xml:space="preserve">total_value_after_creation is: 147033638.9823601
</t>
  </si>
  <si>
    <t xml:space="preserve"> 147033638.9823601
</t>
  </si>
  <si>
    <t>total_amount_gtncps_before_creation is: 103007829.38978136</t>
  </si>
  <si>
    <t>creation_amount_gtbcps is: 5004.047783598304</t>
  </si>
  <si>
    <t xml:space="preserve">total_amount_gtbcps_new is: 103012833.43756495
</t>
  </si>
  <si>
    <t xml:space="preserve"> 103012833.43756495
</t>
  </si>
  <si>
    <t>payout of tranche of gold is: -1265.413073416987</t>
  </si>
  <si>
    <t xml:space="preserve"> payout of tranche of Treausry Bill Option is: -191.27969239793435</t>
  </si>
  <si>
    <t xml:space="preserve"> payout of tranche of Collar of REIT is: -263.503467716813
</t>
  </si>
  <si>
    <t xml:space="preserve"> -263.503467716813
</t>
  </si>
  <si>
    <t>Collateral size of tranche of gold is: 78507843.89301243</t>
  </si>
  <si>
    <t xml:space="preserve"> collateral size of tranche of Treausry Bill Option is: 34527511.1133739</t>
  </si>
  <si>
    <t xml:space="preserve"> collateral size of tranche of Collar of REIT is: 33998283.975973755
</t>
  </si>
  <si>
    <t xml:space="preserve"> 33998283.975973755
</t>
  </si>
  <si>
    <t>Collateral ratio of tranche of gold is: 0.7622978492746163</t>
  </si>
  <si>
    <t xml:space="preserve"> collateral ratio of tranche of Treausry Bill Option is: 0.3352562770466424</t>
  </si>
  <si>
    <t xml:space="preserve"> collateral ratio of tranche of Collar of REIT is: 0.330117571299384
</t>
  </si>
  <si>
    <t xml:space="preserve"> 0.330117571299384
</t>
  </si>
  <si>
    <t xml:space="preserve">date is: 2022-12-12 00:00:00
</t>
  </si>
  <si>
    <t xml:space="preserve"> 2022-12-12 00</t>
  </si>
  <si>
    <t>current price of gold is: 1781.44</t>
  </si>
  <si>
    <t xml:space="preserve"> predicted price of gold is: 1784.0202144280581
</t>
  </si>
  <si>
    <t xml:space="preserve"> 1784.0202144280581
</t>
  </si>
  <si>
    <t xml:space="preserve"> current price of tb option is: 4.239015812274605</t>
  </si>
  <si>
    <t xml:space="preserve"> predicted price of tb is: 89.8440935912812
</t>
  </si>
  <si>
    <t xml:space="preserve"> 89.8440935912812
</t>
  </si>
  <si>
    <t>current price of reit is: 55.4</t>
  </si>
  <si>
    <t xml:space="preserve"> current price of reit option is: 4.71747717435202</t>
  </si>
  <si>
    <t xml:space="preserve"> predicted price of reit is: 56.03446488353462
</t>
  </si>
  <si>
    <t xml:space="preserve"> 56.03446488353462
</t>
  </si>
  <si>
    <t>value_ratio_gold_to_total is: 0.20739527783524367</t>
  </si>
  <si>
    <t xml:space="preserve"> risk_ratio_to_gold is: 0.5283014154856932</t>
  </si>
  <si>
    <t xml:space="preserve"> risk_ratio_to_gold_before is: 0.5273135010334433
</t>
  </si>
  <si>
    <t xml:space="preserve"> 0.5273135010334433
</t>
  </si>
  <si>
    <t>value_ratio_tb_to_total is: 0.3624205103475577</t>
  </si>
  <si>
    <t xml:space="preserve"> risk_ratio_tb_to_gold is: 0.4100098538348814</t>
  </si>
  <si>
    <t xml:space="preserve"> risk_ratio_tb_to_gold_before is: 0.41080987435254845
</t>
  </si>
  <si>
    <t xml:space="preserve"> 0.41080987435254845
</t>
  </si>
  <si>
    <t>value_ratio_reit_to_total is: 0.4301842118171987</t>
  </si>
  <si>
    <t xml:space="preserve"> risk_ratio_reit_to_gold is: 0.4828489776726042</t>
  </si>
  <si>
    <t xml:space="preserve"> risk_ratio_reit_to_gold_before is: 0.48559520164147185
</t>
  </si>
  <si>
    <t xml:space="preserve"> 0.48559520164147185
</t>
  </si>
  <si>
    <t>delta_gold is: 0.9911646228829591</t>
  </si>
  <si>
    <t xml:space="preserve"> delta_tb is: 0.9990980497458355</t>
  </si>
  <si>
    <t xml:space="preserve"> delta_reit is: 0.9981761116635106
</t>
  </si>
  <si>
    <t xml:space="preserve"> 0.9981761116635106
</t>
  </si>
  <si>
    <t>delta_gold_risk is: 1.000646831479969</t>
  </si>
  <si>
    <t xml:space="preserve"> delta_tb_risk is: 0.9994329352719946</t>
  </si>
  <si>
    <t xml:space="preserve"> delta_reit_risk is: 0.9981514318531499
</t>
  </si>
  <si>
    <t xml:space="preserve"> 0.9981514318531499
</t>
  </si>
  <si>
    <t xml:space="preserve">collateral_ratio_tranche_gold is: 0.7550742545032391
</t>
  </si>
  <si>
    <t xml:space="preserve"> 0.7550742545032391
</t>
  </si>
  <si>
    <t xml:space="preserve">collateral_ratio_tranche_tb is: 0.33813145983278015
</t>
  </si>
  <si>
    <t xml:space="preserve"> 0.33813145983278015
</t>
  </si>
  <si>
    <t xml:space="preserve">collateral_ratio_tranche_reit is: 0.3330685196035714
</t>
  </si>
  <si>
    <t xml:space="preserve"> 0.3330685196035714
</t>
  </si>
  <si>
    <t>Total plot size is: 146246841.40389073</t>
  </si>
  <si>
    <t xml:space="preserve"> plot size of gold is: 77814197.48557189</t>
  </si>
  <si>
    <t xml:space="preserve"> plot size of TB is: 34496369.015949525</t>
  </si>
  <si>
    <t xml:space="preserve"> plot size of REIT is: 33936274.90236932
</t>
  </si>
  <si>
    <t xml:space="preserve"> 33936274.90236932
</t>
  </si>
  <si>
    <t xml:space="preserve">collateral ratio is: 1.419963045770125
</t>
  </si>
  <si>
    <t xml:space="preserve"> 1.419963045770125
</t>
  </si>
  <si>
    <t>S_gtbcps_0 is: 0.9998114822937416</t>
  </si>
  <si>
    <t xml:space="preserve">stdev_gtbcps is: 0.010390048677085643
</t>
  </si>
  <si>
    <t xml:space="preserve"> 0.010390048677085643
</t>
  </si>
  <si>
    <t>predicted price of GTBCPS is: 0.999837134090183</t>
  </si>
  <si>
    <t xml:space="preserve"> actual price is: 0.9998114822937416
</t>
  </si>
  <si>
    <t xml:space="preserve"> 0.9998114822937416
</t>
  </si>
  <si>
    <t>predicted amount of GTBCPS is: 103010190.54289332</t>
  </si>
  <si>
    <t xml:space="preserve"> actual amount is: 103012833.43756495
</t>
  </si>
  <si>
    <t>plot sizes of gold is: 77814197.48557189</t>
  </si>
  <si>
    <t xml:space="preserve"> plot sizes of tb is: 34496369.015949525 </t>
  </si>
  <si>
    <t xml:space="preserve"> plot sizes of reit is: 33936274.90236932</t>
  </si>
  <si>
    <t xml:space="preserve"> plot sizes of total is: 146246841.40389073.
</t>
  </si>
  <si>
    <t xml:space="preserve"> 146246841.40389073.
</t>
  </si>
  <si>
    <t>predicted stdevs of gold is: 0.009650722367940992</t>
  </si>
  <si>
    <t xml:space="preserve"> predicted stdevs of tb is: 0.002928540450890625</t>
  </si>
  <si>
    <t xml:space="preserve"> predicted stdevs of reit is: 0.019669942404916096</t>
  </si>
  <si>
    <t xml:space="preserve"> predicted stdevs of GTBCPS is: 0.010390048677085643.
</t>
  </si>
  <si>
    <t xml:space="preserve"> 0.010390048677085643.
</t>
  </si>
  <si>
    <t>total_value_of_collaterals is: 146247752.05023336</t>
  </si>
  <si>
    <t xml:space="preserve"> createdtionValue_gold is: -1996.4683563733495</t>
  </si>
  <si>
    <t xml:space="preserve"> createdValue_tb is: -885.0633173298744</t>
  </si>
  <si>
    <t xml:space="preserve"> createdValue_reit is: -870.6932527329942
</t>
  </si>
  <si>
    <t xml:space="preserve"> -870.6932527329942
</t>
  </si>
  <si>
    <t>plotValue_gold_after_creation is: 77816896.92965198</t>
  </si>
  <si>
    <t xml:space="preserve"> plotValue_tb_after_creation  is: 34497356.655321375</t>
  </si>
  <si>
    <t xml:space="preserve"> plotValue_reit_after_creation  is: 33937250.69018643</t>
  </si>
  <si>
    <t xml:space="preserve">total_value_after_creation is: 146251504.27515978
</t>
  </si>
  <si>
    <t xml:space="preserve"> 146251504.27515978
</t>
  </si>
  <si>
    <t>total_amount_gtncps_before_creation is: 103012833.43756495</t>
  </si>
  <si>
    <t>creation_amount_gtbcps is: -2642.8946716338396</t>
  </si>
  <si>
    <t xml:space="preserve">total_amount_gtbcps_new is: 103010190.54289332
</t>
  </si>
  <si>
    <t xml:space="preserve"> 103010190.54289332
</t>
  </si>
  <si>
    <t>payout of tranche of gold is: 702.9757237188969</t>
  </si>
  <si>
    <t xml:space="preserve"> payout of tranche of Treausry Bill Option is: 102.57605452148489</t>
  </si>
  <si>
    <t xml:space="preserve"> payout of tranche of Collar of REIT is: 105.09456437552285
</t>
  </si>
  <si>
    <t xml:space="preserve"> 105.09456437552285
</t>
  </si>
  <si>
    <t>Collateral size of tranche of gold is: 77816896.92965198</t>
  </si>
  <si>
    <t xml:space="preserve"> collateral size of tranche of Treausry Bill Option is: 34497356.655321375</t>
  </si>
  <si>
    <t xml:space="preserve"> collateral size of tranche of Collar of REIT is: 33937250.69018643
</t>
  </si>
  <si>
    <t xml:space="preserve"> 33937250.69018643
</t>
  </si>
  <si>
    <t>Collateral ratio of tranche of gold is: 0.7555327828254953</t>
  </si>
  <si>
    <t xml:space="preserve"> collateral ratio of tranche of Treausry Bill Option is: 0.33493861747636694</t>
  </si>
  <si>
    <t xml:space="preserve"> collateral ratio of tranche of Collar of REIT is: 0.32950048726027614
</t>
  </si>
  <si>
    <t xml:space="preserve"> 0.32950048726027614
</t>
  </si>
  <si>
    <t xml:space="preserve">date is: 2022-12-13 00:00:00
</t>
  </si>
  <si>
    <t xml:space="preserve"> 2022-12-13 00</t>
  </si>
  <si>
    <t>current price of gold is: 1810.8</t>
  </si>
  <si>
    <t xml:space="preserve"> predicted price of gold is: 1803.9052748350446
</t>
  </si>
  <si>
    <t xml:space="preserve"> 1803.9052748350446
</t>
  </si>
  <si>
    <t>current price of tb is: 89.99609375</t>
  </si>
  <si>
    <t xml:space="preserve"> current price of tb option is: 4.245062549268162</t>
  </si>
  <si>
    <t xml:space="preserve"> predicted price of tb is: 90.25971768626994
</t>
  </si>
  <si>
    <t xml:space="preserve"> 90.25971768626994
</t>
  </si>
  <si>
    <t>current price of reit is: 57.55</t>
  </si>
  <si>
    <t xml:space="preserve"> current price of reit option is: 4.565734156486734</t>
  </si>
  <si>
    <t xml:space="preserve"> predicted price of reit is: 57.86625581573508
</t>
  </si>
  <si>
    <t xml:space="preserve"> 57.86625581573508
</t>
  </si>
  <si>
    <t>value_ratio_gold_to_total is: -2.762363666643609</t>
  </si>
  <si>
    <t xml:space="preserve"> risk_ratio_to_gold is: 0.5212277956337573</t>
  </si>
  <si>
    <t xml:space="preserve"> risk_ratio_to_gold_before is: 0.5283014154856932
</t>
  </si>
  <si>
    <t xml:space="preserve"> 0.5283014154856932
</t>
  </si>
  <si>
    <t>value_ratio_tb_to_total is: 1.8064000281319577</t>
  </si>
  <si>
    <t xml:space="preserve"> risk_ratio_tb_to_gold is: 0.4146195928965786</t>
  </si>
  <si>
    <t xml:space="preserve"> risk_ratio_tb_to_gold_before is: 0.4100098538348814
</t>
  </si>
  <si>
    <t xml:space="preserve"> 0.4100098538348814
</t>
  </si>
  <si>
    <t>value_ratio_reit_to_total is: 1.9559636385116512</t>
  </si>
  <si>
    <t xml:space="preserve"> risk_ratio_reit_to_gold is: 0.5039273617686206</t>
  </si>
  <si>
    <t xml:space="preserve"> risk_ratio_reit_to_gold_before is: 0.4828489776726042
</t>
  </si>
  <si>
    <t xml:space="preserve"> 0.4828489776726042
</t>
  </si>
  <si>
    <t>delta_gold is: 1.0164810490389797</t>
  </si>
  <si>
    <t xml:space="preserve"> delta_tb is: 1.0045614218397885</t>
  </si>
  <si>
    <t xml:space="preserve"> delta_reit is: 1.0332392022429582
</t>
  </si>
  <si>
    <t xml:space="preserve"> 1.0332392022429582
</t>
  </si>
  <si>
    <t>delta_gold_risk is: 0.9953715806448507</t>
  </si>
  <si>
    <t xml:space="preserve"> delta_tb_risk is: 1.0032692956358849</t>
  </si>
  <si>
    <t xml:space="preserve"> delta_reit_risk is: 1.014214788163458
</t>
  </si>
  <si>
    <t xml:space="preserve"> 1.014214788163458
</t>
  </si>
  <si>
    <t xml:space="preserve">collateral_ratio_tranche_gold is: 0.7715558396516212
</t>
  </si>
  <si>
    <t xml:space="preserve"> 0.7715558396516212
</t>
  </si>
  <si>
    <t xml:space="preserve">collateral_ratio_tranche_tb is: 0.32993235877143057
</t>
  </si>
  <si>
    <t xml:space="preserve"> 0.32993235877143057
</t>
  </si>
  <si>
    <t xml:space="preserve">collateral_ratio_tranche_reit is: 0.3302385066562565
</t>
  </si>
  <si>
    <t xml:space="preserve"> 0.3302385066562565
</t>
  </si>
  <si>
    <t>Total plot size is: 148819412.50484225</t>
  </si>
  <si>
    <t xml:space="preserve"> plot size of gold is: 79099401.0240108</t>
  </si>
  <si>
    <t xml:space="preserve"> plot size of TB is: 34654713.65138393</t>
  </si>
  <si>
    <t xml:space="preserve"> plot size of REIT is: 35065297.829447515
</t>
  </si>
  <si>
    <t xml:space="preserve"> 35065297.829447515
</t>
  </si>
  <si>
    <t xml:space="preserve">collateral ratio is: 1.4449410614380256
</t>
  </si>
  <si>
    <t xml:space="preserve"> 1.4449410614380256
</t>
  </si>
  <si>
    <t>S_gtbcps_0 is: 0.999837134090183</t>
  </si>
  <si>
    <t xml:space="preserve">stdev_gtbcps is: 0.010571486661557087
</t>
  </si>
  <si>
    <t xml:space="preserve"> 0.010571486661557087
</t>
  </si>
  <si>
    <t>predicted price of GTBCPS is: 0.9998470176410494</t>
  </si>
  <si>
    <t xml:space="preserve"> actual price is: 0.999837134090183
</t>
  </si>
  <si>
    <t xml:space="preserve"> 0.999837134090183
</t>
  </si>
  <si>
    <t>predicted amount of GTBCPS is: 103009172.28065917</t>
  </si>
  <si>
    <t xml:space="preserve"> actual amount is: 103010190.54289332
</t>
  </si>
  <si>
    <t>plot sizes of gold is: 79099401.0240108</t>
  </si>
  <si>
    <t xml:space="preserve"> plot sizes of tb is: 34654713.65138393 </t>
  </si>
  <si>
    <t xml:space="preserve"> plot sizes of reit is: 35065297.829447515</t>
  </si>
  <si>
    <t xml:space="preserve"> plot sizes of total is: 148819412.50484225.
</t>
  </si>
  <si>
    <t xml:space="preserve"> 148819412.50484225.
</t>
  </si>
  <si>
    <t>predicted stdevs of gold is: 0.009696302559433283</t>
  </si>
  <si>
    <t xml:space="preserve"> predicted stdevs of tb is: 0.002962924717323816</t>
  </si>
  <si>
    <t xml:space="preserve"> predicted stdevs of reit is: 0.02006517684377436</t>
  </si>
  <si>
    <t xml:space="preserve"> predicted stdevs of GTBCPS is: 0.010571486661557087.
</t>
  </si>
  <si>
    <t xml:space="preserve"> 0.010571486661557087.
</t>
  </si>
  <si>
    <t>total_value_of_collaterals is: 148819761.63132238</t>
  </si>
  <si>
    <t xml:space="preserve"> createdtionValue_gold is: -781.9128311187723</t>
  </si>
  <si>
    <t xml:space="preserve"> createdValue_tb is: -342.56795774734155</t>
  </si>
  <si>
    <t xml:space="preserve"> createdValue_reit is: -346.62648837424626
</t>
  </si>
  <si>
    <t xml:space="preserve"> -346.62648837424626
</t>
  </si>
  <si>
    <t>plotValue_gold_after_creation is: 79100438.98328942</t>
  </si>
  <si>
    <t xml:space="preserve"> plotValue_tb_after_creation  is: 34655110.852513425</t>
  </si>
  <si>
    <t xml:space="preserve"> plotValue_reit_after_creation  is: 35065682.90279677</t>
  </si>
  <si>
    <t xml:space="preserve">total_value_after_creation is: 148821232.73859963
</t>
  </si>
  <si>
    <t xml:space="preserve"> 148821232.73859963
</t>
  </si>
  <si>
    <t>total_amount_gtncps_before_creation is: 103010190.54289332</t>
  </si>
  <si>
    <t>creation_amount_gtbcps is: -1018.2622341513634</t>
  </si>
  <si>
    <t xml:space="preserve">total_amount_gtbcps_new is: 103009172.28065917
</t>
  </si>
  <si>
    <t xml:space="preserve"> 103009172.28065917
</t>
  </si>
  <si>
    <t>payout of tranche of gold is: 256.04644750684133</t>
  </si>
  <si>
    <t xml:space="preserve"> payout of tranche of Treausry Bill Option is: 54.633171751942605</t>
  </si>
  <si>
    <t xml:space="preserve"> payout of tranche of Collar of REIT is: 38.44686087628023
</t>
  </si>
  <si>
    <t xml:space="preserve"> 38.44686087628023
</t>
  </si>
  <si>
    <t>Collateral size of tranche of gold is: 79100438.98328942</t>
  </si>
  <si>
    <t xml:space="preserve"> collateral size of tranche of Treausry Bill Option is: 34655110.852513425</t>
  </si>
  <si>
    <t xml:space="preserve"> collateral size of tranche of Collar of REIT is: 35065682.90279677
</t>
  </si>
  <si>
    <t xml:space="preserve"> 35065682.90279677
</t>
  </si>
  <si>
    <t>Collateral ratio of tranche of gold is: 0.7680069456197656</t>
  </si>
  <si>
    <t xml:space="preserve"> collateral ratio of tranche of Treausry Bill Option is: 0.33647557684952834</t>
  </si>
  <si>
    <t xml:space="preserve"> collateral ratio of tranche of Collar of REIT is: 0.340461928762968
</t>
  </si>
  <si>
    <t xml:space="preserve"> 0.340461928762968
</t>
  </si>
  <si>
    <t xml:space="preserve">date is: 2022-12-14 00:00:00
</t>
  </si>
  <si>
    <t xml:space="preserve"> 2022-12-14 00</t>
  </si>
  <si>
    <t>current price of gold is: 1807.32</t>
  </si>
  <si>
    <t xml:space="preserve"> predicted price of gold is: 1805.6795551844652
</t>
  </si>
  <si>
    <t xml:space="preserve"> 1805.6795551844652
</t>
  </si>
  <si>
    <t>current price of tb is: 90.0859375</t>
  </si>
  <si>
    <t xml:space="preserve"> current price of tb option is: 4.24626461945312</t>
  </si>
  <si>
    <t xml:space="preserve"> predicted price of tb is: 90.3483187960867
</t>
  </si>
  <si>
    <t xml:space="preserve"> 90.3483187960867
</t>
  </si>
  <si>
    <t>current price of reit is: 56.9</t>
  </si>
  <si>
    <t xml:space="preserve"> current price of reit option is: 4.624893001573113</t>
  </si>
  <si>
    <t xml:space="preserve"> predicted price of reit is: 57.372707251090254
</t>
  </si>
  <si>
    <t xml:space="preserve"> 57.372707251090254
</t>
  </si>
  <si>
    <t>value_ratio_gold_to_total is: -0.20593594327897144</t>
  </si>
  <si>
    <t xml:space="preserve"> risk_ratio_to_gold is: 0.5256279498709573</t>
  </si>
  <si>
    <t xml:space="preserve"> risk_ratio_to_gold_before is: 0.5212277956337573
</t>
  </si>
  <si>
    <t xml:space="preserve"> 0.5212277956337573
</t>
  </si>
  <si>
    <t>value_ratio_tb_to_total is: 0.566000295002266</t>
  </si>
  <si>
    <t xml:space="preserve"> risk_ratio_tb_to_gold is: 0.4112751641067064</t>
  </si>
  <si>
    <t xml:space="preserve"> risk_ratio_tb_to_gold_before is: 0.4146195928965786
</t>
  </si>
  <si>
    <t xml:space="preserve"> 0.4146195928965786
</t>
  </si>
  <si>
    <t>value_ratio_reit_to_total is: 0.6399356482767055</t>
  </si>
  <si>
    <t xml:space="preserve"> risk_ratio_reit_to_gold is: 0.4912111862586084</t>
  </si>
  <si>
    <t xml:space="preserve"> risk_ratio_reit_to_gold_before is: 0.5039273617686206
</t>
  </si>
  <si>
    <t xml:space="preserve"> 0.5039273617686206
</t>
  </si>
  <si>
    <t>delta_gold is: 0.998078197481776</t>
  </si>
  <si>
    <t xml:space="preserve"> delta_tb is: 1.0009660940480805</t>
  </si>
  <si>
    <t xml:space="preserve"> delta_reit is: 0.9904880597011841
</t>
  </si>
  <si>
    <t xml:space="preserve"> 0.9904880597011841
</t>
  </si>
  <si>
    <t>delta_gold_risk is: 1.0028925018658148</t>
  </si>
  <si>
    <t xml:space="preserve"> delta_tb_risk is: 0.9976358104986909</t>
  </si>
  <si>
    <t xml:space="preserve"> delta_reit_risk is: 0.9915446877068198
</t>
  </si>
  <si>
    <t xml:space="preserve"> 0.9915446877068198
</t>
  </si>
  <si>
    <t xml:space="preserve">collateral_ratio_tranche_gold is: 0.764320190360961
</t>
  </si>
  <si>
    <t xml:space="preserve"> 0.764320190360961
</t>
  </si>
  <si>
    <t xml:space="preserve">collateral_ratio_tranche_tb is: 0.3382488388903427
</t>
  </si>
  <si>
    <t xml:space="preserve"> 0.3382488388903427
</t>
  </si>
  <si>
    <t xml:space="preserve">collateral_ratio_tranche_reit is: 0.34075398134791485
</t>
  </si>
  <si>
    <t xml:space="preserve"> 0.34075398134791485
</t>
  </si>
  <si>
    <t>Total plot size is: 148369154.72979045</t>
  </si>
  <si>
    <t xml:space="preserve"> plot size of gold is: 78948423.5604587</t>
  </si>
  <si>
    <t xml:space="preserve"> plot size of TB is: 34688590.948843606</t>
  </si>
  <si>
    <t xml:space="preserve"> plot size of REIT is: 34732140.22048815
</t>
  </si>
  <si>
    <t xml:space="preserve"> 34732140.22048815
</t>
  </si>
  <si>
    <t xml:space="preserve">collateral ratio is: 1.4405693471807683
</t>
  </si>
  <si>
    <t xml:space="preserve"> 1.4405693471807683
</t>
  </si>
  <si>
    <t>S_gtbcps_0 is: 0.9998470176410494</t>
  </si>
  <si>
    <t xml:space="preserve">stdev_gtbcps is: 0.010601817493173682
</t>
  </si>
  <si>
    <t xml:space="preserve"> 0.010601817493173682
</t>
  </si>
  <si>
    <t>predicted price of GTBCPS is: 0.9998504662165473</t>
  </si>
  <si>
    <t xml:space="preserve"> actual price is: 0.9998470176410494
</t>
  </si>
  <si>
    <t xml:space="preserve"> 0.9998470176410494
</t>
  </si>
  <si>
    <t>predicted amount of GTBCPS is: 103008816.99262404</t>
  </si>
  <si>
    <t xml:space="preserve"> actual amount is: 103009172.28065917
</t>
  </si>
  <si>
    <t>plot sizes of gold is: 78948423.5604587</t>
  </si>
  <si>
    <t xml:space="preserve"> plot sizes of tb is: 34688590.948843606 </t>
  </si>
  <si>
    <t xml:space="preserve"> plot sizes of reit is: 34732140.22048815</t>
  </si>
  <si>
    <t xml:space="preserve"> plot sizes of total is: 148369154.72979048.
</t>
  </si>
  <si>
    <t xml:space="preserve"> 148369154.72979048.
</t>
  </si>
  <si>
    <t>predicted stdevs of gold is: 0.009782412716516215</t>
  </si>
  <si>
    <t xml:space="preserve"> predicted stdevs of tb is: 0.002964692510165676</t>
  </si>
  <si>
    <t xml:space="preserve"> predicted stdevs of reit is: 0.020091927168054618</t>
  </si>
  <si>
    <t xml:space="preserve"> predicted stdevs of GTBCPS is: 0.010601817493173682.
</t>
  </si>
  <si>
    <t xml:space="preserve"> 0.010601817493173682.
</t>
  </si>
  <si>
    <t>total_value_of_collaterals is: 148369277.14640674</t>
  </si>
  <si>
    <t xml:space="preserve"> createdtionValue_gold is: -272.30156432087085</t>
  </si>
  <si>
    <t xml:space="preserve"> createdValue_tb is: -119.64457484529994</t>
  </si>
  <si>
    <t xml:space="preserve"> createdValue_reit is: -119.79480194151893
</t>
  </si>
  <si>
    <t xml:space="preserve"> -119.79480194151893
</t>
  </si>
  <si>
    <t>plotValue_gold_after_creation is: 78948785.15002419</t>
  </si>
  <si>
    <t xml:space="preserve"> plotValue_tb_after_creation  is: 34688724.08935915</t>
  </si>
  <si>
    <t xml:space="preserve"> plotValue_reit_after_creation  is: 34732279.6479645</t>
  </si>
  <si>
    <t xml:space="preserve">total_value_after_creation is: 148369788.88734785
</t>
  </si>
  <si>
    <t xml:space="preserve"> 148369788.88734785
</t>
  </si>
  <si>
    <t>total_amount_gtncps_before_creation is: 103009172.28065917</t>
  </si>
  <si>
    <t>creation_amount_gtbcps is: -355.28803512454033</t>
  </si>
  <si>
    <t xml:space="preserve">total_amount_gtbcps_new is: 103008816.99262404
</t>
  </si>
  <si>
    <t xml:space="preserve"> 103008816.99262404
</t>
  </si>
  <si>
    <t>payout of tranche of gold is: 89.28800116834098</t>
  </si>
  <si>
    <t xml:space="preserve"> payout of tranche of Treausry Bill Option is: 13.495940699532756</t>
  </si>
  <si>
    <t xml:space="preserve"> payout of tranche of Collar of REIT is: 19.63267440717479
</t>
  </si>
  <si>
    <t xml:space="preserve"> 19.63267440717479
</t>
  </si>
  <si>
    <t>Collateral size of tranche of gold is: 78948785.15002419</t>
  </si>
  <si>
    <t xml:space="preserve"> collateral size of tranche of Treausry Bill Option is: 34688724.08935915</t>
  </si>
  <si>
    <t xml:space="preserve"> collateral size of tranche of Collar of REIT is: 34732279.6479645
</t>
  </si>
  <si>
    <t xml:space="preserve"> 34732279.6479645
</t>
  </si>
  <si>
    <t>Collateral ratio of tranche of gold is: 0.766539432148984</t>
  </si>
  <si>
    <t xml:space="preserve"> collateral ratio of tranche of Treausry Bill Option is: 0.3368041042671066</t>
  </si>
  <si>
    <t xml:space="preserve"> collateral ratio of tranche of Collar of REIT is: 0.337226999351519
</t>
  </si>
  <si>
    <t xml:space="preserve"> 0.337226999351519
</t>
  </si>
  <si>
    <t xml:space="preserve">date is: 2022-12-15 00:00:00
</t>
  </si>
  <si>
    <t xml:space="preserve"> 2022-12-15 00</t>
  </si>
  <si>
    <t>current price of gold is: 1776.85</t>
  </si>
  <si>
    <t xml:space="preserve"> predicted price of gold is: 1797.9573491516312
</t>
  </si>
  <si>
    <t xml:space="preserve"> 1797.9573491516312
</t>
  </si>
  <si>
    <t>current price of tb is: 90.0078125</t>
  </si>
  <si>
    <t xml:space="preserve"> current price of tb option is: 4.2501213217954845</t>
  </si>
  <si>
    <t xml:space="preserve"> predicted price of tb is: 90.26620508158256
</t>
  </si>
  <si>
    <t xml:space="preserve"> 90.26620508158256
</t>
  </si>
  <si>
    <t xml:space="preserve"> current price of reit option is: 4.738745833634134</t>
  </si>
  <si>
    <t xml:space="preserve"> predicted price of reit is: 56.363972594574044
</t>
  </si>
  <si>
    <t xml:space="preserve"> 56.363972594574044
</t>
  </si>
  <si>
    <t>value_ratio_gold_to_total is: 0.6815730053076465</t>
  </si>
  <si>
    <t xml:space="preserve"> risk_ratio_to_gold is: 0.5332528637268645</t>
  </si>
  <si>
    <t xml:space="preserve"> risk_ratio_to_gold_before is: 0.5256279498709573
</t>
  </si>
  <si>
    <t xml:space="preserve"> 0.5256279498709573
</t>
  </si>
  <si>
    <t>value_ratio_tb_to_total is: 0.14558348130415005</t>
  </si>
  <si>
    <t xml:space="preserve"> risk_ratio_tb_to_gold is: 0.4050886918455822</t>
  </si>
  <si>
    <t xml:space="preserve"> risk_ratio_tb_to_gold_before is: 0.4112751641067064
</t>
  </si>
  <si>
    <t xml:space="preserve"> 0.4112751641067064
</t>
  </si>
  <si>
    <t>value_ratio_reit_to_total is: 0.17284351338820347</t>
  </si>
  <si>
    <t xml:space="preserve"> risk_ratio_reit_to_gold is: 0.4701942518053426</t>
  </si>
  <si>
    <t xml:space="preserve"> risk_ratio_reit_to_gold_before is: 0.4912111862586084
</t>
  </si>
  <si>
    <t xml:space="preserve"> 0.4912111862586084
</t>
  </si>
  <si>
    <t>delta_gold is: 0.9831407830378682</t>
  </si>
  <si>
    <t xml:space="preserve"> delta_tb is: 0.9992126941172901</t>
  </si>
  <si>
    <t xml:space="preserve"> delta_reit is: 0.9831588952472866
</t>
  </si>
  <si>
    <t xml:space="preserve"> 0.9831588952472866
</t>
  </si>
  <si>
    <t>delta_gold_risk is: 1.0049978855307102</t>
  </si>
  <si>
    <t xml:space="preserve"> delta_tb_risk is: 0.9956163954284282</t>
  </si>
  <si>
    <t xml:space="preserve"> delta_reit_risk is: 0.985906131440714
</t>
  </si>
  <si>
    <t xml:space="preserve"> 0.985906131440714
</t>
  </si>
  <si>
    <t xml:space="preserve">collateral_ratio_tranche_gold is: 0.7498684210209976
</t>
  </si>
  <si>
    <t xml:space="preserve"> 0.7498684210209976
</t>
  </si>
  <si>
    <t xml:space="preserve">collateral_ratio_tranche_tb is: 0.34381717376425996
</t>
  </si>
  <si>
    <t xml:space="preserve"> 0.34381717376425996
</t>
  </si>
  <si>
    <t xml:space="preserve">collateral_ratio_tranche_reit is: 0.34205407722279507
</t>
  </si>
  <si>
    <t xml:space="preserve"> 0.34205407722279507
</t>
  </si>
  <si>
    <t>Total plot size is: 146426533.5932157</t>
  </si>
  <si>
    <t xml:space="preserve"> plot size of gold is: 77617770.4522832</t>
  </si>
  <si>
    <t xml:space="preserve"> plot size of TB is: 34661413.4528199</t>
  </si>
  <si>
    <t xml:space="preserve"> plot size of REIT is: 34147349.688112594
</t>
  </si>
  <si>
    <t xml:space="preserve"> 34147349.688112594
</t>
  </si>
  <si>
    <t xml:space="preserve">collateral ratio is: 1.4217077416965849
</t>
  </si>
  <si>
    <t xml:space="preserve"> 1.4217077416965849
</t>
  </si>
  <si>
    <t>S_gtbcps_0 is: 0.9998504662165473</t>
  </si>
  <si>
    <t xml:space="preserve">stdev_gtbcps is: 0.010526627954725233
</t>
  </si>
  <si>
    <t xml:space="preserve"> 0.010526627954725233
</t>
  </si>
  <si>
    <t>predicted price of GTBCPS is: 0.999842351748669</t>
  </si>
  <si>
    <t xml:space="preserve"> actual price is: 0.9998504662165473
</t>
  </si>
  <si>
    <t xml:space="preserve"> 0.9998504662165473
</t>
  </si>
  <si>
    <t>predicted amount of GTBCPS is: 103009652.98615363</t>
  </si>
  <si>
    <t xml:space="preserve"> actual amount is: 103008816.99262404
</t>
  </si>
  <si>
    <t>plot sizes of gold is: 77617770.4522832</t>
  </si>
  <si>
    <t xml:space="preserve"> plot sizes of tb is: 34661413.4528199 </t>
  </si>
  <si>
    <t xml:space="preserve"> plot sizes of reit is: 34147349.688112594</t>
  </si>
  <si>
    <t xml:space="preserve"> plot sizes of total is: 146426533.5932157.
</t>
  </si>
  <si>
    <t xml:space="preserve"> 146426533.5932157.
</t>
  </si>
  <si>
    <t>predicted stdevs of gold is: 0.00970445390280669</t>
  </si>
  <si>
    <t xml:space="preserve"> predicted stdevs of tb is: 0.0029055132339955636</t>
  </si>
  <si>
    <t xml:space="preserve"> predicted stdevs of reit is: 0.020131295026571072</t>
  </si>
  <si>
    <t xml:space="preserve"> predicted stdevs of GTBCPS is: 0.010526627954725233.
</t>
  </si>
  <si>
    <t xml:space="preserve"> 0.010526627954725233.
</t>
  </si>
  <si>
    <t>total_value_of_collaterals is: 146426245.03362715</t>
  </si>
  <si>
    <t xml:space="preserve"> createdtionValue_gold is: 629.9194978182159</t>
  </si>
  <si>
    <t xml:space="preserve"> createdValue_tb is: 281.3006055414372</t>
  </si>
  <si>
    <t xml:space="preserve"> createdValue_reit is: 277.12865679422566
</t>
  </si>
  <si>
    <t xml:space="preserve"> 277.12865679422566
</t>
  </si>
  <si>
    <t>plotValue_gold_after_creation is: 77616943.16321044</t>
  </si>
  <si>
    <t xml:space="preserve"> plotValue_tb_after_creation  is: 34661084.76989427</t>
  </si>
  <si>
    <t xml:space="preserve"> plotValue_reit_after_creation  is: 34147028.75176226</t>
  </si>
  <si>
    <t xml:space="preserve">total_value_after_creation is: 146425056.68486696
</t>
  </si>
  <si>
    <t xml:space="preserve"> 146425056.68486696
</t>
  </si>
  <si>
    <t>total_amount_gtncps_before_creation is: 103008816.99262404</t>
  </si>
  <si>
    <t>creation_amount_gtbcps is: 835.9935295879841</t>
  </si>
  <si>
    <t xml:space="preserve">total_amount_gtbcps_new is: 103009652.98615363
</t>
  </si>
  <si>
    <t xml:space="preserve"> 103009652.98615363
</t>
  </si>
  <si>
    <t>payout of tranche of gold is: -197.3695749512512</t>
  </si>
  <si>
    <t xml:space="preserve"> payout of tranche of Treausry Bill Option is: -47.38232008080717</t>
  </si>
  <si>
    <t xml:space="preserve"> payout of tranche of Collar of REIT is: -43.80769353010014
</t>
  </si>
  <si>
    <t xml:space="preserve"> -43.80769353010014
</t>
  </si>
  <si>
    <t>Collateral size of tranche of gold is: 77616943.16321044</t>
  </si>
  <si>
    <t xml:space="preserve"> collateral size of tranche of Treausry Bill Option is: 34661084.76989427</t>
  </si>
  <si>
    <t xml:space="preserve"> collateral size of tranche of Collar of REIT is: 34147028.75176226
</t>
  </si>
  <si>
    <t xml:space="preserve"> 34147028.75176226
</t>
  </si>
  <si>
    <t>Collateral ratio of tranche of gold is: 0.7536168605202817</t>
  </si>
  <si>
    <t xml:space="preserve"> collateral ratio of tranche of Treausry Bill Option is: 0.33653963712005885</t>
  </si>
  <si>
    <t xml:space="preserve"> collateral ratio of tranche of Collar of REIT is: 0.33154844232768493
</t>
  </si>
  <si>
    <t xml:space="preserve"> 0.33154844232768493
</t>
  </si>
  <si>
    <t xml:space="preserve">date is: 2022-12-16 00:00:00
</t>
  </si>
  <si>
    <t xml:space="preserve"> 2022-12-16 00</t>
  </si>
  <si>
    <t>current price of gold is: 1793.08</t>
  </si>
  <si>
    <t xml:space="preserve"> predicted price of gold is: 1790.1975293930734
</t>
  </si>
  <si>
    <t xml:space="preserve"> 1790.1975293930734
</t>
  </si>
  <si>
    <t>current price of tb is: 90.12109375</t>
  </si>
  <si>
    <t xml:space="preserve"> current price of tb option is: 4.246894110859661</t>
  </si>
  <si>
    <t xml:space="preserve"> predicted price of tb is: 90.38282424766719
</t>
  </si>
  <si>
    <t xml:space="preserve"> 90.38282424766719
</t>
  </si>
  <si>
    <t>current price of reit is: 55.65</t>
  </si>
  <si>
    <t xml:space="preserve"> current price of reit option is: 4.725225572615294</t>
  </si>
  <si>
    <t xml:space="preserve"> predicted price of reit is: 56.08849128190507
</t>
  </si>
  <si>
    <t xml:space="preserve"> 56.08849128190507
</t>
  </si>
  <si>
    <t>value_ratio_gold_to_total is: -0.42452510040424846</t>
  </si>
  <si>
    <t xml:space="preserve"> risk_ratio_to_gold is: 0.5411162715989094</t>
  </si>
  <si>
    <t xml:space="preserve"> risk_ratio_to_gold_before is: 0.5332528637268645
</t>
  </si>
  <si>
    <t xml:space="preserve"> 0.5332528637268645
</t>
  </si>
  <si>
    <t>value_ratio_tb_to_total is: 0.6640221447603187</t>
  </si>
  <si>
    <t xml:space="preserve"> risk_ratio_tb_to_gold is: 0.3908331663135534</t>
  </si>
  <si>
    <t xml:space="preserve"> risk_ratio_tb_to_gold_before is: 0.4050886918455822
</t>
  </si>
  <si>
    <t xml:space="preserve"> 0.4050886918455822
</t>
  </si>
  <si>
    <t>value_ratio_reit_to_total is: 0.7605029556439297</t>
  </si>
  <si>
    <t xml:space="preserve"> risk_ratio_reit_to_gold is: 0.4571984906262109</t>
  </si>
  <si>
    <t xml:space="preserve"> risk_ratio_reit_to_gold_before is: 0.4701942518053426
</t>
  </si>
  <si>
    <t xml:space="preserve"> 0.4701942518053426
</t>
  </si>
  <si>
    <t>delta_gold is: 1.0091341418802937</t>
  </si>
  <si>
    <t xml:space="preserve"> delta_tb is: 1.0011675838266543</t>
  </si>
  <si>
    <t xml:space="preserve"> delta_reit is: 0.9981232829437221
</t>
  </si>
  <si>
    <t xml:space="preserve"> 0.9981232829437221
</t>
  </si>
  <si>
    <t>delta_gold_risk is: 1.0051285786304884</t>
  </si>
  <si>
    <t xml:space="preserve"> delta_tb_risk is: 0.9898543589349479</t>
  </si>
  <si>
    <t xml:space="preserve"> delta_reit_risk is: 0.9911605142224074
</t>
  </si>
  <si>
    <t xml:space="preserve"> 0.9911605142224074
</t>
  </si>
  <si>
    <t xml:space="preserve">collateral_ratio_tranche_gold is: 0.7566201180786795
</t>
  </si>
  <si>
    <t xml:space="preserve"> 0.7566201180786795
</t>
  </si>
  <si>
    <t xml:space="preserve">collateral_ratio_tranche_tb is: 0.3373050177456834
</t>
  </si>
  <si>
    <t xml:space="preserve"> 0.3373050177456834
</t>
  </si>
  <si>
    <t xml:space="preserve">collateral_ratio_tranche_reit is: 0.3308554447733283
</t>
  </si>
  <si>
    <t xml:space="preserve"> 0.3308554447733283
</t>
  </si>
  <si>
    <t>Total plot size is: 147110406.2667464</t>
  </si>
  <si>
    <t xml:space="preserve"> plot size of gold is: 78325907.3343779</t>
  </si>
  <si>
    <t xml:space="preserve"> plot size of TB is: 34701554.49188589</t>
  </si>
  <si>
    <t xml:space="preserve"> plot size of REIT is: 34082944.44048262
</t>
  </si>
  <si>
    <t xml:space="preserve"> 34082944.44048262
</t>
  </si>
  <si>
    <t xml:space="preserve">collateral ratio is: 1.4283477068069683
</t>
  </si>
  <si>
    <t xml:space="preserve"> 1.4283477068069683
</t>
  </si>
  <si>
    <t>S_gtbcps_0 is: 0.999842351748669</t>
  </si>
  <si>
    <t xml:space="preserve">stdev_gtbcps is: 0.010577905289332036
</t>
  </si>
  <si>
    <t xml:space="preserve"> 0.010577905289332036
</t>
  </si>
  <si>
    <t>predicted price of GTBCPS is: 0.9998387103933225</t>
  </si>
  <si>
    <t xml:space="preserve"> actual price is: 0.999842351748669
</t>
  </si>
  <si>
    <t xml:space="preserve"> 0.999842351748669
</t>
  </si>
  <si>
    <t>predicted amount of GTBCPS is: 103010028.14141291</t>
  </si>
  <si>
    <t xml:space="preserve"> actual amount is: 103009652.98615363
</t>
  </si>
  <si>
    <t>plot sizes of gold is: 78325907.3343779</t>
  </si>
  <si>
    <t xml:space="preserve"> plot sizes of tb is: 34701554.49188589 </t>
  </si>
  <si>
    <t xml:space="preserve"> plot sizes of reit is: 34082944.44048262</t>
  </si>
  <si>
    <t xml:space="preserve"> plot sizes of total is: 147110406.2667464.
</t>
  </si>
  <si>
    <t xml:space="preserve"> 147110406.2667464.
</t>
  </si>
  <si>
    <t>predicted stdevs of gold is: 0.009849273313434822</t>
  </si>
  <si>
    <t xml:space="preserve"> predicted stdevs of tb is: 0.0028631142556618167</t>
  </si>
  <si>
    <t xml:space="preserve"> predicted stdevs of reit is: 0.020107187673973643</t>
  </si>
  <si>
    <t xml:space="preserve"> predicted stdevs of GTBCPS is: 0.010577905289332036.
</t>
  </si>
  <si>
    <t xml:space="preserve"> 0.010577905289332036.
</t>
  </si>
  <si>
    <t>total_value_of_collaterals is: 147110277.05897653</t>
  </si>
  <si>
    <t xml:space="preserve"> createdtionValue_gold is: 285.25706810406905</t>
  </si>
  <si>
    <t xml:space="preserve"> createdValue_tb is: 126.38055868330696</t>
  </si>
  <si>
    <t xml:space="preserve"> createdValue_reit is: 124.12762955499029
</t>
  </si>
  <si>
    <t xml:space="preserve"> 124.12762955499029
</t>
  </si>
  <si>
    <t>plotValue_gold_after_creation is: 78325522.22120708</t>
  </si>
  <si>
    <t xml:space="preserve"> plotValue_tb_after_creation  is: 34701412.74068827</t>
  </si>
  <si>
    <t xml:space="preserve"> plotValue_reit_after_creation  is: 34082806.33182483</t>
  </si>
  <si>
    <t xml:space="preserve">total_value_after_creation is: 147109741.2937202
</t>
  </si>
  <si>
    <t xml:space="preserve"> 147109741.2937202
</t>
  </si>
  <si>
    <t>total_amount_gtncps_before_creation is: 103009652.98615363</t>
  </si>
  <si>
    <t>creation_amount_gtbcps is: 375.15525928139687</t>
  </si>
  <si>
    <t xml:space="preserve">total_amount_gtbcps_new is: 103010028.14141291
</t>
  </si>
  <si>
    <t xml:space="preserve"> 103010028.14141291
</t>
  </si>
  <si>
    <t>payout of tranche of gold is: -99.85610272152125</t>
  </si>
  <si>
    <t xml:space="preserve"> payout of tranche of Treausry Bill Option is: -15.370638937130703</t>
  </si>
  <si>
    <t xml:space="preserve"> payout of tranche of Collar of REIT is: -13.981028231487814
</t>
  </si>
  <si>
    <t xml:space="preserve"> -13.981028231487814
</t>
  </si>
  <si>
    <t>Collateral size of tranche of gold is: 78325522.22120708</t>
  </si>
  <si>
    <t xml:space="preserve"> collateral size of tranche of Treausry Bill Option is: 34701412.74068827</t>
  </si>
  <si>
    <t xml:space="preserve"> collateral size of tranche of Collar of REIT is: 34082806.33182483
</t>
  </si>
  <si>
    <t xml:space="preserve"> 34082806.33182483
</t>
  </si>
  <si>
    <t>Collateral ratio of tranche of gold is: 0.7604933623291038</t>
  </si>
  <si>
    <t xml:space="preserve"> collateral ratio of tranche of Treausry Bill Option is: 0.3369296916808904</t>
  </si>
  <si>
    <t xml:space="preserve"> collateral ratio of tranche of Collar of REIT is: 0.3309233982723861
</t>
  </si>
  <si>
    <t xml:space="preserve"> 0.3309233982723861
</t>
  </si>
  <si>
    <t xml:space="preserve">date is: 2022-12-19 00:00:00
</t>
  </si>
  <si>
    <t xml:space="preserve"> 2022-12-19 00</t>
  </si>
  <si>
    <t>current price of gold is: 1787.62</t>
  </si>
  <si>
    <t xml:space="preserve"> predicted price of gold is: 1784.1111426609223
</t>
  </si>
  <si>
    <t xml:space="preserve"> 1784.1111426609223
</t>
  </si>
  <si>
    <t>current price of tb is: 89.88671875</t>
  </si>
  <si>
    <t xml:space="preserve"> current price of tb option is: 4.2410129685215345</t>
  </si>
  <si>
    <t xml:space="preserve"> predicted price of tb is: 90.15452990985689
</t>
  </si>
  <si>
    <t xml:space="preserve"> 90.15452990985689
</t>
  </si>
  <si>
    <t>current price of reit is: 55.35</t>
  </si>
  <si>
    <t xml:space="preserve"> current price of reit option is: 4.696940980854478</t>
  </si>
  <si>
    <t xml:space="preserve"> predicted price of reit is: 55.826429015086966
</t>
  </si>
  <si>
    <t xml:space="preserve"> 55.826429015086966
</t>
  </si>
  <si>
    <t>value_ratio_gold_to_total is: -0.56838909995414</t>
  </si>
  <si>
    <t xml:space="preserve"> risk_ratio_to_gold is: 0.5404560046495291</t>
  </si>
  <si>
    <t xml:space="preserve"> risk_ratio_to_gold_before is: 0.5411162715989094
</t>
  </si>
  <si>
    <t xml:space="preserve"> 0.5411162715989094
</t>
  </si>
  <si>
    <t>value_ratio_tb_to_total is: 0.7303706707136172</t>
  </si>
  <si>
    <t xml:space="preserve"> risk_ratio_tb_to_gold is: 0.3902317556678857</t>
  </si>
  <si>
    <t xml:space="preserve"> risk_ratio_tb_to_gold_before is: 0.3908331663135534
</t>
  </si>
  <si>
    <t xml:space="preserve"> 0.3908331663135534
</t>
  </si>
  <si>
    <t>value_ratio_reit_to_total is: 0.8380184292405228</t>
  </si>
  <si>
    <t xml:space="preserve"> risk_ratio_reit_to_gold is: 0.4600576136739769</t>
  </si>
  <si>
    <t xml:space="preserve"> risk_ratio_reit_to_gold_before is: 0.4571984906262109
</t>
  </si>
  <si>
    <t xml:space="preserve"> 0.4571984906262109
</t>
  </si>
  <si>
    <t>delta_gold is: 0.9969549601802485</t>
  </si>
  <si>
    <t xml:space="preserve"> delta_tb is: 0.9974540503852602</t>
  </si>
  <si>
    <t xml:space="preserve"> delta_reit is: 0.9945625943647038
</t>
  </si>
  <si>
    <t xml:space="preserve"> 0.9945625943647038
</t>
  </si>
  <si>
    <t>delta_gold_risk is: 0.9995715657789433</t>
  </si>
  <si>
    <t xml:space="preserve"> delta_tb_risk is: 0.9995675896575994</t>
  </si>
  <si>
    <t xml:space="preserve"> delta_reit_risk is: 1.001962068356616
</t>
  </si>
  <si>
    <t xml:space="preserve"> 1.001962068356616
</t>
  </si>
  <si>
    <t xml:space="preserve">collateral_ratio_tranche_gold is: 0.7585025982279963
</t>
  </si>
  <si>
    <t xml:space="preserve"> 0.7585025982279963
</t>
  </si>
  <si>
    <t xml:space="preserve">collateral_ratio_tranche_tb is: 0.3372441914788137
</t>
  </si>
  <si>
    <t xml:space="preserve"> 0.3372441914788137
</t>
  </si>
  <si>
    <t xml:space="preserve">collateral_ratio_tranche_reit is: 0.3294828225364233
</t>
  </si>
  <si>
    <t xml:space="preserve"> 0.3294828225364233
</t>
  </si>
  <si>
    <t>Total plot size is: 146597566.86804032</t>
  </si>
  <si>
    <t xml:space="preserve"> plot size of gold is: 78087017.88714068</t>
  </si>
  <si>
    <t xml:space="preserve"> plot size of TB is: 34613064.692290194</t>
  </si>
  <si>
    <t xml:space="preserve"> plot size of REIT is: 33897484.28860946
</t>
  </si>
  <si>
    <t xml:space="preserve"> 33897484.28860946
</t>
  </si>
  <si>
    <t xml:space="preserve">collateral ratio is: 1.423368365115981
</t>
  </si>
  <si>
    <t xml:space="preserve"> 1.423368365115981
</t>
  </si>
  <si>
    <t>S_gtbcps_0 is: 0.9998387103933225</t>
  </si>
  <si>
    <t xml:space="preserve">stdev_gtbcps is: 0.010583072630164607
</t>
  </si>
  <si>
    <t xml:space="preserve"> 0.010583072630164607
</t>
  </si>
  <si>
    <t>predicted price of GTBCPS is: 0.9998081616932409</t>
  </si>
  <si>
    <t xml:space="preserve"> actual price is: 0.9998387103933225
</t>
  </si>
  <si>
    <t xml:space="preserve"> 0.9998387103933225
</t>
  </si>
  <si>
    <t>predicted amount of GTBCPS is: 103013175.56766492</t>
  </si>
  <si>
    <t xml:space="preserve"> actual amount is: 103010028.14141291
</t>
  </si>
  <si>
    <t>plot sizes of gold is: 78087017.88714068</t>
  </si>
  <si>
    <t xml:space="preserve"> plot sizes of tb is: 34613064.692290194 </t>
  </si>
  <si>
    <t xml:space="preserve"> plot sizes of reit is: 33897484.28860946</t>
  </si>
  <si>
    <t xml:space="preserve"> plot sizes of total is: 146597566.86804032.
</t>
  </si>
  <si>
    <t xml:space="preserve"> 146597566.86804032.
</t>
  </si>
  <si>
    <t>predicted stdevs of gold is: 0.009875996440789828</t>
  </si>
  <si>
    <t xml:space="preserve"> predicted stdevs of tb is: 0.0028707921160816257</t>
  </si>
  <si>
    <t xml:space="preserve"> predicted stdevs of reit is: 0.020086997247797007</t>
  </si>
  <si>
    <t xml:space="preserve"> predicted stdevs of GTBCPS is: 0.010583072630164607.
</t>
  </si>
  <si>
    <t xml:space="preserve"> 0.010583072630164607.
</t>
  </si>
  <si>
    <t>total_value_of_collaterals is: 146596483.23307118</t>
  </si>
  <si>
    <t xml:space="preserve"> createdtionValue_gold is: 2385.8175241611293</t>
  </si>
  <si>
    <t xml:space="preserve"> createdValue_tb is: 1057.549332953372</t>
  </si>
  <si>
    <t xml:space="preserve"> createdValue_reit is: 1035.68756710979
</t>
  </si>
  <si>
    <t xml:space="preserve"> 1035.68756710979
</t>
  </si>
  <si>
    <t>plotValue_gold_after_creation is: 78083840.77223793</t>
  </si>
  <si>
    <t xml:space="preserve"> plotValue_tb_after_creation  is: 34611831.32693787</t>
  </si>
  <si>
    <t xml:space="preserve"> plotValue_reit_after_creation  is: 33896332.079471156</t>
  </si>
  <si>
    <t xml:space="preserve">total_value_after_creation is: 146592004.17864695
</t>
  </si>
  <si>
    <t xml:space="preserve"> 146592004.17864695
</t>
  </si>
  <si>
    <t>total_amount_gtncps_before_creation is: 103010028.14141291</t>
  </si>
  <si>
    <t>creation_amount_gtbcps is: 3147.4262520074844</t>
  </si>
  <si>
    <t xml:space="preserve">total_amount_gtbcps_new is: 103013175.56766492
</t>
  </si>
  <si>
    <t xml:space="preserve"> 103013175.56766492
</t>
  </si>
  <si>
    <t>payout of tranche of gold is: -791.2973785802357</t>
  </si>
  <si>
    <t xml:space="preserve"> payout of tranche of Treausry Bill Option is: -175.81601937446152</t>
  </si>
  <si>
    <t xml:space="preserve"> payout of tranche of Collar of REIT is: -116.52157119531279
</t>
  </si>
  <si>
    <t xml:space="preserve"> -116.52157119531279
</t>
  </si>
  <si>
    <t>Collateral size of tranche of gold is: 78083840.77223793</t>
  </si>
  <si>
    <t xml:space="preserve"> collateral size of tranche of Treausry Bill Option is: 34611831.32693787</t>
  </si>
  <si>
    <t xml:space="preserve"> collateral size of tranche of Collar of REIT is: 33896332.079471156
</t>
  </si>
  <si>
    <t xml:space="preserve"> 33896332.079471156
</t>
  </si>
  <si>
    <t>Collateral ratio of tranche of gold is: 0.7581671855385785</t>
  </si>
  <si>
    <t xml:space="preserve"> collateral ratio of tranche of Treausry Bill Option is: 0.33606895465124786</t>
  </si>
  <si>
    <t xml:space="preserve"> collateral ratio of tranche of Collar of REIT is: 0.32912170352551073
</t>
  </si>
  <si>
    <t xml:space="preserve"> 0.32912170352551073
</t>
  </si>
  <si>
    <t xml:space="preserve">date is: 2022-12-20 00:00:00
</t>
  </si>
  <si>
    <t xml:space="preserve"> 2022-12-20 00</t>
  </si>
  <si>
    <t>current price of gold is: 1817.94</t>
  </si>
  <si>
    <t xml:space="preserve"> predicted price of gold is: 1810.7212062594317
</t>
  </si>
  <si>
    <t xml:space="preserve"> 1810.7212062594317
</t>
  </si>
  <si>
    <t>current price of tb is: 89.83984375</t>
  </si>
  <si>
    <t xml:space="preserve"> current price of tb option is: 4.232433974066972</t>
  </si>
  <si>
    <t xml:space="preserve"> predicted price of tb is: 90.116526451167
</t>
  </si>
  <si>
    <t xml:space="preserve"> 90.116526451167
</t>
  </si>
  <si>
    <t xml:space="preserve"> current price of reit option is: 4.653946013915132</t>
  </si>
  <si>
    <t xml:space="preserve"> predicted price of reit is: 55.572688726232535
</t>
  </si>
  <si>
    <t xml:space="preserve"> 55.572688726232535
</t>
  </si>
  <si>
    <t>value_ratio_gold_to_total is: -2.868063222836592</t>
  </si>
  <si>
    <t xml:space="preserve"> risk_ratio_to_gold is: 0.5391106418230771</t>
  </si>
  <si>
    <t xml:space="preserve"> risk_ratio_to_gold_before is: 0.5404560046495291
</t>
  </si>
  <si>
    <t xml:space="preserve"> 0.5404560046495291
</t>
  </si>
  <si>
    <t>value_ratio_tb_to_total is: 1.79149483535453</t>
  </si>
  <si>
    <t xml:space="preserve"> risk_ratio_tb_to_gold is: 0.39079192394775986</t>
  </si>
  <si>
    <t xml:space="preserve"> risk_ratio_tb_to_gold_before is: 0.3902317556678857
</t>
  </si>
  <si>
    <t xml:space="preserve"> 0.3902317556678857
</t>
  </si>
  <si>
    <t>value_ratio_reit_to_total is: 2.0765683874820624</t>
  </si>
  <si>
    <t xml:space="preserve"> risk_ratio_reit_to_gold is: 0.46411488445498644</t>
  </si>
  <si>
    <t xml:space="preserve"> risk_ratio_reit_to_gold_before is: 0.4600576136739769
</t>
  </si>
  <si>
    <t xml:space="preserve"> 0.4600576136739769
</t>
  </si>
  <si>
    <t>delta_gold is: 1.0169610991150246</t>
  </si>
  <si>
    <t xml:space="preserve"> delta_tb is: 0.9994108644345071</t>
  </si>
  <si>
    <t xml:space="preserve"> delta_reit is: 0.9934552042032474
</t>
  </si>
  <si>
    <t xml:space="preserve"> 0.9934552042032474
</t>
  </si>
  <si>
    <t>delta_gold_risk is: 0.9991266463810773</t>
  </si>
  <si>
    <t xml:space="preserve"> delta_tb_risk is: 1.0004029315814362</t>
  </si>
  <si>
    <t xml:space="preserve"> delta_reit_risk is: 1.002778842932643
</t>
  </si>
  <si>
    <t xml:space="preserve"> 1.002778842932643
</t>
  </si>
  <si>
    <t xml:space="preserve">collateral_ratio_tranche_gold is: 0.7717005017441804
</t>
  </si>
  <si>
    <t xml:space="preserve"> 0.7717005017441804
</t>
  </si>
  <si>
    <t xml:space="preserve">collateral_ratio_tranche_tb is: 0.3301362129376198
</t>
  </si>
  <si>
    <t xml:space="preserve"> 0.3301362129376198
</t>
  </si>
  <si>
    <t xml:space="preserve">collateral_ratio_tranche_reit is: 0.3206234687913882
</t>
  </si>
  <si>
    <t xml:space="preserve"> 0.3206234687913882
</t>
  </si>
  <si>
    <t>Total plot size is: 147674156.3087261</t>
  </si>
  <si>
    <t xml:space="preserve"> plot size of gold is: 79408228.53485766</t>
  </si>
  <si>
    <t xml:space="preserve"> plot size of TB is: 34591440.26611633</t>
  </si>
  <si>
    <t xml:space="preserve"> plot size of REIT is: 33674487.507752106
</t>
  </si>
  <si>
    <t xml:space="preserve"> 33674487.507752106
</t>
  </si>
  <si>
    <t xml:space="preserve">collateral ratio is: 1.433821358196483
</t>
  </si>
  <si>
    <t xml:space="preserve"> 1.433821358196483
</t>
  </si>
  <si>
    <t>S_gtbcps_0 is: 0.9998081616932409</t>
  </si>
  <si>
    <t xml:space="preserve">stdev_gtbcps is: 0.010563724526741848
</t>
  </si>
  <si>
    <t xml:space="preserve"> 0.010563724526741848
</t>
  </si>
  <si>
    <t>predicted price of GTBCPS is: 0.9997884769313882</t>
  </si>
  <si>
    <t xml:space="preserve"> actual price is: 0.9998081616932409
</t>
  </si>
  <si>
    <t xml:space="preserve"> 0.9998081616932409
</t>
  </si>
  <si>
    <t>predicted amount of GTBCPS is: 103015203.78650871</t>
  </si>
  <si>
    <t xml:space="preserve"> actual amount is: 103013175.56766492
</t>
  </si>
  <si>
    <t>plot sizes of gold is: 79408228.53485766</t>
  </si>
  <si>
    <t xml:space="preserve"> plot sizes of tb is: 34591440.26611633 </t>
  </si>
  <si>
    <t xml:space="preserve"> plot sizes of reit is: 33674487.507752106</t>
  </si>
  <si>
    <t xml:space="preserve"> plot sizes of total is: 147674156.30872607.
</t>
  </si>
  <si>
    <t xml:space="preserve"> 147674156.30872607.
</t>
  </si>
  <si>
    <t>predicted stdevs of gold is: 0.009880506439645973</t>
  </si>
  <si>
    <t xml:space="preserve"> predicted stdevs of tb is: 0.002869485235663917</t>
  </si>
  <si>
    <t xml:space="preserve"> predicted stdevs of reit is: 0.020078582228912515</t>
  </si>
  <si>
    <t xml:space="preserve"> predicted stdevs of GTBCPS is: 0.010563724526741848.
</t>
  </si>
  <si>
    <t xml:space="preserve"> 0.010563724526741848.
</t>
  </si>
  <si>
    <t>total_value_of_collaterals is: 147673458.43618</t>
  </si>
  <si>
    <t xml:space="preserve"> createdtionValue_gold is: 1563.4212596242262</t>
  </si>
  <si>
    <t xml:space="preserve"> createdValue_tb is: 681.0533292521376</t>
  </si>
  <si>
    <t xml:space="preserve"> createdValue_reit is: 663.0000373769726
</t>
  </si>
  <si>
    <t xml:space="preserve"> 663.0000373769726
</t>
  </si>
  <si>
    <t>plotValue_gold_after_creation is: 79406119.90524018</t>
  </si>
  <si>
    <t xml:space="preserve"> plotValue_tb_after_creation  is: 34590678.610483095</t>
  </si>
  <si>
    <t xml:space="preserve"> plotValue_reit_after_creation  is: 33673752.44583045</t>
  </si>
  <si>
    <t xml:space="preserve">total_value_after_creation is: 147670550.96155372
</t>
  </si>
  <si>
    <t xml:space="preserve"> 147670550.96155372
</t>
  </si>
  <si>
    <t>total_amount_gtncps_before_creation is: 103013175.56766492</t>
  </si>
  <si>
    <t>creation_amount_gtbcps is: 2028.2188437879086</t>
  </si>
  <si>
    <t xml:space="preserve">total_amount_gtbcps_new is: 103015203.78650871
</t>
  </si>
  <si>
    <t xml:space="preserve"> 103015203.78650871
</t>
  </si>
  <si>
    <t>payout of tranche of gold is: -545.2083578492256</t>
  </si>
  <si>
    <t xml:space="preserve"> payout of tranche of Treausry Bill Option is: -80.60230397812452</t>
  </si>
  <si>
    <t xml:space="preserve"> payout of tranche of Collar of REIT is: -72.06188427416903
</t>
  </si>
  <si>
    <t xml:space="preserve"> -72.06188427416903
</t>
  </si>
  <si>
    <t>Collateral size of tranche of gold is: 79406119.90524018</t>
  </si>
  <si>
    <t xml:space="preserve"> collateral size of tranche of Treausry Bill Option is: 34590678.610483095</t>
  </si>
  <si>
    <t xml:space="preserve"> collateral size of tranche of Collar of REIT is: 33673752.44583045
</t>
  </si>
  <si>
    <t xml:space="preserve"> 33673752.44583045
</t>
  </si>
  <si>
    <t>Collateral ratio of tranche of gold is: 0.7709976830367737</t>
  </si>
  <si>
    <t xml:space="preserve"> collateral ratio of tranche of Treausry Bill Option is: 0.33585991980439517</t>
  </si>
  <si>
    <t xml:space="preserve"> collateral ratio of tranche of Collar of REIT is: 0.32695697946041885
</t>
  </si>
  <si>
    <t xml:space="preserve"> 0.32695697946041885
</t>
  </si>
  <si>
    <t xml:space="preserve">date is: 2022-12-21 00:00:00
</t>
  </si>
  <si>
    <t xml:space="preserve"> 2022-12-21 00</t>
  </si>
  <si>
    <t>current price of gold is: 1814.39</t>
  </si>
  <si>
    <t xml:space="preserve"> predicted price of gold is: 1812.042783474722
</t>
  </si>
  <si>
    <t xml:space="preserve"> 1812.042783474722
</t>
  </si>
  <si>
    <t>current price of tb is: 89.9140625</t>
  </si>
  <si>
    <t xml:space="preserve"> current price of tb option is: 4.232940109402313</t>
  </si>
  <si>
    <t xml:space="preserve"> predicted price of tb is: 90.19022218675904
</t>
  </si>
  <si>
    <t xml:space="preserve"> 90.19022218675904
</t>
  </si>
  <si>
    <t>current price of reit is: 55.15</t>
  </si>
  <si>
    <t xml:space="preserve"> current price of reit option is: 4.647553142783451</t>
  </si>
  <si>
    <t xml:space="preserve"> predicted price of reit is: 55.576774123153974
</t>
  </si>
  <si>
    <t xml:space="preserve"> 55.576774123153974
</t>
  </si>
  <si>
    <t>value_ratio_gold_to_total is: -0.32437095539641103</t>
  </si>
  <si>
    <t xml:space="preserve"> risk_ratio_to_gold is: 0.5404594982793466</t>
  </si>
  <si>
    <t xml:space="preserve"> risk_ratio_to_gold_before is: 0.5391106418230771
</t>
  </si>
  <si>
    <t xml:space="preserve"> 0.5391106418230771
</t>
  </si>
  <si>
    <t>value_ratio_tb_to_total is: 0.6231299895459484</t>
  </si>
  <si>
    <t xml:space="preserve"> risk_ratio_tb_to_gold is: 0.38751847714231</t>
  </si>
  <si>
    <t xml:space="preserve"> risk_ratio_tb_to_gold_before is: 0.39079192394775986
</t>
  </si>
  <si>
    <t xml:space="preserve"> 0.39079192394775986
</t>
  </si>
  <si>
    <t>value_ratio_reit_to_total is: 0.7012409658504626</t>
  </si>
  <si>
    <t xml:space="preserve"> risk_ratio_reit_to_gold is: 0.4627589315880132</t>
  </si>
  <si>
    <t xml:space="preserve"> risk_ratio_reit_to_gold_before is: 0.46411488445498644
</t>
  </si>
  <si>
    <t xml:space="preserve"> 0.46411488445498644
</t>
  </si>
  <si>
    <t>delta_gold is: 0.9980472402829577</t>
  </si>
  <si>
    <t xml:space="preserve"> delta_tb is: 1.0007943348151356</t>
  </si>
  <si>
    <t xml:space="preserve"> delta_reit is: 1.0024073366217017
</t>
  </si>
  <si>
    <t xml:space="preserve"> 1.0024073366217017
</t>
  </si>
  <si>
    <t>delta_gold_risk is: 1.000876386933867</t>
  </si>
  <si>
    <t xml:space="preserve"> delta_tb_risk is: 0.9976463432458265</t>
  </si>
  <si>
    <t xml:space="preserve"> delta_reit_risk is: 0.9990738753622616
</t>
  </si>
  <si>
    <t xml:space="preserve"> 0.9990738753622616
</t>
  </si>
  <si>
    <t xml:space="preserve">collateral_ratio_tranche_gold is: 0.7688183274826832
</t>
  </si>
  <si>
    <t xml:space="preserve"> 0.7688183274826832
</t>
  </si>
  <si>
    <t xml:space="preserve">collateral_ratio_tranche_tb is: 0.33757890884987773
</t>
  </si>
  <si>
    <t xml:space="preserve"> 0.33757890884987773
</t>
  </si>
  <si>
    <t xml:space="preserve">collateral_ratio_tranche_reit is: 0.3286897402866541
</t>
  </si>
  <si>
    <t xml:space="preserve"> 0.3286897402866541
</t>
  </si>
  <si>
    <t>Total plot size is: 147624030.5270686</t>
  </si>
  <si>
    <t xml:space="preserve"> plot size of gold is: 79251058.8330026</t>
  </si>
  <si>
    <t xml:space="preserve"> plot size of TB is: 34618155.19078257</t>
  </si>
  <si>
    <t xml:space="preserve"> plot size of REIT is: 33754816.50328341
</t>
  </si>
  <si>
    <t xml:space="preserve"> 33754816.50328341
</t>
  </si>
  <si>
    <t xml:space="preserve">collateral ratio is: 1.4333346690009372
</t>
  </si>
  <si>
    <t xml:space="preserve"> 1.4333346690009372
</t>
  </si>
  <si>
    <t>S_gtbcps_0 is: 0.9997884769313882</t>
  </si>
  <si>
    <t xml:space="preserve">stdev_gtbcps is: 0.010618668533789247
</t>
  </si>
  <si>
    <t xml:space="preserve"> 0.010618668533789247
</t>
  </si>
  <si>
    <t>predicted price of GTBCPS is: 0.9998312784844802</t>
  </si>
  <si>
    <t xml:space="preserve"> actual price is: 0.9997884769313882
</t>
  </si>
  <si>
    <t xml:space="preserve"> 0.9997884769313882
</t>
  </si>
  <si>
    <t>predicted amount of GTBCPS is: 103010793.8317403</t>
  </si>
  <si>
    <t xml:space="preserve"> actual amount is: 103015203.78650871
</t>
  </si>
  <si>
    <t>plot sizes of gold is: 79251058.8330026</t>
  </si>
  <si>
    <t xml:space="preserve"> plot sizes of tb is: 34618155.19078257 </t>
  </si>
  <si>
    <t xml:space="preserve"> plot sizes of reit is: 33754816.50328341</t>
  </si>
  <si>
    <t xml:space="preserve"> plot sizes of total is: 147624030.5270686.
</t>
  </si>
  <si>
    <t xml:space="preserve"> 147624030.5270686.
</t>
  </si>
  <si>
    <t>predicted stdevs of gold is: 0.00997512820134193</t>
  </si>
  <si>
    <t xml:space="preserve"> predicted stdevs of tb is: 0.002863782992757488</t>
  </si>
  <si>
    <t xml:space="preserve"> predicted stdevs of reit is: 0.020082831488528192</t>
  </si>
  <si>
    <t xml:space="preserve"> predicted stdevs of GTBCPS is: 0.010618668533789247.
</t>
  </si>
  <si>
    <t xml:space="preserve"> 0.010618668533789247.
</t>
  </si>
  <si>
    <t>total_value_of_collaterals is: 147625551.5394413</t>
  </si>
  <si>
    <t xml:space="preserve"> createdtionValue_gold is: -3392.8367201802916</t>
  </si>
  <si>
    <t xml:space="preserve"> createdValue_tb is: -1482.0319069223988</t>
  </si>
  <si>
    <t xml:space="preserve"> createdValue_reit is: -1445.0710678876662
</t>
  </si>
  <si>
    <t xml:space="preserve"> -1445.0710678876662
</t>
  </si>
  <si>
    <t>plotValue_gold_after_creation is: 79255635.14797357</t>
  </si>
  <si>
    <t xml:space="preserve"> plotValue_tb_after_creation  is: 34619815.151745796</t>
  </si>
  <si>
    <t xml:space="preserve"> plotValue_reit_after_creation  is: 33756421.17941691</t>
  </si>
  <si>
    <t xml:space="preserve">total_value_after_creation is: 147631871.4791363
</t>
  </si>
  <si>
    <t xml:space="preserve"> 147631871.4791363
</t>
  </si>
  <si>
    <t>total_amount_gtncps_before_creation is: 103015203.78650871</t>
  </si>
  <si>
    <t>creation_amount_gtbcps is: -4409.954768404365</t>
  </si>
  <si>
    <t xml:space="preserve">total_amount_gtbcps_new is: 103010793.8317403
</t>
  </si>
  <si>
    <t xml:space="preserve"> 103010793.8317403
</t>
  </si>
  <si>
    <t>payout of tranche of gold is: 1183.478250791998</t>
  </si>
  <si>
    <t xml:space="preserve"> payout of tranche of Treausry Bill Option is: 177.92905629942226</t>
  </si>
  <si>
    <t xml:space="preserve"> payout of tranche of Collar of REIT is: 159.60506561130904
</t>
  </si>
  <si>
    <t xml:space="preserve"> 159.60506561130904
</t>
  </si>
  <si>
    <t>Collateral size of tranche of gold is: 79255635.14797357</t>
  </si>
  <si>
    <t xml:space="preserve"> collateral size of tranche of Treausry Bill Option is: 34619815.151745796</t>
  </si>
  <si>
    <t xml:space="preserve"> collateral size of tranche of Collar of REIT is: 33756421.17941691
</t>
  </si>
  <si>
    <t xml:space="preserve"> 33756421.17941691
</t>
  </si>
  <si>
    <t>Collateral ratio of tranche of gold is: 0.7694884504589751</t>
  </si>
  <si>
    <t xml:space="preserve"> collateral ratio of tranche of Treausry Bill Option is: 0.3361218147650432</t>
  </si>
  <si>
    <t xml:space="preserve"> collateral ratio of tranche of Collar of REIT is: 0.32773917183167245
</t>
  </si>
  <si>
    <t xml:space="preserve"> 0.32773917183167245
</t>
  </si>
  <si>
    <t xml:space="preserve">date is: 2022-12-22 00:00:00
</t>
  </si>
  <si>
    <t xml:space="preserve"> 2022-12-22 00</t>
  </si>
  <si>
    <t>current price of gold is: 1792.52</t>
  </si>
  <si>
    <t xml:space="preserve"> predicted price of gold is: 1795.7748900112479
</t>
  </si>
  <si>
    <t xml:space="preserve"> 1795.7748900112479
</t>
  </si>
  <si>
    <t>current price of tb is: 89.81640625</t>
  </si>
  <si>
    <t xml:space="preserve"> current price of tb option is: 4.2339556339838555</t>
  </si>
  <si>
    <t xml:space="preserve"> predicted price of tb is: 90.09151523216607
</t>
  </si>
  <si>
    <t xml:space="preserve"> 90.09151523216607
</t>
  </si>
  <si>
    <t>current price of reit is: 56.35</t>
  </si>
  <si>
    <t xml:space="preserve"> current price of reit option is: 4.544821216698267</t>
  </si>
  <si>
    <t xml:space="preserve"> predicted price of reit is: 56.90789466666226
</t>
  </si>
  <si>
    <t xml:space="preserve"> 56.90789466666226
</t>
  </si>
  <si>
    <t>value_ratio_gold_to_total is: 0.2529706506843661</t>
  </si>
  <si>
    <t xml:space="preserve"> risk_ratio_to_gold is: 0.5415175145982842</t>
  </si>
  <si>
    <t xml:space="preserve"> risk_ratio_to_gold_before is: 0.5404594982793466
</t>
  </si>
  <si>
    <t xml:space="preserve"> 0.5404594982793466
</t>
  </si>
  <si>
    <t>value_ratio_tb_to_total is: 0.3504453317880271</t>
  </si>
  <si>
    <t xml:space="preserve"> risk_ratio_tb_to_gold is: 0.3824390236904749</t>
  </si>
  <si>
    <t xml:space="preserve"> risk_ratio_tb_to_gold_before is: 0.38751847714231
</t>
  </si>
  <si>
    <t xml:space="preserve"> 0.38751847714231
</t>
  </si>
  <si>
    <t>value_ratio_reit_to_total is: 0.3965840175276068</t>
  </si>
  <si>
    <t xml:space="preserve"> risk_ratio_reit_to_gold is: 0.46422331509247894</t>
  </si>
  <si>
    <t xml:space="preserve"> risk_ratio_reit_to_gold_before is: 0.4627589315880132
</t>
  </si>
  <si>
    <t xml:space="preserve"> 0.4627589315880132
</t>
  </si>
  <si>
    <t>delta_gold is: 0.9879463621382393</t>
  </si>
  <si>
    <t xml:space="preserve"> delta_tb is: 0.9989735124566907</t>
  </si>
  <si>
    <t xml:space="preserve"> delta_reit is: 1.018349715268362
</t>
  </si>
  <si>
    <t xml:space="preserve"> 1.018349715268362
</t>
  </si>
  <si>
    <t>delta_gold_risk is: 1.0006868186538624</t>
  </si>
  <si>
    <t xml:space="preserve"> delta_tb_risk is: 0.9963391813979323</t>
  </si>
  <si>
    <t xml:space="preserve"> delta_reit_risk is: 1.001001110622429
</t>
  </si>
  <si>
    <t xml:space="preserve"> 1.001001110622429
</t>
  </si>
  <si>
    <t xml:space="preserve">collateral_ratio_tranche_gold is: 0.759691545014038
</t>
  </si>
  <si>
    <t xml:space="preserve"> 0.759691545014038
</t>
  </si>
  <si>
    <t xml:space="preserve">collateral_ratio_tranche_tb is: 0.3411222888418982
</t>
  </si>
  <si>
    <t xml:space="preserve"> 0.3411222888418982
</t>
  </si>
  <si>
    <t xml:space="preserve">collateral_ratio_tranche_reit is: 0.33748725182789946
</t>
  </si>
  <si>
    <t xml:space="preserve"> 0.33748725182789946
</t>
  </si>
  <si>
    <t>Total plot size is: 147260436.66267505</t>
  </si>
  <si>
    <t xml:space="preserve"> plot size of gold is: 78300316.42339607</t>
  </si>
  <si>
    <t xml:space="preserve"> plot size of TB is: 34584278.34274086</t>
  </si>
  <si>
    <t xml:space="preserve"> plot size of REIT is: 34375841.896538116
</t>
  </si>
  <si>
    <t xml:space="preserve"> 34375841.896538116
</t>
  </si>
  <si>
    <t xml:space="preserve">collateral ratio is: 1.4298044057408799
</t>
  </si>
  <si>
    <t xml:space="preserve"> 1.4298044057408799
</t>
  </si>
  <si>
    <t>S_gtbcps_0 is: 0.9998312784844802</t>
  </si>
  <si>
    <t xml:space="preserve">stdev_gtbcps is: 0.010642771946566376
</t>
  </si>
  <si>
    <t xml:space="preserve"> 0.010642771946566376
</t>
  </si>
  <si>
    <t>predicted price of GTBCPS is: 0.9998664433482162</t>
  </si>
  <si>
    <t xml:space="preserve"> actual price is: 0.9998312784844802
</t>
  </si>
  <si>
    <t xml:space="preserve"> 0.9998312784844802
</t>
  </si>
  <si>
    <t>predicted amount of GTBCPS is: 103007170.98735692</t>
  </si>
  <si>
    <t xml:space="preserve"> actual amount is: 103010793.8317403
</t>
  </si>
  <si>
    <t>plot sizes of gold is: 78300316.42339607</t>
  </si>
  <si>
    <t xml:space="preserve"> plot sizes of tb is: 34584278.34274086 </t>
  </si>
  <si>
    <t xml:space="preserve"> plot sizes of reit is: 34375841.896538116</t>
  </si>
  <si>
    <t xml:space="preserve"> plot sizes of total is: 147260436.66267505.
</t>
  </si>
  <si>
    <t xml:space="preserve"> 147260436.66267505.
</t>
  </si>
  <si>
    <t>predicted stdevs of gold is: 0.009903860201939419</t>
  </si>
  <si>
    <t xml:space="preserve"> predicted stdevs of tb is: 0.002813642974217151</t>
  </si>
  <si>
    <t xml:space="preserve"> predicted stdevs of reit is: 0.020202444694749785</t>
  </si>
  <si>
    <t xml:space="preserve"> predicted stdevs of GTBCPS is: 0.010642771946566376.
</t>
  </si>
  <si>
    <t xml:space="preserve"> 0.010642771946566376.
</t>
  </si>
  <si>
    <t>total_value_of_collaterals is: 147261685.3202427</t>
  </si>
  <si>
    <t xml:space="preserve"> createdtionValue_gold is: -2753.9184663787423</t>
  </si>
  <si>
    <t xml:space="preserve"> createdValue_tb is: -1216.3618703239683</t>
  </si>
  <si>
    <t xml:space="preserve"> createdValue_reit is: -1209.0306223011662
</t>
  </si>
  <si>
    <t xml:space="preserve"> -1209.0306223011662
</t>
  </si>
  <si>
    <t>plotValue_gold_after_creation is: 78304033.33642769</t>
  </si>
  <si>
    <t xml:space="preserve"> plotValue_tb_after_creation  is: 34585642.82342428</t>
  </si>
  <si>
    <t xml:space="preserve"> plotValue_reit_after_creation  is: 34377188.47134973</t>
  </si>
  <si>
    <t xml:space="preserve">total_value_after_creation is: 147266864.63120168
</t>
  </si>
  <si>
    <t xml:space="preserve"> 147266864.63120168
</t>
  </si>
  <si>
    <t>total_amount_gtncps_before_creation is: 103010793.8317403</t>
  </si>
  <si>
    <t>creation_amount_gtbcps is: -3622.8443833887577</t>
  </si>
  <si>
    <t xml:space="preserve">total_amount_gtbcps_new is: 103007170.98735692
</t>
  </si>
  <si>
    <t xml:space="preserve"> 103007170.98735692
</t>
  </si>
  <si>
    <t>payout of tranche of gold is: 962.9945652456554</t>
  </si>
  <si>
    <t xml:space="preserve"> payout of tranche of Treausry Bill Option is: 148.1188130912509</t>
  </si>
  <si>
    <t xml:space="preserve"> payout of tranche of Collar of REIT is: 137.54418931465707
</t>
  </si>
  <si>
    <t xml:space="preserve"> 137.54418931465707
</t>
  </si>
  <si>
    <t>Collateral size of tranche of gold is: 78304033.33642769</t>
  </si>
  <si>
    <t xml:space="preserve"> collateral size of tranche of Treausry Bill Option is: 34585642.82342428</t>
  </si>
  <si>
    <t xml:space="preserve"> collateral size of tranche of Collar of REIT is: 34377188.47134973
</t>
  </si>
  <si>
    <t xml:space="preserve"> 34377188.47134973
</t>
  </si>
  <si>
    <t>Collateral ratio of tranche of gold is: 0.7602552105926578</t>
  </si>
  <si>
    <t xml:space="preserve"> collateral ratio of tranche of Treausry Bill Option is: 0.33579260285654683</t>
  </si>
  <si>
    <t xml:space="preserve"> collateral ratio of tranche of Collar of REIT is: 0.3337687159559258
</t>
  </si>
  <si>
    <t xml:space="preserve"> 0.3337687159559258
</t>
  </si>
  <si>
    <t xml:space="preserve">date is: 2022-12-23 00:00:00
</t>
  </si>
  <si>
    <t xml:space="preserve"> 2022-12-23 00</t>
  </si>
  <si>
    <t>current price of gold is: 1798.2</t>
  </si>
  <si>
    <t xml:space="preserve"> predicted price of gold is: 1802.0538698684372
</t>
  </si>
  <si>
    <t xml:space="preserve"> 1802.0538698684372
</t>
  </si>
  <si>
    <t>current price of tb is: 89.70703125</t>
  </si>
  <si>
    <t xml:space="preserve"> current price of tb option is: 4.228478024386598</t>
  </si>
  <si>
    <t xml:space="preserve"> predicted price of tb is: 89.9878042019
</t>
  </si>
  <si>
    <t xml:space="preserve"> 89.9878042019
</t>
  </si>
  <si>
    <t>current price of reit is: 56.25</t>
  </si>
  <si>
    <t xml:space="preserve"> current price of reit option is: 4.506948843750116</t>
  </si>
  <si>
    <t xml:space="preserve"> predicted price of reit is: 56.869741768714434
</t>
  </si>
  <si>
    <t xml:space="preserve"> 56.869741768714434
</t>
  </si>
  <si>
    <t>value_ratio_gold_to_total is: 0.285687452390861</t>
  </si>
  <si>
    <t xml:space="preserve"> risk_ratio_to_gold is: 0.5414740972904203</t>
  </si>
  <si>
    <t xml:space="preserve"> risk_ratio_to_gold_before is: 0.5415175145982842
</t>
  </si>
  <si>
    <t xml:space="preserve"> 0.5415175145982842
</t>
  </si>
  <si>
    <t>value_ratio_tb_to_total is: 0.33427086735773126</t>
  </si>
  <si>
    <t xml:space="preserve"> risk_ratio_tb_to_gold is: 0.38079061877489684</t>
  </si>
  <si>
    <t xml:space="preserve"> risk_ratio_tb_to_gold_before is: 0.3824390236904749
</t>
  </si>
  <si>
    <t xml:space="preserve"> 0.3824390236904749
</t>
  </si>
  <si>
    <t>value_ratio_reit_to_total is: 0.3800416802514078</t>
  </si>
  <si>
    <t xml:space="preserve"> risk_ratio_reit_to_gold is: 0.46601979192448856</t>
  </si>
  <si>
    <t xml:space="preserve"> risk_ratio_reit_to_gold_before is: 0.46422331509247894
</t>
  </si>
  <si>
    <t xml:space="preserve"> 0.46422331509247894
</t>
  </si>
  <si>
    <t>delta_gold is: 1.0031687233615245</t>
  </si>
  <si>
    <t xml:space="preserve"> delta_tb is: 0.9987788179939283</t>
  </si>
  <si>
    <t xml:space="preserve"> delta_reit is: 0.9977358932961224
</t>
  </si>
  <si>
    <t xml:space="preserve"> 0.9977358932961224
</t>
  </si>
  <si>
    <t>delta_gold_risk is: 0.9999718346970093</t>
  </si>
  <si>
    <t xml:space="preserve"> delta_tb_risk is: 0.9988076111225669</t>
  </si>
  <si>
    <t xml:space="preserve"> delta_reit_risk is: 1.0012269145105754
</t>
  </si>
  <si>
    <t xml:space="preserve"> 1.0012269145105754
</t>
  </si>
  <si>
    <t xml:space="preserve">collateral_ratio_tranche_gold is: 0.7626857303138644
</t>
  </si>
  <si>
    <t xml:space="preserve"> 0.7626857303138644
</t>
  </si>
  <si>
    <t xml:space="preserve">collateral_ratio_tranche_tb is: 0.3347222804847439
</t>
  </si>
  <si>
    <t xml:space="preserve"> 0.3347222804847439
</t>
  </si>
  <si>
    <t xml:space="preserve">collateral_ratio_tranche_reit is: 0.3315543461267959
</t>
  </si>
  <si>
    <t xml:space="preserve"> 0.3315543461267959
</t>
  </si>
  <si>
    <t>Total plot size is: 147394919.4633736</t>
  </si>
  <si>
    <t xml:space="preserve"> plot size of gold is: 78552157.15616243</t>
  </si>
  <si>
    <t xml:space="preserve"> plot size of TB is: 34543407.45873989</t>
  </si>
  <si>
    <t xml:space="preserve"> plot size of REIT is: 34299354.848471284
</t>
  </si>
  <si>
    <t xml:space="preserve"> 34299354.848471284
</t>
  </si>
  <si>
    <t xml:space="preserve">collateral ratio is: 1.4311101474953718
</t>
  </si>
  <si>
    <t xml:space="preserve"> 1.4311101474953718
</t>
  </si>
  <si>
    <t>S_gtbcps_0 is: 0.9998664433482162</t>
  </si>
  <si>
    <t xml:space="preserve">stdev_gtbcps is: 0.010666913564232492
</t>
  </si>
  <si>
    <t xml:space="preserve"> 0.010666913564232492
</t>
  </si>
  <si>
    <t>predicted price of GTBCPS is: 0.9998936941058308</t>
  </si>
  <si>
    <t xml:space="preserve"> actual price is: 0.9998664433482162
</t>
  </si>
  <si>
    <t xml:space="preserve"> 0.9998664433482162
</t>
  </si>
  <si>
    <t>predicted amount of GTBCPS is: 103004363.66547291</t>
  </si>
  <si>
    <t xml:space="preserve"> actual amount is: 103007170.98735692
</t>
  </si>
  <si>
    <t>plot sizes of gold is: 78552157.15616243</t>
  </si>
  <si>
    <t xml:space="preserve"> plot sizes of tb is: 34543407.45873989 </t>
  </si>
  <si>
    <t xml:space="preserve"> plot sizes of reit is: 34299354.848471284</t>
  </si>
  <si>
    <t xml:space="preserve"> plot sizes of total is: 147394919.4633736.
</t>
  </si>
  <si>
    <t xml:space="preserve"> 147394919.4633736.
</t>
  </si>
  <si>
    <t>predicted stdevs of gold is: 0.009966831997410873</t>
  </si>
  <si>
    <t xml:space="preserve"> predicted stdevs of tb is: 0.002814329408608695</t>
  </si>
  <si>
    <t xml:space="preserve"> predicted stdevs of reit is: 0.020178693969204242</t>
  </si>
  <si>
    <t xml:space="preserve"> predicted stdevs of GTBCPS is: 0.010666913564232492.
</t>
  </si>
  <si>
    <t xml:space="preserve"> 0.010666913564232492.
</t>
  </si>
  <si>
    <t>total_value_of_collaterals is: 147395885.5251861</t>
  </si>
  <si>
    <t xml:space="preserve"> createdtionValue_gold is: -2140.9099510413953</t>
  </si>
  <si>
    <t xml:space="preserve"> createdValue_tb is: -941.4637349911072</t>
  </si>
  <si>
    <t xml:space="preserve"> createdValue_reit is: -934.8123857264993
</t>
  </si>
  <si>
    <t xml:space="preserve"> -934.8123857264993
</t>
  </si>
  <si>
    <t>plotValue_gold_after_creation is: 78554966.80015302</t>
  </si>
  <si>
    <t xml:space="preserve"> plotValue_tb_after_creation  is: 34544494.69479088</t>
  </si>
  <si>
    <t xml:space="preserve"> plotValue_reit_after_creation  is: 34300441.21631396</t>
  </si>
  <si>
    <t xml:space="preserve">total_value_after_creation is: 147399902.71125785
</t>
  </si>
  <si>
    <t xml:space="preserve"> 147399902.71125785
</t>
  </si>
  <si>
    <t>total_amount_gtncps_before_creation is: 103007170.98735692</t>
  </si>
  <si>
    <t>creation_amount_gtbcps is: -2807.321884006262</t>
  </si>
  <si>
    <t xml:space="preserve">total_amount_gtbcps_new is: 103004363.66547291
</t>
  </si>
  <si>
    <t xml:space="preserve"> 103004363.66547291
</t>
  </si>
  <si>
    <t>payout of tranche of gold is: 668.7340395426016</t>
  </si>
  <si>
    <t xml:space="preserve"> payout of tranche of Treausry Bill Option is: 145.7723159968372</t>
  </si>
  <si>
    <t xml:space="preserve"> payout of tranche of Collar of REIT is: 151.55545695159978
</t>
  </si>
  <si>
    <t xml:space="preserve"> 151.55545695159978
</t>
  </si>
  <si>
    <t>Collateral size of tranche of gold is: 78554966.80015302</t>
  </si>
  <si>
    <t xml:space="preserve"> collateral size of tranche of Treausry Bill Option is: 34544494.69479088</t>
  </si>
  <si>
    <t xml:space="preserve"> collateral size of tranche of Collar of REIT is: 34300441.21631396
</t>
  </si>
  <si>
    <t xml:space="preserve"> 34300441.21631396
</t>
  </si>
  <si>
    <t>Collateral ratio of tranche of gold is: 0.7626975655279629</t>
  </si>
  <si>
    <t xml:space="preserve"> collateral ratio of tranche of Treausry Bill Option is: 0.33539574999934074</t>
  </si>
  <si>
    <t xml:space="preserve"> collateral ratio of tranche of Collar of REIT is: 0.33302621180875736
</t>
  </si>
  <si>
    <t xml:space="preserve"> 0.33302621180875736
</t>
  </si>
  <si>
    <t xml:space="preserve">date is: 2022-12-28 00:00:00
</t>
  </si>
  <si>
    <t xml:space="preserve"> 2022-12-28 00</t>
  </si>
  <si>
    <t>current price of gold is: 1804.35</t>
  </si>
  <si>
    <t xml:space="preserve"> predicted price of gold is: 1802.6313690692837
</t>
  </si>
  <si>
    <t xml:space="preserve"> 1802.6313690692837
</t>
  </si>
  <si>
    <t>current price of tb is: 89.48828125</t>
  </si>
  <si>
    <t xml:space="preserve"> current price of tb option is: 4.219734456302206</t>
  </si>
  <si>
    <t xml:space="preserve"> predicted price of tb is: 89.77809497240615
</t>
  </si>
  <si>
    <t xml:space="preserve"> 89.77809497240615
</t>
  </si>
  <si>
    <t>current price of reit is: 56.6</t>
  </si>
  <si>
    <t xml:space="preserve"> current price of reit option is: 4.400590974355815</t>
  </si>
  <si>
    <t xml:space="preserve"> predicted price of reit is: 57.37921670514664
</t>
  </si>
  <si>
    <t xml:space="preserve"> 57.37921670514664
</t>
  </si>
  <si>
    <t>value_ratio_gold_to_total is: -0.21561789502833353</t>
  </si>
  <si>
    <t xml:space="preserve"> risk_ratio_to_gold is: 0.5380553356099054</t>
  </si>
  <si>
    <t xml:space="preserve"> risk_ratio_to_gold_before is: 0.5414740972904203
</t>
  </si>
  <si>
    <t xml:space="preserve"> 0.5414740972904203
</t>
  </si>
  <si>
    <t>value_ratio_tb_to_total is: 0.5657638696265788</t>
  </si>
  <si>
    <t xml:space="preserve"> risk_ratio_tb_to_gold is: 0.38169763812671986</t>
  </si>
  <si>
    <t xml:space="preserve"> risk_ratio_tb_to_gold_before is: 0.38079061877489684
</t>
  </si>
  <si>
    <t xml:space="preserve"> 0.38079061877489684
</t>
  </si>
  <si>
    <t>value_ratio_reit_to_total is: 0.6498540254017547</t>
  </si>
  <si>
    <t xml:space="preserve"> risk_ratio_reit_to_gold is: 0.476847262030182</t>
  </si>
  <si>
    <t xml:space="preserve"> risk_ratio_reit_to_gold_before is: 0.46601979192448856
</t>
  </si>
  <si>
    <t xml:space="preserve"> 0.46601979192448856
</t>
  </si>
  <si>
    <t>delta_gold is: 1.00342008675342</t>
  </si>
  <si>
    <t xml:space="preserve"> delta_tb is: 0.9975781941265695</t>
  </si>
  <si>
    <t xml:space="preserve"> delta_reit is: 1.0040101113575055
</t>
  </si>
  <si>
    <t xml:space="preserve"> 1.0040101113575055
</t>
  </si>
  <si>
    <t>delta_gold_risk is: 0.9977821478242649</t>
  </si>
  <si>
    <t xml:space="preserve"> delta_tb_risk is: 1.0006568840630072</t>
  </si>
  <si>
    <t xml:space="preserve"> delta_reit_risk is: 1.0073856234174574
</t>
  </si>
  <si>
    <t xml:space="preserve"> 1.0073856234174574
</t>
  </si>
  <si>
    <t xml:space="preserve">collateral_ratio_tranche_gold is: 0.7670071658803428
</t>
  </si>
  <si>
    <t xml:space="preserve"> 0.7670071658803428
</t>
  </si>
  <si>
    <t xml:space="preserve">collateral_ratio_tranche_tb is: 0.3332241926715871
</t>
  </si>
  <si>
    <t xml:space="preserve"> 0.3332241926715871
</t>
  </si>
  <si>
    <t xml:space="preserve">collateral_ratio_tranche_reit is: 0.33077902640926954
</t>
  </si>
  <si>
    <t xml:space="preserve"> 0.33077902640926954
</t>
  </si>
  <si>
    <t>Total plot size is: 147722456.04136884</t>
  </si>
  <si>
    <t xml:space="preserve"> plot size of gold is: 78823631.60152157</t>
  </si>
  <si>
    <t xml:space="preserve"> plot size of TB is: 34460834.634644344</t>
  </si>
  <si>
    <t xml:space="preserve"> plot size of REIT is: 34437989.805202946
</t>
  </si>
  <si>
    <t xml:space="preserve"> 34437989.805202946
</t>
  </si>
  <si>
    <t xml:space="preserve">collateral ratio is: 1.4342903176270931
</t>
  </si>
  <si>
    <t xml:space="preserve"> 1.4342903176270931
</t>
  </si>
  <si>
    <t>S_gtbcps_0 is: 0.9998936941058308</t>
  </si>
  <si>
    <t xml:space="preserve">stdev_gtbcps is: 0.01067766203858284
</t>
  </si>
  <si>
    <t xml:space="preserve"> 0.01067766203858284
</t>
  </si>
  <si>
    <t>predicted price of GTBCPS is: 0.9998965128053146</t>
  </si>
  <si>
    <t xml:space="preserve"> actual price is: 0.9998936941058308
</t>
  </si>
  <si>
    <t xml:space="preserve"> 0.9998936941058308
</t>
  </si>
  <si>
    <t>predicted amount of GTBCPS is: 103004073.2970768</t>
  </si>
  <si>
    <t xml:space="preserve"> actual amount is: 103004363.66547291
</t>
  </si>
  <si>
    <t>plot sizes of gold is: 78823631.60152157</t>
  </si>
  <si>
    <t xml:space="preserve"> plot sizes of tb is: 34460834.634644344 </t>
  </si>
  <si>
    <t xml:space="preserve"> plot sizes of reit is: 34437989.805202946</t>
  </si>
  <si>
    <t xml:space="preserve"> plot sizes of total is: 147722456.04136884.
</t>
  </si>
  <si>
    <t xml:space="preserve"> 147722456.04136884.
</t>
  </si>
  <si>
    <t>predicted stdevs of gold is: 0.009965674347842974</t>
  </si>
  <si>
    <t xml:space="preserve"> predicted stdevs of tb is: 0.0028208120285525703</t>
  </si>
  <si>
    <t xml:space="preserve"> predicted stdevs of reit is: 0.020169361938417556</t>
  </si>
  <si>
    <t xml:space="preserve"> predicted stdevs of GTBCPS is: 0.01067766203858284.
</t>
  </si>
  <si>
    <t xml:space="preserve"> 0.01067766203858284.
</t>
  </si>
  <si>
    <t>total_value_of_collaterals is: 147722555.91437453</t>
  </si>
  <si>
    <t xml:space="preserve"> createdtionValue_gold is: -222.20395777531428</t>
  </si>
  <si>
    <t xml:space="preserve"> createdValue_tb is: -97.14510834891698</t>
  </si>
  <si>
    <t xml:space="preserve"> createdValue_reit is: -97.08069491480548
</t>
  </si>
  <si>
    <t xml:space="preserve"> -97.08069491480548
</t>
  </si>
  <si>
    <t>plotValue_gold_after_creation is: 78823927.05866955</t>
  </si>
  <si>
    <t xml:space="preserve"> plotValue_tb_after_creation  is: 34460947.55136839</t>
  </si>
  <si>
    <t xml:space="preserve"> plotValue_reit_after_creation  is: 34438097.73409764</t>
  </si>
  <si>
    <t xml:space="preserve">total_value_after_creation is: 147722972.34413558
</t>
  </si>
  <si>
    <t xml:space="preserve"> 147722972.34413558
</t>
  </si>
  <si>
    <t>total_amount_gtncps_before_creation is: 103004363.66547291</t>
  </si>
  <si>
    <t>creation_amount_gtbcps is: -290.3683961033821</t>
  </si>
  <si>
    <t xml:space="preserve">total_amount_gtbcps_new is: 103004073.2970768
</t>
  </si>
  <si>
    <t xml:space="preserve"> 103004073.2970768
</t>
  </si>
  <si>
    <t>payout of tranche of gold is: 73.25319020228368</t>
  </si>
  <si>
    <t xml:space="preserve"> payout of tranche of Treausry Bill Option is: 15.771615698791912</t>
  </si>
  <si>
    <t xml:space="preserve"> payout of tranche of Collar of REIT is: 10.84819977587868
</t>
  </si>
  <si>
    <t xml:space="preserve"> 10.84819977587868
</t>
  </si>
  <si>
    <t>Collateral size of tranche of gold is: 78823927.05866955</t>
  </si>
  <si>
    <t xml:space="preserve"> collateral size of tranche of Treausry Bill Option is: 34460947.55136839</t>
  </si>
  <si>
    <t xml:space="preserve"> collateral size of tranche of Collar of REIT is: 34438097.73409764
</t>
  </si>
  <si>
    <t xml:space="preserve"> 34438097.73409764
</t>
  </si>
  <si>
    <t>Collateral ratio of tranche of gold is: 0.7653276265657815</t>
  </si>
  <si>
    <t xml:space="preserve"> collateral ratio of tranche of Treausry Bill Option is: 0.3345927586057244</t>
  </si>
  <si>
    <t xml:space="preserve"> collateral ratio of tranche of Collar of REIT is: 0.33437090215842674
</t>
  </si>
  <si>
    <t xml:space="preserve"> 0.33437090215842674
</t>
  </si>
  <si>
    <t xml:space="preserve">date is: 2022-12-29 00:00:00
</t>
  </si>
  <si>
    <t xml:space="preserve"> 2022-12-29 00</t>
  </si>
  <si>
    <t>current price of gold is: 1814.91</t>
  </si>
  <si>
    <t xml:space="preserve"> predicted price of gold is: 1812.0408796550005
</t>
  </si>
  <si>
    <t xml:space="preserve"> 1812.0408796550005
</t>
  </si>
  <si>
    <t>current price of tb is: 89.5078125</t>
  </si>
  <si>
    <t xml:space="preserve"> current price of tb option is: 4.223291410875707</t>
  </si>
  <si>
    <t xml:space="preserve"> predicted price of tb is: 89.7939479832056
</t>
  </si>
  <si>
    <t xml:space="preserve"> 89.7939479832056
</t>
  </si>
  <si>
    <t>current price of reit is: 56.8</t>
  </si>
  <si>
    <t xml:space="preserve"> current price of reit option is: 4.424412424894022</t>
  </si>
  <si>
    <t xml:space="preserve"> predicted price of reit is: 57.504977671623564
</t>
  </si>
  <si>
    <t xml:space="preserve"> 57.504977671623564
</t>
  </si>
  <si>
    <t>value_ratio_gold_to_total is: -0.4238181554065206</t>
  </si>
  <si>
    <t xml:space="preserve"> risk_ratio_to_gold is: 0.547194404150118</t>
  </si>
  <si>
    <t xml:space="preserve"> risk_ratio_to_gold_before is: 0.5380553356099054
</t>
  </si>
  <si>
    <t xml:space="preserve"> 0.5380553356099054
</t>
  </si>
  <si>
    <t>value_ratio_tb_to_total is: 0.6661194925200526</t>
  </si>
  <si>
    <t xml:space="preserve"> risk_ratio_tb_to_gold is: 0.36833982296195167</t>
  </si>
  <si>
    <t xml:space="preserve"> risk_ratio_tb_to_gold_before is: 0.38169763812671986
</t>
  </si>
  <si>
    <t xml:space="preserve"> 0.38169763812671986
</t>
  </si>
  <si>
    <t>value_ratio_reit_to_total is: 0.757698662886468</t>
  </si>
  <si>
    <t xml:space="preserve"> risk_ratio_reit_to_gold is: 0.4591642458217244</t>
  </si>
  <si>
    <t xml:space="preserve"> risk_ratio_reit_to_gold_before is: 0.476847262030182
</t>
  </si>
  <si>
    <t xml:space="preserve"> 0.476847262030182
</t>
  </si>
  <si>
    <t>delta_gold is: 1.0058525230692494</t>
  </si>
  <si>
    <t xml:space="preserve"> delta_tb is: 1.000246384521105</t>
  </si>
  <si>
    <t xml:space="preserve"> delta_reit is: 1.0036691685598964
</t>
  </si>
  <si>
    <t xml:space="preserve"> 1.0036691685598964
</t>
  </si>
  <si>
    <t>delta_gold_risk is: 1.0059419634187534</t>
  </si>
  <si>
    <t xml:space="preserve"> delta_tb_risk is: 0.9903323167123029</t>
  </si>
  <si>
    <t xml:space="preserve"> delta_reit_risk is: 0.9880265098070133
</t>
  </si>
  <si>
    <t xml:space="preserve"> 0.9880265098070133
</t>
  </si>
  <si>
    <t xml:space="preserve">collateral_ratio_tranche_gold is: 0.7652595797272019
</t>
  </si>
  <si>
    <t xml:space="preserve"> 0.7652595797272019
</t>
  </si>
  <si>
    <t xml:space="preserve">collateral_ratio_tranche_tb is: 0.3359760090229392
</t>
  </si>
  <si>
    <t xml:space="preserve"> 0.3359760090229392
</t>
  </si>
  <si>
    <t xml:space="preserve">collateral_ratio_tranche_reit is: 0.3376884085651756
</t>
  </si>
  <si>
    <t xml:space="preserve"> 0.3376884085651756
</t>
  </si>
  <si>
    <t>Total plot size is: 148319141.02518314</t>
  </si>
  <si>
    <t xml:space="preserve"> plot size of gold is: 79285245.91018926</t>
  </si>
  <si>
    <t xml:space="preserve"> plot size of TB is: 34469438.195427656</t>
  </si>
  <si>
    <t xml:space="preserve"> plot size of REIT is: 34564456.91956623
</t>
  </si>
  <si>
    <t xml:space="preserve"> 34564456.91956623
</t>
  </si>
  <si>
    <t xml:space="preserve">collateral ratio is: 1.440083746181508
</t>
  </si>
  <si>
    <t xml:space="preserve"> 1.440083746181508
</t>
  </si>
  <si>
    <t>S_gtbcps_0 is: 0.9998965128053146</t>
  </si>
  <si>
    <t xml:space="preserve">stdev_gtbcps is: 0.010632691384007575
</t>
  </si>
  <si>
    <t xml:space="preserve"> 0.010632691384007575
</t>
  </si>
  <si>
    <t>predicted price of GTBCPS is: 0.9999342068360798</t>
  </si>
  <si>
    <t xml:space="preserve"> actual price is: 0.9998965128053146
</t>
  </si>
  <si>
    <t xml:space="preserve"> 0.9998965128053146
</t>
  </si>
  <si>
    <t>predicted amount of GTBCPS is: 103000190.40290111</t>
  </si>
  <si>
    <t xml:space="preserve"> actual amount is: 103004073.2970768
</t>
  </si>
  <si>
    <t>plot sizes of gold is: 79285245.91018926</t>
  </si>
  <si>
    <t xml:space="preserve"> plot sizes of tb is: 34469438.195427656 </t>
  </si>
  <si>
    <t xml:space="preserve"> plot sizes of reit is: 34564456.91956623</t>
  </si>
  <si>
    <t xml:space="preserve"> plot sizes of total is: 148319141.02518314.
</t>
  </si>
  <si>
    <t xml:space="preserve"> 148319141.02518314.
</t>
  </si>
  <si>
    <t>predicted stdevs of gold is: 0.009946450177451556</t>
  </si>
  <si>
    <t xml:space="preserve"> predicted stdevs of tb is: 0.002727137817088934</t>
  </si>
  <si>
    <t xml:space="preserve"> predicted stdevs of reit is: 0.02009063813120461</t>
  </si>
  <si>
    <t xml:space="preserve"> predicted stdevs of GTBCPS is: 0.010632691384007575.
</t>
  </si>
  <si>
    <t xml:space="preserve"> 0.010632691384007575.
</t>
  </si>
  <si>
    <t>total_value_of_collaterals is: 148320480.24219885</t>
  </si>
  <si>
    <t xml:space="preserve"> createdtionValue_gold is: -2988.924783763625</t>
  </si>
  <si>
    <t xml:space="preserve"> createdValue_tb is: -1299.4344799081712</t>
  </si>
  <si>
    <t xml:space="preserve"> createdValue_reit is: -1303.0161174387597
</t>
  </si>
  <si>
    <t xml:space="preserve"> -1303.0161174387597
</t>
  </si>
  <si>
    <t>plotValue_gold_after_creation is: 79289162.5616501</t>
  </si>
  <si>
    <t xml:space="preserve"> plotValue_tb_after_creation  is: 34470948.30734299</t>
  </si>
  <si>
    <t xml:space="preserve"> plotValue_reit_after_creation  is: 34565960.74858688</t>
  </si>
  <si>
    <t xml:space="preserve">total_value_after_creation is: 148326071.61757997
</t>
  </si>
  <si>
    <t xml:space="preserve"> 148326071.61757997
</t>
  </si>
  <si>
    <t>total_amount_gtncps_before_creation is: 103004073.2970768</t>
  </si>
  <si>
    <t>creation_amount_gtbcps is: -3882.8941756933928</t>
  </si>
  <si>
    <t xml:space="preserve">total_amount_gtbcps_new is: 103000190.40290111
</t>
  </si>
  <si>
    <t xml:space="preserve"> 103000190.40290111
</t>
  </si>
  <si>
    <t>payout of tranche of gold is: 927.7266770709473</t>
  </si>
  <si>
    <t xml:space="preserve"> payout of tranche of Treausry Bill Option is: 210.67743542513927</t>
  </si>
  <si>
    <t xml:space="preserve"> payout of tranche of Collar of REIT is: 200.81290321112374
</t>
  </si>
  <si>
    <t xml:space="preserve"> 200.81290321112374
</t>
  </si>
  <si>
    <t>Collateral size of tranche of gold is: 79289162.5616501</t>
  </si>
  <si>
    <t xml:space="preserve"> collateral size of tranche of Treausry Bill Option is: 34470948.30734299</t>
  </si>
  <si>
    <t xml:space="preserve"> collateral size of tranche of Collar of REIT is: 34565960.74858688
</t>
  </si>
  <si>
    <t xml:space="preserve"> 34565960.74858688
</t>
  </si>
  <si>
    <t>Collateral ratio of tranche of gold is: 0.7698179018714081</t>
  </si>
  <si>
    <t xml:space="preserve"> collateral ratio of tranche of Treausry Bill Option is: 0.3346781860742142</t>
  </si>
  <si>
    <t xml:space="preserve"> collateral ratio of tranche of Collar of REIT is: 0.3356006611743034
</t>
  </si>
  <si>
    <t xml:space="preserve"> 0.3356006611743034
</t>
  </si>
  <si>
    <t xml:space="preserve">date is: 2022-12-30 00:00:00
</t>
  </si>
  <si>
    <t xml:space="preserve"> 2022-12-30 00</t>
  </si>
  <si>
    <t>current price of gold is: 1824.02</t>
  </si>
  <si>
    <t xml:space="preserve"> predicted price of gold is: 1822.5002384061895
</t>
  </si>
  <si>
    <t xml:space="preserve"> 1822.5002384061895
</t>
  </si>
  <si>
    <t>current price of tb is: 89.3984375</t>
  </si>
  <si>
    <t xml:space="preserve"> current price of tb option is: 4.220015329282568</t>
  </si>
  <si>
    <t xml:space="preserve"> predicted price of tb is: 89.68796025747467
</t>
  </si>
  <si>
    <t xml:space="preserve"> 89.68796025747467
</t>
  </si>
  <si>
    <t>current price of reit is: 57.3</t>
  </si>
  <si>
    <t xml:space="preserve"> current price of reit option is: 4.350779468026012</t>
  </si>
  <si>
    <t xml:space="preserve"> predicted price of reit is: 57.90565604118137
</t>
  </si>
  <si>
    <t xml:space="preserve"> 57.90565604118137
</t>
  </si>
  <si>
    <t>value_ratio_gold_to_total is: -0.19125610962789252</t>
  </si>
  <si>
    <t xml:space="preserve"> risk_ratio_to_gold is: 0.544607077236396</t>
  </si>
  <si>
    <t xml:space="preserve"> risk_ratio_to_gold_before is: 0.547194404150118
</t>
  </si>
  <si>
    <t xml:space="preserve"> 0.547194404150118
</t>
  </si>
  <si>
    <t>value_ratio_tb_to_total is: 0.5675079000578819</t>
  </si>
  <si>
    <t xml:space="preserve"> risk_ratio_tb_to_gold is: 0.3681475190505939</t>
  </si>
  <si>
    <t xml:space="preserve"> risk_ratio_tb_to_gold_before is: 0.36833982296195167
</t>
  </si>
  <si>
    <t xml:space="preserve"> 0.36833982296195167
</t>
  </si>
  <si>
    <t>value_ratio_reit_to_total is: 0.6237482095700106</t>
  </si>
  <si>
    <t xml:space="preserve"> risk_ratio_reit_to_gold is: 0.4680386816034474</t>
  </si>
  <si>
    <t xml:space="preserve"> risk_ratio_reit_to_gold_before is: 0.4591642458217244
</t>
  </si>
  <si>
    <t xml:space="preserve"> 0.4591642458217244
</t>
  </si>
  <si>
    <t>delta_gold is: 1.005019532649002</t>
  </si>
  <si>
    <t xml:space="preserve"> delta_tb is: 0.998798146219421</t>
  </si>
  <si>
    <t xml:space="preserve"> delta_reit is: 1.0069640038384202
</t>
  </si>
  <si>
    <t xml:space="preserve"> 1.0069640038384202
</t>
  </si>
  <si>
    <t>delta_gold_risk is: 0.9983277299175968</t>
  </si>
  <si>
    <t xml:space="preserve"> delta_tb_risk is: 0.99985946187626</t>
  </si>
  <si>
    <t xml:space="preserve"> delta_reit_risk is: 1.006081862139327
</t>
  </si>
  <si>
    <t xml:space="preserve"> 1.006081862139327
</t>
  </si>
  <si>
    <t xml:space="preserve">collateral_ratio_tranche_gold is: 0.7749780004883751
</t>
  </si>
  <si>
    <t xml:space="preserve"> 0.7749780004883751
</t>
  </si>
  <si>
    <t xml:space="preserve">collateral_ratio_tranche_tb is: 0.33265317348418766
</t>
  </si>
  <si>
    <t xml:space="preserve"> 0.33265317348418766
</t>
  </si>
  <si>
    <t xml:space="preserve">collateral_ratio_tranche_reit is: 0.3342173042066606
</t>
  </si>
  <si>
    <t xml:space="preserve"> 0.3342173042066606
</t>
  </si>
  <si>
    <t>Total plot size is: 148923354.60155872</t>
  </si>
  <si>
    <t xml:space="preserve"> plot size of gold is: 79687157.10184032</t>
  </si>
  <si>
    <t xml:space="preserve"> plot size of TB is: 34429519.26779967</t>
  </si>
  <si>
    <t xml:space="preserve"> plot size of REIT is: 34806678.23191872
</t>
  </si>
  <si>
    <t xml:space="preserve"> 34806678.23191872
</t>
  </si>
  <si>
    <t xml:space="preserve">collateral ratio is: 1.4459502725418036
</t>
  </si>
  <si>
    <t xml:space="preserve"> 1.4459502725418036
</t>
  </si>
  <si>
    <t>S_gtbcps_0 is: 0.9999342068360798</t>
  </si>
  <si>
    <t xml:space="preserve">stdev_gtbcps is: 0.010659932114256674
</t>
  </si>
  <si>
    <t xml:space="preserve"> 0.010659932114256674
</t>
  </si>
  <si>
    <t>predicted price of GTBCPS is: 0.9999599468020354</t>
  </si>
  <si>
    <t xml:space="preserve"> actual price is: 0.9999342068360798
</t>
  </si>
  <si>
    <t xml:space="preserve"> 0.9999342068360798
</t>
  </si>
  <si>
    <t>predicted amount of GTBCPS is: 102997539.07531257</t>
  </si>
  <si>
    <t xml:space="preserve"> actual amount is: 103000190.40290111
</t>
  </si>
  <si>
    <t>plot sizes of gold is: 79687157.10184032</t>
  </si>
  <si>
    <t xml:space="preserve"> plot sizes of tb is: 34429519.26779967 </t>
  </si>
  <si>
    <t xml:space="preserve"> plot sizes of reit is: 34806678.23191872</t>
  </si>
  <si>
    <t xml:space="preserve"> plot sizes of total is: 148923354.60155872.
</t>
  </si>
  <si>
    <t xml:space="preserve"> 148923354.60155872.
</t>
  </si>
  <si>
    <t>predicted stdevs of gold is: 0.009959040759638797</t>
  </si>
  <si>
    <t xml:space="preserve"> predicted stdevs of tb is: 0.0027280316209523886</t>
  </si>
  <si>
    <t xml:space="preserve"> predicted stdevs of reit is: 0.020110519675628605</t>
  </si>
  <si>
    <t xml:space="preserve"> predicted stdevs of GTBCPS is: 0.010659932114256674.
</t>
  </si>
  <si>
    <t xml:space="preserve"> 0.010659932114256674.
</t>
  </si>
  <si>
    <t>total_value_of_collaterals is: 148924267.06853706</t>
  </si>
  <si>
    <t xml:space="preserve"> createdtionValue_gold is: -2051.2969557739034</t>
  </si>
  <si>
    <t xml:space="preserve"> createdValue_tb is: -886.2766046097018</t>
  </si>
  <si>
    <t xml:space="preserve"> createdValue_reit is: -895.9842258241513
</t>
  </si>
  <si>
    <t xml:space="preserve"> -895.9842258241513
</t>
  </si>
  <si>
    <t>plotValue_gold_after_creation is: 79689879.86644383</t>
  </si>
  <si>
    <t xml:space="preserve"> plotValue_tb_after_creation  is: 34430546.95274042</t>
  </si>
  <si>
    <t xml:space="preserve"> plotValue_reit_after_creation  is: 34807673.80713902</t>
  </si>
  <si>
    <t xml:space="preserve">total_value_after_creation is: 148928100.62632325
</t>
  </si>
  <si>
    <t xml:space="preserve"> 148928100.62632325
</t>
  </si>
  <si>
    <t>total_amount_gtncps_before_creation is: 103000190.40290111</t>
  </si>
  <si>
    <t>creation_amount_gtbcps is: -2651.327588543296</t>
  </si>
  <si>
    <t xml:space="preserve">total_amount_gtbcps_new is: 102997539.07531257
</t>
  </si>
  <si>
    <t xml:space="preserve"> 102997539.07531257
</t>
  </si>
  <si>
    <t>payout of tranche of gold is: 671.4676477263032</t>
  </si>
  <si>
    <t xml:space="preserve"> payout of tranche of Treausry Bill Option is: 141.40833614741334</t>
  </si>
  <si>
    <t xml:space="preserve"> payout of tranche of Collar of REIT is: 99.59099446843044
</t>
  </si>
  <si>
    <t xml:space="preserve"> 99.59099446843044
</t>
  </si>
  <si>
    <t>Collateral size of tranche of gold is: 79689879.86644383</t>
  </si>
  <si>
    <t xml:space="preserve"> collateral size of tranche of Treausry Bill Option is: 34430546.95274042</t>
  </si>
  <si>
    <t xml:space="preserve"> collateral size of tranche of Collar of REIT is: 34807673.80713902
</t>
  </si>
  <si>
    <t xml:space="preserve"> 34807673.80713902
</t>
  </si>
  <si>
    <t>Collateral ratio of tranche of gold is: 0.7737177136963966</t>
  </si>
  <si>
    <t xml:space="preserve"> collateral ratio of tranche of Treausry Bill Option is: 0.33428992632737364</t>
  </si>
  <si>
    <t xml:space="preserve"> collateral ratio of tranche of Collar of REIT is: 0.33795149198725183
</t>
  </si>
  <si>
    <t xml:space="preserve"> 0.33795149198725183
</t>
  </si>
  <si>
    <t xml:space="preserve">date is: 2023-01-03 00:00:00
</t>
  </si>
  <si>
    <t xml:space="preserve"> 2023-01-03 00</t>
  </si>
  <si>
    <t>current price of gold is: 1839.48</t>
  </si>
  <si>
    <t xml:space="preserve"> predicted price of gold is: 1828.238030771504
</t>
  </si>
  <si>
    <t xml:space="preserve"> 1828.238030771504
</t>
  </si>
  <si>
    <t>current price of tb is: 89.58984375</t>
  </si>
  <si>
    <t xml:space="preserve"> current price of tb option is: 4.225935225819249</t>
  </si>
  <si>
    <t xml:space="preserve"> predicted price of tb is: 89.87324564308716
</t>
  </si>
  <si>
    <t xml:space="preserve"> 89.87324564308716
</t>
  </si>
  <si>
    <t>current price of reit is: 58.2</t>
  </si>
  <si>
    <t xml:space="preserve"> current price of reit option is: 4.334128853899507</t>
  </si>
  <si>
    <t xml:space="preserve"> predicted price of reit is: 58.64170201885998
</t>
  </si>
  <si>
    <t xml:space="preserve"> 58.64170201885998
</t>
  </si>
  <si>
    <t>value_ratio_gold_to_total is: 5.745074674374034</t>
  </si>
  <si>
    <t xml:space="preserve"> risk_ratio_to_gold is: 0.5444384953748262</t>
  </si>
  <si>
    <t xml:space="preserve"> risk_ratio_to_gold_before is: 0.544607077236396
</t>
  </si>
  <si>
    <t xml:space="preserve"> 0.544607077236396
</t>
  </si>
  <si>
    <t>value_ratio_tb_to_total is: -2.304443105428255</t>
  </si>
  <si>
    <t xml:space="preserve"> risk_ratio_tb_to_gold is: 0.3713857317381775</t>
  </si>
  <si>
    <t xml:space="preserve"> risk_ratio_tb_to_gold_before is: 0.3681475190505939
</t>
  </si>
  <si>
    <t xml:space="preserve"> 0.3681475190505939
</t>
  </si>
  <si>
    <t>value_ratio_reit_to_total is: -2.4406315689457783</t>
  </si>
  <si>
    <t xml:space="preserve"> risk_ratio_reit_to_gold is: 0.46536903210624186</t>
  </si>
  <si>
    <t xml:space="preserve"> risk_ratio_reit_to_gold_before is: 0.4680386816034474
</t>
  </si>
  <si>
    <t xml:space="preserve"> 0.4680386816034474
</t>
  </si>
  <si>
    <t>delta_gold is: 1.0084757842567516</t>
  </si>
  <si>
    <t xml:space="preserve"> delta_tb is: 1.0021077697886818</t>
  </si>
  <si>
    <t xml:space="preserve"> delta_reit is: 1.0143282760330976
</t>
  </si>
  <si>
    <t xml:space="preserve"> 1.0143282760330976
</t>
  </si>
  <si>
    <t>delta_gold_risk is: 0.9998908577695557</t>
  </si>
  <si>
    <t xml:space="preserve"> delta_tb_risk is: 1.0023668593061008</t>
  </si>
  <si>
    <t xml:space="preserve"> delta_reit_risk is: 0.9981814855898145
</t>
  </si>
  <si>
    <t xml:space="preserve"> 0.9981814855898145
</t>
  </si>
  <si>
    <t xml:space="preserve">collateral_ratio_tranche_gold is: 0.7803607484259488
</t>
  </si>
  <si>
    <t xml:space="preserve"> 0.7803607484259488
</t>
  </si>
  <si>
    <t xml:space="preserve">collateral_ratio_tranche_tb is: 0.3313946899280574
</t>
  </si>
  <si>
    <t xml:space="preserve"> 0.3313946899280574
</t>
  </si>
  <si>
    <t xml:space="preserve">collateral_ratio_tranche_reit is: 0.3405319896377457
</t>
  </si>
  <si>
    <t xml:space="preserve"> 0.3405319896377457
</t>
  </si>
  <si>
    <t>Total plot size is: 150174840.48057118</t>
  </si>
  <si>
    <t xml:space="preserve"> plot size of gold is: 80365314.09563826</t>
  </si>
  <si>
    <t xml:space="preserve"> plot size of TB is: 34503118.6194152</t>
  </si>
  <si>
    <t xml:space="preserve"> plot size of REIT is: 35306407.76551773
</t>
  </si>
  <si>
    <t xml:space="preserve"> 35306407.76551773
</t>
  </si>
  <si>
    <t xml:space="preserve">collateral ratio is: 1.4581013978819612
</t>
  </si>
  <si>
    <t xml:space="preserve"> 1.4581013978819612
</t>
  </si>
  <si>
    <t>S_gtbcps_0 is: 0.9999599468020354</t>
  </si>
  <si>
    <t xml:space="preserve">stdev_gtbcps is: 0.010634938382955716
</t>
  </si>
  <si>
    <t xml:space="preserve"> 0.010634938382955716
</t>
  </si>
  <si>
    <t>predicted price of GTBCPS is: 0.9999358103945578</t>
  </si>
  <si>
    <t xml:space="preserve"> actual price is: 0.9999599468020354
</t>
  </si>
  <si>
    <t xml:space="preserve"> 0.9999599468020354
</t>
  </si>
  <si>
    <t>predicted amount of GTBCPS is: 103000025.2254699</t>
  </si>
  <si>
    <t xml:space="preserve"> actual amount is: 102997539.07531257
</t>
  </si>
  <si>
    <t>plot sizes of gold is: 80365314.09563826</t>
  </si>
  <si>
    <t xml:space="preserve"> plot sizes of tb is: 34503118.6194152 </t>
  </si>
  <si>
    <t xml:space="preserve"> plot sizes of reit is: 35306407.76551773</t>
  </si>
  <si>
    <t xml:space="preserve"> plot sizes of total is: 150174840.4805712.
</t>
  </si>
  <si>
    <t xml:space="preserve"> 150174840.4805712.
</t>
  </si>
  <si>
    <t>predicted stdevs of gold is: 0.009863252115550997</t>
  </si>
  <si>
    <t xml:space="preserve"> predicted stdevs of tb is: 0.002734240023735068</t>
  </si>
  <si>
    <t xml:space="preserve"> predicted stdevs of reit is: 0.0201124118248867</t>
  </si>
  <si>
    <t xml:space="preserve"> predicted stdevs of GTBCPS is: 0.010634938382955716.
</t>
  </si>
  <si>
    <t xml:space="preserve"> 0.010634938382955716.
</t>
  </si>
  <si>
    <t>total_value_of_collaterals is: 150173984.7052007</t>
  </si>
  <si>
    <t xml:space="preserve"> createdtionValue_gold is: 1939.792492566503</t>
  </si>
  <si>
    <t xml:space="preserve"> createdValue_tb is: 832.8125099752963</t>
  </si>
  <si>
    <t xml:space="preserve"> createdValue_reit is: 852.2006699304804
</t>
  </si>
  <si>
    <t xml:space="preserve"> 852.2006699304804
</t>
  </si>
  <si>
    <t>plotValue_gold_after_creation is: 80362745.77457155</t>
  </si>
  <si>
    <t xml:space="preserve"> plotValue_tb_after_creation  is: 34502195.607777394</t>
  </si>
  <si>
    <t xml:space="preserve"> plotValue_reit_after_creation  is: 35305418.51717928</t>
  </si>
  <si>
    <t xml:space="preserve">total_value_after_creation is: 150170359.89952824
</t>
  </si>
  <si>
    <t xml:space="preserve"> 150170359.89952824
</t>
  </si>
  <si>
    <t>total_amount_gtncps_before_creation is: 102997539.07531257</t>
  </si>
  <si>
    <t>creation_amount_gtbcps is: 2486.1501573324203</t>
  </si>
  <si>
    <t xml:space="preserve">total_amount_gtbcps_new is: 103000025.2254699
</t>
  </si>
  <si>
    <t xml:space="preserve"> 103000025.2254699
</t>
  </si>
  <si>
    <t>payout of tranche of gold is: -628.5285741325964</t>
  </si>
  <si>
    <t xml:space="preserve"> payout of tranche of Treausry Bill Option is: -90.19912782909321</t>
  </si>
  <si>
    <t xml:space="preserve"> payout of tranche of Collar of REIT is: -137.04766851863673
</t>
  </si>
  <si>
    <t xml:space="preserve"> -137.04766851863673
</t>
  </si>
  <si>
    <t>Collateral size of tranche of gold is: 80362745.77457155</t>
  </si>
  <si>
    <t xml:space="preserve"> collateral size of tranche of Treausry Bill Option is: 34502195.607777394</t>
  </si>
  <si>
    <t xml:space="preserve"> collateral size of tranche of Collar of REIT is: 35305418.51717928
</t>
  </si>
  <si>
    <t xml:space="preserve"> 35305418.51717928
</t>
  </si>
  <si>
    <t>Collateral ratio of tranche of gold is: 0.7802895610922294</t>
  </si>
  <si>
    <t xml:space="preserve"> collateral ratio of tranche of Treausry Bill Option is: 0.33500228007427607</t>
  </si>
  <si>
    <t xml:space="preserve"> collateral ratio of tranche of Collar of REIT is: 0.3428012476853944
</t>
  </si>
  <si>
    <t xml:space="preserve"> 0.3428012476853944
</t>
  </si>
  <si>
    <t xml:space="preserve">date is: 2023-01-04 00:00:00
</t>
  </si>
  <si>
    <t xml:space="preserve"> 2023-01-04 00</t>
  </si>
  <si>
    <t>current price of gold is: 1854.56</t>
  </si>
  <si>
    <t xml:space="preserve"> predicted price of gold is: 1846.418475602811
</t>
  </si>
  <si>
    <t xml:space="preserve"> 1846.418475602811
</t>
  </si>
  <si>
    <t>current price of tb is: 89.7265625</t>
  </si>
  <si>
    <t xml:space="preserve"> current price of tb option is: 4.2327707503948755</t>
  </si>
  <si>
    <t xml:space="preserve"> predicted price of tb is: 90.00289632520135
</t>
  </si>
  <si>
    <t xml:space="preserve"> 90.00289632520135
</t>
  </si>
  <si>
    <t>current price of reit is: 60.0</t>
  </si>
  <si>
    <t xml:space="preserve"> current price of reit option is: 4.225124908502977</t>
  </si>
  <si>
    <t xml:space="preserve"> predicted price of reit is: 60.55529149322497
</t>
  </si>
  <si>
    <t xml:space="preserve"> 60.55529149322497
</t>
  </si>
  <si>
    <t>value_ratio_gold_to_total is: -7.091941333335708</t>
  </si>
  <si>
    <t xml:space="preserve"> risk_ratio_to_gold is: 0.5486795515141202</t>
  </si>
  <si>
    <t xml:space="preserve"> risk_ratio_to_gold_before is: 0.5444384953748262
</t>
  </si>
  <si>
    <t xml:space="preserve"> 0.5444384953748262
</t>
  </si>
  <si>
    <t>value_ratio_tb_to_total is: 3.927803142989444</t>
  </si>
  <si>
    <t xml:space="preserve"> risk_ratio_tb_to_gold is: 0.3626277583615875</t>
  </si>
  <si>
    <t xml:space="preserve"> risk_ratio_tb_to_gold_before is: 0.3713857317381775
</t>
  </si>
  <si>
    <t xml:space="preserve"> 0.3713857317381775
</t>
  </si>
  <si>
    <t>value_ratio_reit_to_total is: 4.1641381903462635</t>
  </si>
  <si>
    <t xml:space="preserve"> risk_ratio_reit_to_gold is: 0.4599296838474925</t>
  </si>
  <si>
    <t xml:space="preserve"> risk_ratio_reit_to_gold_before is: 0.46536903210624186
</t>
  </si>
  <si>
    <t xml:space="preserve"> 0.46536903210624186
</t>
  </si>
  <si>
    <t>delta_gold is: 1.0081979689912366</t>
  </si>
  <si>
    <t xml:space="preserve"> delta_tb is: 1.001530171961932</t>
  </si>
  <si>
    <t xml:space="preserve"> delta_reit is: 1.0270411707270153
</t>
  </si>
  <si>
    <t xml:space="preserve"> 1.0270411707270153
</t>
  </si>
  <si>
    <t>delta_gold_risk is: 1.0027460181496348</t>
  </si>
  <si>
    <t xml:space="preserve"> delta_tb_risk is: 0.9936137782580766</t>
  </si>
  <si>
    <t xml:space="preserve"> delta_reit_risk is: 0.9962880693261743
</t>
  </si>
  <si>
    <t xml:space="preserve"> 0.9962880693261743
</t>
  </si>
  <si>
    <t xml:space="preserve">collateral_ratio_tranche_gold is: 0.7845320115754932
</t>
  </si>
  <si>
    <t xml:space="preserve"> 0.7845320115754932
</t>
  </si>
  <si>
    <t xml:space="preserve">collateral_ratio_tranche_tb is: 0.3349256253022635
</t>
  </si>
  <si>
    <t xml:space="preserve"> 0.3349256253022635
</t>
  </si>
  <si>
    <t xml:space="preserve">collateral_ratio_tranche_reit is: 0.3505092628650833
</t>
  </si>
  <si>
    <t xml:space="preserve"> 0.3505092628650833
</t>
  </si>
  <si>
    <t>Total plot size is: 151836665.33949468</t>
  </si>
  <si>
    <t xml:space="preserve"> plot size of gold is: 81021557.07248212</t>
  </si>
  <si>
    <t xml:space="preserve"> plot size of TB is: 34554989.90012151</t>
  </si>
  <si>
    <t xml:space="preserve"> plot size of REIT is: 36260118.36689105
</t>
  </si>
  <si>
    <t xml:space="preserve"> 36260118.36689105
</t>
  </si>
  <si>
    <t xml:space="preserve">collateral ratio is: 1.4742366515774348
</t>
  </si>
  <si>
    <t xml:space="preserve"> 1.4742366515774348
</t>
  </si>
  <si>
    <t>S_gtbcps_0 is: 0.9999358103945578</t>
  </si>
  <si>
    <t xml:space="preserve">stdev_gtbcps is: 0.010726514122215125
</t>
  </si>
  <si>
    <t xml:space="preserve"> 0.010726514122215125
</t>
  </si>
  <si>
    <t>predicted price of GTBCPS is: 0.9999177468642655</t>
  </si>
  <si>
    <t xml:space="preserve"> actual price is: 0.9999358103945578
</t>
  </si>
  <si>
    <t xml:space="preserve"> 0.9999358103945578
</t>
  </si>
  <si>
    <t>predicted amount of GTBCPS is: 103001885.92259385</t>
  </si>
  <si>
    <t xml:space="preserve"> actual amount is: 103000025.2254699
</t>
  </si>
  <si>
    <t>plot sizes of gold is: 81021557.07248212</t>
  </si>
  <si>
    <t xml:space="preserve"> plot sizes of tb is: 34554989.90012151 </t>
  </si>
  <si>
    <t xml:space="preserve"> plot sizes of reit is: 36260118.36689105</t>
  </si>
  <si>
    <t xml:space="preserve"> plot sizes of total is: 151836665.33949468.
</t>
  </si>
  <si>
    <t xml:space="preserve"> 151836665.33949468.
</t>
  </si>
  <si>
    <t>predicted stdevs of gold is: 0.0098545176529166</t>
  </si>
  <si>
    <t xml:space="preserve"> predicted stdevs of tb is: 0.0026758211290536316</t>
  </si>
  <si>
    <t xml:space="preserve"> predicted stdevs of reit is: 0.020347059848024828</t>
  </si>
  <si>
    <t xml:space="preserve"> predicted stdevs of GTBCPS is: 0.010726514122215125.
</t>
  </si>
  <si>
    <t xml:space="preserve"> 0.010726514122215125.
</t>
  </si>
  <si>
    <t>total_value_of_collaterals is: 151836024.53932554</t>
  </si>
  <si>
    <t xml:space="preserve"> createdtionValue_gold is: 1463.6208434227206</t>
  </si>
  <si>
    <t xml:space="preserve"> createdValue_tb is: 624.2239705150039</t>
  </si>
  <si>
    <t xml:space="preserve"> createdValue_reit is: 655.0258785838084
</t>
  </si>
  <si>
    <t xml:space="preserve"> 655.0258785838084
</t>
  </si>
  <si>
    <t>plotValue_gold_after_creation is: 81019625.30767007</t>
  </si>
  <si>
    <t xml:space="preserve"> plotValue_tb_after_creation  is: 34554298.967840604</t>
  </si>
  <si>
    <t xml:space="preserve"> plotValue_reit_after_creation  is: 36259357.39312232</t>
  </si>
  <si>
    <t xml:space="preserve">total_value_after_creation is: 151833281.66863298
</t>
  </si>
  <si>
    <t xml:space="preserve"> 151833281.66863298
</t>
  </si>
  <si>
    <t>total_amount_gtncps_before_creation is: 103000025.2254699</t>
  </si>
  <si>
    <t>creation_amount_gtbcps is: 1860.6971239447594</t>
  </si>
  <si>
    <t xml:space="preserve">total_amount_gtbcps_new is: 103001885.92259385
</t>
  </si>
  <si>
    <t xml:space="preserve"> 103001885.92259385
</t>
  </si>
  <si>
    <t>payout of tranche of gold is: -468.14396862395404</t>
  </si>
  <si>
    <t xml:space="preserve"> payout of tranche of Treausry Bill Option is: -66.70831038726864</t>
  </si>
  <si>
    <t xml:space="preserve"> payout of tranche of Collar of REIT is: -105.94789013881208
</t>
  </si>
  <si>
    <t xml:space="preserve"> -105.94789013881208
</t>
  </si>
  <si>
    <t>Collateral size of tranche of gold is: 81019625.30767007</t>
  </si>
  <si>
    <t xml:space="preserve"> collateral size of tranche of Treausry Bill Option is: 34554298.967840604</t>
  </si>
  <si>
    <t xml:space="preserve"> collateral size of tranche of Collar of REIT is: 36259357.39312232
</t>
  </si>
  <si>
    <t xml:space="preserve"> 36259357.39312232
</t>
  </si>
  <si>
    <t>Collateral ratio of tranche of gold is: 0.786662816797652</t>
  </si>
  <si>
    <t xml:space="preserve"> collateral ratio of tranche of Treausry Bill Option is: 0.33550614502701653</t>
  </si>
  <si>
    <t xml:space="preserve"> collateral ratio of tranche of Collar of REIT is: 0.3520614679940521
</t>
  </si>
  <si>
    <t xml:space="preserve"> 0.3520614679940521
</t>
  </si>
  <si>
    <t xml:space="preserve">date is: 2023-01-05 00:00:00
</t>
  </si>
  <si>
    <t xml:space="preserve"> 2023-01-05 00</t>
  </si>
  <si>
    <t>current price of gold is: 1832.89</t>
  </si>
  <si>
    <t xml:space="preserve"> predicted price of gold is: 1839.6498218285205
</t>
  </si>
  <si>
    <t xml:space="preserve"> 1839.6498218285205
</t>
  </si>
  <si>
    <t>current price of tb is: 89.47265625</t>
  </si>
  <si>
    <t xml:space="preserve"> current price of tb option is: 4.232079135764742</t>
  </si>
  <si>
    <t xml:space="preserve"> predicted price of tb is: 89.74970392776372
</t>
  </si>
  <si>
    <t xml:space="preserve"> 89.74970392776372
</t>
  </si>
  <si>
    <t xml:space="preserve"> current price of reit option is: 4.137373976086515</t>
  </si>
  <si>
    <t xml:space="preserve"> predicted price of reit is: 61.29450130709381
</t>
  </si>
  <si>
    <t xml:space="preserve"> 61.29450130709381
</t>
  </si>
  <si>
    <t>value_ratio_gold_to_total is: 0.4264650128225234</t>
  </si>
  <si>
    <t xml:space="preserve"> risk_ratio_to_gold is: 0.5449237787705228</t>
  </si>
  <si>
    <t xml:space="preserve"> risk_ratio_to_gold_before is: 0.5486795515141202
</t>
  </si>
  <si>
    <t xml:space="preserve"> 0.5486795515141202
</t>
  </si>
  <si>
    <t>value_ratio_tb_to_total is: 0.28447270847236156</t>
  </si>
  <si>
    <t xml:space="preserve"> risk_ratio_tb_to_gold is: 0.3637912377655597</t>
  </si>
  <si>
    <t xml:space="preserve"> risk_ratio_tb_to_gold_before is: 0.3626277583615875
</t>
  </si>
  <si>
    <t xml:space="preserve"> 0.3626277583615875
</t>
  </si>
  <si>
    <t>value_ratio_reit_to_total is: 0.289062278705115</t>
  </si>
  <si>
    <t xml:space="preserve"> risk_ratio_reit_to_gold is: 0.4713277989852994</t>
  </si>
  <si>
    <t xml:space="preserve"> risk_ratio_reit_to_gold_before is: 0.4599296838474925
</t>
  </si>
  <si>
    <t xml:space="preserve"> 0.4599296838474925
</t>
  </si>
  <si>
    <t>delta_gold is: 0.9883152877232336</t>
  </si>
  <si>
    <t xml:space="preserve"> delta_tb is: 0.9972903398116751</t>
  </si>
  <si>
    <t xml:space="preserve"> delta_reit is: 1.0118683936959167
</t>
  </si>
  <si>
    <t xml:space="preserve"> 1.0118683936959167
</t>
  </si>
  <si>
    <t>delta_gold_risk is: 0.9975748548239529</t>
  </si>
  <si>
    <t xml:space="preserve"> delta_tb_risk is: 1.0008538497743296</t>
  </si>
  <si>
    <t xml:space="preserve"> delta_reit_risk is: 1.0078073041899993
</t>
  </si>
  <si>
    <t xml:space="preserve"> 1.0078073041899993
</t>
  </si>
  <si>
    <t xml:space="preserve">collateral_ratio_tranche_gold is: 0.7793609515766565
</t>
  </si>
  <si>
    <t xml:space="preserve"> 0.7793609515766565
</t>
  </si>
  <si>
    <t xml:space="preserve">collateral_ratio_tranche_tb is: 0.338264104242688
</t>
  </si>
  <si>
    <t xml:space="preserve"> 0.338264104242688
</t>
  </si>
  <si>
    <t xml:space="preserve">collateral_ratio_tranche_reit is: 0.3576592909919283
</t>
  </si>
  <si>
    <t xml:space="preserve"> 0.3576592909919283
</t>
  </si>
  <si>
    <t>Total plot size is: 151223300.57859534</t>
  </si>
  <si>
    <t xml:space="preserve"> plot size of gold is: 80072934.29717852</t>
  </si>
  <si>
    <t xml:space="preserve"> plot size of TB is: 34460668.55959197</t>
  </si>
  <si>
    <t xml:space="preserve"> plot size of REIT is: 36689697.72182485
</t>
  </si>
  <si>
    <t xml:space="preserve"> 36689697.72182485
</t>
  </si>
  <si>
    <t xml:space="preserve">collateral ratio is: 1.4682812730838277
</t>
  </si>
  <si>
    <t xml:space="preserve"> 1.4682812730838277
</t>
  </si>
  <si>
    <t>S_gtbcps_0 is: 0.9999177468642655</t>
  </si>
  <si>
    <t xml:space="preserve">stdev_gtbcps is: 0.010782280319505046
</t>
  </si>
  <si>
    <t xml:space="preserve"> 0.010782280319505046
</t>
  </si>
  <si>
    <t>predicted price of GTBCPS is: 0.999931869178435</t>
  </si>
  <si>
    <t xml:space="preserve"> actual price is: 0.9999177468642655
</t>
  </si>
  <si>
    <t xml:space="preserve"> 0.9999177468642655
</t>
  </si>
  <si>
    <t>predicted amount of GTBCPS is: 103000431.19848925</t>
  </si>
  <si>
    <t xml:space="preserve"> actual amount is: 103001885.92259385
</t>
  </si>
  <si>
    <t>plot sizes of gold is: 80072934.29717852</t>
  </si>
  <si>
    <t xml:space="preserve"> plot sizes of tb is: 34460668.55959197 </t>
  </si>
  <si>
    <t xml:space="preserve"> plot sizes of reit is: 36689697.72182485</t>
  </si>
  <si>
    <t xml:space="preserve"> plot sizes of total is: 151223300.57859534.
</t>
  </si>
  <si>
    <t xml:space="preserve"> 151223300.57859534.
</t>
  </si>
  <si>
    <t>predicted stdevs of gold is: 0.009859293295011277</t>
  </si>
  <si>
    <t xml:space="preserve"> predicted stdevs of tb is: 0.002685275082753194</t>
  </si>
  <si>
    <t xml:space="preserve"> predicted stdevs of reit is: 0.02040172433439757</t>
  </si>
  <si>
    <t xml:space="preserve"> predicted stdevs of GTBCPS is: 0.010782280319505046.
</t>
  </si>
  <si>
    <t xml:space="preserve"> 0.010782280319505046.
</t>
  </si>
  <si>
    <t>total_value_of_collaterals is: 151223801.18722877</t>
  </si>
  <si>
    <t xml:space="preserve"> createdtionValue_gold is: -1130.9135944165243</t>
  </si>
  <si>
    <t xml:space="preserve"> createdValue_tb is: -486.70521008929325</t>
  </si>
  <si>
    <t xml:space="preserve"> createdValue_reit is: -518.1869024828043
</t>
  </si>
  <si>
    <t xml:space="preserve"> -518.1869024828043
</t>
  </si>
  <si>
    <t>plotValue_gold_after_creation is: 80074450.31824653</t>
  </si>
  <si>
    <t xml:space="preserve"> plotValue_tb_after_creation  is: 34461211.14587373</t>
  </si>
  <si>
    <t xml:space="preserve"> plotValue_reit_after_creation  is: 36690275.52881549</t>
  </si>
  <si>
    <t xml:space="preserve">total_value_after_creation is: 151225936.99293578
</t>
  </si>
  <si>
    <t xml:space="preserve"> 151225936.99293578
</t>
  </si>
  <si>
    <t>total_amount_gtncps_before_creation is: 103001885.92259385</t>
  </si>
  <si>
    <t>creation_amount_gtbcps is: -1454.7241045981646</t>
  </si>
  <si>
    <t xml:space="preserve">total_amount_gtbcps_new is: 103000431.19848925
</t>
  </si>
  <si>
    <t xml:space="preserve"> 103000431.19848925
</t>
  </si>
  <si>
    <t>payout of tranche of gold is: 385.1074736038641</t>
  </si>
  <si>
    <t xml:space="preserve"> payout of tranche of Treausry Bill Option is: 55.88107167410633</t>
  </si>
  <si>
    <t xml:space="preserve"> payout of tranche of Collar of REIT is: 59.62008816367781
</t>
  </si>
  <si>
    <t xml:space="preserve"> 59.62008816367781
</t>
  </si>
  <si>
    <t>Collateral size of tranche of gold is: 80074450.31824653</t>
  </si>
  <si>
    <t xml:space="preserve"> collateral size of tranche of Treausry Bill Option is: 34461211.14587373</t>
  </si>
  <si>
    <t xml:space="preserve"> collateral size of tranche of Collar of REIT is: 36690275.52881549
</t>
  </si>
  <si>
    <t xml:space="preserve"> 36690275.52881549
</t>
  </si>
  <si>
    <t>Collateral ratio of tranche of gold is: 0.7774605825006828</t>
  </si>
  <si>
    <t xml:space="preserve"> collateral ratio of tranche of Treausry Bill Option is: 0.3345915355605617</t>
  </si>
  <si>
    <t xml:space="preserve"> collateral ratio of tranche of Collar of REIT is: 0.3562340156113866
</t>
  </si>
  <si>
    <t xml:space="preserve"> 0.3562340156113866
</t>
  </si>
  <si>
    <t xml:space="preserve">date is: 2023-01-06 00:00:00
</t>
  </si>
  <si>
    <t xml:space="preserve"> 2023-01-06 00</t>
  </si>
  <si>
    <t>current price of gold is: 1865.69</t>
  </si>
  <si>
    <t xml:space="preserve"> predicted price of gold is: 1865.1513626983324
</t>
  </si>
  <si>
    <t xml:space="preserve"> 1865.1513626983324
</t>
  </si>
  <si>
    <t xml:space="preserve"> current price of tb option is: 4.241873842639323</t>
  </si>
  <si>
    <t xml:space="preserve"> predicted price of tb is: 90.36067197116316
</t>
  </si>
  <si>
    <t xml:space="preserve"> 90.36067197116316
</t>
  </si>
  <si>
    <t>current price of reit is: 59.05</t>
  </si>
  <si>
    <t xml:space="preserve"> current price of reit option is: 4.359593685861107</t>
  </si>
  <si>
    <t xml:space="preserve"> predicted price of reit is: 59.36163586902654
</t>
  </si>
  <si>
    <t xml:space="preserve"> 59.36163586902654
</t>
  </si>
  <si>
    <t>value_ratio_gold_to_total is: -0.06233226623894398</t>
  </si>
  <si>
    <t xml:space="preserve"> risk_ratio_to_gold is: 0.5450435847269638</t>
  </si>
  <si>
    <t xml:space="preserve"> risk_ratio_to_gold_before is: 0.5449237787705228
</t>
  </si>
  <si>
    <t xml:space="preserve"> 0.5449237787705228
</t>
  </si>
  <si>
    <t>value_ratio_tb_to_total is: 0.5217675423013453</t>
  </si>
  <si>
    <t xml:space="preserve"> risk_ratio_tb_to_gold is: 0.37381583185344835</t>
  </si>
  <si>
    <t xml:space="preserve"> risk_ratio_tb_to_gold_before is: 0.3637912377655597
</t>
  </si>
  <si>
    <t xml:space="preserve"> 0.3637912377655597
</t>
  </si>
  <si>
    <t>value_ratio_reit_to_total is: 0.5405647239375987</t>
  </si>
  <si>
    <t xml:space="preserve"> risk_ratio_reit_to_gold is: 0.460899827630818</t>
  </si>
  <si>
    <t xml:space="preserve"> risk_ratio_reit_to_gold_before is: 0.4713277989852994
</t>
  </si>
  <si>
    <t xml:space="preserve"> 0.4713277989852994
</t>
  </si>
  <si>
    <t>delta_gold is: 1.017895236484459</t>
  </si>
  <si>
    <t xml:space="preserve"> delta_tb is: 1.006732727586043</t>
  </si>
  <si>
    <t xml:space="preserve"> delta_reit is: 0.975721741106111
</t>
  </si>
  <si>
    <t xml:space="preserve"> 0.975721741106111
</t>
  </si>
  <si>
    <t>delta_gold_risk is: 1.0000775481341457</t>
  </si>
  <si>
    <t xml:space="preserve"> delta_tb_risk is: 1.007350534165561</t>
  </si>
  <si>
    <t xml:space="preserve"> delta_reit_risk is: 0.9929125437841432
</t>
  </si>
  <si>
    <t xml:space="preserve"> 0.9929125437841432
</t>
  </si>
  <si>
    <t xml:space="preserve">collateral_ratio_tranche_gold is: 0.7913120587081979
</t>
  </si>
  <si>
    <t xml:space="preserve"> 0.7913120587081979
</t>
  </si>
  <si>
    <t xml:space="preserve">collateral_ratio_tranche_tb is: 0.32850760970837667
</t>
  </si>
  <si>
    <t xml:space="preserve"> 0.32850760970837667
</t>
  </si>
  <si>
    <t xml:space="preserve">collateral_ratio_tranche_reit is: 0.3439119679138875
</t>
  </si>
  <si>
    <t xml:space="preserve"> 0.3439119679138875
</t>
  </si>
  <si>
    <t>Total plot size is: 152000130.15649742</t>
  </si>
  <si>
    <t xml:space="preserve"> plot size of gold is: 81507401.54305461</t>
  </si>
  <si>
    <t xml:space="preserve"> plot size of TB is: 34693229.09280401</t>
  </si>
  <si>
    <t xml:space="preserve"> plot size of REIT is: 35799499.520638786
</t>
  </si>
  <si>
    <t xml:space="preserve"> 35799499.520638786
</t>
  </si>
  <si>
    <t xml:space="preserve">collateral ratio is: 1.475823790124834
</t>
  </si>
  <si>
    <t xml:space="preserve"> 1.475823790124834
</t>
  </si>
  <si>
    <t>S_gtbcps_0 is: 0.999931869178435</t>
  </si>
  <si>
    <t xml:space="preserve">stdev_gtbcps is: 0.010807520521262434
</t>
  </si>
  <si>
    <t xml:space="preserve"> 0.010807520521262434
</t>
  </si>
  <si>
    <t>predicted price of GTBCPS is: 0.9999309814129529</t>
  </si>
  <si>
    <t xml:space="preserve"> actual price is: 0.999931869178435
</t>
  </si>
  <si>
    <t xml:space="preserve"> 0.999931869178435
</t>
  </si>
  <si>
    <t>predicted amount of GTBCPS is: 103000522.64502822</t>
  </si>
  <si>
    <t xml:space="preserve"> actual amount is: 103000431.19848925
</t>
  </si>
  <si>
    <t>plot sizes of gold is: 81507401.54305461</t>
  </si>
  <si>
    <t xml:space="preserve"> plot sizes of tb is: 34693229.09280401 </t>
  </si>
  <si>
    <t xml:space="preserve"> plot sizes of reit is: 35799499.520638786</t>
  </si>
  <si>
    <t xml:space="preserve"> plot sizes of total is: 152000130.15649742.
</t>
  </si>
  <si>
    <t xml:space="preserve"> 152000130.15649742.
</t>
  </si>
  <si>
    <t>predicted stdevs of gold is: 0.009930274800808872</t>
  </si>
  <si>
    <t xml:space="preserve"> predicted stdevs of tb is: 0.002771436910988341</t>
  </si>
  <si>
    <t xml:space="preserve"> predicted stdevs of reit is: 0.0205925653844497</t>
  </si>
  <si>
    <t xml:space="preserve"> predicted stdevs of GTBCPS is: 0.010807520521262434.
</t>
  </si>
  <si>
    <t xml:space="preserve"> 0.010807520521262434.
</t>
  </si>
  <si>
    <t>total_value_of_collaterals is: 152000098.69800392</t>
  </si>
  <si>
    <t xml:space="preserve"> createdtionValue_gold is: 72.36436610391263</t>
  </si>
  <si>
    <t xml:space="preserve"> createdValue_tb is: 30.801546742279125</t>
  </si>
  <si>
    <t xml:space="preserve"> createdValue_reit is: 31.783722282506357
</t>
  </si>
  <si>
    <t xml:space="preserve"> 31.783722282506357
</t>
  </si>
  <si>
    <t>plotValue_gold_after_creation is: 81507304.66205834</t>
  </si>
  <si>
    <t xml:space="preserve"> plotValue_tb_after_creation  is: 34693194.86306995</t>
  </si>
  <si>
    <t xml:space="preserve"> plotValue_reit_after_creation  is: 35799464.2232405</t>
  </si>
  <si>
    <t xml:space="preserve">total_value_after_creation is: 151999963.7483688
</t>
  </si>
  <si>
    <t xml:space="preserve"> 151999963.7483688
</t>
  </si>
  <si>
    <t>total_amount_gtncps_before_creation is: 103000431.19848925</t>
  </si>
  <si>
    <t>creation_amount_gtbcps is: 91.44653896987438</t>
  </si>
  <si>
    <t xml:space="preserve">total_amount_gtbcps_new is: 103000522.64502822
</t>
  </si>
  <si>
    <t xml:space="preserve"> 103000522.64502822
</t>
  </si>
  <si>
    <t>payout of tranche of gold is: -24.516630170975162</t>
  </si>
  <si>
    <t xml:space="preserve"> payout of tranche of Treausry Bill Option is: -3.428187308800206</t>
  </si>
  <si>
    <t xml:space="preserve"> payout of tranche of Collar of REIT is: -3.5136759989815065
</t>
  </si>
  <si>
    <t xml:space="preserve"> -3.5136759989815065
</t>
  </si>
  <si>
    <t>Collateral size of tranche of gold is: 81507304.66205834</t>
  </si>
  <si>
    <t xml:space="preserve"> collateral size of tranche of Treausry Bill Option is: 34693194.86306995</t>
  </si>
  <si>
    <t xml:space="preserve"> collateral size of tranche of Collar of REIT is: 35799464.2232405
</t>
  </si>
  <si>
    <t xml:space="preserve"> 35799464.2232405
</t>
  </si>
  <si>
    <t>Collateral ratio of tranche of gold is: 0.7913843623845711</t>
  </si>
  <si>
    <t xml:space="preserve"> collateral ratio of tranche of Treausry Bill Option is: 0.3368489733482121</t>
  </si>
  <si>
    <t xml:space="preserve"> collateral ratio of tranche of Collar of REIT is: 0.34759014895025225
</t>
  </si>
  <si>
    <t xml:space="preserve"> 0.34759014895025225
</t>
  </si>
  <si>
    <t xml:space="preserve">date is: 2023-01-09 00:00:00
</t>
  </si>
  <si>
    <t xml:space="preserve"> 2023-01-09 00</t>
  </si>
  <si>
    <t>current price of gold is: 1871.81</t>
  </si>
  <si>
    <t xml:space="preserve"> predicted price of gold is: 1857.3965729046113
</t>
  </si>
  <si>
    <t xml:space="preserve"> 1857.3965729046113
</t>
  </si>
  <si>
    <t>current price of tb is: 90.17578125</t>
  </si>
  <si>
    <t xml:space="preserve"> current price of tb option is: 4.243096853448561</t>
  </si>
  <si>
    <t xml:space="preserve"> predicted price of tb is: 90.44143888638041
</t>
  </si>
  <si>
    <t xml:space="preserve"> 90.44143888638041
</t>
  </si>
  <si>
    <t>current price of reit is: 59.2</t>
  </si>
  <si>
    <t xml:space="preserve"> current price of reit option is: 4.361657346981346</t>
  </si>
  <si>
    <t xml:space="preserve"> predicted price of reit is: 60.01848459754147
</t>
  </si>
  <si>
    <t xml:space="preserve"> 60.01848459754147
</t>
  </si>
  <si>
    <t>value_ratio_gold_to_total is: 3.050763796339803</t>
  </si>
  <si>
    <t xml:space="preserve"> risk_ratio_to_gold is: 0.5496759522521513</t>
  </si>
  <si>
    <t xml:space="preserve"> risk_ratio_to_gold_before is: 0.5450435847269638
</t>
  </si>
  <si>
    <t xml:space="preserve"> 0.5450435847269638
</t>
  </si>
  <si>
    <t>value_ratio_tb_to_total is: -0.9543285488678466</t>
  </si>
  <si>
    <t xml:space="preserve"> risk_ratio_tb_to_gold is: 0.3699847137952133</t>
  </si>
  <si>
    <t xml:space="preserve"> risk_ratio_tb_to_gold_before is: 0.37381583185344835
</t>
  </si>
  <si>
    <t xml:space="preserve"> 0.37381583185344835
</t>
  </si>
  <si>
    <t>value_ratio_reit_to_total is: -1.096435247471956</t>
  </si>
  <si>
    <t xml:space="preserve"> risk_ratio_reit_to_gold is: 0.44926896812913764</t>
  </si>
  <si>
    <t xml:space="preserve"> risk_ratio_reit_to_gold_before is: 0.460899827630818
</t>
  </si>
  <si>
    <t xml:space="preserve"> 0.460899827630818
</t>
  </si>
  <si>
    <t>delta_gold is: 1.0032802877219689</t>
  </si>
  <si>
    <t xml:space="preserve"> delta_tb is: 1.0008825325727226</t>
  </si>
  <si>
    <t xml:space="preserve"> delta_reit is: 1.002398117576239
</t>
  </si>
  <si>
    <t xml:space="preserve"> 1.002398117576239
</t>
  </si>
  <si>
    <t>delta_gold_risk is: 1.002998211552722</t>
  </si>
  <si>
    <t xml:space="preserve"> delta_tb_risk is: 0.9972113306824638</t>
  </si>
  <si>
    <t xml:space="preserve"> delta_reit_risk is: 0.9920385646697335
</t>
  </si>
  <si>
    <t xml:space="preserve"> 0.9920385646697335
</t>
  </si>
  <si>
    <t xml:space="preserve">collateral_ratio_tranche_gold is: 0.7916069257618255
</t>
  </si>
  <si>
    <t xml:space="preserve"> 0.7916069257618255
</t>
  </si>
  <si>
    <t xml:space="preserve">collateral_ratio_tranche_tb is: 0.33698366877023983
</t>
  </si>
  <si>
    <t xml:space="preserve"> 0.33698366877023983
</t>
  </si>
  <si>
    <t xml:space="preserve">collateral_ratio_tranche_reit is: 0.3500715901820228
</t>
  </si>
  <si>
    <t xml:space="preserve"> 0.3500715901820228
</t>
  </si>
  <si>
    <t>Total plot size is: 152383800.3579947</t>
  </si>
  <si>
    <t xml:space="preserve"> plot size of gold is: 81774672.07279207</t>
  </si>
  <si>
    <t xml:space="preserve"> plot size of TB is: 34723812.73758843</t>
  </si>
  <si>
    <t xml:space="preserve"> plot size of REIT is: 35885315.547614194
</t>
  </si>
  <si>
    <t xml:space="preserve"> 35885315.547614194
</t>
  </si>
  <si>
    <t xml:space="preserve">collateral ratio is: 1.4795489817437404
</t>
  </si>
  <si>
    <t xml:space="preserve"> 1.4795489817437404
</t>
  </si>
  <si>
    <t>S_gtbcps_0 is: 0.9999309814129529</t>
  </si>
  <si>
    <t xml:space="preserve">stdev_gtbcps is: 0.010890267751166806
</t>
  </si>
  <si>
    <t xml:space="preserve"> 0.010890267751166806
</t>
  </si>
  <si>
    <t>predicted price of GTBCPS is: 0.9998968848050103</t>
  </si>
  <si>
    <t xml:space="preserve"> actual price is: 0.9999309814129529
</t>
  </si>
  <si>
    <t xml:space="preserve"> 0.9999309814129529
</t>
  </si>
  <si>
    <t>predicted amount of GTBCPS is: 103004034.97564138</t>
  </si>
  <si>
    <t xml:space="preserve"> actual amount is: 103000522.64502822
</t>
  </si>
  <si>
    <t>plot sizes of gold is: 81774672.07279207</t>
  </si>
  <si>
    <t xml:space="preserve"> plot sizes of tb is: 34723812.73758843 </t>
  </si>
  <si>
    <t xml:space="preserve"> plot sizes of reit is: 35885315.547614194</t>
  </si>
  <si>
    <t xml:space="preserve"> plot sizes of total is: 152383800.35799468.
</t>
  </si>
  <si>
    <t xml:space="preserve"> 152383800.35799468.
</t>
  </si>
  <si>
    <t>predicted stdevs of gold is: 0.010085934632685227</t>
  </si>
  <si>
    <t xml:space="preserve"> predicted stdevs of tb is: 0.0027666701561807083</t>
  </si>
  <si>
    <t xml:space="preserve"> predicted stdevs of reit is: 0.0205838249440355</t>
  </si>
  <si>
    <t xml:space="preserve"> predicted stdevs of GTBCPS is: 0.010890267751166806.
</t>
  </si>
  <si>
    <t xml:space="preserve"> 0.010890267751166806.
</t>
  </si>
  <si>
    <t>total_value_of_collaterals is: 152382588.72250628</t>
  </si>
  <si>
    <t xml:space="preserve"> createdtionValue_gold is: 2788.3992535021894</t>
  </si>
  <si>
    <t xml:space="preserve"> createdValue_tb is: 1184.0416535842915</t>
  </si>
  <si>
    <t xml:space="preserve"> createdValue_reit is: 1223.6471045154588
</t>
  </si>
  <si>
    <t xml:space="preserve"> 1223.6471045154588
</t>
  </si>
  <si>
    <t>plotValue_gold_after_creation is: 81770941.31660846</t>
  </si>
  <si>
    <t xml:space="preserve"> plotValue_tb_after_creation  is: 34722502.68682161</t>
  </si>
  <si>
    <t xml:space="preserve"> plotValue_reit_after_creation  is: 35883948.631064594</t>
  </si>
  <si>
    <t xml:space="preserve">total_value_after_creation is: 152377392.63449466
</t>
  </si>
  <si>
    <t xml:space="preserve"> 152377392.63449466
</t>
  </si>
  <si>
    <t>total_amount_gtncps_before_creation is: 103000522.64502822</t>
  </si>
  <si>
    <t>creation_amount_gtbcps is: 3512.330613166094</t>
  </si>
  <si>
    <t xml:space="preserve">total_amount_gtbcps_new is: 103004034.97564138
</t>
  </si>
  <si>
    <t xml:space="preserve"> 103004034.97564138
</t>
  </si>
  <si>
    <t>payout of tranche of gold is: -942.3569301055405</t>
  </si>
  <si>
    <t xml:space="preserve"> payout of tranche of Treausry Bill Option is: -126.00911323914934</t>
  </si>
  <si>
    <t xml:space="preserve"> payout of tranche of Collar of REIT is: -143.26944508251944
</t>
  </si>
  <si>
    <t xml:space="preserve"> -143.26944508251944
</t>
  </si>
  <si>
    <t>Collateral size of tranche of gold is: 81770941.31660846</t>
  </si>
  <si>
    <t xml:space="preserve"> collateral size of tranche of Treausry Bill Option is: 34722502.68682161</t>
  </si>
  <si>
    <t xml:space="preserve"> collateral size of tranche of Collar of REIT is: 35883948.631064594
</t>
  </si>
  <si>
    <t xml:space="preserve"> 35883948.631064594
</t>
  </si>
  <si>
    <t>Collateral ratio of tranche of gold is: 0.7939704761940193</t>
  </si>
  <si>
    <t xml:space="preserve"> collateral ratio of tranche of Treausry Bill Option is: 0.3371447307443972</t>
  </si>
  <si>
    <t xml:space="preserve"> collateral ratio of tranche of Collar of REIT is: 0.3484220106017213
</t>
  </si>
  <si>
    <t xml:space="preserve"> 0.3484220106017213
</t>
  </si>
  <si>
    <t xml:space="preserve">date is: 2023-01-10 00:00:00
</t>
  </si>
  <si>
    <t xml:space="preserve"> 2023-01-10 00</t>
  </si>
  <si>
    <t>current price of gold is: 1877.03</t>
  </si>
  <si>
    <t xml:space="preserve"> predicted price of gold is: 1876.7693670728104
</t>
  </si>
  <si>
    <t xml:space="preserve"> 1876.7693670728104
</t>
  </si>
  <si>
    <t>current price of tb is: 90.109375</t>
  </si>
  <si>
    <t xml:space="preserve"> current price of tb option is: 4.237459377303701</t>
  </si>
  <si>
    <t xml:space="preserve"> predicted price of tb is: 90.38086219369738
</t>
  </si>
  <si>
    <t xml:space="preserve"> 90.38086219369738
</t>
  </si>
  <si>
    <t>current price of reit is: 59.95</t>
  </si>
  <si>
    <t xml:space="preserve"> current price of reit option is: 4.255220498104521</t>
  </si>
  <si>
    <t xml:space="preserve"> predicted price of reit is: 60.43480334564833
</t>
  </si>
  <si>
    <t xml:space="preserve"> 60.43480334564833
</t>
  </si>
  <si>
    <t>value_ratio_gold_to_total is: -0.028996789178219542</t>
  </si>
  <si>
    <t xml:space="preserve"> risk_ratio_to_gold is: 0.5450310217916035</t>
  </si>
  <si>
    <t xml:space="preserve"> risk_ratio_to_gold_before is: 0.5496759522521513
</t>
  </si>
  <si>
    <t xml:space="preserve"> 0.5496759522521513
</t>
  </si>
  <si>
    <t>value_ratio_tb_to_total is: 0.5016441112985978</t>
  </si>
  <si>
    <t xml:space="preserve"> risk_ratio_tb_to_gold is: 0.3703807587485125</t>
  </si>
  <si>
    <t xml:space="preserve"> risk_ratio_tb_to_gold_before is: 0.3699847137952133
</t>
  </si>
  <si>
    <t xml:space="preserve"> 0.3699847137952133
</t>
  </si>
  <si>
    <t>value_ratio_reit_to_total is: 0.5273526778796218</t>
  </si>
  <si>
    <t xml:space="preserve"> risk_ratio_reit_to_gold is: 0.46437719083175427</t>
  </si>
  <si>
    <t xml:space="preserve"> risk_ratio_reit_to_gold_before is: 0.44926896812913764
</t>
  </si>
  <si>
    <t xml:space="preserve"> 0.44926896812913764
</t>
  </si>
  <si>
    <t>delta_gold is: 1.002788744584119</t>
  </si>
  <si>
    <t xml:space="preserve"> delta_tb is: 0.9992369775240718</t>
  </si>
  <si>
    <t xml:space="preserve"> delta_reit is: 1.010125021561505
</t>
  </si>
  <si>
    <t xml:space="preserve"> 1.010125021561505
</t>
  </si>
  <si>
    <t>delta_gold_risk is: 0.9970026440341948</t>
  </si>
  <si>
    <t xml:space="preserve"> delta_tb_risk is: 1.000289087133098</t>
  </si>
  <si>
    <t xml:space="preserve"> delta_reit_risk is: 1.0104247196585736
</t>
  </si>
  <si>
    <t xml:space="preserve"> 1.0104247196585736
</t>
  </si>
  <si>
    <t xml:space="preserve">collateral_ratio_tranche_gold is: 0.7985782804324725
</t>
  </si>
  <si>
    <t xml:space="preserve"> 0.7985782804324725
</t>
  </si>
  <si>
    <t xml:space="preserve">collateral_ratio_tranche_tb is: 0.3358535103887843
</t>
  </si>
  <si>
    <t xml:space="preserve"> 0.3358535103887843
</t>
  </si>
  <si>
    <t xml:space="preserve">collateral_ratio_tranche_reit is: 0.34734999610081463
</t>
  </si>
  <si>
    <t xml:space="preserve"> 0.34734999610081463
</t>
  </si>
  <si>
    <t>Total plot size is: 152942262.60786062</t>
  </si>
  <si>
    <t xml:space="preserve"> plot size of gold is: 81998979.58634347</t>
  </si>
  <si>
    <t xml:space="preserve"> plot size of TB is: 34696008.63685109</t>
  </si>
  <si>
    <t xml:space="preserve"> plot size of REIT is: 36247274.38466606
</t>
  </si>
  <si>
    <t xml:space="preserve"> 36247274.38466606
</t>
  </si>
  <si>
    <t xml:space="preserve">collateral ratio is: 1.4849712920627527
</t>
  </si>
  <si>
    <t xml:space="preserve"> 1.4849712920627527
</t>
  </si>
  <si>
    <t>S_gtbcps_0 is: 0.9998968848050103</t>
  </si>
  <si>
    <t xml:space="preserve">stdev_gtbcps is: 0.010906745861571783
</t>
  </si>
  <si>
    <t xml:space="preserve"> 0.010906745861571783
</t>
  </si>
  <si>
    <t>predicted price of GTBCPS is: 0.9998717059623219</t>
  </si>
  <si>
    <t xml:space="preserve"> actual price is: 0.9998968848050103
</t>
  </si>
  <si>
    <t xml:space="preserve"> 0.9998968848050103
</t>
  </si>
  <si>
    <t>predicted amount of GTBCPS is: 103006628.83081044</t>
  </si>
  <si>
    <t xml:space="preserve"> actual amount is: 103004034.97564138
</t>
  </si>
  <si>
    <t>plot sizes of gold is: 81998979.58634347</t>
  </si>
  <si>
    <t xml:space="preserve"> plot sizes of tb is: 34696008.63685109 </t>
  </si>
  <si>
    <t xml:space="preserve"> plot sizes of reit is: 36247274.38466606</t>
  </si>
  <si>
    <t xml:space="preserve"> plot sizes of total is: 152942262.60786062.
</t>
  </si>
  <si>
    <t xml:space="preserve"> 152942262.60786062.
</t>
  </si>
  <si>
    <t>predicted stdevs of gold is: 0.010087930196122873</t>
  </si>
  <si>
    <t xml:space="preserve"> predicted stdevs of tb is: 0.0027659941585716176</t>
  </si>
  <si>
    <t xml:space="preserve"> predicted stdevs of reit is: 0.020551433534468054</t>
  </si>
  <si>
    <t xml:space="preserve"> predicted stdevs of GTBCPS is: 0.010906745861571783.
</t>
  </si>
  <si>
    <t xml:space="preserve"> 0.010906745861571783.
</t>
  </si>
  <si>
    <t>total_value_of_collaterals is: 152941369.69172072</t>
  </si>
  <si>
    <t xml:space="preserve"> createdtionValue_gold is: 2064.8357900811316</t>
  </si>
  <si>
    <t xml:space="preserve"> createdValue_tb is: 873.6931132844992</t>
  </si>
  <si>
    <t xml:space="preserve"> createdValue_reit is: 912.7549105067142
</t>
  </si>
  <si>
    <t xml:space="preserve"> 912.7549105067142
</t>
  </si>
  <si>
    <t>plotValue_gold_after_creation is: 81996258.10940173</t>
  </si>
  <si>
    <t xml:space="preserve"> plotValue_tb_after_creation  is: 34695042.758081846</t>
  </si>
  <si>
    <t xml:space="preserve"> plotValue_reit_after_creation  is: 36246217.54042325</t>
  </si>
  <si>
    <t xml:space="preserve">total_value_after_creation is: 152937518.40790683
</t>
  </si>
  <si>
    <t xml:space="preserve"> 152937518.40790683
</t>
  </si>
  <si>
    <t>total_amount_gtncps_before_creation is: 103004034.97564138</t>
  </si>
  <si>
    <t>creation_amount_gtbcps is: 2593.855169057846</t>
  </si>
  <si>
    <t xml:space="preserve">total_amount_gtbcps_new is: 103006628.83081044
</t>
  </si>
  <si>
    <t xml:space="preserve"> 103006628.83081044
</t>
  </si>
  <si>
    <t>payout of tranche of gold is: -656.6411516557084</t>
  </si>
  <si>
    <t xml:space="preserve"> payout of tranche of Treausry Bill Option is: -92.1856559574239</t>
  </si>
  <si>
    <t xml:space="preserve"> payout of tranche of Collar of REIT is: -144.0893323021035
</t>
  </si>
  <si>
    <t xml:space="preserve"> -144.0893323021035
</t>
  </si>
  <si>
    <t>Collateral size of tranche of gold is: 81996258.10940173</t>
  </si>
  <si>
    <t xml:space="preserve"> collateral size of tranche of Treausry Bill Option is: 34695042.758081846</t>
  </si>
  <si>
    <t xml:space="preserve"> collateral size of tranche of Collar of REIT is: 36246217.54042325
</t>
  </si>
  <si>
    <t xml:space="preserve"> 36246217.54042325
</t>
  </si>
  <si>
    <t>Collateral ratio of tranche of gold is: 0.7961511324250679</t>
  </si>
  <si>
    <t xml:space="preserve"> collateral ratio of tranche of Treausry Bill Option is: 0.3368750991603579</t>
  </si>
  <si>
    <t xml:space="preserve"> collateral ratio of tranche of Collar of REIT is: 0.35193639083421197
</t>
  </si>
  <si>
    <t xml:space="preserve"> 0.35193639083421197
</t>
  </si>
  <si>
    <t xml:space="preserve">date is: 2023-01-11 00:00:00
</t>
  </si>
  <si>
    <t xml:space="preserve"> 2023-01-11 00</t>
  </si>
  <si>
    <t>current price of gold is: 1875.69</t>
  </si>
  <si>
    <t xml:space="preserve"> predicted price of gold is: 1874.9136376823153
</t>
  </si>
  <si>
    <t xml:space="preserve"> 1874.9136376823153
</t>
  </si>
  <si>
    <t>current price of tb is: 90.265625</t>
  </si>
  <si>
    <t xml:space="preserve"> current price of tb option is: 4.242111822292171</t>
  </si>
  <si>
    <t xml:space="preserve"> predicted price of tb is: 90.53230174855794
</t>
  </si>
  <si>
    <t xml:space="preserve"> 90.53230174855794
</t>
  </si>
  <si>
    <t>current price of reit is: 59.45</t>
  </si>
  <si>
    <t xml:space="preserve"> current price of reit option is: 4.338622794657013</t>
  </si>
  <si>
    <t xml:space="preserve"> predicted price of reit is: 59.9319683721271
</t>
  </si>
  <si>
    <t xml:space="preserve"> 59.9319683721271
</t>
  </si>
  <si>
    <t>value_ratio_gold_to_total is: -0.09077057599273877</t>
  </si>
  <si>
    <t xml:space="preserve"> risk_ratio_to_gold is: 0.54665874641367</t>
  </si>
  <si>
    <t xml:space="preserve"> risk_ratio_to_gold_before is: 0.5450310217916035
</t>
  </si>
  <si>
    <t xml:space="preserve"> 0.5450310217916035
</t>
  </si>
  <si>
    <t>value_ratio_tb_to_total is: 0.527157650858233</t>
  </si>
  <si>
    <t xml:space="preserve"> risk_ratio_tb_to_gold is: 0.37167954510857526</t>
  </si>
  <si>
    <t xml:space="preserve"> risk_ratio_tb_to_gold_before is: 0.3703807587485125
</t>
  </si>
  <si>
    <t xml:space="preserve"> 0.3703807587485125
</t>
  </si>
  <si>
    <t>value_ratio_reit_to_total is: 0.5636129251345058</t>
  </si>
  <si>
    <t xml:space="preserve"> risk_ratio_reit_to_gold is: 0.45761525088701605</t>
  </si>
  <si>
    <t xml:space="preserve"> risk_ratio_reit_to_gold_before is: 0.46437719083175427
</t>
  </si>
  <si>
    <t xml:space="preserve"> 0.46437719083175427
</t>
  </si>
  <si>
    <t>delta_gold is: 0.9992861062423084</t>
  </si>
  <si>
    <t xml:space="preserve"> delta_tb is: 1.0017054355458817</t>
  </si>
  <si>
    <t xml:space="preserve"> delta_reit is: 0.993511466821303
</t>
  </si>
  <si>
    <t xml:space="preserve"> 0.993511466821303
</t>
  </si>
  <si>
    <t>delta_gold_risk is: 1.0010535222912087</t>
  </si>
  <si>
    <t xml:space="preserve"> delta_tb_risk is: 1.0009477558348447</t>
  </si>
  <si>
    <t xml:space="preserve"> delta_reit_risk is: 0.9953823782649214
</t>
  </si>
  <si>
    <t xml:space="preserve"> 0.9953823782649214
</t>
  </si>
  <si>
    <t xml:space="preserve">collateral_ratio_tranche_gold is: 0.7947454830192523
</t>
  </si>
  <si>
    <t xml:space="preserve"> 0.7947454830192523
</t>
  </si>
  <si>
    <t xml:space="preserve">collateral_ratio_tranche_tb is: 0.33737094792249867
</t>
  </si>
  <si>
    <t xml:space="preserve"> 0.33737094792249867
</t>
  </si>
  <si>
    <t xml:space="preserve">collateral_ratio_tranche_reit is: 0.35152584658074143
</t>
  </si>
  <si>
    <t xml:space="preserve"> 0.35152584658074143
</t>
  </si>
  <si>
    <t>Total plot size is: 152702967.16516066</t>
  </si>
  <si>
    <t xml:space="preserve"> plot size of gold is: 81937721.49258336</t>
  </si>
  <si>
    <t xml:space="preserve"> plot size of TB is: 34754212.91726736</t>
  </si>
  <si>
    <t xml:space="preserve"> plot size of REIT is: 36011032.75530995
</t>
  </si>
  <si>
    <t xml:space="preserve"> 36011032.75530995
</t>
  </si>
  <si>
    <t xml:space="preserve">collateral ratio is: 1.482647886768024
</t>
  </si>
  <si>
    <t xml:space="preserve"> 1.482647886768024
</t>
  </si>
  <si>
    <t>S_gtbcps_0 is: 0.9998717059623219</t>
  </si>
  <si>
    <t xml:space="preserve">stdev_gtbcps is: 0.010882068817677976
</t>
  </si>
  <si>
    <t xml:space="preserve"> 0.010882068817677976
</t>
  </si>
  <si>
    <t>predicted price of GTBCPS is: 0.9998711257370559</t>
  </si>
  <si>
    <t xml:space="preserve"> actual price is: 0.9998717059623219
</t>
  </si>
  <si>
    <t xml:space="preserve"> 0.9998717059623219
</t>
  </si>
  <si>
    <t>predicted amount of GTBCPS is: 103006688.60556248</t>
  </si>
  <si>
    <t xml:space="preserve"> actual amount is: 103006628.83081044
</t>
  </si>
  <si>
    <t>plot sizes of gold is: 81937721.49258336</t>
  </si>
  <si>
    <t xml:space="preserve"> plot sizes of tb is: 34754212.91726736 </t>
  </si>
  <si>
    <t xml:space="preserve"> plot sizes of reit is: 36011032.75530995</t>
  </si>
  <si>
    <t xml:space="preserve"> plot sizes of total is: 152702967.16516066.
</t>
  </si>
  <si>
    <t xml:space="preserve"> 152702967.16516066.
</t>
  </si>
  <si>
    <t>predicted stdevs of gold is: 0.010068571977258469</t>
  </si>
  <si>
    <t xml:space="preserve"> predicted stdevs of tb is: 0.0027720959353386546</t>
  </si>
  <si>
    <t xml:space="preserve"> predicted stdevs of reit is: 0.02055998625535785</t>
  </si>
  <si>
    <t xml:space="preserve"> predicted stdevs of GTBCPS is: 0.010882068817677976.
</t>
  </si>
  <si>
    <t xml:space="preserve"> 0.010882068817677976.
</t>
  </si>
  <si>
    <t>total_value_of_collaterals is: 152702946.54983312</t>
  </si>
  <si>
    <t xml:space="preserve"> createdtionValue_gold is: 47.54842760226168</t>
  </si>
  <si>
    <t xml:space="preserve"> createdValue_tb is: 20.16785805424486</t>
  </si>
  <si>
    <t xml:space="preserve"> createdValue_reit is: 20.897190698365527
</t>
  </si>
  <si>
    <t xml:space="preserve"> 20.897190698365527
</t>
  </si>
  <si>
    <t>plotValue_gold_after_creation is: 81937658.7390379</t>
  </si>
  <si>
    <t xml:space="preserve"> plotValue_tb_after_creation  is: 34754189.656262554</t>
  </si>
  <si>
    <t xml:space="preserve"> plotValue_reit_after_creation  is: 36011009.54105633</t>
  </si>
  <si>
    <t xml:space="preserve">total_value_after_creation is: 152702857.93635678
</t>
  </si>
  <si>
    <t xml:space="preserve"> 152702857.93635678
</t>
  </si>
  <si>
    <t>total_amount_gtncps_before_creation is: 103006628.83081044</t>
  </si>
  <si>
    <t>creation_amount_gtbcps is: 59.77475203573704</t>
  </si>
  <si>
    <t xml:space="preserve">total_amount_gtbcps_new is: 103006688.60556248
</t>
  </si>
  <si>
    <t xml:space="preserve"> 103006688.60556248
</t>
  </si>
  <si>
    <t>payout of tranche of gold is: -15.205117865266132</t>
  </si>
  <si>
    <t xml:space="preserve"> payout of tranche of Treausry Bill Option is: -3.09314674853117</t>
  </si>
  <si>
    <t xml:space="preserve"> payout of tranche of Collar of REIT is: -2.31706291837708
</t>
  </si>
  <si>
    <t xml:space="preserve"> -2.31706291837708
</t>
  </si>
  <si>
    <t>Collateral size of tranche of gold is: 81937658.7390379</t>
  </si>
  <si>
    <t xml:space="preserve"> collateral size of tranche of Treausry Bill Option is: 34754189.656262554</t>
  </si>
  <si>
    <t xml:space="preserve"> collateral size of tranche of Collar of REIT is: 36011009.54105633
</t>
  </si>
  <si>
    <t xml:space="preserve"> 36011009.54105633
</t>
  </si>
  <si>
    <t>Collateral ratio of tranche of gold is: 0.7955625835504173</t>
  </si>
  <si>
    <t xml:space="preserve"> collateral ratio of tranche of Treausry Bill Option is: 0.33744109042945397</t>
  </si>
  <si>
    <t xml:space="preserve"> collateral ratio of tranche of Collar of REIT is: 0.3496440126265425
</t>
  </si>
  <si>
    <t xml:space="preserve"> 0.3496440126265425
</t>
  </si>
  <si>
    <t xml:space="preserve">date is: 2023-01-12 00:00:00
</t>
  </si>
  <si>
    <t xml:space="preserve"> 2023-01-12 00</t>
  </si>
  <si>
    <t>current price of gold is: 1897.09</t>
  </si>
  <si>
    <t xml:space="preserve"> predicted price of gold is: 1895.1075453218104
</t>
  </si>
  <si>
    <t xml:space="preserve"> 1895.1075453218104
</t>
  </si>
  <si>
    <t xml:space="preserve"> current price of tb option is: 4.249391579588893</t>
  </si>
  <si>
    <t xml:space="preserve"> predicted price of tb is: 90.79430609683135
</t>
  </si>
  <si>
    <t xml:space="preserve"> 90.79430609683135
</t>
  </si>
  <si>
    <t>current price of reit is: 61.2</t>
  </si>
  <si>
    <t xml:space="preserve"> current price of reit option is: 4.248140716074005</t>
  </si>
  <si>
    <t xml:space="preserve"> predicted price of reit is: 61.908422166867624
</t>
  </si>
  <si>
    <t xml:space="preserve"> 61.908422166867624
</t>
  </si>
  <si>
    <t>value_ratio_gold_to_total is: -0.2649401984466371</t>
  </si>
  <si>
    <t xml:space="preserve"> risk_ratio_to_gold is: 0.5444478626227396</t>
  </si>
  <si>
    <t xml:space="preserve"> risk_ratio_to_gold_before is: 0.54665874641367
</t>
  </si>
  <si>
    <t xml:space="preserve"> 0.54665874641367
</t>
  </si>
  <si>
    <t>value_ratio_tb_to_total is: 0.6025327455715486</t>
  </si>
  <si>
    <t xml:space="preserve"> risk_ratio_tb_to_gold is: 0.3739497350547925</t>
  </si>
  <si>
    <t xml:space="preserve"> risk_ratio_tb_to_gold_before is: 0.37167954510857526
</t>
  </si>
  <si>
    <t xml:space="preserve"> 0.37167954510857526
</t>
  </si>
  <si>
    <t>value_ratio_reit_to_total is: 0.6624074528750885</t>
  </si>
  <si>
    <t xml:space="preserve"> risk_ratio_reit_to_gold is: 0.46277342734822163</t>
  </si>
  <si>
    <t xml:space="preserve"> risk_ratio_reit_to_gold_before is: 0.45761525088701605
</t>
  </si>
  <si>
    <t xml:space="preserve"> 0.45761525088701605
</t>
  </si>
  <si>
    <t>delta_gold is: 1.0114091347717373</t>
  </si>
  <si>
    <t xml:space="preserve"> delta_tb is: 1.0029289772097412</t>
  </si>
  <si>
    <t xml:space="preserve"> delta_reit is: 1.0260158919994113
</t>
  </si>
  <si>
    <t xml:space="preserve"> 1.0260158919994113
</t>
  </si>
  <si>
    <t>delta_gold_risk is: 0.9985705419530606</t>
  </si>
  <si>
    <t xml:space="preserve"> delta_tb_risk is: 1.0016550439600216</t>
  </si>
  <si>
    <t xml:space="preserve"> delta_reit_risk is: 1.00353877777971
</t>
  </si>
  <si>
    <t xml:space="preserve"> 1.00353877777971
</t>
  </si>
  <si>
    <t xml:space="preserve">collateral_ratio_tranche_gold is: 0.8057911088702223
</t>
  </si>
  <si>
    <t xml:space="preserve"> 0.8057911088702223
</t>
  </si>
  <si>
    <t xml:space="preserve">collateral_ratio_tranche_tb is: 0.33405893416233895
</t>
  </si>
  <si>
    <t xml:space="preserve"> 0.33405893416233895
</t>
  </si>
  <si>
    <t xml:space="preserve">collateral_ratio_tranche_reit is: 0.35344281122432875
</t>
  </si>
  <si>
    <t xml:space="preserve"> 0.35344281122432875
</t>
  </si>
  <si>
    <t>Total plot size is: 154676348.4922472</t>
  </si>
  <si>
    <t xml:space="preserve"> plot size of gold is: 82872496.5304722</t>
  </si>
  <si>
    <t xml:space="preserve"> plot size of TB is: 34855983.88570877</t>
  </si>
  <si>
    <t xml:space="preserve"> plot size of REIT is: 36947868.07606622
</t>
  </si>
  <si>
    <t xml:space="preserve"> 36947868.07606622
</t>
  </si>
  <si>
    <t xml:space="preserve">collateral ratio is: 1.5018081539763737
</t>
  </si>
  <si>
    <t xml:space="preserve"> 1.5018081539763737
</t>
  </si>
  <si>
    <t>S_gtbcps_0 is: 0.9998711257370559</t>
  </si>
  <si>
    <t xml:space="preserve">stdev_gtbcps is: 0.010933628916055215
</t>
  </si>
  <si>
    <t xml:space="preserve"> 0.010933628916055215
</t>
  </si>
  <si>
    <t>predicted price of GTBCPS is: 0.9998466447146622</t>
  </si>
  <si>
    <t xml:space="preserve"> actual price is: 0.9998711257370559
</t>
  </si>
  <si>
    <t xml:space="preserve"> 0.9998711257370559
</t>
  </si>
  <si>
    <t>predicted amount of GTBCPS is: 103133381.71067822</t>
  </si>
  <si>
    <t xml:space="preserve"> actual amount is: 103006688.60556248
</t>
  </si>
  <si>
    <t>plot sizes of gold is: 82872496.5304722</t>
  </si>
  <si>
    <t xml:space="preserve"> plot sizes of tb is: 34855983.88570877 </t>
  </si>
  <si>
    <t xml:space="preserve"> plot sizes of reit is: 36947868.07606622</t>
  </si>
  <si>
    <t xml:space="preserve"> plot sizes of total is: 154676348.4922472.
</t>
  </si>
  <si>
    <t xml:space="preserve"> 154676348.4922472.
</t>
  </si>
  <si>
    <t>predicted stdevs of gold is: 0.009981831865194085</t>
  </si>
  <si>
    <t xml:space="preserve"> predicted stdevs of tb is: 0.0027784294625370414</t>
  </si>
  <si>
    <t xml:space="preserve"> predicted stdevs of reit is: 0.020761944254417106</t>
  </si>
  <si>
    <t xml:space="preserve"> predicted stdevs of GTBCPS is: 0.010933628916055215.
</t>
  </si>
  <si>
    <t xml:space="preserve"> 0.010933628916055215.
</t>
  </si>
  <si>
    <t>total_value_of_collaterals is: 154675479.69922328</t>
  </si>
  <si>
    <t xml:space="preserve"> createdtionValue_gold is: 101803.05244722452</t>
  </si>
  <si>
    <t xml:space="preserve"> createdValue_tb is: 42818.35443499508</t>
  </si>
  <si>
    <t xml:space="preserve"> createdValue_reit is: 45388.03994592093
</t>
  </si>
  <si>
    <t xml:space="preserve"> 45388.03994592093
</t>
  </si>
  <si>
    <t>plotValue_gold_after_creation is: 82770055.34710883</t>
  </si>
  <si>
    <t xml:space="preserve"> plotValue_tb_after_creation  is: 34813077.61664556</t>
  </si>
  <si>
    <t xml:space="preserve"> plotValue_reit_after_creation  is: 36902337.28864074</t>
  </si>
  <si>
    <t xml:space="preserve">total_value_after_creation is: 154485470.25239512
</t>
  </si>
  <si>
    <t xml:space="preserve"> 154485470.25239512
</t>
  </si>
  <si>
    <t>total_amount_gtncps_before_creation is: 103006688.60556248</t>
  </si>
  <si>
    <t>creation_amount_gtbcps is: 126693.10511574149</t>
  </si>
  <si>
    <t xml:space="preserve">total_amount_gtbcps_new is: 103133381.71067822
</t>
  </si>
  <si>
    <t xml:space="preserve"> 103133381.71067822
</t>
  </si>
  <si>
    <t>payout of tranche of gold is: -638.1309161439575</t>
  </si>
  <si>
    <t xml:space="preserve"> payout of tranche of Treausry Bill Option is: -87.91462821500733</t>
  </si>
  <si>
    <t xml:space="preserve"> payout of tranche of Collar of REIT is: -142.7474795571399
</t>
  </si>
  <si>
    <t xml:space="preserve"> -142.7474795571399
</t>
  </si>
  <si>
    <t>Collateral size of tranche of gold is: 82770055.34710883</t>
  </si>
  <si>
    <t xml:space="preserve"> collateral size of tranche of Treausry Bill Option is: 34813077.61664556</t>
  </si>
  <si>
    <t xml:space="preserve"> collateral size of tranche of Collar of REIT is: 36902337.28864074
</t>
  </si>
  <si>
    <t xml:space="preserve"> 36902337.28864074
</t>
  </si>
  <si>
    <t>Collateral ratio of tranche of gold is: 0.8036638362041805</t>
  </si>
  <si>
    <t xml:space="preserve"> collateral ratio of tranche of Treausry Bill Option is: 0.3380209351091673</t>
  </si>
  <si>
    <t xml:space="preserve"> collateral ratio of tranche of Collar of REIT is: 0.35830680341964416
</t>
  </si>
  <si>
    <t xml:space="preserve"> 0.35830680341964416
</t>
  </si>
  <si>
    <t xml:space="preserve">date is: 2023-01-13 00:00:00
</t>
  </si>
  <si>
    <t xml:space="preserve"> 2023-01-13 00</t>
  </si>
  <si>
    <t>current price of gold is: 1920.23</t>
  </si>
  <si>
    <t xml:space="preserve"> predicted price of gold is: 1910.2029661470347
</t>
  </si>
  <si>
    <t xml:space="preserve"> 1910.2029661470347
</t>
  </si>
  <si>
    <t>current price of tb is: 90.33203125</t>
  </si>
  <si>
    <t xml:space="preserve"> current price of tb option is: 4.24557271167168</t>
  </si>
  <si>
    <t xml:space="preserve"> predicted price of tb is: 90.59512931053268
</t>
  </si>
  <si>
    <t xml:space="preserve"> 90.59512931053268
</t>
  </si>
  <si>
    <t>current price of reit is: 61.45</t>
  </si>
  <si>
    <t xml:space="preserve"> current price of reit option is: 4.193240151821243</t>
  </si>
  <si>
    <t xml:space="preserve"> predicted price of reit is: 61.9080589730143
</t>
  </si>
  <si>
    <t xml:space="preserve"> 61.9080589730143
</t>
  </si>
  <si>
    <t>value_ratio_gold_to_total is: 11.56435322266762</t>
  </si>
  <si>
    <t xml:space="preserve"> risk_ratio_to_gold is: 0.5432417844217098</t>
  </si>
  <si>
    <t xml:space="preserve"> risk_ratio_to_gold_before is: 0.5444478626227396
</t>
  </si>
  <si>
    <t xml:space="preserve"> 0.5444478626227396
</t>
  </si>
  <si>
    <t>value_ratio_tb_to_total is: -5.199928726586401</t>
  </si>
  <si>
    <t xml:space="preserve"> risk_ratio_tb_to_gold is: 0.371915646700853</t>
  </si>
  <si>
    <t xml:space="preserve"> risk_ratio_tb_to_gold_before is: 0.3739497350547925
</t>
  </si>
  <si>
    <t xml:space="preserve"> 0.3739497350547925
</t>
  </si>
  <si>
    <t>value_ratio_reit_to_total is: -5.364424496081219</t>
  </si>
  <si>
    <t xml:space="preserve"> risk_ratio_reit_to_gold is: 0.46888531647343074</t>
  </si>
  <si>
    <t xml:space="preserve"> risk_ratio_reit_to_gold_before is: 0.46277342734822163
</t>
  </si>
  <si>
    <t xml:space="preserve"> 0.46277342734822163
</t>
  </si>
  <si>
    <t>delta_gold is: 1.0121976290002057</t>
  </si>
  <si>
    <t xml:space="preserve"> delta_tb is: 0.9978166919328532</t>
  </si>
  <si>
    <t xml:space="preserve"> delta_reit is: 1.0029809775130758
</t>
  </si>
  <si>
    <t xml:space="preserve"> 1.0029809775130758
</t>
  </si>
  <si>
    <t>delta_gold_risk is: 0.9992190877852092</t>
  </si>
  <si>
    <t xml:space="preserve"> delta_tb_risk is: 0.998519532190995</t>
  </si>
  <si>
    <t xml:space="preserve"> delta_reit_risk is: 1.0041782883192574
</t>
  </si>
  <si>
    <t xml:space="preserve"> 1.0041782883192574
</t>
  </si>
  <si>
    <t xml:space="preserve">collateral_ratio_tranche_gold is: 0.8141023720054704
</t>
  </si>
  <si>
    <t xml:space="preserve"> 0.8141023720054704
</t>
  </si>
  <si>
    <t xml:space="preserve">collateral_ratio_tranche_tb is: 0.3337125067940634
</t>
  </si>
  <si>
    <t xml:space="preserve"> 0.3337125067940634
</t>
  </si>
  <si>
    <t xml:space="preserve">collateral_ratio_tranche_reit is: 0.3535669059134013
</t>
  </si>
  <si>
    <t xml:space="preserve"> 0.3535669059134013
</t>
  </si>
  <si>
    <t>Total plot size is: 155529066.0442804</t>
  </si>
  <si>
    <t xml:space="preserve"> plot size of gold is: 83779653.77455935</t>
  </si>
  <si>
    <t xml:space="preserve"> plot size of TB is: 34737069.943442926</t>
  </si>
  <si>
    <t xml:space="preserve"> plot size of REIT is: 37012342.32627811
</t>
  </si>
  <si>
    <t xml:space="preserve"> 37012342.32627811
</t>
  </si>
  <si>
    <t xml:space="preserve">collateral ratio is: 1.5082693724057878
</t>
  </si>
  <si>
    <t xml:space="preserve"> 1.5082693724057878
</t>
  </si>
  <si>
    <t>S_gtbcps_0 is: 0.9998466447146622</t>
  </si>
  <si>
    <t xml:space="preserve">stdev_gtbcps is: 0.010958779304800579
</t>
  </si>
  <si>
    <t xml:space="preserve"> 0.010958779304800579
</t>
  </si>
  <si>
    <t>predicted price of GTBCPS is: 0.9998606976173053</t>
  </si>
  <si>
    <t xml:space="preserve"> actual price is: 0.9998466447146622
</t>
  </si>
  <si>
    <t xml:space="preserve"> 0.9998466447146622
</t>
  </si>
  <si>
    <t>predicted amount of GTBCPS is: 103700489.7548297</t>
  </si>
  <si>
    <t xml:space="preserve"> actual amount is: 103133381.71067822
</t>
  </si>
  <si>
    <t>plot sizes of gold is: 83779653.77455935</t>
  </si>
  <si>
    <t xml:space="preserve"> plot sizes of tb is: 34737069.943442926 </t>
  </si>
  <si>
    <t xml:space="preserve"> plot sizes of reit is: 37012342.32627811</t>
  </si>
  <si>
    <t xml:space="preserve"> plot sizes of total is: 155529066.04428038.
</t>
  </si>
  <si>
    <t xml:space="preserve"> 155529066.04428038.
</t>
  </si>
  <si>
    <t>predicted stdevs of gold is: 0.010036449821313135</t>
  </si>
  <si>
    <t xml:space="preserve"> predicted stdevs of tb is: 0.0027732901031939762</t>
  </si>
  <si>
    <t xml:space="preserve"> predicted stdevs of reit is: 0.02072882715863265</t>
  </si>
  <si>
    <t xml:space="preserve"> predicted stdevs of GTBCPS is: 0.010958779304800579.
</t>
  </si>
  <si>
    <t xml:space="preserve"> 0.010958779304800579.
</t>
  </si>
  <si>
    <t>total_value_of_collaterals is: 155529568.11876595</t>
  </si>
  <si>
    <t xml:space="preserve"> createdtionValue_gold is: 458168.668157908</t>
  </si>
  <si>
    <t xml:space="preserve"> createdValue_tb is: 189967.40390818167</t>
  </si>
  <si>
    <t xml:space="preserve"> createdValue_reit is: 202410.24060887643
</t>
  </si>
  <si>
    <t xml:space="preserve"> 202410.24060887643
</t>
  </si>
  <si>
    <t>plotValue_gold_after_creation is: 83321837.22010578</t>
  </si>
  <si>
    <t xml:space="preserve"> plotValue_tb_after_creation  is: 34547174.884748615</t>
  </si>
  <si>
    <t xml:space="preserve"> plotValue_reit_after_creation  is: 36810009.7012366</t>
  </si>
  <si>
    <t xml:space="preserve">total_value_after_creation is: 154679021.806091
</t>
  </si>
  <si>
    <t xml:space="preserve"> 154679021.806091
</t>
  </si>
  <si>
    <t>total_amount_gtncps_before_creation is: 103133381.71067822</t>
  </si>
  <si>
    <t>creation_amount_gtbcps is: 567108.044151485</t>
  </si>
  <si>
    <t xml:space="preserve">total_amount_gtbcps_new is: 103700489.7548297
</t>
  </si>
  <si>
    <t xml:space="preserve"> 103700489.7548297
</t>
  </si>
  <si>
    <t>payout of tranche of gold is: 352.1137043351331</t>
  </si>
  <si>
    <t xml:space="preserve"> payout of tranche of Treausry Bill Option is: 72.34521386686741</t>
  </si>
  <si>
    <t xml:space="preserve"> payout of tranche of Collar of REIT is: 77.61556736668513
</t>
  </si>
  <si>
    <t xml:space="preserve"> 77.61556736668513
</t>
  </si>
  <si>
    <t>Collateral size of tranche of gold is: 83321837.22010578</t>
  </si>
  <si>
    <t xml:space="preserve"> collateral size of tranche of Treausry Bill Option is: 34547174.884748615</t>
  </si>
  <si>
    <t xml:space="preserve"> collateral size of tranche of Collar of REIT is: 36810009.7012366
</t>
  </si>
  <si>
    <t xml:space="preserve"> 36810009.7012366
</t>
  </si>
  <si>
    <t>Collateral ratio of tranche of gold is: 0.8080162250612131</t>
  </si>
  <si>
    <t xml:space="preserve"> collateral ratio of tranche of Treausry Bill Option is: 0.3350223515014889</t>
  </si>
  <si>
    <t xml:space="preserve"> collateral ratio of tranche of Collar of REIT is: 0.356966265694424
</t>
  </si>
  <si>
    <t xml:space="preserve"> 0.356966265694424
</t>
  </si>
  <si>
    <t xml:space="preserve">date is: 2023-01-17 00:00:00
</t>
  </si>
  <si>
    <t xml:space="preserve"> 2023-01-17 00</t>
  </si>
  <si>
    <t>current price of gold is: 1908.69</t>
  </si>
  <si>
    <t xml:space="preserve"> predicted price of gold is: 1907.23250426166
</t>
  </si>
  <si>
    <t xml:space="preserve"> 1907.23250426166
</t>
  </si>
  <si>
    <t>current price of tb is: 90.3984375</t>
  </si>
  <si>
    <t xml:space="preserve"> current price of tb option is: 4.2424636565333955</t>
  </si>
  <si>
    <t xml:space="preserve"> predicted price of tb is: 90.6647510811616
</t>
  </si>
  <si>
    <t xml:space="preserve"> 90.6647510811616
</t>
  </si>
  <si>
    <t>current price of reit is: 62.8</t>
  </si>
  <si>
    <t xml:space="preserve"> current price of reit option is: 4.044827376296837</t>
  </si>
  <si>
    <t xml:space="preserve"> predicted price of reit is: 63.58947637783338
</t>
  </si>
  <si>
    <t xml:space="preserve"> 63.58947637783338
</t>
  </si>
  <si>
    <t>value_ratio_gold_to_total is: -0.1848303824621991</t>
  </si>
  <si>
    <t xml:space="preserve"> risk_ratio_to_gold is: 0.5429498706074187</t>
  </si>
  <si>
    <t xml:space="preserve"> risk_ratio_to_gold_before is: 0.5432417844217098
</t>
  </si>
  <si>
    <t xml:space="preserve"> 0.5432417844217098
</t>
  </si>
  <si>
    <t>value_ratio_tb_to_total is: 0.5717745852411166</t>
  </si>
  <si>
    <t xml:space="preserve"> risk_ratio_tb_to_gold is: 0.3687070584093665</t>
  </si>
  <si>
    <t xml:space="preserve"> risk_ratio_tb_to_gold_before is: 0.371915646700853
</t>
  </si>
  <si>
    <t xml:space="preserve"> 0.371915646700853
</t>
  </si>
  <si>
    <t>value_ratio_reit_to_total is: 0.6130557972210825</t>
  </si>
  <si>
    <t xml:space="preserve"> risk_ratio_reit_to_gold is: 0.4730836006090468</t>
  </si>
  <si>
    <t xml:space="preserve"> risk_ratio_reit_to_gold_before is: 0.46888531647343074
</t>
  </si>
  <si>
    <t xml:space="preserve"> 0.46888531647343074
</t>
  </si>
  <si>
    <t>delta_gold is: 0.9939903032449238</t>
  </si>
  <si>
    <t xml:space="preserve"> delta_tb is: 1.0006692619839193</t>
  </si>
  <si>
    <t xml:space="preserve"> delta_reit is: 1.0183048128291128
</t>
  </si>
  <si>
    <t xml:space="preserve"> 1.0183048128291128
</t>
  </si>
  <si>
    <t>delta_gold_risk is: 0.9998108437593914</t>
  </si>
  <si>
    <t xml:space="preserve"> delta_tb_risk is: 0.9976612350043516</t>
  </si>
  <si>
    <t xml:space="preserve"> delta_reit_risk is: 1.0028581428982457
</t>
  </si>
  <si>
    <t xml:space="preserve"> 1.0028581428982457
</t>
  </si>
  <si>
    <t xml:space="preserve">collateral_ratio_tranche_gold is: 0.8033122440995425
</t>
  </si>
  <si>
    <t xml:space="preserve"> 0.8033122440995425
</t>
  </si>
  <si>
    <t xml:space="preserve">collateral_ratio_tranche_tb is: 0.33806413312769124
</t>
  </si>
  <si>
    <t xml:space="preserve"> 0.33806413312769124
</t>
  </si>
  <si>
    <t xml:space="preserve">collateral_ratio_tranche_reit is: 0.36465596281974616
</t>
  </si>
  <si>
    <t xml:space="preserve"> 0.36465596281974616
</t>
  </si>
  <si>
    <t>Total plot size is: 154875204.27994347</t>
  </si>
  <si>
    <t xml:space="preserve"> plot size of gold is: 82821098.24533713</t>
  </si>
  <si>
    <t xml:space="preserve"> plot size of TB is: 34570295.99555079</t>
  </si>
  <si>
    <t xml:space="preserve"> plot size of REIT is: 37483810.03905556
</t>
  </si>
  <si>
    <t xml:space="preserve"> 37483810.03905556
</t>
  </si>
  <si>
    <t xml:space="preserve">collateral ratio is: 1.4936938305395202
</t>
  </si>
  <si>
    <t xml:space="preserve"> 1.4936938305395202
</t>
  </si>
  <si>
    <t>S_gtbcps_0 is: 0.9998606976173053</t>
  </si>
  <si>
    <t xml:space="preserve">stdev_gtbcps is: 0.011044596099176898
</t>
  </si>
  <si>
    <t xml:space="preserve"> 0.011044596099176898
</t>
  </si>
  <si>
    <t>predicted price of GTBCPS is: 0.9998630755803987</t>
  </si>
  <si>
    <t xml:space="preserve"> actual price is: 0.9998606976173053
</t>
  </si>
  <si>
    <t xml:space="preserve"> 0.9998606976173053
</t>
  </si>
  <si>
    <t>predicted amount of GTBCPS is: 103700243.12512268</t>
  </si>
  <si>
    <t xml:space="preserve"> actual amount is: 103700489.7548297
</t>
  </si>
  <si>
    <t>plot sizes of gold is: 82821098.24533713</t>
  </si>
  <si>
    <t xml:space="preserve"> plot sizes of tb is: 34570295.99555079 </t>
  </si>
  <si>
    <t xml:space="preserve"> plot sizes of reit is: 37483810.03905556</t>
  </si>
  <si>
    <t xml:space="preserve"> plot sizes of total is: 154875204.27994347.
</t>
  </si>
  <si>
    <t xml:space="preserve"> 154875204.27994347.
</t>
  </si>
  <si>
    <t>predicted stdevs of gold is: 0.010063950400309872</t>
  </si>
  <si>
    <t xml:space="preserve"> predicted stdevs of tb is: 0.0027638004387511446</t>
  </si>
  <si>
    <t xml:space="preserve"> predicted stdevs of reit is: 0.020848501050312516</t>
  </si>
  <si>
    <t xml:space="preserve"> predicted stdevs of GTBCPS is: 0.011044596099176898.
</t>
  </si>
  <si>
    <t xml:space="preserve"> 0.011044596099176898.
</t>
  </si>
  <si>
    <t>total_value_of_collaterals is: 154875289.3233086</t>
  </si>
  <si>
    <t xml:space="preserve"> createdtionValue_gold is: -196.97311058779377</t>
  </si>
  <si>
    <t xml:space="preserve"> createdValue_tb is: -82.2183627412435</t>
  </si>
  <si>
    <t xml:space="preserve"> createdValue_reit is: -89.147559250665
</t>
  </si>
  <si>
    <t xml:space="preserve"> -89.147559250665
</t>
  </si>
  <si>
    <t>plotValue_gold_after_creation is: 82821361.15313971</t>
  </si>
  <si>
    <t xml:space="preserve"> plotValue_tb_after_creation  is: 34570387.26601878</t>
  </si>
  <si>
    <t xml:space="preserve"> plotValue_reit_after_creation  is: 37483909.24318268</t>
  </si>
  <si>
    <t xml:space="preserve">total_value_after_creation is: 154875657.66234118
</t>
  </si>
  <si>
    <t xml:space="preserve"> 154875657.66234118
</t>
  </si>
  <si>
    <t>total_amount_gtncps_before_creation is: 103700489.7548297</t>
  </si>
  <si>
    <t>creation_amount_gtbcps is: -246.6297070235014</t>
  </si>
  <si>
    <t xml:space="preserve">total_amount_gtbcps_new is: 103700243.12512268
</t>
  </si>
  <si>
    <t xml:space="preserve"> 103700243.12512268
</t>
  </si>
  <si>
    <t>payout of tranche of gold is: 65.93469200048605</t>
  </si>
  <si>
    <t xml:space="preserve"> payout of tranche of Treausry Bill Option is: 9.05210524455924</t>
  </si>
  <si>
    <t xml:space="preserve"> payout of tranche of Collar of REIT is: 10.056567866644706
</t>
  </si>
  <si>
    <t xml:space="preserve"> 10.056567866644706
</t>
  </si>
  <si>
    <t>Collateral size of tranche of gold is: 82821361.15313971</t>
  </si>
  <si>
    <t xml:space="preserve"> collateral size of tranche of Treausry Bill Option is: 34570387.26601878</t>
  </si>
  <si>
    <t xml:space="preserve"> collateral size of tranche of Collar of REIT is: 37483909.24318268
</t>
  </si>
  <si>
    <t xml:space="preserve"> 37483909.24318268
</t>
  </si>
  <si>
    <t>Collateral ratio of tranche of gold is: 0.7987686766837132</t>
  </si>
  <si>
    <t xml:space="preserve"> collateral ratio of tranche of Treausry Bill Option is: 0.33341328981375346</t>
  </si>
  <si>
    <t xml:space="preserve"> collateral ratio of tranche of Collar of REIT is: 0.3615126842427462
</t>
  </si>
  <si>
    <t xml:space="preserve"> 0.3615126842427462
</t>
  </si>
  <si>
    <t xml:space="preserve">date is: 2023-01-18 00:00:00
</t>
  </si>
  <si>
    <t xml:space="preserve"> 2023-01-18 00</t>
  </si>
  <si>
    <t>current price of gold is: 1904.11</t>
  </si>
  <si>
    <t xml:space="preserve"> predicted price of gold is: 1901.0092075343935
</t>
  </si>
  <si>
    <t xml:space="preserve"> 1901.0092075343935
</t>
  </si>
  <si>
    <t>current price of tb is: 90.80859375</t>
  </si>
  <si>
    <t xml:space="preserve"> current price of tb option is: 4.253039017831207</t>
  </si>
  <si>
    <t xml:space="preserve"> predicted price of tb is: 91.06397297793812
</t>
  </si>
  <si>
    <t xml:space="preserve"> 91.06397297793812
</t>
  </si>
  <si>
    <t>current price of reit is: 62.55</t>
  </si>
  <si>
    <t xml:space="preserve"> current price of reit option is: 4.177335470324081</t>
  </si>
  <si>
    <t xml:space="preserve"> predicted price of reit is: 63.199523145422596
</t>
  </si>
  <si>
    <t xml:space="preserve"> 63.199523145422596
</t>
  </si>
  <si>
    <t>value_ratio_gold_to_total is: -0.4973614927388178</t>
  </si>
  <si>
    <t xml:space="preserve"> risk_ratio_to_gold is: 0.5427495985670844</t>
  </si>
  <si>
    <t xml:space="preserve"> risk_ratio_to_gold_before is: 0.5429498706074187
</t>
  </si>
  <si>
    <t xml:space="preserve"> 0.5429498706074187
</t>
  </si>
  <si>
    <t>value_ratio_tb_to_total is: 0.7231421172097733</t>
  </si>
  <si>
    <t xml:space="preserve"> risk_ratio_tb_to_gold is: 0.37428836020361</t>
  </si>
  <si>
    <t xml:space="preserve"> risk_ratio_tb_to_gold_before is: 0.3687070584093665
</t>
  </si>
  <si>
    <t xml:space="preserve"> 0.3687070584093665
</t>
  </si>
  <si>
    <t>value_ratio_reit_to_total is: 0.7742193755290445</t>
  </si>
  <si>
    <t xml:space="preserve"> risk_ratio_reit_to_gold is: 0.4681819108755477</t>
  </si>
  <si>
    <t xml:space="preserve"> risk_ratio_reit_to_gold_before is: 0.4730836006090468
</t>
  </si>
  <si>
    <t xml:space="preserve"> 0.4730836006090468
</t>
  </si>
  <si>
    <t>delta_gold is: 0.9976004484751321</t>
  </si>
  <si>
    <t xml:space="preserve"> delta_tb is: 1.004445557958096</t>
  </si>
  <si>
    <t xml:space="preserve"> delta_reit is: 0.99824231865674
</t>
  </si>
  <si>
    <t xml:space="preserve"> 0.99824231865674
</t>
  </si>
  <si>
    <t>delta_gold_risk is: 0.9998702018489717</t>
  </si>
  <si>
    <t xml:space="preserve"> delta_tb_risk is: 1.0040777913432621</t>
  </si>
  <si>
    <t xml:space="preserve"> delta_reit_risk is: 0.9966724972489868
</t>
  </si>
  <si>
    <t xml:space="preserve"> 0.9966724972489868
</t>
  </si>
  <si>
    <t xml:space="preserve">collateral_ratio_tranche_gold is: 0.7969554334292712
</t>
  </si>
  <si>
    <t xml:space="preserve"> 0.7969554334292712
</t>
  </si>
  <si>
    <t xml:space="preserve">collateral_ratio_tranche_tb is: 0.33433767057685704
</t>
  </si>
  <si>
    <t xml:space="preserve"> 0.33433767057685704
</t>
  </si>
  <si>
    <t xml:space="preserve">collateral_ratio_tranche_reit is: 0.3629530137481023
</t>
  </si>
  <si>
    <t xml:space="preserve"> 0.3629530137481023
</t>
  </si>
  <si>
    <t>Total plot size is: 154764723.43117023</t>
  </si>
  <si>
    <t xml:space="preserve"> plot size of gold is: 82622627.02969305</t>
  </si>
  <si>
    <t xml:space="preserve"> plot size of TB is: 34724071.926243685</t>
  </si>
  <si>
    <t xml:space="preserve"> plot size of REIT is: 37418024.47523349
</t>
  </si>
  <si>
    <t xml:space="preserve"> 37418024.47523349
</t>
  </si>
  <si>
    <t xml:space="preserve">collateral ratio is: 1.4926282980485537
</t>
  </si>
  <si>
    <t xml:space="preserve"> 1.4926282980485537
</t>
  </si>
  <si>
    <t>S_gtbcps_0 is: 0.9998630755803987</t>
  </si>
  <si>
    <t xml:space="preserve">stdev_gtbcps is: 0.011043032584966448
</t>
  </si>
  <si>
    <t xml:space="preserve"> 0.011043032584966448
</t>
  </si>
  <si>
    <t>predicted price of GTBCPS is: 0.9998504648700429</t>
  </si>
  <si>
    <t xml:space="preserve"> actual price is: 0.9998630755803987
</t>
  </si>
  <si>
    <t xml:space="preserve"> 0.9998630755803987
</t>
  </si>
  <si>
    <t>predicted amount of GTBCPS is: 103701551.05443393</t>
  </si>
  <si>
    <t xml:space="preserve"> actual amount is: 103700243.12512268
</t>
  </si>
  <si>
    <t>plot sizes of gold is: 82622627.02969305</t>
  </si>
  <si>
    <t xml:space="preserve"> plot sizes of tb is: 34724071.926243685 </t>
  </si>
  <si>
    <t xml:space="preserve"> plot sizes of reit is: 37418024.47523349</t>
  </si>
  <si>
    <t xml:space="preserve"> plot sizes of total is: 154764723.43117023.
</t>
  </si>
  <si>
    <t xml:space="preserve"> 154764723.43117023.
</t>
  </si>
  <si>
    <t>predicted stdevs of gold is: 0.010084490136523242</t>
  </si>
  <si>
    <t xml:space="preserve"> predicted stdevs of tb is: 0.002797945332571144</t>
  </si>
  <si>
    <t xml:space="preserve"> predicted stdevs of reit is: 0.02081106024345764</t>
  </si>
  <si>
    <t xml:space="preserve"> predicted stdevs of GTBCPS is: 0.011043032584966448.
</t>
  </si>
  <si>
    <t xml:space="preserve"> 0.011043032584966448.
</t>
  </si>
  <si>
    <t>total_value_of_collaterals is: 154764272.7527948</t>
  </si>
  <si>
    <t xml:space="preserve"> createdtionValue_gold is: 1042.0687673839445</t>
  </si>
  <si>
    <t xml:space="preserve"> createdValue_tb is: 437.9543521618277</t>
  </si>
  <si>
    <t xml:space="preserve"> createdValue_reit is: 471.93156781226804
</t>
  </si>
  <si>
    <t xml:space="preserve"> 471.93156781226804
</t>
  </si>
  <si>
    <t>plotValue_gold_after_creation is: 82621272.87895423</t>
  </si>
  <si>
    <t xml:space="preserve"> plotValue_tb_after_creation  is: 34723568.32008963</t>
  </si>
  <si>
    <t xml:space="preserve"> plotValue_reit_after_creation  is: 37417479.5990636</t>
  </si>
  <si>
    <t xml:space="preserve">total_value_after_creation is: 154762320.79810748
</t>
  </si>
  <si>
    <t xml:space="preserve"> 154762320.79810748
</t>
  </si>
  <si>
    <t>total_amount_gtncps_before_creation is: 103700243.12512268</t>
  </si>
  <si>
    <t>creation_amount_gtbcps is: 1307.9293112456799</t>
  </si>
  <si>
    <t xml:space="preserve">total_amount_gtbcps_new is: 103701551.05443393
</t>
  </si>
  <si>
    <t xml:space="preserve"> 103701551.05443393
</t>
  </si>
  <si>
    <t>payout of tranche of gold is: -312.0819714383056</t>
  </si>
  <si>
    <t xml:space="preserve"> payout of tranche of Treausry Bill Option is: -65.65180189361455</t>
  </si>
  <si>
    <t xml:space="preserve"> payout of tranche of Collar of REIT is: -72.94460207900333
</t>
  </si>
  <si>
    <t xml:space="preserve"> -72.94460207900333
</t>
  </si>
  <si>
    <t>Collateral size of tranche of gold is: 82621272.87895423</t>
  </si>
  <si>
    <t xml:space="preserve"> collateral size of tranche of Treausry Bill Option is: 34723568.32008963</t>
  </si>
  <si>
    <t xml:space="preserve"> collateral size of tranche of Collar of REIT is: 37417479.5990636
</t>
  </si>
  <si>
    <t xml:space="preserve"> 37417479.5990636
</t>
  </si>
  <si>
    <t>Collateral ratio of tranche of gold is: 0.7968508753617639</t>
  </si>
  <si>
    <t xml:space="preserve"> collateral ratio of tranche of Treausry Bill Option is: 0.334895661218935</t>
  </si>
  <si>
    <t xml:space="preserve"> collateral ratio of tranche of Collar of REIT is: 0.3608774149004876
</t>
  </si>
  <si>
    <t xml:space="preserve"> 0.3608774149004876
</t>
  </si>
  <si>
    <t xml:space="preserve">date is: 2023-01-19 00:00:00
</t>
  </si>
  <si>
    <t xml:space="preserve"> 2023-01-19 00</t>
  </si>
  <si>
    <t>current price of gold is: 1932.24</t>
  </si>
  <si>
    <t xml:space="preserve"> predicted price of gold is: 1933.7730266337157
</t>
  </si>
  <si>
    <t xml:space="preserve"> 1933.7730266337157
</t>
  </si>
  <si>
    <t>current price of tb is: 90.72265625</t>
  </si>
  <si>
    <t xml:space="preserve"> current price of tb option is: 4.251806064224146</t>
  </si>
  <si>
    <t xml:space="preserve"> predicted price of tb is: 90.9793101067908
</t>
  </si>
  <si>
    <t xml:space="preserve"> 90.9793101067908
</t>
  </si>
  <si>
    <t>current price of reit is: 63.4</t>
  </si>
  <si>
    <t xml:space="preserve"> current price of reit option is: 4.0987577558765125</t>
  </si>
  <si>
    <t xml:space="preserve"> predicted price of reit is: 64.14748461531592
</t>
  </si>
  <si>
    <t xml:space="preserve"> 64.14748461531592
</t>
  </si>
  <si>
    <t>value_ratio_gold_to_total is: 0.14080315960711312</t>
  </si>
  <si>
    <t xml:space="preserve"> risk_ratio_to_gold is: 0.5414713997249575</t>
  </si>
  <si>
    <t xml:space="preserve"> risk_ratio_to_gold_before is: 0.5427495985670844
</t>
  </si>
  <si>
    <t xml:space="preserve"> 0.5427495985670844
</t>
  </si>
  <si>
    <t>value_ratio_tb_to_total is: 0.4140863491081722</t>
  </si>
  <si>
    <t xml:space="preserve"> risk_ratio_tb_to_gold is: 0.3734413133379463</t>
  </si>
  <si>
    <t xml:space="preserve"> risk_ratio_tb_to_gold_before is: 0.37428836020361
</t>
  </si>
  <si>
    <t xml:space="preserve"> 0.37428836020361
</t>
  </si>
  <si>
    <t>value_ratio_reit_to_total is: 0.44511049128471464</t>
  </si>
  <si>
    <t xml:space="preserve"> risk_ratio_reit_to_gold is: 0.47337829801724957</t>
  </si>
  <si>
    <t xml:space="preserve"> risk_ratio_reit_to_gold_before is: 0.4681819108755477
</t>
  </si>
  <si>
    <t xml:space="preserve"> 0.4681819108755477
</t>
  </si>
  <si>
    <t>delta_gold is: 1.0147733061640347</t>
  </si>
  <si>
    <t xml:space="preserve"> delta_tb is: 0.9990830111889624</t>
  </si>
  <si>
    <t xml:space="preserve"> delta_reit is: 1.0115608135723553
</t>
  </si>
  <si>
    <t xml:space="preserve"> 1.0115608135723553
</t>
  </si>
  <si>
    <t>delta_gold_risk is: 0.9991714800358308</t>
  </si>
  <si>
    <t xml:space="preserve"> delta_tb_risk is: 0.9993836469185127</t>
  </si>
  <si>
    <t xml:space="preserve"> delta_reit_risk is: 1.0035393346718207
</t>
  </si>
  <si>
    <t xml:space="preserve"> 1.0035393346718207
</t>
  </si>
  <si>
    <t xml:space="preserve">collateral_ratio_tranche_gold is: 0.809293513143074
</t>
  </si>
  <si>
    <t xml:space="preserve"> 0.809293513143074
</t>
  </si>
  <si>
    <t xml:space="preserve">collateral_ratio_tranche_tb is: 0.3299208951301443
</t>
  </si>
  <si>
    <t xml:space="preserve"> 0.3299208951301443
</t>
  </si>
  <si>
    <t xml:space="preserve">collateral_ratio_tranche_reit is: 0.3584662444635959
</t>
  </si>
  <si>
    <t xml:space="preserve"> 0.3584662444635959
</t>
  </si>
  <si>
    <t>Total plot size is: 156383645.54037386</t>
  </si>
  <si>
    <t xml:space="preserve"> plot size of gold is: 83841862.23885728</t>
  </si>
  <si>
    <t xml:space="preserve"> plot size of TB is: 34691727.196460806</t>
  </si>
  <si>
    <t xml:space="preserve"> plot size of REIT is: 37850056.10505578
</t>
  </si>
  <si>
    <t xml:space="preserve"> 37850056.10505578
</t>
  </si>
  <si>
    <t xml:space="preserve">collateral ratio is: 1.5082419915244347
</t>
  </si>
  <si>
    <t xml:space="preserve"> 1.5082419915244347
</t>
  </si>
  <si>
    <t>S_gtbcps_0 is: 0.9998504648700429</t>
  </si>
  <si>
    <t xml:space="preserve">stdev_gtbcps is: 0.011050660668973797
</t>
  </si>
  <si>
    <t xml:space="preserve"> 0.011050660668973797
</t>
  </si>
  <si>
    <t>predicted price of GTBCPS is: 0.9998304930899554</t>
  </si>
  <si>
    <t xml:space="preserve"> actual price is: 0.9998504648700429
</t>
  </si>
  <si>
    <t xml:space="preserve"> 0.9998504648700429
</t>
  </si>
  <si>
    <t>predicted amount of GTBCPS is: 104273438.76198685</t>
  </si>
  <si>
    <t xml:space="preserve"> actual amount is: 103701551.05443393
</t>
  </si>
  <si>
    <t>plot sizes of gold is: 83841862.23885728</t>
  </si>
  <si>
    <t xml:space="preserve"> plot sizes of tb is: 34691727.196460806 </t>
  </si>
  <si>
    <t xml:space="preserve"> plot sizes of reit is: 37850056.10505578</t>
  </si>
  <si>
    <t xml:space="preserve"> plot sizes of total is: 156383645.54037386.
</t>
  </si>
  <si>
    <t xml:space="preserve"> 156383645.54037386.
</t>
  </si>
  <si>
    <t>predicted stdevs of gold is: 0.010061725434078307</t>
  </si>
  <si>
    <t xml:space="preserve"> predicted stdevs of tb is: 0.0027967864845505276</t>
  </si>
  <si>
    <t xml:space="preserve"> predicted stdevs of reit is: 0.02080640111549481</t>
  </si>
  <si>
    <t xml:space="preserve"> predicted stdevs of GTBCPS is: 0.011050660668973797.
</t>
  </si>
  <si>
    <t xml:space="preserve"> 0.011050660668973797.
</t>
  </si>
  <si>
    <t>total_value_of_collaterals is: 156382928.81406695</t>
  </si>
  <si>
    <t xml:space="preserve"> createdtionValue_gold is: 459827.65798014</t>
  </si>
  <si>
    <t xml:space="preserve"> createdValue_tb is: 190266.40381075884</t>
  </si>
  <si>
    <t xml:space="preserve"> createdValue_reit is: 207588.16027553377
</t>
  </si>
  <si>
    <t xml:space="preserve"> 207588.16027553377
</t>
  </si>
  <si>
    <t>plotValue_gold_after_creation is: 83381476.32917136</t>
  </si>
  <si>
    <t xml:space="preserve"> plotValue_tb_after_creation  is: 34501390.61941451</t>
  </si>
  <si>
    <t xml:space="preserve"> plotValue_reit_after_creation  is: 37642379.64341463</t>
  </si>
  <si>
    <t xml:space="preserve">total_value_after_creation is: 155525246.59200048
</t>
  </si>
  <si>
    <t xml:space="preserve"> 155525246.59200048
</t>
  </si>
  <si>
    <t>total_amount_gtncps_before_creation is: 103701551.05443393</t>
  </si>
  <si>
    <t>creation_amount_gtbcps is: 571887.7075529248</t>
  </si>
  <si>
    <t xml:space="preserve">total_amount_gtbcps_new is: 104273438.76198685
</t>
  </si>
  <si>
    <t xml:space="preserve"> 104273438.76198685
</t>
  </si>
  <si>
    <t>payout of tranche of gold is: -558.2517057753748</t>
  </si>
  <si>
    <t xml:space="preserve"> payout of tranche of Treausry Bill Option is: -70.17323553442232</t>
  </si>
  <si>
    <t xml:space="preserve"> payout of tranche of Collar of REIT is: -88.30136561261159
</t>
  </si>
  <si>
    <t xml:space="preserve"> -88.30136561261159
</t>
  </si>
  <si>
    <t>Collateral size of tranche of gold is: 83381476.32917136</t>
  </si>
  <si>
    <t xml:space="preserve"> collateral size of tranche of Treausry Bill Option is: 34501390.61941451</t>
  </si>
  <si>
    <t xml:space="preserve"> collateral size of tranche of Collar of REIT is: 37642379.64341463
</t>
  </si>
  <si>
    <t xml:space="preserve"> 37642379.64341463
</t>
  </si>
  <si>
    <t>Collateral ratio of tranche of gold is: 0.804188670408371</t>
  </si>
  <si>
    <t xml:space="preserve"> collateral ratio of tranche of Treausry Bill Option is: 0.3327552913543206</t>
  </si>
  <si>
    <t xml:space="preserve"> collateral ratio of tranche of Collar of REIT is: 0.36304916354490246
</t>
  </si>
  <si>
    <t xml:space="preserve"> 0.36304916354490246
</t>
  </si>
  <si>
    <t xml:space="preserve">date is: 2023-01-20 00:00:00
</t>
  </si>
  <si>
    <t xml:space="preserve"> 2023-01-20 00</t>
  </si>
  <si>
    <t>current price of gold is: 1926.08</t>
  </si>
  <si>
    <t xml:space="preserve"> predicted price of gold is: 1919.89377851451
</t>
  </si>
  <si>
    <t xml:space="preserve"> 1919.89377851451
</t>
  </si>
  <si>
    <t>current price of tb is: 90.59765625</t>
  </si>
  <si>
    <t xml:space="preserve"> current price of tb option is: 4.2455580705379115</t>
  </si>
  <si>
    <t xml:space="preserve"> predicted price of tb is: 90.86077078480105
</t>
  </si>
  <si>
    <t xml:space="preserve"> 90.86077078480105
</t>
  </si>
  <si>
    <t>current price of reit is: 63.55</t>
  </si>
  <si>
    <t xml:space="preserve"> current price of reit option is: 4.0257616806119785</t>
  </si>
  <si>
    <t xml:space="preserve"> predicted price of reit is: 64.20326357323012
</t>
  </si>
  <si>
    <t xml:space="preserve"> 64.20326357323012
</t>
  </si>
  <si>
    <t>value_ratio_gold_to_total is: -2.0610595304745254</t>
  </si>
  <si>
    <t xml:space="preserve"> risk_ratio_to_gold is: 0.5418571978400303</t>
  </si>
  <si>
    <t xml:space="preserve"> risk_ratio_to_gold_before is: 0.5414713997249575
</t>
  </si>
  <si>
    <t xml:space="preserve"> 0.5414713997249575
</t>
  </si>
  <si>
    <t>value_ratio_tb_to_total is: 1.5021516227344032</t>
  </si>
  <si>
    <t xml:space="preserve"> risk_ratio_tb_to_gold is: 0.36939914374731914</t>
  </si>
  <si>
    <t xml:space="preserve"> risk_ratio_tb_to_gold_before is: 0.3734413133379463
</t>
  </si>
  <si>
    <t xml:space="preserve"> 0.3734413133379463
</t>
  </si>
  <si>
    <t>value_ratio_reit_to_total is: 1.5589079077401222</t>
  </si>
  <si>
    <t xml:space="preserve"> risk_ratio_reit_to_gold is: 0.47610554639287705</t>
  </si>
  <si>
    <t xml:space="preserve"> risk_ratio_reit_to_gold_before is: 0.47337829801724957
</t>
  </si>
  <si>
    <t xml:space="preserve"> 0.47337829801724957
</t>
  </si>
  <si>
    <t>delta_gold is: 0.9968119902289571</t>
  </si>
  <si>
    <t xml:space="preserve"> delta_tb is: 0.9986180706846015</t>
  </si>
  <si>
    <t xml:space="preserve"> delta_reit is: 1.0011408198801817
</t>
  </si>
  <si>
    <t xml:space="preserve"> 1.0011408198801817
</t>
  </si>
  <si>
    <t>delta_gold_risk is: 1.0002502791262566</t>
  </si>
  <si>
    <t xml:space="preserve"> delta_tb_risk is: 0.9970569040326861</t>
  </si>
  <si>
    <t xml:space="preserve"> delta_reit_risk is: 1.0018510170668984
</t>
  </si>
  <si>
    <t xml:space="preserve"> 1.0018510170668984
</t>
  </si>
  <si>
    <t xml:space="preserve">collateral_ratio_tranche_gold is: 0.801424329288452
</t>
  </si>
  <si>
    <t xml:space="preserve"> 0.801424329288452
</t>
  </si>
  <si>
    <t xml:space="preserve">collateral_ratio_tranche_tb is: 0.33434219742218
</t>
  </si>
  <si>
    <t xml:space="preserve"> 0.33434219742218
</t>
  </si>
  <si>
    <t xml:space="preserve">collateral_ratio_tranche_reit is: 0.3639520862353911
</t>
  </si>
  <si>
    <t xml:space="preserve"> 0.3639520862353911
</t>
  </si>
  <si>
    <t>Total plot size is: 155254690.3226547</t>
  </si>
  <si>
    <t xml:space="preserve"> plot size of gold is: 83115655.36790998</t>
  </si>
  <si>
    <t xml:space="preserve"> plot size of TB is: 34453712.13629553</t>
  </si>
  <si>
    <t xml:space="preserve"> plot size of REIT is: 37685322.818449184
</t>
  </si>
  <si>
    <t xml:space="preserve"> 37685322.818449184
</t>
  </si>
  <si>
    <t xml:space="preserve">collateral ratio is: 1.489171292044464
</t>
  </si>
  <si>
    <t xml:space="preserve"> 1.489171292044464
</t>
  </si>
  <si>
    <t>S_gtbcps_0 is: 0.9998304930899554</t>
  </si>
  <si>
    <t xml:space="preserve">stdev_gtbcps is: 0.011092385317531223
</t>
  </si>
  <si>
    <t xml:space="preserve"> 0.011092385317531223
</t>
  </si>
  <si>
    <t>predicted price of GTBCPS is: 0.9998625931186016</t>
  </si>
  <si>
    <t xml:space="preserve"> actual price is: 0.9998304930899554
</t>
  </si>
  <si>
    <t xml:space="preserve"> 0.9998304930899554
</t>
  </si>
  <si>
    <t>predicted amount of GTBCPS is: 104270091.12162673</t>
  </si>
  <si>
    <t xml:space="preserve"> actual amount is: 104273438.76198685
</t>
  </si>
  <si>
    <t>plot sizes of gold is: 83115655.36790998</t>
  </si>
  <si>
    <t xml:space="preserve"> plot sizes of tb is: 34453712.13629553 </t>
  </si>
  <si>
    <t xml:space="preserve"> plot sizes of reit is: 37685322.818449184</t>
  </si>
  <si>
    <t xml:space="preserve"> plot sizes of total is: 155254690.3226547.
</t>
  </si>
  <si>
    <t xml:space="preserve"> 155254690.3226547.
</t>
  </si>
  <si>
    <t>predicted stdevs of gold is: 0.010130930746369652</t>
  </si>
  <si>
    <t xml:space="preserve"> predicted stdevs of tb is: 0.002788646252297873</t>
  </si>
  <si>
    <t xml:space="preserve"> predicted stdevs of reit is: 0.02080456329091047</t>
  </si>
  <si>
    <t xml:space="preserve"> predicted stdevs of GTBCPS is: 0.011092385317531223.
</t>
  </si>
  <si>
    <t xml:space="preserve"> 0.011092385317531223.
</t>
  </si>
  <si>
    <t>total_value_of_collaterals is: 155255844.76227397</t>
  </si>
  <si>
    <t xml:space="preserve"> createdtionValue_gold is: -2668.4960060939047</t>
  </si>
  <si>
    <t xml:space="preserve"> createdValue_tb is: -1106.156540384517</t>
  </si>
  <si>
    <t xml:space="preserve"> createdValue_reit is: -1209.9094355762923
</t>
  </si>
  <si>
    <t xml:space="preserve"> -1209.9094355762923
</t>
  </si>
  <si>
    <t>plotValue_gold_after_creation is: 83119219.79227115</t>
  </si>
  <si>
    <t xml:space="preserve"> plotValue_tb_after_creation  is: 34454939.55955483</t>
  </si>
  <si>
    <t xml:space="preserve"> plotValue_reit_after_creation  is: 37686669.97243001</t>
  </si>
  <si>
    <t xml:space="preserve">total_value_after_creation is: 155260829.324256
</t>
  </si>
  <si>
    <t xml:space="preserve"> 155260829.324256
</t>
  </si>
  <si>
    <t>total_amount_gtncps_before_creation is: 104273438.76198685</t>
  </si>
  <si>
    <t>creation_amount_gtbcps is: -3347.6403601169586</t>
  </si>
  <si>
    <t xml:space="preserve">total_amount_gtbcps_new is: 104270091.12162673
</t>
  </si>
  <si>
    <t xml:space="preserve"> 104270091.12162673
</t>
  </si>
  <si>
    <t>payout of tranche of gold is: 895.9283550861467</t>
  </si>
  <si>
    <t xml:space="preserve"> payout of tranche of Treausry Bill Option is: 121.2667189137781</t>
  </si>
  <si>
    <t xml:space="preserve"> payout of tranche of Collar of REIT is: 137.24454525420612
</t>
  </si>
  <si>
    <t xml:space="preserve"> 137.24454525420612
</t>
  </si>
  <si>
    <t>Collateral size of tranche of gold is: 83119219.79227115</t>
  </si>
  <si>
    <t xml:space="preserve"> collateral size of tranche of Treausry Bill Option is: 34454939.55955483</t>
  </si>
  <si>
    <t xml:space="preserve"> collateral size of tranche of Collar of REIT is: 37686669.97243001
</t>
  </si>
  <si>
    <t xml:space="preserve"> 37686669.97243001
</t>
  </si>
  <si>
    <t>Collateral ratio of tranche of gold is: 0.7972369905663189</t>
  </si>
  <si>
    <t xml:space="preserve"> collateral ratio of tranche of Treausry Bill Option is: 0.3304741357444513</t>
  </si>
  <si>
    <t xml:space="preserve"> collateral ratio of tranche of Collar of REIT is: 0.3614712388828259
</t>
  </si>
  <si>
    <t xml:space="preserve"> 0.3614712388828259
</t>
  </si>
  <si>
    <t xml:space="preserve">date is: 2023-01-26 00:00:00
</t>
  </si>
  <si>
    <t xml:space="preserve"> 2023-01-26 00</t>
  </si>
  <si>
    <t>current price of gold is: 1929.21</t>
  </si>
  <si>
    <t xml:space="preserve"> predicted price of gold is: 1925.9009487709643
</t>
  </si>
  <si>
    <t xml:space="preserve"> 1925.9009487709643
</t>
  </si>
  <si>
    <t>current price of tb is: 90.48828125</t>
  </si>
  <si>
    <t xml:space="preserve"> current price of tb option is: 4.245133405143782</t>
  </si>
  <si>
    <t xml:space="preserve"> predicted price of tb is: 90.75183439906982
</t>
  </si>
  <si>
    <t xml:space="preserve"> 90.75183439906982
</t>
  </si>
  <si>
    <t>current price of reit is: 63.8</t>
  </si>
  <si>
    <t xml:space="preserve"> current price of reit option is: 4.012278013409286</t>
  </si>
  <si>
    <t xml:space="preserve"> predicted price of reit is: 64.55580289255026
</t>
  </si>
  <si>
    <t xml:space="preserve"> 64.55580289255026
</t>
  </si>
  <si>
    <t>value_ratio_gold_to_total is: -0.554492053722374</t>
  </si>
  <si>
    <t xml:space="preserve"> risk_ratio_to_gold is: 0.5407380875568355</t>
  </si>
  <si>
    <t xml:space="preserve"> risk_ratio_to_gold_before is: 0.5418571978400303
</t>
  </si>
  <si>
    <t xml:space="preserve"> 0.5418571978400303
</t>
  </si>
  <si>
    <t>value_ratio_tb_to_total is: 0.7555128929704931</t>
  </si>
  <si>
    <t xml:space="preserve"> risk_ratio_tb_to_gold is: 0.37036335051692004</t>
  </si>
  <si>
    <t xml:space="preserve"> risk_ratio_tb_to_gold_before is: 0.36939914374731914
</t>
  </si>
  <si>
    <t xml:space="preserve"> 0.36939914374731914
</t>
  </si>
  <si>
    <t>value_ratio_reit_to_total is: 0.7989791607518809</t>
  </si>
  <si>
    <t xml:space="preserve"> risk_ratio_reit_to_gold is: 0.47896079182009027</t>
  </si>
  <si>
    <t xml:space="preserve"> risk_ratio_reit_to_gold_before is: 0.47610554639287705
</t>
  </si>
  <si>
    <t xml:space="preserve"> 0.47610554639287705
</t>
  </si>
  <si>
    <t>delta_gold is: 1.001625062302708</t>
  </si>
  <si>
    <t xml:space="preserve"> delta_tb is: 0.9988423034143165</t>
  </si>
  <si>
    <t xml:space="preserve"> delta_reit is: 1.0035000172682502
</t>
  </si>
  <si>
    <t xml:space="preserve"> 1.0035000172682502
</t>
  </si>
  <si>
    <t>delta_gold_risk is: 0.9992741803295645</t>
  </si>
  <si>
    <t xml:space="preserve"> delta_tb_risk is: 1.0007041093708897</t>
  </si>
  <si>
    <t xml:space="preserve"> delta_reit_risk is: 1.0019343098020261
</t>
  </si>
  <si>
    <t xml:space="preserve"> 1.0019343098020261
</t>
  </si>
  <si>
    <t xml:space="preserve">collateral_ratio_tranche_gold is: 0.799112561962377
</t>
  </si>
  <si>
    <t xml:space="preserve"> 0.799112561962377
</t>
  </si>
  <si>
    <t xml:space="preserve">collateral_ratio_tranche_tb is: 0.32932411773960407
</t>
  </si>
  <si>
    <t xml:space="preserve"> 0.32932411773960407
</t>
  </si>
  <si>
    <t xml:space="preserve">collateral_ratio_tranche_reit is: 0.36144872777345116
</t>
  </si>
  <si>
    <t xml:space="preserve"> 0.36144872777345116
</t>
  </si>
  <si>
    <t>Total plot size is: 155487918.86476922</t>
  </si>
  <si>
    <t xml:space="preserve"> plot size of gold is: 83254293.70298608</t>
  </si>
  <si>
    <t xml:space="preserve"> plot size of TB is: 34415051.1936668</t>
  </si>
  <si>
    <t xml:space="preserve"> plot size of REIT is: 37818573.968116365
</t>
  </si>
  <si>
    <t xml:space="preserve"> 37818573.968116365
</t>
  </si>
  <si>
    <t xml:space="preserve">collateral ratio is: 1.4914083726033864
</t>
  </si>
  <si>
    <t xml:space="preserve"> 1.4914083726033864
</t>
  </si>
  <si>
    <t>S_gtbcps_0 is: 0.9998625931186016</t>
  </si>
  <si>
    <t xml:space="preserve">stdev_gtbcps is: 0.011074912159331318
</t>
  </si>
  <si>
    <t xml:space="preserve"> 0.011074912159331318
</t>
  </si>
  <si>
    <t>predicted price of GTBCPS is: 0.9998514155012262</t>
  </si>
  <si>
    <t xml:space="preserve"> actual price is: 0.9998625931186016
</t>
  </si>
  <si>
    <t xml:space="preserve"> 0.9998625931186016
</t>
  </si>
  <si>
    <t>predicted amount of GTBCPS is: 104271256.78600867</t>
  </si>
  <si>
    <t xml:space="preserve"> actual amount is: 104270091.12162673
</t>
  </si>
  <si>
    <t>plot sizes of gold is: 83254293.70298608</t>
  </si>
  <si>
    <t xml:space="preserve"> plot sizes of tb is: 34415051.1936668 </t>
  </si>
  <si>
    <t xml:space="preserve"> plot sizes of reit is: 37818573.968116365</t>
  </si>
  <si>
    <t xml:space="preserve"> plot sizes of total is: 155487918.86476925.
</t>
  </si>
  <si>
    <t xml:space="preserve"> 155487918.86476925.
</t>
  </si>
  <si>
    <t>predicted stdevs of gold is: 0.010123598519689159</t>
  </si>
  <si>
    <t xml:space="preserve"> predicted stdevs of tb is: 0.002791167704734209</t>
  </si>
  <si>
    <t xml:space="preserve"> predicted stdevs of reit is: 0.020707386269691916</t>
  </si>
  <si>
    <t xml:space="preserve"> predicted stdevs of GTBCPS is: 0.011074912159331318.
</t>
  </si>
  <si>
    <t xml:space="preserve"> 0.011074912159331318.
</t>
  </si>
  <si>
    <t>total_value_of_collaterals is: 155487517.18400607</t>
  </si>
  <si>
    <t xml:space="preserve"> createdtionValue_gold is: 930.7092438121238</t>
  </si>
  <si>
    <t xml:space="preserve"> createdValue_tb is: 384.73069966370707</t>
  </si>
  <si>
    <t xml:space="preserve"> createdValue_reit is: 422.778873518495
</t>
  </si>
  <si>
    <t xml:space="preserve"> 422.778873518495
</t>
  </si>
  <si>
    <t>plotValue_gold_after_creation is: 83253069.3773421</t>
  </si>
  <si>
    <t xml:space="preserve"> plotValue_tb_after_creation  is: 34414627.17132061</t>
  </si>
  <si>
    <t xml:space="preserve"> plotValue_reit_after_creation  is: 37818082.41652635</t>
  </si>
  <si>
    <t xml:space="preserve">total_value_after_creation is: 155485778.96518907
</t>
  </si>
  <si>
    <t xml:space="preserve"> 155485778.96518907
</t>
  </si>
  <si>
    <t>total_amount_gtncps_before_creation is: 104270091.12162673</t>
  </si>
  <si>
    <t>creation_amount_gtbcps is: 1165.6643819361925</t>
  </si>
  <si>
    <t xml:space="preserve">total_amount_gtbcps_new is: 104271256.78600867
</t>
  </si>
  <si>
    <t xml:space="preserve"> 104271256.78600867
</t>
  </si>
  <si>
    <t>payout of tranche of gold is: -293.6164001457767</t>
  </si>
  <si>
    <t xml:space="preserve"> payout of tranche of Treausry Bill Option is: -39.29164652720921</t>
  </si>
  <si>
    <t xml:space="preserve"> payout of tranche of Collar of REIT is: -68.77271649936867
</t>
  </si>
  <si>
    <t xml:space="preserve"> -68.77271649936867
</t>
  </si>
  <si>
    <t>Collateral size of tranche of gold is: 83253069.3773421</t>
  </si>
  <si>
    <t xml:space="preserve"> collateral size of tranche of Treausry Bill Option is: 34414627.17132061</t>
  </si>
  <si>
    <t xml:space="preserve"> collateral size of tranche of Collar of REIT is: 37818082.41652635
</t>
  </si>
  <si>
    <t xml:space="preserve"> 37818082.41652635
</t>
  </si>
  <si>
    <t>Collateral ratio of tranche of gold is: 0.7985553713008825</t>
  </si>
  <si>
    <t xml:space="preserve"> collateral ratio of tranche of Treausry Bill Option is: 0.330101767832896</t>
  </si>
  <si>
    <t xml:space="preserve"> collateral ratio of tranche of Collar of REIT is: 0.36274738062973644
</t>
  </si>
  <si>
    <t xml:space="preserve"> 0.36274738062973644
</t>
  </si>
  <si>
    <t xml:space="preserve">date is: 2023-01-27 00:00:00
</t>
  </si>
  <si>
    <t xml:space="preserve"> 2023-01-27 00</t>
  </si>
  <si>
    <t>current price of gold is: 1928.04</t>
  </si>
  <si>
    <t xml:space="preserve"> predicted price of gold is: 1931.8578179501726
</t>
  </si>
  <si>
    <t xml:space="preserve"> 1931.8578179501726
</t>
  </si>
  <si>
    <t>current price of tb is: 90.4921875</t>
  </si>
  <si>
    <t xml:space="preserve"> current price of tb option is: 4.242928399908647</t>
  </si>
  <si>
    <t xml:space="preserve"> predicted price of tb is: 90.7580209484453
</t>
  </si>
  <si>
    <t xml:space="preserve"> 90.7580209484453
</t>
  </si>
  <si>
    <t>current price of reit is: 63.95</t>
  </si>
  <si>
    <t xml:space="preserve"> current price of reit option is: 3.9844406953283595</t>
  </si>
  <si>
    <t xml:space="preserve"> predicted price of reit is: 64.68431237831909
</t>
  </si>
  <si>
    <t xml:space="preserve"> 64.68431237831909
</t>
  </si>
  <si>
    <t>value_ratio_gold_to_total is: 0.29265776408941785</t>
  </si>
  <si>
    <t xml:space="preserve"> risk_ratio_to_gold is: 0.5404120689470501</t>
  </si>
  <si>
    <t xml:space="preserve"> risk_ratio_to_gold_before is: 0.5407380875568355
</t>
  </si>
  <si>
    <t xml:space="preserve"> 0.5407380875568355
</t>
  </si>
  <si>
    <t>value_ratio_tb_to_total is: 0.345622598712773</t>
  </si>
  <si>
    <t xml:space="preserve"> risk_ratio_tb_to_gold is: 0.36955040578100035</t>
  </si>
  <si>
    <t xml:space="preserve"> risk_ratio_tb_to_gold_before is: 0.37036335051692004
</t>
  </si>
  <si>
    <t xml:space="preserve"> 0.37036335051692004
</t>
  </si>
  <si>
    <t>value_ratio_reit_to_total is: 0.36171963719780914</t>
  </si>
  <si>
    <t xml:space="preserve"> risk_ratio_reit_to_gold is: 0.4808893927757203</t>
  </si>
  <si>
    <t xml:space="preserve"> risk_ratio_reit_to_gold_before is: 0.47896079182009027
</t>
  </si>
  <si>
    <t xml:space="preserve"> 0.47896079182009027
</t>
  </si>
  <si>
    <t>delta_gold is: 0.9993935341409177</t>
  </si>
  <si>
    <t xml:space="preserve"> delta_tb is: 1.0000179582333337</t>
  </si>
  <si>
    <t xml:space="preserve"> delta_reit is: 1.0018014832342739
</t>
  </si>
  <si>
    <t xml:space="preserve"> 1.0018014832342739
</t>
  </si>
  <si>
    <t>delta_gold_risk is: 0.9997884010186947</t>
  </si>
  <si>
    <t xml:space="preserve"> delta_tb_risk is: 0.9994067670186794</t>
  </si>
  <si>
    <t xml:space="preserve"> delta_reit_risk is: 1.001304024397602
</t>
  </si>
  <si>
    <t xml:space="preserve"> 1.001304024397602
</t>
  </si>
  <si>
    <t xml:space="preserve">collateral_ratio_tranche_gold is: 0.7982399814985239
</t>
  </si>
  <si>
    <t xml:space="preserve"> 0.7982399814985239
</t>
  </si>
  <si>
    <t xml:space="preserve">collateral_ratio_tranche_tb is: 0.3305040823345039
</t>
  </si>
  <si>
    <t xml:space="preserve"> 0.3305040823345039
</t>
  </si>
  <si>
    <t xml:space="preserve">collateral_ratio_tranche_reit is: 0.3631478342757863
</t>
  </si>
  <si>
    <t xml:space="preserve"> 0.3631478342757863
</t>
  </si>
  <si>
    <t>Total plot size is: 155504035.48827848</t>
  </si>
  <si>
    <t xml:space="preserve"> plot size of gold is: 83202579.23310094</t>
  </si>
  <si>
    <t xml:space="preserve"> plot size of TB is: 34415245.197225444</t>
  </si>
  <si>
    <t xml:space="preserve"> plot size of REIT is: 37886211.057952106
</t>
  </si>
  <si>
    <t xml:space="preserve"> 37886211.057952106
</t>
  </si>
  <si>
    <t xml:space="preserve">collateral ratio is: 1.491562959965641
</t>
  </si>
  <si>
    <t xml:space="preserve"> 1.491562959965641
</t>
  </si>
  <si>
    <t>S_gtbcps_0 is: 0.9998514155012262</t>
  </si>
  <si>
    <t xml:space="preserve">stdev_gtbcps is: 0.011069671758617845
</t>
  </si>
  <si>
    <t xml:space="preserve"> 0.011069671758617845
</t>
  </si>
  <si>
    <t>predicted price of GTBCPS is: 0.9998583785257564</t>
  </si>
  <si>
    <t xml:space="preserve"> actual price is: 0.9998514155012262
</t>
  </si>
  <si>
    <t xml:space="preserve"> 0.9998514155012262
</t>
  </si>
  <si>
    <t>predicted amount of GTBCPS is: 104270530.63985199</t>
  </si>
  <si>
    <t xml:space="preserve"> actual amount is: 104271256.78600867
</t>
  </si>
  <si>
    <t>plot sizes of gold is: 83202579.23310094</t>
  </si>
  <si>
    <t xml:space="preserve"> plot sizes of tb is: 34415245.197225444 </t>
  </si>
  <si>
    <t xml:space="preserve"> plot sizes of reit is: 37886211.057952106</t>
  </si>
  <si>
    <t xml:space="preserve"> plot sizes of total is: 155504035.48827848.
</t>
  </si>
  <si>
    <t xml:space="preserve"> 155504035.48827848.
</t>
  </si>
  <si>
    <t>predicted stdevs of gold is: 0.010123524798264052</t>
  </si>
  <si>
    <t xml:space="preserve"> predicted stdevs of tb is: 0.002785027490971821</t>
  </si>
  <si>
    <t xml:space="preserve"> predicted stdevs of reit is: 0.02067316392945746</t>
  </si>
  <si>
    <t xml:space="preserve"> predicted stdevs of GTBCPS is: 0.011069671758617845.
</t>
  </si>
  <si>
    <t xml:space="preserve"> 0.011069671758617845.
</t>
  </si>
  <si>
    <t>total_value_of_collaterals is: 155504285.78756717</t>
  </si>
  <si>
    <t xml:space="preserve"> createdtionValue_gold is: -579.42904680354</t>
  </si>
  <si>
    <t xml:space="preserve"> createdValue_tb is: -239.66998931689062</t>
  </si>
  <si>
    <t xml:space="preserve"> createdValue_reit is: -263.84202862281467
</t>
  </si>
  <si>
    <t xml:space="preserve"> -263.84202862281467
</t>
  </si>
  <si>
    <t>plotValue_gold_after_creation is: 83203352.89587256</t>
  </si>
  <si>
    <t xml:space="preserve"> plotValue_tb_after_creation  is: 34415510.940797776</t>
  </si>
  <si>
    <t xml:space="preserve"> plotValue_reit_after_creation  is: 37886504.89196159</t>
  </si>
  <si>
    <t xml:space="preserve">total_value_after_creation is: 155505368.7286319
</t>
  </si>
  <si>
    <t xml:space="preserve"> 155505368.7286319
</t>
  </si>
  <si>
    <t>total_amount_gtncps_before_creation is: 104271256.78600867</t>
  </si>
  <si>
    <t>creation_amount_gtbcps is: -726.1461566835642</t>
  </si>
  <si>
    <t xml:space="preserve">total_amount_gtbcps_new is: 104270530.63985199
</t>
  </si>
  <si>
    <t xml:space="preserve"> 104270530.63985199
</t>
  </si>
  <si>
    <t>payout of tranche of gold is: 194.2337248106021</t>
  </si>
  <si>
    <t xml:space="preserve"> payout of tranche of Treausry Bill Option is: 26.073583013564416</t>
  </si>
  <si>
    <t xml:space="preserve"> payout of tranche of Collar of REIT is: 29.99198085519901
</t>
  </si>
  <si>
    <t xml:space="preserve"> 29.99198085519901
</t>
  </si>
  <si>
    <t>Collateral size of tranche of gold is: 83203352.89587256</t>
  </si>
  <si>
    <t xml:space="preserve"> collateral size of tranche of Treausry Bill Option is: 34415510.940797776</t>
  </si>
  <si>
    <t xml:space="preserve"> collateral size of tranche of Collar of REIT is: 37886504.89196159
</t>
  </si>
  <si>
    <t xml:space="preserve"> 37886504.89196159
</t>
  </si>
  <si>
    <t>Collateral ratio of tranche of gold is: 0.7980640160228114</t>
  </si>
  <si>
    <t xml:space="preserve"> collateral ratio of tranche of Treausry Bill Option is: 0.3301042556453583</t>
  </si>
  <si>
    <t xml:space="preserve"> collateral ratio of tranche of Collar of REIT is: 0.3633970891171461
</t>
  </si>
  <si>
    <t xml:space="preserve"> 0.3633970891171461
</t>
  </si>
  <si>
    <t xml:space="preserve">date is: 2023-01-30 00:00:00
</t>
  </si>
  <si>
    <t xml:space="preserve"> 2023-01-30 00</t>
  </si>
  <si>
    <t>current price of gold is: 1923.17</t>
  </si>
  <si>
    <t xml:space="preserve"> predicted price of gold is: 1923.2675961137786
</t>
  </si>
  <si>
    <t xml:space="preserve"> 1923.2675961137786
</t>
  </si>
  <si>
    <t>current price of tb is: 90.37890625</t>
  </si>
  <si>
    <t xml:space="preserve"> current price of tb option is: 4.2410583051348185</t>
  </si>
  <si>
    <t xml:space="preserve"> predicted price of tb is: 90.64667305744025
</t>
  </si>
  <si>
    <t xml:space="preserve"> 90.64667305744025
</t>
  </si>
  <si>
    <t xml:space="preserve"> current price of reit option is: 3.9377154690695875</t>
  </si>
  <si>
    <t xml:space="preserve"> predicted price of reit is: 64.75630086467807
</t>
  </si>
  <si>
    <t xml:space="preserve"> 64.75630086467807
</t>
  </si>
  <si>
    <t>value_ratio_gold_to_total is: 0.010843485455771346</t>
  </si>
  <si>
    <t xml:space="preserve"> risk_ratio_to_gold is: 0.5390103303694962</t>
  </si>
  <si>
    <t xml:space="preserve"> risk_ratio_to_gold_before is: 0.5404120689470501
</t>
  </si>
  <si>
    <t xml:space="preserve"> 0.5404120689470501
</t>
  </si>
  <si>
    <t>value_ratio_tb_to_total is: 0.5009562126804356</t>
  </si>
  <si>
    <t xml:space="preserve"> risk_ratio_tb_to_gold is: 0.3686212745745124</t>
  </si>
  <si>
    <t xml:space="preserve"> risk_ratio_tb_to_gold_before is: 0.36955040578100035
</t>
  </si>
  <si>
    <t xml:space="preserve"> 0.36955040578100035
</t>
  </si>
  <si>
    <t>value_ratio_reit_to_total is: 0.48820030186379315</t>
  </si>
  <si>
    <t xml:space="preserve"> risk_ratio_reit_to_gold is: 0.48663073759841113</t>
  </si>
  <si>
    <t xml:space="preserve"> risk_ratio_reit_to_gold_before is: 0.4808893927757203
</t>
  </si>
  <si>
    <t xml:space="preserve"> 0.4808893927757203
</t>
  </si>
  <si>
    <t>delta_gold is: 0.997474118794216</t>
  </si>
  <si>
    <t xml:space="preserve"> delta_tb is: 0.9987844914350926</t>
  </si>
  <si>
    <t xml:space="preserve"> delta_reit is: 1.0044642271377686
</t>
  </si>
  <si>
    <t xml:space="preserve"> 1.0044642271377686
</t>
  </si>
  <si>
    <t>delta_gold_risk is: 0.9990900236334086</t>
  </si>
  <si>
    <t xml:space="preserve"> delta_tb_risk is: 0.9993215794011187</t>
  </si>
  <si>
    <t xml:space="preserve"> delta_reit_risk is: 1.0038769572195594
</t>
  </si>
  <si>
    <t xml:space="preserve"> 1.0038769572195594
</t>
  </si>
  <si>
    <t xml:space="preserve">collateral_ratio_tranche_gold is: 0.796773245947071
</t>
  </si>
  <si>
    <t xml:space="preserve"> 0.796773245947071
</t>
  </si>
  <si>
    <t xml:space="preserve">collateral_ratio_tranche_tb is: 0.3307623065535706
</t>
  </si>
  <si>
    <t xml:space="preserve"> 0.3307623065535706
</t>
  </si>
  <si>
    <t xml:space="preserve">collateral_ratio_tranche_reit is: 0.3645304376829084
</t>
  </si>
  <si>
    <t xml:space="preserve"> 0.3645304376829084
</t>
  </si>
  <si>
    <t>Total plot size is: 155422508.55827373</t>
  </si>
  <si>
    <t xml:space="preserve"> plot size of gold is: 82993191.11053467</t>
  </si>
  <si>
    <t xml:space="preserve"> plot size of TB is: 34373678.59248357</t>
  </si>
  <si>
    <t xml:space="preserve"> plot size of REIT is: 38055638.855255485
</t>
  </si>
  <si>
    <t xml:space="preserve"> 38055638.855255485
</t>
  </si>
  <si>
    <t xml:space="preserve">collateral ratio is: 1.4907809702979582
</t>
  </si>
  <si>
    <t xml:space="preserve"> 1.4907809702979582
</t>
  </si>
  <si>
    <t>S_gtbcps_0 is: 0.9998583785257564</t>
  </si>
  <si>
    <t xml:space="preserve">stdev_gtbcps is: 0.01107844096919476
</t>
  </si>
  <si>
    <t xml:space="preserve"> 0.01107844096919476
</t>
  </si>
  <si>
    <t>predicted price of GTBCPS is: 0.9998795104793431</t>
  </si>
  <si>
    <t xml:space="preserve"> actual price is: 0.9998583785257564
</t>
  </si>
  <si>
    <t xml:space="preserve"> 0.9998583785257564
</t>
  </si>
  <si>
    <t>predicted amount of GTBCPS is: 104268326.93431462</t>
  </si>
  <si>
    <t xml:space="preserve"> actual amount is: 104270530.63985199
</t>
  </si>
  <si>
    <t>plot sizes of gold is: 82993191.11053467</t>
  </si>
  <si>
    <t xml:space="preserve"> plot sizes of tb is: 34373678.59248357 </t>
  </si>
  <si>
    <t xml:space="preserve"> plot sizes of reit is: 38055638.855255485</t>
  </si>
  <si>
    <t xml:space="preserve"> plot sizes of total is: 155422508.55827373.
</t>
  </si>
  <si>
    <t xml:space="preserve"> 155422508.55827373.
</t>
  </si>
  <si>
    <t>predicted stdevs of gold is: 0.010119426626227564</t>
  </si>
  <si>
    <t xml:space="preserve"> predicted stdevs of tb is: 0.0027840566031983806</t>
  </si>
  <si>
    <t xml:space="preserve"> predicted stdevs of reit is: 0.02066178193871669</t>
  </si>
  <si>
    <t xml:space="preserve"> predicted stdevs of GTBCPS is: 0.01107844096919476.
</t>
  </si>
  <si>
    <t xml:space="preserve"> 0.01107844096919476.
</t>
  </si>
  <si>
    <t>total_value_of_collaterals is: 155423267.91138947</t>
  </si>
  <si>
    <t xml:space="preserve"> createdtionValue_gold is: -1754.0691081038133</t>
  </si>
  <si>
    <t xml:space="preserve"> createdValue_tb is: -726.4875401816565</t>
  </si>
  <si>
    <t xml:space="preserve"> createdValue_reit is: -804.305842577046
</t>
  </si>
  <si>
    <t xml:space="preserve"> -804.305842577046
</t>
  </si>
  <si>
    <t>plotValue_gold_after_creation is: 82995533.46847878</t>
  </si>
  <si>
    <t xml:space="preserve"> plotValue_tb_after_creation  is: 34374484.264625095</t>
  </si>
  <si>
    <t xml:space="preserve"> plotValue_reit_after_creation  is: 38056535.04077645</t>
  </si>
  <si>
    <t xml:space="preserve">total_value_after_creation is: 155426552.7738803
</t>
  </si>
  <si>
    <t xml:space="preserve"> 155426552.7738803
</t>
  </si>
  <si>
    <t>total_amount_gtncps_before_creation is: 104270530.63985199</t>
  </si>
  <si>
    <t>creation_amount_gtbcps is: -2203.705537363887</t>
  </si>
  <si>
    <t xml:space="preserve">total_amount_gtbcps_new is: 104268326.93431462
</t>
  </si>
  <si>
    <t xml:space="preserve"> 104268326.93431462
</t>
  </si>
  <si>
    <t>payout of tranche of gold is: 588.2888360144015</t>
  </si>
  <si>
    <t xml:space="preserve"> payout of tranche of Treausry Bill Option is: 79.1846013459175</t>
  </si>
  <si>
    <t xml:space="preserve"> payout of tranche of Collar of REIT is: 91.87967838581164
</t>
  </si>
  <si>
    <t xml:space="preserve"> 91.87967838581164
</t>
  </si>
  <si>
    <t>Collateral size of tranche of gold is: 82995533.46847878</t>
  </si>
  <si>
    <t xml:space="preserve"> collateral size of tranche of Treausry Bill Option is: 34374484.264625095</t>
  </si>
  <si>
    <t xml:space="preserve"> collateral size of tranche of Collar of REIT is: 38056535.04077645
</t>
  </si>
  <si>
    <t xml:space="preserve"> 38056535.04077645
</t>
  </si>
  <si>
    <t>Collateral ratio of tranche of gold is: 0.7960593875969978</t>
  </si>
  <si>
    <t xml:space="preserve"> collateral ratio of tranche of Treausry Bill Option is: 0.3297060666891529</t>
  </si>
  <si>
    <t xml:space="preserve"> collateral ratio of tranche of Collar of REIT is: 0.3650227995718606
</t>
  </si>
  <si>
    <t xml:space="preserve"> 0.3650227995718606
</t>
  </si>
  <si>
    <t xml:space="preserve">date is: 2023-01-31 00:00:00
</t>
  </si>
  <si>
    <t xml:space="preserve"> 2023-01-31 00</t>
  </si>
  <si>
    <t>current price of gold is: 1928.36</t>
  </si>
  <si>
    <t xml:space="preserve"> predicted price of gold is: 1933.2884464834592
</t>
  </si>
  <si>
    <t xml:space="preserve"> 1933.2884464834592
</t>
  </si>
  <si>
    <t>current price of tb is: 90.52734375</t>
  </si>
  <si>
    <t xml:space="preserve"> current price of tb option is: 4.242828705074651</t>
  </si>
  <si>
    <t xml:space="preserve"> predicted price of tb is: 90.79328047484331
</t>
  </si>
  <si>
    <t xml:space="preserve"> 90.79328047484331
</t>
  </si>
  <si>
    <t>current price of reit is: 62.7</t>
  </si>
  <si>
    <t xml:space="preserve"> current price of reit option is: 4.063611956945991</t>
  </si>
  <si>
    <t xml:space="preserve"> predicted price of reit is: 62.92710080981614
</t>
  </si>
  <si>
    <t xml:space="preserve"> 62.92710080981614
</t>
  </si>
  <si>
    <t>value_ratio_gold_to_total is: 0.3590088522695232</t>
  </si>
  <si>
    <t xml:space="preserve"> risk_ratio_to_gold is: 0.540774712811124</t>
  </si>
  <si>
    <t xml:space="preserve"> risk_ratio_to_gold_before is: 0.5390103303694962
</t>
  </si>
  <si>
    <t xml:space="preserve"> 0.5390103303694962
</t>
  </si>
  <si>
    <t>value_ratio_tb_to_total is: 0.3284375122221449</t>
  </si>
  <si>
    <t xml:space="preserve"> risk_ratio_tb_to_gold is: 0.37085934371041945</t>
  </si>
  <si>
    <t xml:space="preserve"> risk_ratio_tb_to_gold_before is: 0.3686212745745124
</t>
  </si>
  <si>
    <t xml:space="preserve"> 0.3686212745745124
</t>
  </si>
  <si>
    <t>value_ratio_reit_to_total is: 0.3125536355083319</t>
  </si>
  <si>
    <t xml:space="preserve"> risk_ratio_reit_to_gold is: 0.47833954874827656</t>
  </si>
  <si>
    <t xml:space="preserve"> risk_ratio_reit_to_gold_before is: 0.48663073759841113
</t>
  </si>
  <si>
    <t xml:space="preserve"> 0.48663073759841113
</t>
  </si>
  <si>
    <t>delta_gold is: 1.0026986693844018</t>
  </si>
  <si>
    <t xml:space="preserve"> delta_tb is: 1.0015874863264436</t>
  </si>
  <si>
    <t xml:space="preserve"> delta_reit is: 0.9783975254448287
</t>
  </si>
  <si>
    <t xml:space="preserve"> 0.9783975254448287
</t>
  </si>
  <si>
    <t>delta_gold_risk is: 1.0011464396351415</t>
  </si>
  <si>
    <t xml:space="preserve"> delta_tb_risk is: 1.0016352727942235</t>
  </si>
  <si>
    <t xml:space="preserve"> delta_reit_risk is: 0.9944228323547726
</t>
  </si>
  <si>
    <t xml:space="preserve"> 0.9944228323547726
</t>
  </si>
  <si>
    <t xml:space="preserve">collateral_ratio_tranche_gold is: 0.7972936396651131
</t>
  </si>
  <si>
    <t xml:space="preserve"> 0.7972936396651131
</t>
  </si>
  <si>
    <t xml:space="preserve">collateral_ratio_tranche_tb is: 0.32880300631663245
</t>
  </si>
  <si>
    <t xml:space="preserve"> 0.32880300631663245
</t>
  </si>
  <si>
    <t xml:space="preserve">collateral_ratio_tranche_reit is: 0.35817379733406746
</t>
  </si>
  <si>
    <t xml:space="preserve"> 0.35817379733406746
</t>
  </si>
  <si>
    <t>Total plot size is: 154882983.97296607</t>
  </si>
  <si>
    <t xml:space="preserve"> plot size of gold is: 83219510.97369225</t>
  </si>
  <si>
    <t xml:space="preserve"> plot size of TB is: 34429053.28837374</t>
  </si>
  <si>
    <t xml:space="preserve"> plot size of REIT is: 37234419.71090009
</t>
  </si>
  <si>
    <t xml:space="preserve"> 37234419.71090009
</t>
  </si>
  <si>
    <t xml:space="preserve">collateral ratio is: 1.4856059606275733
</t>
  </si>
  <si>
    <t xml:space="preserve"> 1.4856059606275733
</t>
  </si>
  <si>
    <t>S_gtbcps_0 is: 0.9998795104793431</t>
  </si>
  <si>
    <t xml:space="preserve">stdev_gtbcps is: 0.01102030065830905
</t>
  </si>
  <si>
    <t xml:space="preserve"> 0.01102030065830905
</t>
  </si>
  <si>
    <t>predicted price of GTBCPS is: 0.9998087963947566</t>
  </si>
  <si>
    <t xml:space="preserve"> actual price is: 0.9998795104793431
</t>
  </si>
  <si>
    <t xml:space="preserve"> 0.9998795104793431
</t>
  </si>
  <si>
    <t>predicted amount of GTBCPS is: 104275701.58366469</t>
  </si>
  <si>
    <t xml:space="preserve"> actual amount is: 104268326.93431462
</t>
  </si>
  <si>
    <t>plot sizes of gold is: 83219510.97369225</t>
  </si>
  <si>
    <t xml:space="preserve"> plot sizes of tb is: 34429053.28837374 </t>
  </si>
  <si>
    <t xml:space="preserve"> plot sizes of reit is: 37234419.71090009</t>
  </si>
  <si>
    <t xml:space="preserve"> plot sizes of total is: 154882983.97296607.
</t>
  </si>
  <si>
    <t xml:space="preserve"> 154882983.97296607.
</t>
  </si>
  <si>
    <t>predicted stdevs of gold is: 0.010043808033910395</t>
  </si>
  <si>
    <t xml:space="preserve"> predicted stdevs of tb is: 0.002785635281390601</t>
  </si>
  <si>
    <t xml:space="preserve"> predicted stdevs of reit is: 0.020817014950567505</t>
  </si>
  <si>
    <t xml:space="preserve"> predicted stdevs of GTBCPS is: 0.01102030065830905.
</t>
  </si>
  <si>
    <t xml:space="preserve"> 0.01102030065830905.
</t>
  </si>
  <si>
    <t>total_value_of_collaterals is: 154880439.99167475</t>
  </si>
  <si>
    <t xml:space="preserve"> createdtionValue_gold is: 5885.360579190773</t>
  </si>
  <si>
    <t xml:space="preserve"> createdValue_tb is: 2434.8935870500964</t>
  </si>
  <si>
    <t xml:space="preserve"> createdValue_reit is: 2633.2941559010605
</t>
  </si>
  <si>
    <t xml:space="preserve"> 2633.2941559010605
</t>
  </si>
  <si>
    <t>plotValue_gold_after_creation is: 83211644.63124345</t>
  </si>
  <si>
    <t xml:space="preserve"> plotValue_tb_after_creation  is: 34426352.838412665</t>
  </si>
  <si>
    <t xml:space="preserve"> plotValue_reit_after_creation  is: 37231488.97369649</t>
  </si>
  <si>
    <t xml:space="preserve">total_value_after_creation is: 154869486.4433526
</t>
  </si>
  <si>
    <t xml:space="preserve"> 154869486.4433526
</t>
  </si>
  <si>
    <t>total_amount_gtncps_before_creation is: 104268326.93431462</t>
  </si>
  <si>
    <t>creation_amount_gtbcps is: 7374.649350062013</t>
  </si>
  <si>
    <t xml:space="preserve">total_amount_gtbcps_new is: 104275701.58366469
</t>
  </si>
  <si>
    <t xml:space="preserve"> 104275701.58366469
</t>
  </si>
  <si>
    <t>payout of tranche of gold is: -1980.9818696112472</t>
  </si>
  <si>
    <t xml:space="preserve"> payout of tranche of Treausry Bill Option is: -265.55637402198647</t>
  </si>
  <si>
    <t xml:space="preserve"> payout of tranche of Collar of REIT is: -297.4430476947024
</t>
  </si>
  <si>
    <t xml:space="preserve"> -297.4430476947024
</t>
  </si>
  <si>
    <t>Collateral size of tranche of gold is: 83211644.63124345</t>
  </si>
  <si>
    <t xml:space="preserve"> collateral size of tranche of Treausry Bill Option is: 34426352.838412665</t>
  </si>
  <si>
    <t xml:space="preserve"> collateral size of tranche of Collar of REIT is: 37231488.97369649
</t>
  </si>
  <si>
    <t xml:space="preserve"> 37231488.97369649
</t>
  </si>
  <si>
    <t>Collateral ratio of tranche of gold is: 0.7982055575978199</t>
  </si>
  <si>
    <t xml:space="preserve"> collateral ratio of tranche of Treausry Bill Option is: 0.3302339027815203</t>
  </si>
  <si>
    <t xml:space="preserve"> collateral ratio of tranche of Collar of REIT is: 0.3571420988990781
</t>
  </si>
  <si>
    <t xml:space="preserve"> 0.3571420988990781
</t>
  </si>
  <si>
    <t xml:space="preserve">date is: 2023-02-01 00:00:00
</t>
  </si>
  <si>
    <t xml:space="preserve"> 2023-02-01 00</t>
  </si>
  <si>
    <t>current price of gold is: 1950.52</t>
  </si>
  <si>
    <t xml:space="preserve"> predicted price of gold is: 1945.5789549175665
</t>
  </si>
  <si>
    <t xml:space="preserve"> 1945.5789549175665
</t>
  </si>
  <si>
    <t xml:space="preserve"> current price of tb option is: 4.251528708069419</t>
  </si>
  <si>
    <t xml:space="preserve"> predicted price of tb is: 91.08115992650131
</t>
  </si>
  <si>
    <t xml:space="preserve"> 91.08115992650131
</t>
  </si>
  <si>
    <t>current price of reit is: 62.9</t>
  </si>
  <si>
    <t xml:space="preserve"> current price of reit option is: 4.136022920529392</t>
  </si>
  <si>
    <t xml:space="preserve"> predicted price of reit is: 63.49059256280941
</t>
  </si>
  <si>
    <t xml:space="preserve"> 63.49059256280941
</t>
  </si>
  <si>
    <t>value_ratio_gold_to_total is: -1.150675064494794</t>
  </si>
  <si>
    <t xml:space="preserve"> risk_ratio_to_gold is: 0.5411223790751966</t>
  </si>
  <si>
    <t xml:space="preserve"> risk_ratio_to_gold_before is: 0.540774712811124
</t>
  </si>
  <si>
    <t xml:space="preserve"> 0.540774712811124
</t>
  </si>
  <si>
    <t>value_ratio_tb_to_total is: 1.0499365597057648</t>
  </si>
  <si>
    <t xml:space="preserve"> risk_ratio_tb_to_gold is: 0.37356481684667114</t>
  </si>
  <si>
    <t xml:space="preserve"> risk_ratio_tb_to_gold_before is: 0.37085934371041945
</t>
  </si>
  <si>
    <t xml:space="preserve"> 0.37085934371041945
</t>
  </si>
  <si>
    <t>value_ratio_reit_to_total is: 1.1007385047890292</t>
  </si>
  <si>
    <t xml:space="preserve"> risk_ratio_reit_to_gold is: 0.47444598194721116</t>
  </si>
  <si>
    <t xml:space="preserve"> risk_ratio_reit_to_gold_before is: 0.47833954874827656
</t>
  </si>
  <si>
    <t xml:space="preserve"> 0.47833954874827656
</t>
  </si>
  <si>
    <t>delta_gold is: 1.0114916301935324</t>
  </si>
  <si>
    <t xml:space="preserve"> delta_tb is: 1.0032243795181401</t>
  </si>
  <si>
    <t xml:space="preserve"> delta_reit is: 1.0040802310659744
</t>
  </si>
  <si>
    <t xml:space="preserve"> 1.0040802310659744
</t>
  </si>
  <si>
    <t>delta_gold_risk is: 1.0002256438019017</t>
  </si>
  <si>
    <t xml:space="preserve"> delta_tb_risk is: 1.0019735599780273</t>
  </si>
  <si>
    <t xml:space="preserve"> delta_reit_risk is: 0.9973662567545039
</t>
  </si>
  <si>
    <t xml:space="preserve"> 0.9973662567545039
</t>
  </si>
  <si>
    <t xml:space="preserve">collateral_ratio_tranche_gold is: 0.8071961018868463
</t>
  </si>
  <si>
    <t xml:space="preserve"> 0.8071961018868463
</t>
  </si>
  <si>
    <t xml:space="preserve">collateral_ratio_tranche_tb is: 0.3268896571469487
</t>
  </si>
  <si>
    <t xml:space="preserve"> 0.3268896571469487
</t>
  </si>
  <si>
    <t xml:space="preserve">collateral_ratio_tranche_reit is: 0.355461442312803
</t>
  </si>
  <si>
    <t xml:space="preserve"> 0.355461442312803
</t>
  </si>
  <si>
    <t>Total plot size is: 156088640.5961699</t>
  </si>
  <si>
    <t xml:space="preserve"> plot size of gold is: 84167882.07914133</t>
  </si>
  <si>
    <t xml:space="preserve"> plot size of TB is: 34537356.46538911</t>
  </si>
  <si>
    <t xml:space="preserve"> plot size of REIT is: 37383402.05163945
</t>
  </si>
  <si>
    <t xml:space="preserve"> 37383402.05163945
</t>
  </si>
  <si>
    <t xml:space="preserve">collateral ratio is: 1.497170372804797
</t>
  </si>
  <si>
    <t xml:space="preserve"> 1.497170372804797
</t>
  </si>
  <si>
    <t>S_gtbcps_0 is: 0.9998087963947566</t>
  </si>
  <si>
    <t xml:space="preserve">stdev_gtbcps is: 0.01102107335139206
</t>
  </si>
  <si>
    <t xml:space="preserve"> 0.01102107335139206
</t>
  </si>
  <si>
    <t>predicted price of GTBCPS is: 0.9997463549085421</t>
  </si>
  <si>
    <t xml:space="preserve"> actual price is: 0.9998087963947566
</t>
  </si>
  <si>
    <t xml:space="preserve"> 0.9998087963947566
</t>
  </si>
  <si>
    <t>predicted amount of GTBCPS is: 104282214.36538275</t>
  </si>
  <si>
    <t xml:space="preserve"> actual amount is: 104275701.58366469
</t>
  </si>
  <si>
    <t>plot sizes of gold is: 84167882.07914133</t>
  </si>
  <si>
    <t xml:space="preserve"> plot sizes of tb is: 34537356.46538911 </t>
  </si>
  <si>
    <t xml:space="preserve"> plot sizes of reit is: 37383402.05163945</t>
  </si>
  <si>
    <t xml:space="preserve"> plot sizes of total is: 156088640.5961699.
</t>
  </si>
  <si>
    <t xml:space="preserve"> 156088640.5961699.
</t>
  </si>
  <si>
    <t>predicted stdevs of gold is: 0.010043631745888853</t>
  </si>
  <si>
    <t xml:space="preserve"> predicted stdevs of tb is: 0.002799987603445011</t>
  </si>
  <si>
    <t xml:space="preserve"> predicted stdevs of reit is: 0.020816965076141003</t>
  </si>
  <si>
    <t xml:space="preserve"> predicted stdevs of GTBCPS is: 0.01102107335139206.
</t>
  </si>
  <si>
    <t xml:space="preserve"> 0.01102107335139206.
</t>
  </si>
  <si>
    <t>total_value_of_collaterals is: 156086395.42333895</t>
  </si>
  <si>
    <t xml:space="preserve"> createdtionValue_gold is: 5256.463080209129</t>
  </si>
  <si>
    <t xml:space="preserve"> createdValue_tb is: 2156.962690583235</t>
  </si>
  <si>
    <t xml:space="preserve"> createdValue_reit is: 2334.7046149823927
</t>
  </si>
  <si>
    <t xml:space="preserve"> 2334.7046149823927
</t>
  </si>
  <si>
    <t>plotValue_gold_after_creation is: 84160870.00389728</t>
  </si>
  <si>
    <t xml:space="preserve"> plotValue_tb_after_creation  is: 34534981.761578344</t>
  </si>
  <si>
    <t xml:space="preserve"> plotValue_reit_after_creation  is: 37380795.52747754</t>
  </si>
  <si>
    <t xml:space="preserve">total_value_after_creation is: 156076647.29295316
</t>
  </si>
  <si>
    <t xml:space="preserve"> 156076647.29295316
</t>
  </si>
  <si>
    <t>total_amount_gtncps_before_creation is: 104275701.58366469</t>
  </si>
  <si>
    <t>creation_amount_gtbcps is: 6512.781718060374</t>
  </si>
  <si>
    <t xml:space="preserve">total_amount_gtbcps_new is: 104282214.36538275
</t>
  </si>
  <si>
    <t xml:space="preserve"> 104282214.36538275
</t>
  </si>
  <si>
    <t>payout of tranche of gold is: -1755.6121638456355</t>
  </si>
  <si>
    <t xml:space="preserve"> payout of tranche of Treausry Bill Option is: -217.74112017875032</t>
  </si>
  <si>
    <t xml:space="preserve"> payout of tranche of Collar of REIT is: -271.8195469334144
</t>
  </si>
  <si>
    <t xml:space="preserve"> -271.8195469334144
</t>
  </si>
  <si>
    <t>Collateral size of tranche of gold is: 84160870.00389728</t>
  </si>
  <si>
    <t xml:space="preserve"> collateral size of tranche of Treausry Bill Option is: 34534981.761578344</t>
  </si>
  <si>
    <t xml:space="preserve"> collateral size of tranche of Collar of REIT is: 37380795.52747754
</t>
  </si>
  <si>
    <t xml:space="preserve"> 37380795.52747754
</t>
  </si>
  <si>
    <t>Collateral ratio of tranche of gold is: 0.807304301317571</t>
  </si>
  <si>
    <t xml:space="preserve"> collateral ratio of tranche of Treausry Bill Option is: 0.33127318337791656</t>
  </si>
  <si>
    <t xml:space="preserve"> collateral ratio of tranche of Collar of REIT is: 0.35857135286990005
</t>
  </si>
  <si>
    <t xml:space="preserve"> 0.35857135286990005
</t>
  </si>
  <si>
    <t xml:space="preserve">date is: 2023-02-02 00:00:00
</t>
  </si>
  <si>
    <t xml:space="preserve"> 2023-02-02 00</t>
  </si>
  <si>
    <t>current price of gold is: 1912.72</t>
  </si>
  <si>
    <t xml:space="preserve"> predicted price of gold is: 1911.9189804727475
</t>
  </si>
  <si>
    <t xml:space="preserve"> 1911.9189804727475
</t>
  </si>
  <si>
    <t>current price of tb is: 90.86328125</t>
  </si>
  <si>
    <t xml:space="preserve"> current price of tb option is: 4.250687762844011</t>
  </si>
  <si>
    <t xml:space="preserve"> predicted price of tb is: 91.12109227335397
</t>
  </si>
  <si>
    <t xml:space="preserve"> 91.12109227335397
</t>
  </si>
  <si>
    <t xml:space="preserve"> current price of reit option is: 4.005993922316151</t>
  </si>
  <si>
    <t xml:space="preserve"> predicted price of reit is: 64.83626996920468
</t>
  </si>
  <si>
    <t xml:space="preserve"> 64.83626996920468
</t>
  </si>
  <si>
    <t>value_ratio_gold_to_total is: -0.09709629895655782</t>
  </si>
  <si>
    <t xml:space="preserve"> risk_ratio_to_gold is: 0.5396033982315442</t>
  </si>
  <si>
    <t xml:space="preserve"> risk_ratio_to_gold_before is: 0.5411223790751966
</t>
  </si>
  <si>
    <t xml:space="preserve"> 0.5411223790751966
</t>
  </si>
  <si>
    <t>value_ratio_tb_to_total is: 0.546501715746524</t>
  </si>
  <si>
    <t xml:space="preserve"> risk_ratio_tb_to_gold is: 0.3718404070324509</t>
  </si>
  <si>
    <t xml:space="preserve"> risk_ratio_tb_to_gold_before is: 0.37356481684667114
</t>
  </si>
  <si>
    <t xml:space="preserve"> 0.37356481684667114
</t>
  </si>
  <si>
    <t>value_ratio_reit_to_total is: 0.5505945832100338</t>
  </si>
  <si>
    <t xml:space="preserve"> risk_ratio_reit_to_gold is: 0.4813725328365808</t>
  </si>
  <si>
    <t xml:space="preserve"> risk_ratio_reit_to_gold_before is: 0.47444598194721116
</t>
  </si>
  <si>
    <t xml:space="preserve"> 0.47444598194721116
</t>
  </si>
  <si>
    <t>delta_gold is: 0.9806205524680598</t>
  </si>
  <si>
    <t xml:space="preserve"> delta_tb is: 1.0004020116149122</t>
  </si>
  <si>
    <t xml:space="preserve"> delta_reit is: 1.0189446053995819
</t>
  </si>
  <si>
    <t xml:space="preserve"> 1.0189446053995819
</t>
  </si>
  <si>
    <t>delta_gold_risk is: 0.9990143671493733</t>
  </si>
  <si>
    <t xml:space="preserve"> delta_tb_risk is: 0.9987445733953939</t>
  </si>
  <si>
    <t xml:space="preserve"> delta_reit_risk is: 1.0046977311981429
</t>
  </si>
  <si>
    <t xml:space="preserve"> 1.0046977311981429
</t>
  </si>
  <si>
    <t xml:space="preserve">collateral_ratio_tranche_gold is: 0.7924402451056123
</t>
  </si>
  <si>
    <t xml:space="preserve"> 0.7924402451056123
</t>
  </si>
  <si>
    <t xml:space="preserve">collateral_ratio_tranche_tb is: 0.3383805668309456
</t>
  </si>
  <si>
    <t xml:space="preserve"> 0.3383805668309456
</t>
  </si>
  <si>
    <t xml:space="preserve">collateral_ratio_tranche_reit is: 0.3708427145077772
</t>
  </si>
  <si>
    <t xml:space="preserve"> 0.3708427145077772
</t>
  </si>
  <si>
    <t>Total plot size is: 155167704.01304966</t>
  </si>
  <si>
    <t xml:space="preserve"> plot size of gold is: 82529878.83941431</t>
  </si>
  <si>
    <t xml:space="preserve"> plot size of TB is: 34548865.22536728</t>
  </si>
  <si>
    <t xml:space="preserve"> plot size of REIT is: 38088959.948268056
</t>
  </si>
  <si>
    <t xml:space="preserve"> 38088959.948268056
</t>
  </si>
  <si>
    <t xml:space="preserve">collateral ratio is: 1.4883369371222677
</t>
  </si>
  <si>
    <t xml:space="preserve"> 1.4883369371222677
</t>
  </si>
  <si>
    <t>S_gtbcps_0 is: 0.9997463549085421</t>
  </si>
  <si>
    <t xml:space="preserve">stdev_gtbcps is: 0.01111026946827505
</t>
  </si>
  <si>
    <t xml:space="preserve"> 0.01111026946827505
</t>
  </si>
  <si>
    <t>predicted price of GTBCPS is: 0.9997168949009648</t>
  </si>
  <si>
    <t xml:space="preserve"> actual price is: 0.9997463549085421
</t>
  </si>
  <si>
    <t xml:space="preserve"> 0.9997463549085421
</t>
  </si>
  <si>
    <t>predicted amount of GTBCPS is: 104285287.39019713</t>
  </si>
  <si>
    <t xml:space="preserve"> actual amount is: 104282214.36538275
</t>
  </si>
  <si>
    <t>plot sizes of gold is: 82529878.83941431</t>
  </si>
  <si>
    <t xml:space="preserve"> plot sizes of tb is: 34548865.22536728 </t>
  </si>
  <si>
    <t xml:space="preserve"> plot sizes of reit is: 38088959.948268056</t>
  </si>
  <si>
    <t xml:space="preserve"> plot sizes of total is: 155167704.01304966.
</t>
  </si>
  <si>
    <t xml:space="preserve"> 155167704.01304966.
</t>
  </si>
  <si>
    <t>predicted stdevs of gold is: 0.010058498329517846</t>
  </si>
  <si>
    <t xml:space="preserve"> predicted stdevs of tb is: 0.0027996409292592715</t>
  </si>
  <si>
    <t xml:space="preserve"> predicted stdevs of reit is: 0.020927427261211183</t>
  </si>
  <si>
    <t xml:space="preserve"> predicted stdevs of GTBCPS is: 0.01111026946827505.
</t>
  </si>
  <si>
    <t xml:space="preserve"> 0.01111026946827505.
</t>
  </si>
  <si>
    <t>total_value_of_collaterals is: 155166643.98541722</t>
  </si>
  <si>
    <t xml:space="preserve"> createdtionValue_gold is: 2431.9262260495293</t>
  </si>
  <si>
    <t xml:space="preserve"> createdValue_tb is: 1018.0637924625414</t>
  </si>
  <si>
    <t xml:space="preserve"> createdValue_reit is: 1122.380248325947
</t>
  </si>
  <si>
    <t xml:space="preserve"> 1122.380248325947
</t>
  </si>
  <si>
    <t>plotValue_gold_after_creation is: 82526717.92260768</t>
  </si>
  <si>
    <t xml:space="preserve"> plotValue_tb_after_creation  is: 34547702.36359351</t>
  </si>
  <si>
    <t xml:space="preserve"> plotValue_reit_after_creation  is: 38087651.328949206</t>
  </si>
  <si>
    <t xml:space="preserve">total_value_after_creation is: 155162071.6151504
</t>
  </si>
  <si>
    <t xml:space="preserve"> 155162071.6151504
</t>
  </si>
  <si>
    <t>total_amount_gtncps_before_creation is: 104282214.36538275</t>
  </si>
  <si>
    <t>creation_amount_gtbcps is: 3073.0248143821955</t>
  </si>
  <si>
    <t xml:space="preserve">total_amount_gtbcps_new is: 104285287.39019713
</t>
  </si>
  <si>
    <t xml:space="preserve"> 104285287.39019713
</t>
  </si>
  <si>
    <t>payout of tranche of gold is: -728.9905805934429</t>
  </si>
  <si>
    <t xml:space="preserve"> payout of tranche of Treausry Bill Option is: -144.79798130729205</t>
  </si>
  <si>
    <t xml:space="preserve"> payout of tranche of Collar of REIT is: -186.2390705260299
</t>
  </si>
  <si>
    <t xml:space="preserve"> -186.2390705260299
</t>
  </si>
  <si>
    <t>Collateral size of tranche of gold is: 82526717.92260768</t>
  </si>
  <si>
    <t xml:space="preserve"> collateral size of tranche of Treausry Bill Option is: 34547702.36359351</t>
  </si>
  <si>
    <t xml:space="preserve"> collateral size of tranche of Collar of REIT is: 38087651.328949206
</t>
  </si>
  <si>
    <t xml:space="preserve"> 38087651.328949206
</t>
  </si>
  <si>
    <t>Collateral ratio of tranche of gold is: 0.7916027558092095</t>
  </si>
  <si>
    <t xml:space="preserve"> collateral ratio of tranche of Treausry Bill Option is: 0.33138427270964005</t>
  </si>
  <si>
    <t xml:space="preserve"> collateral ratio of tranche of Collar of REIT is: 0.36533974103478806
</t>
  </si>
  <si>
    <t xml:space="preserve"> 0.36533974103478806
</t>
  </si>
  <si>
    <t xml:space="preserve">date is: 2023-02-03 00:00:00
</t>
  </si>
  <si>
    <t xml:space="preserve"> 2023-02-03 00</t>
  </si>
  <si>
    <t>current price of gold is: 1864.97</t>
  </si>
  <si>
    <t xml:space="preserve"> predicted price of gold is: 1884.0742113211802
</t>
  </si>
  <si>
    <t xml:space="preserve"> 1884.0742113211802
</t>
  </si>
  <si>
    <t>current price of tb is: 90.43359375</t>
  </si>
  <si>
    <t xml:space="preserve"> current price of tb option is: 4.242363678073115</t>
  </si>
  <si>
    <t xml:space="preserve"> predicted price of tb is: 90.7000109013902
</t>
  </si>
  <si>
    <t xml:space="preserve"> 90.7000109013902
</t>
  </si>
  <si>
    <t>current price of reit is: 64.65</t>
  </si>
  <si>
    <t xml:space="preserve"> current price of reit option is: 3.890544235045809</t>
  </si>
  <si>
    <t xml:space="preserve"> predicted price of reit is: 64.94585844058639
</t>
  </si>
  <si>
    <t xml:space="preserve"> 64.94585844058639
</t>
  </si>
  <si>
    <t>value_ratio_gold_to_total is: 0.6872168059976284</t>
  </si>
  <si>
    <t xml:space="preserve"> risk_ratio_to_gold is: 0.5408567047755385</t>
  </si>
  <si>
    <t xml:space="preserve"> risk_ratio_to_gold_before is: 0.5396033982315442
</t>
  </si>
  <si>
    <t xml:space="preserve"> 0.5396033982315442
</t>
  </si>
  <si>
    <t>value_ratio_tb_to_total is: 0.16218989145769708</t>
  </si>
  <si>
    <t xml:space="preserve"> risk_ratio_tb_to_gold is: 0.3645718595652428</t>
  </si>
  <si>
    <t xml:space="preserve"> risk_ratio_tb_to_gold_before is: 0.3718404070324509
</t>
  </si>
  <si>
    <t xml:space="preserve"> 0.3718404070324509
</t>
  </si>
  <si>
    <t>value_ratio_reit_to_total is: 0.15059330254467454</t>
  </si>
  <si>
    <t xml:space="preserve"> risk_ratio_reit_to_gold is: 0.48434670087862014</t>
  </si>
  <si>
    <t xml:space="preserve"> risk_ratio_reit_to_gold_before is: 0.4813725328365808
</t>
  </si>
  <si>
    <t xml:space="preserve"> 0.4813725328365808
</t>
  </si>
  <si>
    <t>delta_gold is: 0.9750355514659752</t>
  </si>
  <si>
    <t xml:space="preserve"> delta_tb is: 0.9953948763854893</t>
  </si>
  <si>
    <t xml:space="preserve"> delta_reit is: 1.0034338174333048
</t>
  </si>
  <si>
    <t xml:space="preserve"> 1.0034338174333048
</t>
  </si>
  <si>
    <t>delta_gold_risk is: 1.0008140450621466</t>
  </si>
  <si>
    <t xml:space="preserve"> delta_tb_risk is: 0.9947016085617921</t>
  </si>
  <si>
    <t xml:space="preserve"> delta_reit_risk is: 1.0020077110761223
</t>
  </si>
  <si>
    <t xml:space="preserve"> 1.0020077110761223
</t>
  </si>
  <si>
    <t xml:space="preserve">collateral_ratio_tranche_gold is: 0.7712130273956038
</t>
  </si>
  <si>
    <t xml:space="preserve"> 0.7712130273956038
</t>
  </si>
  <si>
    <t xml:space="preserve">collateral_ratio_tranche_tb is: 0.34010578792795515
</t>
  </si>
  <si>
    <t xml:space="preserve"> 0.34010578792795515
</t>
  </si>
  <si>
    <t xml:space="preserve">collateral_ratio_tranche_reit is: 0.37522704670989104
</t>
  </si>
  <si>
    <t xml:space="preserve"> 0.37522704670989104
</t>
  </si>
  <si>
    <t>Total plot size is: 153073527.2140348</t>
  </si>
  <si>
    <t xml:space="preserve"> plot size of gold is: 80466483.92034675</t>
  </si>
  <si>
    <t xml:space="preserve"> plot size of TB is: 34388605.92361184</t>
  </si>
  <si>
    <t xml:space="preserve"> plot size of REIT is: 38218437.37007619
</t>
  </si>
  <si>
    <t xml:space="preserve"> 38218437.37007619
</t>
  </si>
  <si>
    <t xml:space="preserve">collateral ratio is: 1.4682500208231377
</t>
  </si>
  <si>
    <t xml:space="preserve"> 1.4682500208231377
</t>
  </si>
  <si>
    <t>S_gtbcps_0 is: 0.9997168949009648</t>
  </si>
  <si>
    <t xml:space="preserve">stdev_gtbcps is: 0.01123712498261425
</t>
  </si>
  <si>
    <t xml:space="preserve"> 0.01123712498261425
</t>
  </si>
  <si>
    <t>predicted price of GTBCPS is: 0.9997030071093654</t>
  </si>
  <si>
    <t xml:space="preserve"> actual price is: 0.9997168949009648
</t>
  </si>
  <si>
    <t xml:space="preserve"> 0.9997168949009648
</t>
  </si>
  <si>
    <t>predicted amount of GTBCPS is: 104286736.11279558</t>
  </si>
  <si>
    <t xml:space="preserve"> actual amount is: 104285287.39019713
</t>
  </si>
  <si>
    <t>plot sizes of gold is: 80466483.92034675</t>
  </si>
  <si>
    <t xml:space="preserve"> plot sizes of tb is: 34388605.92361184 </t>
  </si>
  <si>
    <t xml:space="preserve"> plot sizes of reit is: 38218437.37007619</t>
  </si>
  <si>
    <t xml:space="preserve"> plot sizes of total is: 153073527.21403477.
</t>
  </si>
  <si>
    <t xml:space="preserve"> 153073527.21403477.
</t>
  </si>
  <si>
    <t>predicted stdevs of gold is: 0.010233749091626455</t>
  </si>
  <si>
    <t xml:space="preserve"> predicted stdevs of tb is: 0.002834870790887864</t>
  </si>
  <si>
    <t xml:space="preserve"> predicted stdevs of reit is: 0.02090994165713833</t>
  </si>
  <si>
    <t xml:space="preserve"> predicted stdevs of GTBCPS is: 0.01123712498261425.
</t>
  </si>
  <si>
    <t xml:space="preserve"> 0.01123712498261425.
</t>
  </si>
  <si>
    <t>total_value_of_collaterals is: 153073027.84387153</t>
  </si>
  <si>
    <t xml:space="preserve"> createdtionValue_gold is: 1117.8135192374739</t>
  </si>
  <si>
    <t xml:space="preserve"> createdValue_tb is: 477.71606763952656</t>
  </si>
  <si>
    <t xml:space="preserve"> createdValue_reit is: 530.9187316367104
</t>
  </si>
  <si>
    <t xml:space="preserve"> 530.9187316367104
</t>
  </si>
  <si>
    <t>plotValue_gold_after_creation is: 80465027.76113072</t>
  </si>
  <si>
    <t xml:space="preserve"> plotValue_tb_after_creation  is: 34388058.457885265</t>
  </si>
  <si>
    <t xml:space="preserve"> plotValue_reit_after_creation  is: 38217815.176537044</t>
  </si>
  <si>
    <t xml:space="preserve">total_value_after_creation is: 153070901.39555302
</t>
  </si>
  <si>
    <t xml:space="preserve"> 153070901.39555302
</t>
  </si>
  <si>
    <t>total_amount_gtncps_before_creation is: 104285287.39019713</t>
  </si>
  <si>
    <t>creation_amount_gtbcps is: 1448.7225984483957</t>
  </si>
  <si>
    <t xml:space="preserve">total_amount_gtbcps_new is: 104286736.11279558
</t>
  </si>
  <si>
    <t xml:space="preserve"> 104286736.11279558
</t>
  </si>
  <si>
    <t>payout of tranche of gold is: -338.34569679074065</t>
  </si>
  <si>
    <t xml:space="preserve"> payout of tranche of Treausry Bill Option is: -69.74965893506433</t>
  </si>
  <si>
    <t xml:space="preserve"> payout of tranche of Collar of REIT is: -91.27480750334294
</t>
  </si>
  <si>
    <t xml:space="preserve"> -91.27480750334294
</t>
  </si>
  <si>
    <t>Collateral size of tranche of gold is: 80465027.76113072</t>
  </si>
  <si>
    <t xml:space="preserve"> collateral size of tranche of Treausry Bill Option is: 34388058.457885265</t>
  </si>
  <si>
    <t xml:space="preserve"> collateral size of tranche of Collar of REIT is: 38217815.176537044
</t>
  </si>
  <si>
    <t xml:space="preserve"> 38217815.176537044
</t>
  </si>
  <si>
    <t>Collateral ratio of tranche of gold is: 0.7718148400039297</t>
  </si>
  <si>
    <t xml:space="preserve"> collateral ratio of tranche of Treausry Bill Option is: 0.3298478180546835</t>
  </si>
  <si>
    <t xml:space="preserve"> collateral ratio of tranche of Collar of REIT is: 0.3665825729078726
</t>
  </si>
  <si>
    <t xml:space="preserve"> 0.3665825729078726
</t>
  </si>
  <si>
    <t xml:space="preserve">date is: 2023-02-06 00:00:00
</t>
  </si>
  <si>
    <t xml:space="preserve"> 2023-02-06 00</t>
  </si>
  <si>
    <t>current price of gold is: 1867.48</t>
  </si>
  <si>
    <t xml:space="preserve"> predicted price of gold is: 1875.79276102712
</t>
  </si>
  <si>
    <t xml:space="preserve"> 1875.79276102712
</t>
  </si>
  <si>
    <t>current price of tb is: 89.96484375</t>
  </si>
  <si>
    <t xml:space="preserve"> current price of tb option is: 4.236425421002166</t>
  </si>
  <si>
    <t xml:space="preserve"> predicted price of tb is: 90.23739943497941
</t>
  </si>
  <si>
    <t xml:space="preserve"> 90.23739943497941
</t>
  </si>
  <si>
    <t xml:space="preserve"> current price of reit option is: 3.936591783326854</t>
  </si>
  <si>
    <t xml:space="preserve"> predicted price of reit is: 63.54833108242122
</t>
  </si>
  <si>
    <t xml:space="preserve"> 63.54833108242122
</t>
  </si>
  <si>
    <t>value_ratio_gold_to_total is: 0.47756195846069954</t>
  </si>
  <si>
    <t xml:space="preserve"> risk_ratio_to_gold is: 0.5513676349229251</t>
  </si>
  <si>
    <t xml:space="preserve"> risk_ratio_to_gold_before is: 0.5408567047755385
</t>
  </si>
  <si>
    <t xml:space="preserve"> 0.5408567047755385
</t>
  </si>
  <si>
    <t>value_ratio_tb_to_total is: 0.2590376218695301</t>
  </si>
  <si>
    <t xml:space="preserve"> risk_ratio_tb_to_gold is: 0.35051749531658866</t>
  </si>
  <si>
    <t xml:space="preserve"> risk_ratio_tb_to_gold_before is: 0.3645718595652428
</t>
  </si>
  <si>
    <t xml:space="preserve"> 0.3645718595652428
</t>
  </si>
  <si>
    <t>value_ratio_reit_to_total is: 0.2634004196697704</t>
  </si>
  <si>
    <t xml:space="preserve"> risk_ratio_reit_to_gold is: 0.46315443002191725</t>
  </si>
  <si>
    <t xml:space="preserve"> risk_ratio_reit_to_gold_before is: 0.48434670087862014
</t>
  </si>
  <si>
    <t xml:space="preserve"> 0.48434670087862014
</t>
  </si>
  <si>
    <t>delta_gold is: 1.001345866153343</t>
  </si>
  <si>
    <t xml:space="preserve"> delta_tb is: 0.9949861794909063</t>
  </si>
  <si>
    <t xml:space="preserve"> delta_reit is: 0.975139496326793
</t>
  </si>
  <si>
    <t xml:space="preserve"> 0.975139496326793
</t>
  </si>
  <si>
    <t>delta_gold_risk is: 1.0068214845123562</t>
  </si>
  <si>
    <t xml:space="preserve"> delta_tb_risk is: 0.9897005319652921</t>
  </si>
  <si>
    <t xml:space="preserve"> delta_reit_risk is: 0.9857228295490813
</t>
  </si>
  <si>
    <t xml:space="preserve"> 0.9857228295490813
</t>
  </si>
  <si>
    <t xml:space="preserve">collateral_ratio_tranche_gold is: 0.7676173098829558
</t>
  </si>
  <si>
    <t xml:space="preserve"> 0.7676173098829558
</t>
  </si>
  <si>
    <t xml:space="preserve">collateral_ratio_tranche_tb is: 0.33116371889005375
</t>
  </si>
  <si>
    <t xml:space="preserve"> 0.33116371889005375
</t>
  </si>
  <si>
    <t xml:space="preserve">collateral_ratio_tranche_reit is: 0.36215929652411233
</t>
  </si>
  <si>
    <t xml:space="preserve"> 0.36215929652411233
</t>
  </si>
  <si>
    <t>Total plot size is: 152056666.86560223</t>
  </si>
  <si>
    <t xml:space="preserve"> plot size of gold is: 80573322.91852222</t>
  </si>
  <si>
    <t xml:space="preserve"> plot size of TB is: 34215642.90512121</t>
  </si>
  <si>
    <t xml:space="preserve"> plot size of REIT is: 37267701.0419588
</t>
  </si>
  <si>
    <t xml:space="preserve"> 37267701.0419588
</t>
  </si>
  <si>
    <t xml:space="preserve">collateral ratio is: 1.4584965039679814
</t>
  </si>
  <si>
    <t xml:space="preserve"> 1.4584965039679814
</t>
  </si>
  <si>
    <t>S_gtbcps_0 is: 0.9997030071093654</t>
  </si>
  <si>
    <t xml:space="preserve">stdev_gtbcps is: 0.011397196129385792
</t>
  </si>
  <si>
    <t xml:space="preserve"> 0.011397196129385792
</t>
  </si>
  <si>
    <t>predicted price of GTBCPS is: 0.9997005220486713</t>
  </si>
  <si>
    <t xml:space="preserve"> actual price is: 0.9997030071093654
</t>
  </si>
  <si>
    <t xml:space="preserve"> 0.9997030071093654
</t>
  </si>
  <si>
    <t>predicted amount of GTBCPS is: 104286995.34930004</t>
  </si>
  <si>
    <t xml:space="preserve"> actual amount is: 104286736.11279558
</t>
  </si>
  <si>
    <t>plot sizes of gold is: 80573322.91852222</t>
  </si>
  <si>
    <t xml:space="preserve"> plot sizes of tb is: 34215642.90512121 </t>
  </si>
  <si>
    <t xml:space="preserve"> plot sizes of reit is: 37267701.0419588</t>
  </si>
  <si>
    <t xml:space="preserve"> plot sizes of total is: 152056666.86560223.
</t>
  </si>
  <si>
    <t xml:space="preserve"> 152056666.86560223.
</t>
  </si>
  <si>
    <t>predicted stdevs of gold is: 0.010527865021493627</t>
  </si>
  <si>
    <t xml:space="preserve"> predicted stdevs of tb is: 0.0028817367026237805</t>
  </si>
  <si>
    <t xml:space="preserve"> predicted stdevs of reit is: 0.021094784252451124</t>
  </si>
  <si>
    <t xml:space="preserve"> predicted stdevs of GTBCPS is: 0.011397196129385792.
</t>
  </si>
  <si>
    <t xml:space="preserve"> 0.011397196129385792.
</t>
  </si>
  <si>
    <t>total_value_of_collaterals is: 152056577.50233436</t>
  </si>
  <si>
    <t xml:space="preserve"> createdtionValue_gold is: 200.2889115429008</t>
  </si>
  <si>
    <t xml:space="preserve"> createdValue_tb is: 85.05318535776225</t>
  </si>
  <si>
    <t xml:space="preserve"> createdValue_reit is: 92.63998514743226
</t>
  </si>
  <si>
    <t xml:space="preserve"> 92.63998514743226
</t>
  </si>
  <si>
    <t>plotValue_gold_after_creation is: 80573053.96658011</t>
  </si>
  <si>
    <t xml:space="preserve"> plotValue_tb_after_creation  is: 34215548.13528778</t>
  </si>
  <si>
    <t xml:space="preserve"> plotValue_reit_after_creation  is: 37267597.41838444</t>
  </si>
  <si>
    <t xml:space="preserve">total_value_after_creation is: 152056199.52025232
</t>
  </si>
  <si>
    <t xml:space="preserve"> 152056199.52025232
</t>
  </si>
  <si>
    <t>total_amount_gtncps_before_creation is: 104286736.11279558</t>
  </si>
  <si>
    <t>creation_amount_gtbcps is: 259.23650446534157</t>
  </si>
  <si>
    <t xml:space="preserve">total_amount_gtbcps_new is: 104286995.34930004
</t>
  </si>
  <si>
    <t xml:space="preserve"> 104286995.34930004
</t>
  </si>
  <si>
    <t>payout of tranche of gold is: -68.66303057535559</t>
  </si>
  <si>
    <t xml:space="preserve"> payout of tranche of Treausry Bill Option is: -9.716648074226262</t>
  </si>
  <si>
    <t xml:space="preserve"> payout of tranche of Collar of REIT is: -10.983589214460112
</t>
  </si>
  <si>
    <t xml:space="preserve"> -10.983589214460112
</t>
  </si>
  <si>
    <t>Collateral size of tranche of gold is: 80573053.96658011</t>
  </si>
  <si>
    <t xml:space="preserve"> collateral size of tranche of Treausry Bill Option is: 34215548.13528778</t>
  </si>
  <si>
    <t xml:space="preserve"> collateral size of tranche of Collar of REIT is: 37267597.41838444
</t>
  </si>
  <si>
    <t xml:space="preserve"> 37267597.41838444
</t>
  </si>
  <si>
    <t>Collateral ratio of tranche of gold is: 0.7728422046027492</t>
  </si>
  <si>
    <t xml:space="preserve"> collateral ratio of tranche of Treausry Bill Option is: 0.32818936791865116</t>
  </si>
  <si>
    <t xml:space="preserve"> collateral ratio of tranche of Collar of REIT is: 0.3574640742923604
</t>
  </si>
  <si>
    <t xml:space="preserve"> 0.3574640742923604
</t>
  </si>
  <si>
    <t xml:space="preserve">date is: 2023-02-07 00:00:00
</t>
  </si>
  <si>
    <t xml:space="preserve"> 2023-02-07 00</t>
  </si>
  <si>
    <t>current price of gold is: 1873.1</t>
  </si>
  <si>
    <t xml:space="preserve"> predicted price of gold is: 1873.588656310137
</t>
  </si>
  <si>
    <t xml:space="preserve"> 1873.588656310137
</t>
  </si>
  <si>
    <t xml:space="preserve"> current price of tb option is: 4.233389686879874</t>
  </si>
  <si>
    <t xml:space="preserve"> predicted price of tb is: 90.28350776234379
</t>
  </si>
  <si>
    <t xml:space="preserve"> 90.28350776234379
</t>
  </si>
  <si>
    <t>current price of reit is: 62.6</t>
  </si>
  <si>
    <t xml:space="preserve"> current price of reit option is: 3.942616094013836</t>
  </si>
  <si>
    <t xml:space="preserve"> predicted price of reit is: 63.08808952771377
</t>
  </si>
  <si>
    <t xml:space="preserve"> 63.08808952771377
</t>
  </si>
  <si>
    <t>value_ratio_gold_to_total is: 0.05182786903293241</t>
  </si>
  <si>
    <t xml:space="preserve"> risk_ratio_to_gold is: 0.5526633404779911</t>
  </si>
  <si>
    <t xml:space="preserve"> risk_ratio_to_gold_before is: 0.5513676349229251
</t>
  </si>
  <si>
    <t xml:space="preserve"> 0.5513676349229251
</t>
  </si>
  <si>
    <t>value_ratio_tb_to_total is: 0.4782425998780412</t>
  </si>
  <si>
    <t xml:space="preserve"> risk_ratio_tb_to_gold is: 0.34815154727562153</t>
  </si>
  <si>
    <t xml:space="preserve"> risk_ratio_tb_to_gold_before is: 0.35051749531658866
</t>
  </si>
  <si>
    <t xml:space="preserve"> 0.35051749531658866
</t>
  </si>
  <si>
    <t>value_ratio_reit_to_total is: 0.4699295310890264</t>
  </si>
  <si>
    <t xml:space="preserve"> risk_ratio_reit_to_gold is: 0.46126826901817014</t>
  </si>
  <si>
    <t xml:space="preserve"> risk_ratio_reit_to_gold_before is: 0.46315443002191725
</t>
  </si>
  <si>
    <t xml:space="preserve"> 0.46315443002191725
</t>
  </si>
  <si>
    <t>delta_gold is: 1.0030094030458157</t>
  </si>
  <si>
    <t xml:space="preserve"> delta_tb is: 1.0004239116545788</t>
  </si>
  <si>
    <t xml:space="preserve"> delta_reit is: 0.9956015757017348
</t>
  </si>
  <si>
    <t xml:space="preserve"> 0.9956015757017348
</t>
  </si>
  <si>
    <t>delta_gold_risk is: 1.0008352021312668</t>
  </si>
  <si>
    <t xml:space="preserve"> delta_tb_risk is: 0.9982481174444819</t>
  </si>
  <si>
    <t xml:space="preserve"> delta_reit_risk is: 0.9987108941031475
</t>
  </si>
  <si>
    <t xml:space="preserve"> 0.9987108941031475
</t>
  </si>
  <si>
    <t xml:space="preserve">collateral_ratio_tranche_gold is: 0.7745211165999202
</t>
  </si>
  <si>
    <t xml:space="preserve"> 0.7745211165999202
</t>
  </si>
  <si>
    <t xml:space="preserve">collateral_ratio_tranche_tb is: 0.32791785661531175
</t>
  </si>
  <si>
    <t xml:space="preserve"> 0.32791785661531175
</t>
  </si>
  <si>
    <t xml:space="preserve">collateral_ratio_tranche_reit is: 0.355281983334086
</t>
  </si>
  <si>
    <t xml:space="preserve"> 0.355281983334086
</t>
  </si>
  <si>
    <t>Total plot size is: 152149261.9778694</t>
  </si>
  <si>
    <t xml:space="preserve"> plot size of gold is: 80815530.76059781</t>
  </si>
  <si>
    <t xml:space="preserve"> plot size of TB is: 34230052.50491013</t>
  </si>
  <si>
    <t xml:space="preserve"> plot size of REIT is: 37103678.712361455
</t>
  </si>
  <si>
    <t xml:space="preserve"> 37103678.712361455
</t>
  </si>
  <si>
    <t xml:space="preserve">collateral ratio is: 1.4593846573801927
</t>
  </si>
  <si>
    <t xml:space="preserve"> 1.4593846573801927
</t>
  </si>
  <si>
    <t>S_gtbcps_0 is: 0.9997005220486713</t>
  </si>
  <si>
    <t xml:space="preserve">stdev_gtbcps is: 0.01134734842064821
</t>
  </si>
  <si>
    <t xml:space="preserve"> 0.01134734842064821
</t>
  </si>
  <si>
    <t>predicted price of GTBCPS is: 0.9997165116624623</t>
  </si>
  <si>
    <t xml:space="preserve"> actual price is: 0.9997005220486713
</t>
  </si>
  <si>
    <t xml:space="preserve"> 0.9997005220486713
</t>
  </si>
  <si>
    <t>predicted amount of GTBCPS is: 104285327.36766765</t>
  </si>
  <si>
    <t xml:space="preserve"> actual amount is: 104286995.34930004
</t>
  </si>
  <si>
    <t>plot sizes of gold is: 80815530.76059781</t>
  </si>
  <si>
    <t xml:space="preserve"> plot sizes of tb is: 34230052.50491013 </t>
  </si>
  <si>
    <t xml:space="preserve"> plot sizes of reit is: 37103678.712361455</t>
  </si>
  <si>
    <t xml:space="preserve"> plot sizes of total is: 152149261.9778694.
</t>
  </si>
  <si>
    <t xml:space="preserve"> 152149261.9778694.
</t>
  </si>
  <si>
    <t>predicted stdevs of gold is: 0.010499430047896044</t>
  </si>
  <si>
    <t xml:space="preserve"> predicted stdevs of tb is: 0.0028573355102466573</t>
  </si>
  <si>
    <t xml:space="preserve"> predicted stdevs of reit is: 0.021026673314823413</t>
  </si>
  <si>
    <t xml:space="preserve"> predicted stdevs of GTBCPS is: 0.01134734842064821.
</t>
  </si>
  <si>
    <t xml:space="preserve"> 0.01134734842064821.
</t>
  </si>
  <si>
    <t>total_value_of_collaterals is: 152149835.90788242</t>
  </si>
  <si>
    <t xml:space="preserve"> createdtionValue_gold is: -1292.6025542067343</t>
  </si>
  <si>
    <t xml:space="preserve"> createdValue_tb is: -547.4905501059113</t>
  </si>
  <si>
    <t xml:space="preserve"> createdValue_reit is: -593.4528035576459
</t>
  </si>
  <si>
    <t xml:space="preserve"> -593.4528035576459
</t>
  </si>
  <si>
    <t>plotValue_gold_after_creation is: 80817218.81155622</t>
  </si>
  <si>
    <t xml:space="preserve"> plotValue_tb_after_creation  is: 34230679.36943909</t>
  </si>
  <si>
    <t xml:space="preserve"> plotValue_reit_after_creation  is: 37104371.27279498</t>
  </si>
  <si>
    <t xml:space="preserve">total_value_after_creation is: 152152269.4537903
</t>
  </si>
  <si>
    <t xml:space="preserve"> 152152269.4537903
</t>
  </si>
  <si>
    <t>total_amount_gtncps_before_creation is: 104286995.34930004</t>
  </si>
  <si>
    <t>creation_amount_gtbcps is: -1667.9816323965788</t>
  </si>
  <si>
    <t xml:space="preserve">total_amount_gtbcps_new is: 104285327.36766765
</t>
  </si>
  <si>
    <t xml:space="preserve"> 104285327.36766765
</t>
  </si>
  <si>
    <t>payout of tranche of gold is: 395.44840420129</t>
  </si>
  <si>
    <t xml:space="preserve"> payout of tranche of Treausry Bill Option is: 79.37397885166067</t>
  </si>
  <si>
    <t xml:space="preserve"> payout of tranche of Collar of REIT is: 99.10762996507499
</t>
  </si>
  <si>
    <t xml:space="preserve"> 99.10762996507499
</t>
  </si>
  <si>
    <t>Collateral size of tranche of gold is: 80817218.81155622</t>
  </si>
  <si>
    <t xml:space="preserve"> collateral size of tranche of Treausry Bill Option is: 34230679.36943909</t>
  </si>
  <si>
    <t xml:space="preserve"> collateral size of tranche of Collar of REIT is: 37104371.27279498
</t>
  </si>
  <si>
    <t xml:space="preserve"> 37104371.27279498
</t>
  </si>
  <si>
    <t>Collateral ratio of tranche of gold is: 0.7751698644357692</t>
  </si>
  <si>
    <t xml:space="preserve"> collateral ratio of tranche of Treausry Bill Option is: 0.3283284363969988</t>
  </si>
  <si>
    <t xml:space="preserve"> collateral ratio of tranche of Collar of REIT is: 0.35589186156693337
</t>
  </si>
  <si>
    <t xml:space="preserve"> 0.35589186156693337
</t>
  </si>
  <si>
    <t xml:space="preserve">date is: 2023-02-08 00:00:00
</t>
  </si>
  <si>
    <t xml:space="preserve"> 2023-02-08 00</t>
  </si>
  <si>
    <t>current price of gold is: 1875.49</t>
  </si>
  <si>
    <t xml:space="preserve"> predicted price of gold is: 1873.5563421679087
</t>
  </si>
  <si>
    <t xml:space="preserve"> 1873.5563421679087
</t>
  </si>
  <si>
    <t xml:space="preserve"> current price of tb option is: 4.235968466118668</t>
  </si>
  <si>
    <t xml:space="preserve"> predicted price of tb is: 90.39412280684338
</t>
  </si>
  <si>
    <t xml:space="preserve"> 90.39412280684338
</t>
  </si>
  <si>
    <t>current price of reit is: 63.5</t>
  </si>
  <si>
    <t xml:space="preserve"> current price of reit option is: 3.8915638093152864</t>
  </si>
  <si>
    <t xml:space="preserve"> predicted price of reit is: 63.89080909248772
</t>
  </si>
  <si>
    <t xml:space="preserve"> 63.89080909248772
</t>
  </si>
  <si>
    <t>value_ratio_gold_to_total is: -0.28196833943683375</t>
  </si>
  <si>
    <t xml:space="preserve"> risk_ratio_to_gold is: 0.5554926800012505</t>
  </si>
  <si>
    <t xml:space="preserve"> risk_ratio_to_gold_before is: 0.5526633404779911
</t>
  </si>
  <si>
    <t xml:space="preserve"> 0.5526633404779911
</t>
  </si>
  <si>
    <t>value_ratio_tb_to_total is: 0.6575075088126474</t>
  </si>
  <si>
    <t xml:space="preserve"> risk_ratio_tb_to_gold is: 0.34318666033597095</t>
  </si>
  <si>
    <t xml:space="preserve"> risk_ratio_tb_to_gold_before is: 0.34815154727562153
</t>
  </si>
  <si>
    <t xml:space="preserve"> 0.34815154727562153
</t>
  </si>
  <si>
    <t>value_ratio_reit_to_total is: 0.6244608306241863</t>
  </si>
  <si>
    <t xml:space="preserve"> risk_ratio_reit_to_gold is: 0.45701707951843845</t>
  </si>
  <si>
    <t xml:space="preserve"> risk_ratio_reit_to_gold_before is: 0.46126826901817014
</t>
  </si>
  <si>
    <t xml:space="preserve"> 0.46126826901817014
</t>
  </si>
  <si>
    <t>delta_gold is: 1.001275959639101</t>
  </si>
  <si>
    <t xml:space="preserve"> delta_tb is: 1.001229398888705</t>
  </si>
  <si>
    <t xml:space="preserve"> delta_reit is: 1.0127579552042563
</t>
  </si>
  <si>
    <t xml:space="preserve"> 1.0127579552042563
</t>
  </si>
  <si>
    <t>delta_gold_risk is: 1.001822249195623</t>
  </si>
  <si>
    <t xml:space="preserve"> delta_tb_risk is: 0.9963172634785135</t>
  </si>
  <si>
    <t xml:space="preserve"> delta_reit_risk is: 0.9970907535667026
</t>
  </si>
  <si>
    <t xml:space="preserve"> 0.9970907535667026
</t>
  </si>
  <si>
    <t xml:space="preserve">collateral_ratio_tranche_gold is: 0.7747471674934605
</t>
  </si>
  <si>
    <t xml:space="preserve"> 0.7747471674934605
</t>
  </si>
  <si>
    <t xml:space="preserve">collateral_ratio_tranche_tb is: 0.3295267287785192
</t>
  </si>
  <si>
    <t xml:space="preserve"> 0.3295267287785192
</t>
  </si>
  <si>
    <t xml:space="preserve">collateral_ratio_tranche_reit is: 0.36102330874470895
</t>
  </si>
  <si>
    <t xml:space="preserve"> 0.36102330874470895
</t>
  </si>
  <si>
    <t>Total plot size is: 152770848.02889505</t>
  </si>
  <si>
    <t xml:space="preserve"> plot size of gold is: 80920338.32090417</t>
  </si>
  <si>
    <t xml:space="preserve"> plot size of TB is: 34272762.5286155</t>
  </si>
  <si>
    <t xml:space="preserve"> plot size of REIT is: 37577747.17937539
</t>
  </si>
  <si>
    <t xml:space="preserve"> 37577747.17937539
</t>
  </si>
  <si>
    <t xml:space="preserve">collateral ratio is: 1.4653467838756886
</t>
  </si>
  <si>
    <t xml:space="preserve"> 1.4653467838756886
</t>
  </si>
  <si>
    <t>S_gtbcps_0 is: 0.9997165116624623</t>
  </si>
  <si>
    <t xml:space="preserve">stdev_gtbcps is: 0.011366433376682578
</t>
  </si>
  <si>
    <t xml:space="preserve"> 0.011366433376682578
</t>
  </si>
  <si>
    <t>predicted price of GTBCPS is: 0.9997695492404652</t>
  </si>
  <si>
    <t xml:space="preserve"> actual price is: 0.9997165116624623
</t>
  </si>
  <si>
    <t xml:space="preserve"> 0.9997165116624623
</t>
  </si>
  <si>
    <t>predicted amount of GTBCPS is: 104279795.05155636</t>
  </si>
  <si>
    <t xml:space="preserve"> actual amount is: 104285327.36766765
</t>
  </si>
  <si>
    <t>plot sizes of gold is: 80920338.32090417</t>
  </si>
  <si>
    <t xml:space="preserve"> plot sizes of tb is: 34272762.5286155 </t>
  </si>
  <si>
    <t xml:space="preserve"> plot sizes of reit is: 37577747.17937539</t>
  </si>
  <si>
    <t xml:space="preserve"> plot sizes of total is: 152770848.02889505.
</t>
  </si>
  <si>
    <t xml:space="preserve"> 152770848.02889505.
</t>
  </si>
  <si>
    <t>predicted stdevs of gold is: 0.010478555130870459</t>
  </si>
  <si>
    <t xml:space="preserve"> predicted stdevs of tb is: 0.0028232661614832136</t>
  </si>
  <si>
    <t xml:space="preserve"> predicted stdevs of reit is: 0.021070190962443468</t>
  </si>
  <si>
    <t xml:space="preserve"> predicted stdevs of GTBCPS is: 0.011366433376682578.
</t>
  </si>
  <si>
    <t xml:space="preserve"> 0.011366433376682578.
</t>
  </si>
  <si>
    <t>total_value_of_collaterals is: 152772751.91992742</t>
  </si>
  <si>
    <t xml:space="preserve"> createdtionValue_gold is: -4293.109570884218</t>
  </si>
  <si>
    <t xml:space="preserve"> createdValue_tb is: -1818.2745749233188</t>
  </si>
  <si>
    <t xml:space="preserve"> createdValue_reit is: -1993.610272272824
</t>
  </si>
  <si>
    <t xml:space="preserve"> -1993.610272272824
</t>
  </si>
  <si>
    <t>plotValue_gold_after_creation is: 80926022.30591267</t>
  </si>
  <si>
    <t xml:space="preserve"> plotValue_tb_after_creation  is: 34274859.837367706</t>
  </si>
  <si>
    <t xml:space="preserve"> plotValue_reit_after_creation  is: 37579974.77106514</t>
  </si>
  <si>
    <t xml:space="preserve">total_value_after_creation is: 152780856.91434553
</t>
  </si>
  <si>
    <t xml:space="preserve"> 152780856.91434553
</t>
  </si>
  <si>
    <t>total_amount_gtncps_before_creation is: 104285327.36766765</t>
  </si>
  <si>
    <t>creation_amount_gtbcps is: -5532.316111281514</t>
  </si>
  <si>
    <t xml:space="preserve">total_amount_gtbcps_new is: 104279795.05155636
</t>
  </si>
  <si>
    <t xml:space="preserve"> 104279795.05155636
</t>
  </si>
  <si>
    <t>payout of tranche of gold is: 1390.8754376192578</t>
  </si>
  <si>
    <t xml:space="preserve"> payout of tranche of Treausry Bill Option is: 279.03417728742477</t>
  </si>
  <si>
    <t xml:space="preserve"> payout of tranche of Collar of REIT is: 233.9814174734643
</t>
  </si>
  <si>
    <t xml:space="preserve"> 233.9814174734643
</t>
  </si>
  <si>
    <t>Collateral size of tranche of gold is: 80926022.30591267</t>
  </si>
  <si>
    <t xml:space="preserve"> collateral size of tranche of Treausry Bill Option is: 34274859.837367706</t>
  </si>
  <si>
    <t xml:space="preserve"> collateral size of tranche of Collar of REIT is: 37579974.77106514
</t>
  </si>
  <si>
    <t xml:space="preserve"> 37579974.77106514
</t>
  </si>
  <si>
    <t>Collateral ratio of tranche of gold is: 0.7761847050890949</t>
  </si>
  <si>
    <t xml:space="preserve"> collateral ratio of tranche of Treausry Bill Option is: 0.32874001732436053</t>
  </si>
  <si>
    <t xml:space="preserve"> collateral ratio of tranche of Collar of REIT is: 0.36044032319630837
</t>
  </si>
  <si>
    <t xml:space="preserve"> 0.36044032319630837
</t>
  </si>
  <si>
    <t xml:space="preserve">date is: 2023-02-09 00:00:00
</t>
  </si>
  <si>
    <t xml:space="preserve"> 2023-02-09 00</t>
  </si>
  <si>
    <t>current price of gold is: 1861.78</t>
  </si>
  <si>
    <t xml:space="preserve"> predicted price of gold is: 1860.1014605293653
</t>
  </si>
  <si>
    <t xml:space="preserve"> 1860.1014605293653
</t>
  </si>
  <si>
    <t>current price of tb is: 89.95703125</t>
  </si>
  <si>
    <t xml:space="preserve"> current price of tb option is: 4.233539836111536</t>
  </si>
  <si>
    <t xml:space="preserve"> predicted price of tb is: 90.23257096862318
</t>
  </si>
  <si>
    <t xml:space="preserve"> 90.23257096862318
</t>
  </si>
  <si>
    <t xml:space="preserve"> current price of reit option is: 3.917463939742575</t>
  </si>
  <si>
    <t xml:space="preserve"> predicted price of reit is: 63.30914586107363
</t>
  </si>
  <si>
    <t xml:space="preserve"> 63.30914586107363
</t>
  </si>
  <si>
    <t>value_ratio_gold_to_total is: -0.23129458496143415</t>
  </si>
  <si>
    <t xml:space="preserve"> risk_ratio_to_gold is: 0.5558361911825833</t>
  </si>
  <si>
    <t xml:space="preserve"> risk_ratio_to_gold_before is: 0.5554926800012505
</t>
  </si>
  <si>
    <t xml:space="preserve"> 0.5554926800012505
</t>
  </si>
  <si>
    <t>value_ratio_tb_to_total is: 0.6213292582128782</t>
  </si>
  <si>
    <t xml:space="preserve"> risk_ratio_tb_to_gold is: 0.3431552524868003</t>
  </si>
  <si>
    <t xml:space="preserve"> risk_ratio_tb_to_gold_before is: 0.34318666033597095
</t>
  </si>
  <si>
    <t xml:space="preserve"> 0.34318666033597095
</t>
  </si>
  <si>
    <t>value_ratio_reit_to_total is: 0.609965326748556</t>
  </si>
  <si>
    <t xml:space="preserve"> risk_ratio_reit_to_gold is: 0.4559359471567942</t>
  </si>
  <si>
    <t xml:space="preserve"> risk_ratio_reit_to_gold_before is: 0.45701707951843845
</t>
  </si>
  <si>
    <t xml:space="preserve"> 0.45701707951843845
</t>
  </si>
  <si>
    <t>delta_gold is: 0.9926899103700899</t>
  </si>
  <si>
    <t xml:space="preserve"> delta_tb is: 0.9982355202027614</t>
  </si>
  <si>
    <t xml:space="preserve"> delta_reit is: 0.9899972662530865
</t>
  </si>
  <si>
    <t xml:space="preserve"> 0.9899972662530865
</t>
  </si>
  <si>
    <t>delta_gold_risk is: 1.0002208375428243</t>
  </si>
  <si>
    <t xml:space="preserve"> delta_tb_risk is: 0.9999766169140163</t>
  </si>
  <si>
    <t xml:space="preserve"> delta_reit_risk is: 0.9992579823690181
</t>
  </si>
  <si>
    <t xml:space="preserve"> 0.9992579823690181
</t>
  </si>
  <si>
    <t xml:space="preserve">collateral_ratio_tranche_gold is: 0.7703406051991383
</t>
  </si>
  <si>
    <t xml:space="preserve"> 0.7703406051991383
</t>
  </si>
  <si>
    <t xml:space="preserve">collateral_ratio_tranche_tb is: 0.3305842361739593
</t>
  </si>
  <si>
    <t xml:space="preserve"> 0.3305842361739593
</t>
  </si>
  <si>
    <t xml:space="preserve">collateral_ratio_tranche_reit is: 0.359729564398536
</t>
  </si>
  <si>
    <t xml:space="preserve"> 0.359729564398536
</t>
  </si>
  <si>
    <t>Total plot size is: 151752900.6583103</t>
  </si>
  <si>
    <t xml:space="preserve"> plot size of gold is: 80334445.82946435</t>
  </si>
  <si>
    <t xml:space="preserve"> plot size of TB is: 34214382.539631486</t>
  </si>
  <si>
    <t xml:space="preserve"> plot size of REIT is: 37204072.28921445
</t>
  </si>
  <si>
    <t xml:space="preserve"> 37204072.28921445
</t>
  </si>
  <si>
    <t xml:space="preserve">collateral ratio is: 1.4555828405259799
</t>
  </si>
  <si>
    <t xml:space="preserve"> 1.4555828405259799
</t>
  </si>
  <si>
    <t>S_gtbcps_0 is: 0.9997695492404652</t>
  </si>
  <si>
    <t xml:space="preserve">stdev_gtbcps is: 0.011335071658307707
</t>
  </si>
  <si>
    <t xml:space="preserve"> 0.011335071658307707
</t>
  </si>
  <si>
    <t>predicted price of GTBCPS is: 0.9997787267510492</t>
  </si>
  <si>
    <t xml:space="preserve"> actual price is: 0.9997695492404652
</t>
  </si>
  <si>
    <t xml:space="preserve"> 0.9997695492404652
</t>
  </si>
  <si>
    <t>predicted amount of GTBCPS is: 104278837.81082183</t>
  </si>
  <si>
    <t xml:space="preserve"> actual amount is: 104279795.05155636
</t>
  </si>
  <si>
    <t>plot sizes of gold is: 80334445.82946435</t>
  </si>
  <si>
    <t xml:space="preserve"> plot sizes of tb is: 34214382.539631486 </t>
  </si>
  <si>
    <t xml:space="preserve"> plot sizes of reit is: 37204072.28921445</t>
  </si>
  <si>
    <t xml:space="preserve"> plot sizes of total is: 151752900.6583103.
</t>
  </si>
  <si>
    <t xml:space="preserve"> 151752900.6583103.
</t>
  </si>
  <si>
    <t>predicted stdevs of gold is: 0.010442979408236859</t>
  </si>
  <si>
    <t xml:space="preserve"> predicted stdevs of tb is: 0.002816903783009223</t>
  </si>
  <si>
    <t xml:space="preserve"> predicted stdevs of reit is: 0.021095013740393444</t>
  </si>
  <si>
    <t xml:space="preserve"> predicted stdevs of GTBCPS is: 0.011335071658307707.
</t>
  </si>
  <si>
    <t xml:space="preserve"> 0.011335071658307707.
</t>
  </si>
  <si>
    <t>total_value_of_collaterals is: 151753230.1997258</t>
  </si>
  <si>
    <t xml:space="preserve"> createdtionValue_gold is: -737.4423554046886</t>
  </si>
  <si>
    <t xml:space="preserve"> createdValue_tb is: -314.07554647890316</t>
  </si>
  <si>
    <t xml:space="preserve"> createdValue_reit is: -341.5200010473342
</t>
  </si>
  <si>
    <t xml:space="preserve"> -341.5200010473342
</t>
  </si>
  <si>
    <t>plotValue_gold_after_creation is: 80335421.28929219</t>
  </si>
  <si>
    <t xml:space="preserve"> plotValue_tb_after_creation  is: 34214730.35570494</t>
  </si>
  <si>
    <t xml:space="preserve"> plotValue_reit_after_creation  is: 37204471.59263163</t>
  </si>
  <si>
    <t xml:space="preserve">total_value_after_creation is: 151754623.23762876
</t>
  </si>
  <si>
    <t xml:space="preserve"> 151754623.23762876
</t>
  </si>
  <si>
    <t>total_amount_gtncps_before_creation is: 104279795.05155636</t>
  </si>
  <si>
    <t>creation_amount_gtbcps is: -957.2407345324755</t>
  </si>
  <si>
    <t xml:space="preserve">total_amount_gtbcps_new is: 104278837.81082183
</t>
  </si>
  <si>
    <t xml:space="preserve"> 104278837.81082183
</t>
  </si>
  <si>
    <t>payout of tranche of gold is: 238.01747242442494</t>
  </si>
  <si>
    <t xml:space="preserve"> payout of tranche of Treausry Bill Option is: 33.74052697133586</t>
  </si>
  <si>
    <t xml:space="preserve"> payout of tranche of Collar of REIT is: 57.78341613545873
</t>
  </si>
  <si>
    <t xml:space="preserve"> 57.78341613545873
</t>
  </si>
  <si>
    <t>Collateral size of tranche of gold is: 80335421.28929219</t>
  </si>
  <si>
    <t xml:space="preserve"> collateral size of tranche of Treausry Bill Option is: 34214730.35570494</t>
  </si>
  <si>
    <t xml:space="preserve"> collateral size of tranche of Collar of REIT is: 37204471.59263163
</t>
  </si>
  <si>
    <t xml:space="preserve"> 37204471.59263163
</t>
  </si>
  <si>
    <t>Collateral ratio of tranche of gold is: 0.7705538859515517</t>
  </si>
  <si>
    <t xml:space="preserve"> collateral ratio of tranche of Treausry Bill Option is: 0.3281776955825465</t>
  </si>
  <si>
    <t xml:space="preserve"> collateral ratio of tranche of Collar of REIT is: 0.35685441988585864
</t>
  </si>
  <si>
    <t xml:space="preserve"> 0.35685441988585864
</t>
  </si>
  <si>
    <t xml:space="preserve">date is: 2023-02-10 00:00:00
</t>
  </si>
  <si>
    <t xml:space="preserve"> 2023-02-10 00</t>
  </si>
  <si>
    <t>current price of gold is: 1865.57</t>
  </si>
  <si>
    <t xml:space="preserve"> predicted price of gold is: 1873.666722746284
</t>
  </si>
  <si>
    <t xml:space="preserve"> 1873.666722746284
</t>
  </si>
  <si>
    <t>current price of tb is: 89.85546875</t>
  </si>
  <si>
    <t xml:space="preserve"> current price of tb option is: 4.228755889057851</t>
  </si>
  <si>
    <t xml:space="preserve"> predicted price of tb is: 90.13595515854618
</t>
  </si>
  <si>
    <t xml:space="preserve"> 90.13595515854618
</t>
  </si>
  <si>
    <t xml:space="preserve"> current price of reit option is: 3.8700633418483648</t>
  </si>
  <si>
    <t xml:space="preserve"> predicted price of reit is: 63.71016755341265
</t>
  </si>
  <si>
    <t xml:space="preserve"> 63.71016755341265
</t>
  </si>
  <si>
    <t>value_ratio_gold_to_total is: 0.46569834911686336</t>
  </si>
  <si>
    <t xml:space="preserve"> risk_ratio_to_gold is: 0.5556151914913545</t>
  </si>
  <si>
    <t xml:space="preserve"> risk_ratio_to_gold_before is: 0.5558361911825833
</t>
  </si>
  <si>
    <t xml:space="preserve"> 0.5558361911825833
</t>
  </si>
  <si>
    <t>value_ratio_tb_to_total is: 0.2593576141317038</t>
  </si>
  <si>
    <t xml:space="preserve"> risk_ratio_tb_to_gold is: 0.3423597900690096</t>
  </si>
  <si>
    <t xml:space="preserve"> risk_ratio_tb_to_gold_before is: 0.3431552524868003
</t>
  </si>
  <si>
    <t xml:space="preserve"> 0.3431552524868003
</t>
  </si>
  <si>
    <t>value_ratio_reit_to_total is: 0.27494403675143286</t>
  </si>
  <si>
    <t xml:space="preserve"> risk_ratio_reit_to_gold is: 0.45744701023796186</t>
  </si>
  <si>
    <t xml:space="preserve"> risk_ratio_reit_to_gold_before is: 0.4559359471567942
</t>
  </si>
  <si>
    <t xml:space="preserve"> 0.4559359471567942
</t>
  </si>
  <si>
    <t>delta_gold is: 1.0020356862787225</t>
  </si>
  <si>
    <t xml:space="preserve"> delta_tb is: 0.9988709438128742</t>
  </si>
  <si>
    <t xml:space="preserve"> delta_reit is: 0.9992895323788533
</t>
  </si>
  <si>
    <t xml:space="preserve"> 0.9992895323788533
</t>
  </si>
  <si>
    <t>delta_gold_risk is: 0.9998579543961753</t>
  </si>
  <si>
    <t xml:space="preserve"> delta_tb_risk is: 0.9994077658436596</t>
  </si>
  <si>
    <t xml:space="preserve"> delta_reit_risk is: 1.0010378637083028
</t>
  </si>
  <si>
    <t xml:space="preserve"> 1.0010378637083028
</t>
  </si>
  <si>
    <t xml:space="preserve">collateral_ratio_tranche_gold is: 0.7722321841110846
</t>
  </si>
  <si>
    <t xml:space="preserve"> 0.7722321841110846
</t>
  </si>
  <si>
    <t xml:space="preserve">collateral_ratio_tranche_tb is: 0.3273350666642863
</t>
  </si>
  <si>
    <t xml:space="preserve"> 0.3273350666642863
</t>
  </si>
  <si>
    <t xml:space="preserve">collateral_ratio_tranche_reit is: 0.35550746530599
</t>
  </si>
  <si>
    <t xml:space="preserve"> 0.35550746530599
</t>
  </si>
  <si>
    <t>Total plot size is: 151853098.0270154</t>
  </si>
  <si>
    <t xml:space="preserve"> plot size of gold is: 80498959.0041062</t>
  </si>
  <si>
    <t xml:space="preserve"> plot size of TB is: 34176100.00270599</t>
  </si>
  <si>
    <t xml:space="preserve"> plot size of REIT is: 37178039.020203196
</t>
  </si>
  <si>
    <t xml:space="preserve"> 37178039.020203196
</t>
  </si>
  <si>
    <t xml:space="preserve">collateral ratio is: 1.4565439132298312
</t>
  </si>
  <si>
    <t xml:space="preserve"> 1.4565439132298312
</t>
  </si>
  <si>
    <t>S_gtbcps_0 is: 0.9997787267510492</t>
  </si>
  <si>
    <t xml:space="preserve">stdev_gtbcps is: 0.01133902615674017
</t>
  </si>
  <si>
    <t xml:space="preserve"> 0.01133902615674017
</t>
  </si>
  <si>
    <t>predicted price of GTBCPS is: 0.9997600918484627</t>
  </si>
  <si>
    <t xml:space="preserve"> actual price is: 0.9997787267510492
</t>
  </si>
  <si>
    <t xml:space="preserve"> 0.9997787267510492
</t>
  </si>
  <si>
    <t>predicted amount of GTBCPS is: 104280781.50311388</t>
  </si>
  <si>
    <t xml:space="preserve"> actual amount is: 104278837.81082183
</t>
  </si>
  <si>
    <t>plot sizes of gold is: 80498959.0041062</t>
  </si>
  <si>
    <t xml:space="preserve"> plot sizes of tb is: 34176100.00270599 </t>
  </si>
  <si>
    <t xml:space="preserve"> plot sizes of reit is: 37178039.020203196</t>
  </si>
  <si>
    <t xml:space="preserve"> plot sizes of total is: 151853098.0270154.
</t>
  </si>
  <si>
    <t xml:space="preserve"> 151853098.0270154.
</t>
  </si>
  <si>
    <t>predicted stdevs of gold is: 0.010454248308400516</t>
  </si>
  <si>
    <t xml:space="preserve"> predicted stdevs of tb is: 0.002811223986260355</t>
  </si>
  <si>
    <t xml:space="preserve"> predicted stdevs of reit is: 0.02109399777656565</t>
  </si>
  <si>
    <t xml:space="preserve"> predicted stdevs of GTBCPS is: 0.01133902615674017.
</t>
  </si>
  <si>
    <t xml:space="preserve"> 0.01133902615674017.
</t>
  </si>
  <si>
    <t>total_value_of_collaterals is: 151852429.54092196</t>
  </si>
  <si>
    <t xml:space="preserve"> createdtionValue_gold is: 1500.4126622120918</t>
  </si>
  <si>
    <t xml:space="preserve"> createdValue_tb is: 637.0079802894239</t>
  </si>
  <si>
    <t xml:space="preserve"> createdValue_reit is: 692.9608772118786
</t>
  </si>
  <si>
    <t xml:space="preserve"> 692.9608772118786
</t>
  </si>
  <si>
    <t>plotValue_gold_after_creation is: 80496943.51935588</t>
  </si>
  <si>
    <t xml:space="preserve"> plotValue_tb_after_creation  is: 34175395.01108822</t>
  </si>
  <si>
    <t xml:space="preserve"> plotValue_reit_after_creation  is: 37177260.62895815</t>
  </si>
  <si>
    <t xml:space="preserve">total_value_after_creation is: 151849599.15940225
</t>
  </si>
  <si>
    <t xml:space="preserve"> 151849599.15940225
</t>
  </si>
  <si>
    <t>total_amount_gtncps_before_creation is: 104278837.81082183</t>
  </si>
  <si>
    <t>creation_amount_gtbcps is: 1943.6922920495272</t>
  </si>
  <si>
    <t xml:space="preserve">total_amount_gtbcps_new is: 104280781.50311388
</t>
  </si>
  <si>
    <t xml:space="preserve"> 104280781.50311388
</t>
  </si>
  <si>
    <t>payout of tranche of gold is: -515.072088100459</t>
  </si>
  <si>
    <t xml:space="preserve"> payout of tranche of Treausry Bill Option is: -67.98363748123474</t>
  </si>
  <si>
    <t xml:space="preserve"> payout of tranche of Collar of REIT is: -85.4303678381646
</t>
  </si>
  <si>
    <t xml:space="preserve"> -85.4303678381646
</t>
  </si>
  <si>
    <t>Collateral size of tranche of gold is: 80496943.51935588</t>
  </si>
  <si>
    <t xml:space="preserve"> collateral size of tranche of Treausry Bill Option is: 34175395.01108822</t>
  </si>
  <si>
    <t xml:space="preserve"> collateral size of tranche of Collar of REIT is: 37177260.62895815
</t>
  </si>
  <si>
    <t xml:space="preserve"> 37177260.62895815
</t>
  </si>
  <si>
    <t>Collateral ratio of tranche of gold is: 0.7721246392536196</t>
  </si>
  <si>
    <t xml:space="preserve"> collateral ratio of tranche of Treausry Bill Option is: 0.32780952158688365</t>
  </si>
  <si>
    <t xml:space="preserve"> collateral ratio of tranche of Collar of REIT is: 0.35660334040720115
</t>
  </si>
  <si>
    <t xml:space="preserve"> 0.35660334040720115
</t>
  </si>
  <si>
    <t xml:space="preserve">date is: 2023-02-13 00:00:00
</t>
  </si>
  <si>
    <t xml:space="preserve"> 2023-02-13 00</t>
  </si>
  <si>
    <t>current price of gold is: 1853.49</t>
  </si>
  <si>
    <t xml:space="preserve"> predicted price of gold is: 1855.49202686654
</t>
  </si>
  <si>
    <t xml:space="preserve"> 1855.49202686654
</t>
  </si>
  <si>
    <t>current price of tb is: 89.87890625</t>
  </si>
  <si>
    <t xml:space="preserve"> current price of tb option is: 4.230138314599802</t>
  </si>
  <si>
    <t xml:space="preserve"> predicted price of tb is: 90.15796317412934
</t>
  </si>
  <si>
    <t xml:space="preserve"> 90.15796317412934
</t>
  </si>
  <si>
    <t xml:space="preserve"> current price of reit option is: 4.124602867316987</t>
  </si>
  <si>
    <t xml:space="preserve"> predicted price of reit is: 55.24930893136741
</t>
  </si>
  <si>
    <t xml:space="preserve"> 55.24930893136741
</t>
  </si>
  <si>
    <t>value_ratio_gold_to_total is: 0.17979369478702292</t>
  </si>
  <si>
    <t xml:space="preserve"> risk_ratio_to_gold is: 0.5705763248815422</t>
  </si>
  <si>
    <t xml:space="preserve"> risk_ratio_to_gold_before is: 0.5556151914913545
</t>
  </si>
  <si>
    <t xml:space="preserve"> 0.5556151914913545
</t>
  </si>
  <si>
    <t>value_ratio_tb_to_total is: 0.40495204436905047</t>
  </si>
  <si>
    <t xml:space="preserve"> risk_ratio_tb_to_gold is: 0.34242555381144235</t>
  </si>
  <si>
    <t xml:space="preserve"> risk_ratio_tb_to_gold_before is: 0.3423597900690096
</t>
  </si>
  <si>
    <t xml:space="preserve"> 0.3423597900690096
</t>
  </si>
  <si>
    <t>value_ratio_reit_to_total is: 0.4152542608439266</t>
  </si>
  <si>
    <t xml:space="preserve"> risk_ratio_reit_to_gold is: 0.4101883496967529</t>
  </si>
  <si>
    <t xml:space="preserve"> risk_ratio_reit_to_gold_before is: 0.45744701023796186
</t>
  </si>
  <si>
    <t xml:space="preserve"> 0.45744701023796186
</t>
  </si>
  <si>
    <t>delta_gold is: 0.9935247672293187</t>
  </si>
  <si>
    <t xml:space="preserve"> delta_tb is: 1.000263805389662</t>
  </si>
  <si>
    <t xml:space="preserve"> delta_reit is: 0.8830740502741024
</t>
  </si>
  <si>
    <t xml:space="preserve"> 0.8830740502741024
</t>
  </si>
  <si>
    <t>delta_gold_risk is: 1.0096175027551926</t>
  </si>
  <si>
    <t xml:space="preserve"> delta_tb_risk is: 1.00004899114449</t>
  </si>
  <si>
    <t xml:space="preserve"> delta_reit_risk is: 0.9675743541897329
</t>
  </si>
  <si>
    <t xml:space="preserve"> 0.9675743541897329
</t>
  </si>
  <si>
    <t xml:space="preserve">collateral_ratio_tranche_gold is: 0.7598174064861503
</t>
  </si>
  <si>
    <t xml:space="preserve"> 0.7598174064861503
</t>
  </si>
  <si>
    <t xml:space="preserve">collateral_ratio_tranche_tb is: 0.33001687235890265
</t>
  </si>
  <si>
    <t xml:space="preserve"> 0.33001687235890265
</t>
  </si>
  <si>
    <t xml:space="preserve">collateral_ratio_tranche_reit is: 0.32758158750470145
</t>
  </si>
  <si>
    <t xml:space="preserve"> 0.32758158750470145
</t>
  </si>
  <si>
    <t>Total plot size is: 146990391.85893565</t>
  </si>
  <si>
    <t xml:space="preserve"> plot size of gold is: 79975707.07273966</t>
  </si>
  <si>
    <t xml:space="preserve"> plot size of TB is: 34184410.664485976</t>
  </si>
  <si>
    <t xml:space="preserve"> plot size of REIT is: 32830274.121709995
</t>
  </si>
  <si>
    <t xml:space="preserve"> 32830274.121709995
</t>
  </si>
  <si>
    <t xml:space="preserve">collateral ratio is: 1.4099018284586557
</t>
  </si>
  <si>
    <t xml:space="preserve"> 1.4099018284586557
</t>
  </si>
  <si>
    <t>S_gtbcps_0 is: 0.9997600918484627</t>
  </si>
  <si>
    <t xml:space="preserve">stdev_gtbcps is: 0.011854204448003544
</t>
  </si>
  <si>
    <t xml:space="preserve"> 0.011854204448003544
</t>
  </si>
  <si>
    <t>predicted price of GTBCPS is: 0.9997744170651507</t>
  </si>
  <si>
    <t xml:space="preserve"> actual price is: 0.9997600918484627
</t>
  </si>
  <si>
    <t xml:space="preserve"> 0.9997600918484627
</t>
  </si>
  <si>
    <t>predicted amount of GTBCPS is: 104279287.3212605</t>
  </si>
  <si>
    <t xml:space="preserve"> actual amount is: 104280781.50311388
</t>
  </si>
  <si>
    <t>plot sizes of gold is: 79975707.07273966</t>
  </si>
  <si>
    <t xml:space="preserve"> plot sizes of tb is: 34184410.664485976 </t>
  </si>
  <si>
    <t xml:space="preserve"> plot sizes of reit is: 32830274.121709995</t>
  </si>
  <si>
    <t xml:space="preserve"> plot sizes of total is: 146990391.85893562.
</t>
  </si>
  <si>
    <t xml:space="preserve"> 146990391.85893562.
</t>
  </si>
  <si>
    <t>predicted stdevs of gold is: 0.01044711817110335</t>
  </si>
  <si>
    <t xml:space="preserve"> predicted stdevs of tb is: 0.0028105432224407546</t>
  </si>
  <si>
    <t xml:space="preserve"> predicted stdevs of reit is: 0.024698597631845922</t>
  </si>
  <si>
    <t xml:space="preserve"> predicted stdevs of GTBCPS is: 0.011854204448003544.
</t>
  </si>
  <si>
    <t xml:space="preserve"> 0.011854204448003544.
</t>
  </si>
  <si>
    <t>total_value_of_collaterals is: 146990910.21939075</t>
  </si>
  <si>
    <t xml:space="preserve"> createdtionValue_gold is: -1145.9497773698442</t>
  </si>
  <si>
    <t xml:space="preserve"> createdValue_tb is: -489.81740127430726</t>
  </si>
  <si>
    <t xml:space="preserve"> createdValue_reit is: -470.4147516709735
</t>
  </si>
  <si>
    <t xml:space="preserve"> -470.4147516709735
</t>
  </si>
  <si>
    <t>plotValue_gold_after_creation is: 79977238.43106607</t>
  </si>
  <si>
    <t xml:space="preserve"> plotValue_tb_after_creation  is: 34184956.324449226</t>
  </si>
  <si>
    <t xml:space="preserve"> plotValue_reit_after_creation  is: 32830821.64580577</t>
  </si>
  <si>
    <t xml:space="preserve">total_value_after_creation is: 146993016.40132105
</t>
  </si>
  <si>
    <t xml:space="preserve"> 146993016.40132105
</t>
  </si>
  <si>
    <t>total_amount_gtncps_before_creation is: 104280781.50311388</t>
  </si>
  <si>
    <t>creation_amount_gtbcps is: -1494.1818533837795</t>
  </si>
  <si>
    <t xml:space="preserve">total_amount_gtbcps_new is: 104279287.3212605
</t>
  </si>
  <si>
    <t xml:space="preserve"> 104279287.3212605
</t>
  </si>
  <si>
    <t>payout of tranche of gold is: 385.4085490333466</t>
  </si>
  <si>
    <t xml:space="preserve"> payout of tranche of Treausry Bill Option is: 55.8425619773606</t>
  </si>
  <si>
    <t xml:space="preserve"> payout of tranche of Collar of REIT is: 77.1093441006725
</t>
  </si>
  <si>
    <t xml:space="preserve"> 77.1093441006725
</t>
  </si>
  <si>
    <t>Collateral size of tranche of gold is: 79977238.43106607</t>
  </si>
  <si>
    <t xml:space="preserve"> collateral size of tranche of Treausry Bill Option is: 34184956.324449226</t>
  </si>
  <si>
    <t xml:space="preserve"> collateral size of tranche of Collar of REIT is: 32830821.64580577
</t>
  </si>
  <si>
    <t xml:space="preserve"> 32830821.64580577
</t>
  </si>
  <si>
    <t>Collateral ratio of tranche of gold is: 0.7671143507839615</t>
  </si>
  <si>
    <t xml:space="preserve"> collateral ratio of tranche of Treausry Bill Option is: 0.3278904234735577</t>
  </si>
  <si>
    <t xml:space="preserve"> collateral ratio of tranche of Collar of REIT is: 0.3149020262087913
</t>
  </si>
  <si>
    <t xml:space="preserve"> 0.3149020262087913
</t>
  </si>
  <si>
    <t xml:space="preserve">date is: 2023-02-14 00:00:00
</t>
  </si>
  <si>
    <t xml:space="preserve"> 2023-02-14 00</t>
  </si>
  <si>
    <t>current price of gold is: 1854.31</t>
  </si>
  <si>
    <t xml:space="preserve"> predicted price of gold is: 1852.2205872474453
</t>
  </si>
  <si>
    <t xml:space="preserve"> 1852.2205872474453
</t>
  </si>
  <si>
    <t xml:space="preserve"> current price of tb option is: 4.227371802963174</t>
  </si>
  <si>
    <t xml:space="preserve"> predicted price of tb is: 89.87566630957521
</t>
  </si>
  <si>
    <t xml:space="preserve"> 89.87566630957521
</t>
  </si>
  <si>
    <t>current price of reit is: 54.0</t>
  </si>
  <si>
    <t xml:space="preserve"> current price of reit option is: 4.160583392209311</t>
  </si>
  <si>
    <t xml:space="preserve"> predicted price of reit is: 54.60643223200559
</t>
  </si>
  <si>
    <t xml:space="preserve"> 54.60643223200559
</t>
  </si>
  <si>
    <t>value_ratio_gold_to_total is: -0.29072553864368567</t>
  </si>
  <si>
    <t xml:space="preserve"> risk_ratio_to_gold is: 0.5724268309210924</t>
  </si>
  <si>
    <t xml:space="preserve"> risk_ratio_to_gold_before is: 0.5705763248815422
</t>
  </si>
  <si>
    <t xml:space="preserve"> 0.5705763248815422
</t>
  </si>
  <si>
    <t>value_ratio_tb_to_total is: 0.6274323796552149</t>
  </si>
  <si>
    <t xml:space="preserve"> risk_ratio_tb_to_gold is: 0.33978183223576985</t>
  </si>
  <si>
    <t xml:space="preserve"> risk_ratio_tb_to_gold_before is: 0.34242555381144235
</t>
  </si>
  <si>
    <t xml:space="preserve"> 0.34242555381144235
</t>
  </si>
  <si>
    <t>value_ratio_reit_to_total is: 0.6632931589884706</t>
  </si>
  <si>
    <t xml:space="preserve"> risk_ratio_reit_to_gold is: 0.407166329489807</t>
  </si>
  <si>
    <t xml:space="preserve"> risk_ratio_reit_to_gold_before is: 0.4101883496967529
</t>
  </si>
  <si>
    <t xml:space="preserve"> 0.4101883496967529
</t>
  </si>
  <si>
    <t>delta_gold is: 1.0004424086453123</t>
  </si>
  <si>
    <t xml:space="preserve"> delta_tb is: 0.9969405410184673</t>
  </si>
  <si>
    <t xml:space="preserve"> delta_reit is: 0.9878721988712718
</t>
  </si>
  <si>
    <t xml:space="preserve"> 0.9878721988712718
</t>
  </si>
  <si>
    <t>delta_gold_risk is: 1.0011782337542177</t>
  </si>
  <si>
    <t xml:space="preserve"> delta_tb_risk is: 0.9980306382218617</t>
  </si>
  <si>
    <t xml:space="preserve"> delta_reit_risk is: 0.9978570095210363
</t>
  </si>
  <si>
    <t xml:space="preserve"> 0.9978570095210363
</t>
  </si>
  <si>
    <t xml:space="preserve">collateral_ratio_tranche_gold is: 0.7665505530687516
</t>
  </si>
  <si>
    <t xml:space="preserve"> 0.7665505530687516
</t>
  </si>
  <si>
    <t xml:space="preserve">collateral_ratio_tranche_tb is: 0.32738744670035297
</t>
  </si>
  <si>
    <t xml:space="preserve"> 0.32738744670035297
</t>
  </si>
  <si>
    <t xml:space="preserve">collateral_ratio_tranche_reit is: 0.3116131761999152
</t>
  </si>
  <si>
    <t xml:space="preserve"> 0.3116131761999152
</t>
  </si>
  <si>
    <t>Total plot size is: 146525645.87555796</t>
  </si>
  <si>
    <t xml:space="preserve"> plot size of gold is: 80012621.05277617</t>
  </si>
  <si>
    <t xml:space="preserve"> plot size of TB is: 34080368.85278909</t>
  </si>
  <si>
    <t xml:space="preserve"> plot size of REIT is: 32432655.96999269
</t>
  </si>
  <si>
    <t xml:space="preserve"> 32432655.96999269
</t>
  </si>
  <si>
    <t xml:space="preserve">collateral ratio is: 1.405444079870831
</t>
  </si>
  <si>
    <t xml:space="preserve"> 1.405444079870831
</t>
  </si>
  <si>
    <t>S_gtbcps_0 is: 0.9997744170651507</t>
  </si>
  <si>
    <t xml:space="preserve">stdev_gtbcps is: 0.01181316957203314
</t>
  </si>
  <si>
    <t xml:space="preserve"> 0.01181316957203314
</t>
  </si>
  <si>
    <t>predicted price of GTBCPS is: 0.9997110989739145</t>
  </si>
  <si>
    <t xml:space="preserve"> actual price is: 0.9997744170651507
</t>
  </si>
  <si>
    <t xml:space="preserve"> 0.9997744170651507
</t>
  </si>
  <si>
    <t>predicted amount of GTBCPS is: 104285891.99478611</t>
  </si>
  <si>
    <t xml:space="preserve"> actual amount is: 104279287.3212605
</t>
  </si>
  <si>
    <t>plot sizes of gold is: 80012621.05277617</t>
  </si>
  <si>
    <t xml:space="preserve"> plot sizes of tb is: 34080368.85278909 </t>
  </si>
  <si>
    <t xml:space="preserve"> plot sizes of reit is: 32432655.96999269</t>
  </si>
  <si>
    <t xml:space="preserve"> plot sizes of total is: 146525645.87555796.
</t>
  </si>
  <si>
    <t xml:space="preserve"> 146525645.87555796.
</t>
  </si>
  <si>
    <t>predicted stdevs of gold is: 0.010430131272312288</t>
  </si>
  <si>
    <t xml:space="preserve"> predicted stdevs of tb is: 0.002786119413009491</t>
  </si>
  <si>
    <t xml:space="preserve"> predicted stdevs of reit is: 0.024710840328206158</t>
  </si>
  <si>
    <t xml:space="preserve"> predicted stdevs of GTBCPS is: 0.01181316957203314.
</t>
  </si>
  <si>
    <t xml:space="preserve"> 0.01181316957203314.
</t>
  </si>
  <si>
    <t>total_value_of_collaterals is: 146523360.12861317</t>
  </si>
  <si>
    <t xml:space="preserve"> createdtionValue_gold is: 5067.2753754304</t>
  </si>
  <si>
    <t xml:space="preserve"> createdValue_tb is: 2158.37433027527</t>
  </si>
  <si>
    <t xml:space="preserve"> createdValue_reit is: 2054.0231149881465
</t>
  </si>
  <si>
    <t xml:space="preserve"> 2054.0231149881465
</t>
  </si>
  <si>
    <t>plotValue_gold_after_creation is: 80005750.89154452</t>
  </si>
  <si>
    <t xml:space="preserve"> plotValue_tb_after_creation  is: 34077950.418086424</t>
  </si>
  <si>
    <t xml:space="preserve"> plotValue_reit_after_creation  is: 32430379.14616154</t>
  </si>
  <si>
    <t xml:space="preserve">total_value_after_creation is: 146514080.4557925
</t>
  </si>
  <si>
    <t xml:space="preserve"> 146514080.4557925
</t>
  </si>
  <si>
    <t>total_amount_gtncps_before_creation is: 104279287.3212605</t>
  </si>
  <si>
    <t>creation_amount_gtbcps is: 6604.673525616527</t>
  </si>
  <si>
    <t xml:space="preserve">total_amount_gtbcps_new is: 104285891.99478611
</t>
  </si>
  <si>
    <t xml:space="preserve"> 104285891.99478611
</t>
  </si>
  <si>
    <t>payout of tranche of gold is: -1802.8858562253629</t>
  </si>
  <si>
    <t xml:space="preserve"> payout of tranche of Treausry Bill Option is: -260.0603723908809</t>
  </si>
  <si>
    <t xml:space="preserve"> payout of tranche of Collar of REIT is: -222.80071616307546
</t>
  </si>
  <si>
    <t xml:space="preserve"> -222.80071616307546
</t>
  </si>
  <si>
    <t>Collateral size of tranche of gold is: 80005750.89154452</t>
  </si>
  <si>
    <t xml:space="preserve"> collateral size of tranche of Treausry Bill Option is: 34077950.418086424</t>
  </si>
  <si>
    <t xml:space="preserve"> collateral size of tranche of Collar of REIT is: 32430379.14616154
</t>
  </si>
  <si>
    <t xml:space="preserve"> 32430379.14616154
</t>
  </si>
  <si>
    <t>Collateral ratio of tranche of gold is: 0.7674474324707765</t>
  </si>
  <si>
    <t xml:space="preserve"> collateral ratio of tranche of Treausry Bill Option is: 0.3268894455809783</t>
  </si>
  <si>
    <t xml:space="preserve"> collateral ratio of tranche of Collar of REIT is: 0.3110852774010507
</t>
  </si>
  <si>
    <t xml:space="preserve"> 0.3110852774010507
</t>
  </si>
  <si>
    <t xml:space="preserve">date is: 2023-02-15 00:00:00
</t>
  </si>
  <si>
    <t xml:space="preserve"> 2023-02-15 00</t>
  </si>
  <si>
    <t>current price of gold is: 1836.01</t>
  </si>
  <si>
    <t xml:space="preserve"> predicted price of gold is: 1848.427925975247
</t>
  </si>
  <si>
    <t xml:space="preserve"> 1848.427925975247
</t>
  </si>
  <si>
    <t>current price of tb is: 89.515625</t>
  </si>
  <si>
    <t xml:space="preserve"> current price of tb option is: 4.224714593342993</t>
  </si>
  <si>
    <t xml:space="preserve"> predicted price of tb is: 89.80028877398384
</t>
  </si>
  <si>
    <t xml:space="preserve"> 89.80028877398384
</t>
  </si>
  <si>
    <t>current price of reit is: 53.8</t>
  </si>
  <si>
    <t xml:space="preserve"> current price of reit option is: 4.166095230999375</t>
  </si>
  <si>
    <t xml:space="preserve"> predicted price of reit is: 54.13788777725261
</t>
  </si>
  <si>
    <t xml:space="preserve"> 54.13788777725261
</t>
  </si>
  <si>
    <t>value_ratio_gold_to_total is: 0.5794297734880829</t>
  </si>
  <si>
    <t xml:space="preserve"> risk_ratio_to_gold is: 0.5721540367961768</t>
  </si>
  <si>
    <t xml:space="preserve"> risk_ratio_to_gold_before is: 0.5724268309210924
</t>
  </si>
  <si>
    <t xml:space="preserve"> 0.5724268309210924
</t>
  </si>
  <si>
    <t>value_ratio_tb_to_total is: 0.21041098901382896</t>
  </si>
  <si>
    <t xml:space="preserve"> risk_ratio_tb_to_gold is: 0.33952006864395873</t>
  </si>
  <si>
    <t xml:space="preserve"> risk_ratio_tb_to_gold_before is: 0.33978183223576985
</t>
  </si>
  <si>
    <t xml:space="preserve"> 0.33978183223576985
</t>
  </si>
  <si>
    <t>value_ratio_reit_to_total is: 0.21015923749808818</t>
  </si>
  <si>
    <t xml:space="preserve"> risk_ratio_reit_to_gold is: 0.4082610107303677</t>
  </si>
  <si>
    <t xml:space="preserve"> risk_ratio_reit_to_gold_before is: 0.407166329489807
</t>
  </si>
  <si>
    <t xml:space="preserve"> 0.407166329489807
</t>
  </si>
  <si>
    <t>delta_gold is: 0.9901310999778894</t>
  </si>
  <si>
    <t xml:space="preserve"> delta_tb is: 0.9991389762980043</t>
  </si>
  <si>
    <t xml:space="preserve"> delta_reit is: 0.9966560142648777
</t>
  </si>
  <si>
    <t xml:space="preserve"> 0.9966560142648777
</t>
  </si>
  <si>
    <t>delta_gold_risk is: 0.9998265139467534</t>
  </si>
  <si>
    <t xml:space="preserve"> delta_tb_risk is: 0.9998046222261617</t>
  </si>
  <si>
    <t xml:space="preserve"> delta_reit_risk is: 1.000777933082692
</t>
  </si>
  <si>
    <t xml:space="preserve"> 1.000777933082692
</t>
  </si>
  <si>
    <t xml:space="preserve">collateral_ratio_tranche_gold is: 0.7600054208284025
</t>
  </si>
  <si>
    <t xml:space="preserve"> 0.7600054208284025
</t>
  </si>
  <si>
    <t xml:space="preserve">collateral_ratio_tranche_tb is: 0.32992783525211317
</t>
  </si>
  <si>
    <t xml:space="preserve"> 0.32992783525211317
</t>
  </si>
  <si>
    <t xml:space="preserve">collateral_ratio_tranche_reit is: 0.3128919048120034
</t>
  </si>
  <si>
    <t xml:space="preserve"> 0.3128919048120034
</t>
  </si>
  <si>
    <t>Total plot size is: 145586723.05077517</t>
  </si>
  <si>
    <t xml:space="preserve"> plot size of gold is: 79216182.13480198</t>
  </si>
  <si>
    <t xml:space="preserve"> plot size of TB is: 34048608.49506102</t>
  </si>
  <si>
    <t xml:space="preserve"> plot size of REIT is: 32321932.42091217
</t>
  </si>
  <si>
    <t xml:space="preserve"> 32321932.42091217
</t>
  </si>
  <si>
    <t xml:space="preserve">collateral ratio is: 1.3964381238304304
</t>
  </si>
  <si>
    <t xml:space="preserve"> 1.3964381238304304
</t>
  </si>
  <si>
    <t>S_gtbcps_0 is: 0.9997110989739145</t>
  </si>
  <si>
    <t xml:space="preserve">stdev_gtbcps is: 0.011787702881735605
</t>
  </si>
  <si>
    <t xml:space="preserve"> 0.011787702881735605
</t>
  </si>
  <si>
    <t>predicted price of GTBCPS is: 0.9997241898387922</t>
  </si>
  <si>
    <t xml:space="preserve"> actual price is: 0.9997110989739145
</t>
  </si>
  <si>
    <t xml:space="preserve"> 0.9997110989739145
</t>
  </si>
  <si>
    <t>predicted amount of GTBCPS is: 104284526.42562751</t>
  </si>
  <si>
    <t xml:space="preserve"> actual amount is: 104285891.99478611
</t>
  </si>
  <si>
    <t>plot sizes of gold is: 79216182.13480198</t>
  </si>
  <si>
    <t xml:space="preserve"> plot sizes of tb is: 34048608.49506102 </t>
  </si>
  <si>
    <t xml:space="preserve"> plot sizes of reit is: 32321932.42091217</t>
  </si>
  <si>
    <t xml:space="preserve"> plot sizes of total is: 145586723.05077517.
</t>
  </si>
  <si>
    <t xml:space="preserve"> 145586723.05077517.
</t>
  </si>
  <si>
    <t>predicted stdevs of gold is: 0.010423224854915992</t>
  </si>
  <si>
    <t xml:space="preserve"> predicted stdevs of tb is: 0.0027868247051410565</t>
  </si>
  <si>
    <t xml:space="preserve"> predicted stdevs of reit is: 0.024613548553322612</t>
  </si>
  <si>
    <t xml:space="preserve"> predicted stdevs of GTBCPS is: 0.011787702881735605.
</t>
  </si>
  <si>
    <t xml:space="preserve"> 0.011787702881735605.
</t>
  </si>
  <si>
    <t>total_value_of_collaterals is: 145587195.6220457</t>
  </si>
  <si>
    <t xml:space="preserve"> createdtionValue_gold is: -1037.3128792471082</t>
  </si>
  <si>
    <t xml:space="preserve"> createdValue_tb is: -445.85522123847636</t>
  </si>
  <si>
    <t xml:space="preserve"> createdValue_reit is: -423.24497001090646
</t>
  </si>
  <si>
    <t xml:space="preserve"> -423.24497001090646
</t>
  </si>
  <si>
    <t>plotValue_gold_after_creation is: 79217590.85491192</t>
  </si>
  <si>
    <t xml:space="preserve"> plotValue_tb_after_creation  is: 34049106.304581076</t>
  </si>
  <si>
    <t xml:space="preserve"> plotValue_reit_after_creation  is: 32322404.875623185</t>
  </si>
  <si>
    <t xml:space="preserve">total_value_after_creation is: 145589102.0351162
</t>
  </si>
  <si>
    <t xml:space="preserve"> 145589102.0351162
</t>
  </si>
  <si>
    <t>total_amount_gtncps_before_creation is: 104285891.99478611</t>
  </si>
  <si>
    <t>creation_amount_gtbcps is: -1365.5691585987806</t>
  </si>
  <si>
    <t xml:space="preserve">total_amount_gtbcps_new is: 104284526.42562751
</t>
  </si>
  <si>
    <t xml:space="preserve"> 104284526.42562751
</t>
  </si>
  <si>
    <t>payout of tranche of gold is: 371.4072306871908</t>
  </si>
  <si>
    <t xml:space="preserve"> payout of tranche of Treausry Bill Option is: 51.95429881644366</t>
  </si>
  <si>
    <t xml:space="preserve"> payout of tranche of Collar of REIT is: 49.20974100566446
</t>
  </si>
  <si>
    <t xml:space="preserve"> 49.20974100566446
</t>
  </si>
  <si>
    <t>Collateral size of tranche of gold is: 79217590.85491192</t>
  </si>
  <si>
    <t xml:space="preserve"> collateral size of tranche of Treausry Bill Option is: 34049106.304581076</t>
  </si>
  <si>
    <t xml:space="preserve"> collateral size of tranche of Collar of REIT is: 32322404.875623185
</t>
  </si>
  <si>
    <t xml:space="preserve"> 32322404.875623185
</t>
  </si>
  <si>
    <t>Collateral ratio of tranche of gold is: 0.7598290083496728</t>
  </si>
  <si>
    <t xml:space="preserve"> collateral ratio of tranche of Treausry Bill Option is: 0.32658779949501904</t>
  </si>
  <si>
    <t xml:space="preserve"> collateral ratio of tranche of Collar of REIT is: 0.310025848792883
</t>
  </si>
  <si>
    <t xml:space="preserve"> 0.310025848792883
</t>
  </si>
  <si>
    <t xml:space="preserve">date is: 2023-02-16 00:00:00
</t>
  </si>
  <si>
    <t xml:space="preserve"> 2023-02-16 00</t>
  </si>
  <si>
    <t>current price of gold is: 1836.36</t>
  </si>
  <si>
    <t xml:space="preserve"> predicted price of gold is: 1836.4470074339567
</t>
  </si>
  <si>
    <t xml:space="preserve"> 1836.4470074339567
</t>
  </si>
  <si>
    <t>current price of tb is: 89.46875</t>
  </si>
  <si>
    <t xml:space="preserve"> current price of tb option is: 4.221242108188135</t>
  </si>
  <si>
    <t xml:space="preserve"> predicted price of tb is: 89.75700450661874
</t>
  </si>
  <si>
    <t xml:space="preserve"> 89.75700450661874
</t>
  </si>
  <si>
    <t>current price of reit is: 53.75</t>
  </si>
  <si>
    <t xml:space="preserve"> current price of reit option is: 4.1416412937680676</t>
  </si>
  <si>
    <t xml:space="preserve"> predicted price of reit is: 54.377476161907886
</t>
  </si>
  <si>
    <t xml:space="preserve"> 54.377476161907886
</t>
  </si>
  <si>
    <t>value_ratio_gold_to_total is: 0.009290086505801766</t>
  </si>
  <si>
    <t xml:space="preserve"> risk_ratio_to_gold is: 0.5659352217107252</t>
  </si>
  <si>
    <t xml:space="preserve"> risk_ratio_to_gold_before is: 0.5721540367961768
</t>
  </si>
  <si>
    <t xml:space="preserve"> 0.5721540367961768
</t>
  </si>
  <si>
    <t>value_ratio_tb_to_total is: 0.4814946464224717</t>
  </si>
  <si>
    <t xml:space="preserve"> risk_ratio_tb_to_gold is: 0.34683131490498836</t>
  </si>
  <si>
    <t xml:space="preserve"> risk_ratio_tb_to_gold_before is: 0.33952006864395873
</t>
  </si>
  <si>
    <t xml:space="preserve"> 0.33952006864395873
</t>
  </si>
  <si>
    <t>value_ratio_reit_to_total is: 0.5092152670717266</t>
  </si>
  <si>
    <t xml:space="preserve"> risk_ratio_reit_to_gold is: 0.4201553677354228</t>
  </si>
  <si>
    <t xml:space="preserve"> risk_ratio_reit_to_gold_before is: 0.4082610107303677
</t>
  </si>
  <si>
    <t xml:space="preserve"> 0.4082610107303677
</t>
  </si>
  <si>
    <t>delta_gold is: 1.0001906307699848</t>
  </si>
  <si>
    <t xml:space="preserve"> delta_tb is: 0.9994629048137305</t>
  </si>
  <si>
    <t xml:space="preserve"> delta_reit is: 0.9987155605887442
</t>
  </si>
  <si>
    <t xml:space="preserve"> 0.9987155605887442
</t>
  </si>
  <si>
    <t>delta_gold_risk is: 0.9960443983605292</t>
  </si>
  <si>
    <t xml:space="preserve"> delta_tb_risk is: 1.005458108789987</t>
  </si>
  <si>
    <t xml:space="preserve"> delta_reit_risk is: 1.0084461310186288
</t>
  </si>
  <si>
    <t xml:space="preserve"> 1.0084461310186288
</t>
  </si>
  <si>
    <t xml:space="preserve">collateral_ratio_tranche_gold is: 0.7629919473363781
</t>
  </si>
  <si>
    <t xml:space="preserve"> 0.7629919473363781
</t>
  </si>
  <si>
    <t xml:space="preserve">collateral_ratio_tranche_tb is: 0.32457859310217513
</t>
  </si>
  <si>
    <t xml:space="preserve"> 0.32457859310217513
</t>
  </si>
  <si>
    <t xml:space="preserve">collateral_ratio_tranche_reit is: 0.3069758676707305
</t>
  </si>
  <si>
    <t xml:space="preserve"> 0.3069758676707305
</t>
  </si>
  <si>
    <t>Total plot size is: 145544399.5636754</t>
  </si>
  <si>
    <t xml:space="preserve"> plot size of gold is: 79232692.16525294</t>
  </si>
  <si>
    <t xml:space="preserve"> plot size of TB is: 34030818.693488106</t>
  </si>
  <si>
    <t xml:space="preserve"> plot size of REIT is: 32280888.70493437
</t>
  </si>
  <si>
    <t xml:space="preserve"> 32280888.70493437
</t>
  </si>
  <si>
    <t xml:space="preserve">collateral ratio is: 1.3960321655831325
</t>
  </si>
  <si>
    <t xml:space="preserve"> 1.3960321655831325
</t>
  </si>
  <si>
    <t>S_gtbcps_0 is: 0.9997241898387922</t>
  </si>
  <si>
    <t xml:space="preserve">stdev_gtbcps is: 0.011707646339493432
</t>
  </si>
  <si>
    <t xml:space="preserve"> 0.011707646339493432
</t>
  </si>
  <si>
    <t>predicted price of GTBCPS is: 0.9997525154044218</t>
  </si>
  <si>
    <t xml:space="preserve"> actual price is: 0.9997241898387922
</t>
  </si>
  <si>
    <t xml:space="preserve"> 0.9997241898387922
</t>
  </si>
  <si>
    <t>predicted amount of GTBCPS is: 104281571.77619988</t>
  </si>
  <si>
    <t xml:space="preserve"> actual amount is: 104284526.42562751
</t>
  </si>
  <si>
    <t>plot sizes of gold is: 79232692.16525294</t>
  </si>
  <si>
    <t xml:space="preserve"> plot sizes of tb is: 34030818.693488106 </t>
  </si>
  <si>
    <t xml:space="preserve"> plot sizes of reit is: 32280888.70493437</t>
  </si>
  <si>
    <t xml:space="preserve"> plot sizes of total is: 145544399.5636754.
</t>
  </si>
  <si>
    <t xml:space="preserve"> 145544399.5636754.
</t>
  </si>
  <si>
    <t>predicted stdevs of gold is: 0.010284752081503387</t>
  </si>
  <si>
    <t xml:space="preserve"> predicted stdevs of tb is: 0.0027811943519068577</t>
  </si>
  <si>
    <t xml:space="preserve"> predicted stdevs of reit is: 0.02461045752600978</t>
  </si>
  <si>
    <t xml:space="preserve"> predicted stdevs of GTBCPS is: 0.011707646339493432.
</t>
  </si>
  <si>
    <t xml:space="preserve"> 0.011707646339493432.
</t>
  </si>
  <si>
    <t>total_value_of_collaterals is: 145545419.82268935</t>
  </si>
  <si>
    <t xml:space="preserve"> createdtionValue_gold is: -2244.9504855425153</t>
  </si>
  <si>
    <t xml:space="preserve"> createdValue_tb is: -964.2124589431478</t>
  </si>
  <si>
    <t xml:space="preserve"> createdValue_reit is: -914.6307809989152
</t>
  </si>
  <si>
    <t xml:space="preserve"> -914.6307809989152
</t>
  </si>
  <si>
    <t>plotValue_gold_after_creation is: 79235660.25935648</t>
  </si>
  <si>
    <t xml:space="preserve"> plotValue_tb_after_creation  is: 34031935.80734817</t>
  </si>
  <si>
    <t xml:space="preserve"> plotValue_reit_after_creation  is: 32281947.549710203</t>
  </si>
  <si>
    <t xml:space="preserve">total_value_after_creation is: 145549543.61641487
</t>
  </si>
  <si>
    <t xml:space="preserve"> 145549543.61641487
</t>
  </si>
  <si>
    <t>total_amount_gtncps_before_creation is: 104284526.42562751</t>
  </si>
  <si>
    <t>creation_amount_gtbcps is: -2954.649427637458</t>
  </si>
  <si>
    <t xml:space="preserve">total_amount_gtbcps_new is: 104281571.77619988
</t>
  </si>
  <si>
    <t xml:space="preserve"> 104281571.77619988
</t>
  </si>
  <si>
    <t>payout of tranche of gold is: 723.1436180016304</t>
  </si>
  <si>
    <t xml:space="preserve"> payout of tranche of Treausry Bill Option is: 152.9014011189918</t>
  </si>
  <si>
    <t xml:space="preserve"> payout of tranche of Collar of REIT is: 144.2139948346564
</t>
  </si>
  <si>
    <t xml:space="preserve"> 144.2139948346564
</t>
  </si>
  <si>
    <t>Collateral size of tranche of gold is: 79235660.25935648</t>
  </si>
  <si>
    <t xml:space="preserve"> collateral size of tranche of Treausry Bill Option is: 34031935.80734817</t>
  </si>
  <si>
    <t xml:space="preserve"> collateral size of tranche of Collar of REIT is: 32281947.549710203
</t>
  </si>
  <si>
    <t xml:space="preserve"> 32281947.549710203
</t>
  </si>
  <si>
    <t>Collateral ratio of tranche of gold is: 0.7599907429746076</t>
  </si>
  <si>
    <t xml:space="preserve"> collateral ratio of tranche of Treausry Bill Option is: 0.326418131614377</t>
  </si>
  <si>
    <t xml:space="preserve"> collateral ratio of tranche of Collar of REIT is: 0.30963307711030896
</t>
  </si>
  <si>
    <t xml:space="preserve"> 0.30963307711030896
</t>
  </si>
  <si>
    <t xml:space="preserve">date is: 2023-02-17 00:00:00
</t>
  </si>
  <si>
    <t xml:space="preserve"> 2023-02-17 00</t>
  </si>
  <si>
    <t>current price of gold is: 1842.36</t>
  </si>
  <si>
    <t xml:space="preserve"> predicted price of gold is: 1844.064094708636
</t>
  </si>
  <si>
    <t xml:space="preserve"> 1844.064094708636
</t>
  </si>
  <si>
    <t>current price of tb is: 89.62890625</t>
  </si>
  <si>
    <t xml:space="preserve"> current price of tb option is: 4.2236422914410285</t>
  </si>
  <si>
    <t xml:space="preserve"> predicted price of tb is: 89.91467954940447
</t>
  </si>
  <si>
    <t xml:space="preserve"> 89.91467954940447
</t>
  </si>
  <si>
    <t>current price of reit is: 53.05</t>
  </si>
  <si>
    <t xml:space="preserve"> current price of reit option is: 4.227120450984096</t>
  </si>
  <si>
    <t xml:space="preserve"> predicted price of reit is: 53.68548074719127
</t>
  </si>
  <si>
    <t xml:space="preserve"> 53.68548074719127
</t>
  </si>
  <si>
    <t>value_ratio_gold_to_total is: 0.15385315586581308</t>
  </si>
  <si>
    <t xml:space="preserve"> risk_ratio_to_gold is: 0.5677700480741796</t>
  </si>
  <si>
    <t xml:space="preserve"> risk_ratio_to_gold_before is: 0.5659352217107252
</t>
  </si>
  <si>
    <t xml:space="preserve"> 0.5659352217107252
</t>
  </si>
  <si>
    <t>value_ratio_tb_to_total is: 0.4071298480337069</t>
  </si>
  <si>
    <t xml:space="preserve"> risk_ratio_tb_to_gold is: 0.3474204081835104</t>
  </si>
  <si>
    <t xml:space="preserve"> risk_ratio_tb_to_gold_before is: 0.34683131490498836
</t>
  </si>
  <si>
    <t xml:space="preserve"> 0.34683131490498836
</t>
  </si>
  <si>
    <t>value_ratio_reit_to_total is: 0.43901699610048</t>
  </si>
  <si>
    <t xml:space="preserve"> risk_ratio_reit_to_gold is: 0.4138560159461211</t>
  </si>
  <si>
    <t xml:space="preserve"> risk_ratio_reit_to_gold_before is: 0.4201553677354228
</t>
  </si>
  <si>
    <t xml:space="preserve"> 0.4201553677354228
</t>
  </si>
  <si>
    <t>delta_gold is: 1.00326733320264</t>
  </si>
  <si>
    <t xml:space="preserve"> delta_tb is: 1.0017350458634384</t>
  </si>
  <si>
    <t xml:space="preserve"> delta_reit is: 0.9893849815094096
</t>
  </si>
  <si>
    <t xml:space="preserve"> 0.9893849815094096
</t>
  </si>
  <si>
    <t>delta_gold_risk is: 1.001171712812903</t>
  </si>
  <si>
    <t xml:space="preserve"> delta_tb_risk is: 1.000437392026754</t>
  </si>
  <si>
    <t xml:space="preserve"> delta_reit_risk is: 0.9955643220929082
</t>
  </si>
  <si>
    <t xml:space="preserve"> 0.9955643220929082
</t>
  </si>
  <si>
    <t xml:space="preserve">collateral_ratio_tranche_gold is: 0.7615815311247385
</t>
  </si>
  <si>
    <t xml:space="preserve"> 0.7615815311247385
</t>
  </si>
  <si>
    <t xml:space="preserve">collateral_ratio_tranche_tb is: 0.3257771018252497
</t>
  </si>
  <si>
    <t xml:space="preserve"> 0.3257771018252497
</t>
  </si>
  <si>
    <t xml:space="preserve">collateral_ratio_tranche_reit is: 0.306709103313404
</t>
  </si>
  <si>
    <t xml:space="preserve"> 0.306709103313404
</t>
  </si>
  <si>
    <t>Total plot size is: 145524806.41930827</t>
  </si>
  <si>
    <t xml:space="preserve"> plot size of gold is: 79494549.56295499</t>
  </si>
  <si>
    <t xml:space="preserve"> plot size of TB is: 34090982.776795514</t>
  </si>
  <si>
    <t xml:space="preserve"> plot size of REIT is: 31939274.079557758
</t>
  </si>
  <si>
    <t xml:space="preserve"> 31939274.079557758
</t>
  </si>
  <si>
    <t xml:space="preserve">collateral ratio is: 1.395844232142592
</t>
  </si>
  <si>
    <t xml:space="preserve"> 1.395844232142592
</t>
  </si>
  <si>
    <t>S_gtbcps_0 is: 0.9997525154044218</t>
  </si>
  <si>
    <t xml:space="preserve">stdev_gtbcps is: 0.011667077013649087
</t>
  </si>
  <si>
    <t xml:space="preserve"> 0.011667077013649087
</t>
  </si>
  <si>
    <t>predicted price of GTBCPS is: 0.9998036066638962</t>
  </si>
  <si>
    <t xml:space="preserve"> actual price is: 0.9997525154044218
</t>
  </si>
  <si>
    <t xml:space="preserve"> 0.9997525154044218
</t>
  </si>
  <si>
    <t>predicted amount of GTBCPS is: 104276242.85279277</t>
  </si>
  <si>
    <t xml:space="preserve"> actual amount is: 104281571.77619988
</t>
  </si>
  <si>
    <t>plot sizes of gold is: 79494549.56295499</t>
  </si>
  <si>
    <t xml:space="preserve"> plot sizes of tb is: 34090982.776795514 </t>
  </si>
  <si>
    <t xml:space="preserve"> plot sizes of reit is: 31939274.079557758</t>
  </si>
  <si>
    <t xml:space="preserve"> plot sizes of total is: 145524806.41930825.
</t>
  </si>
  <si>
    <t xml:space="preserve"> 145524806.41930825.
</t>
  </si>
  <si>
    <t>predicted stdevs of gold is: 0.010272907716922191</t>
  </si>
  <si>
    <t xml:space="preserve"> predicted stdevs of tb is: 0.002783860725851557</t>
  </si>
  <si>
    <t xml:space="preserve"> predicted stdevs of reit is: 0.024618731227744762</t>
  </si>
  <si>
    <t xml:space="preserve"> predicted stdevs of GTBCPS is: 0.011667077013649087.
</t>
  </si>
  <si>
    <t xml:space="preserve"> 0.011667077013649087.
</t>
  </si>
  <si>
    <t>total_value_of_collaterals is: 145526650.30066466</t>
  </si>
  <si>
    <t xml:space="preserve"> createdtionValue_gold is: -4062.5489580614517</t>
  </si>
  <si>
    <t xml:space="preserve"> createdValue_tb is: -1742.196595172416</t>
  </si>
  <si>
    <t xml:space="preserve"> createdValue_reit is: -1632.234835865404
</t>
  </si>
  <si>
    <t xml:space="preserve"> -1632.234835865404
</t>
  </si>
  <si>
    <t>plotValue_gold_after_creation is: 79499921.16594477</t>
  </si>
  <si>
    <t xml:space="preserve"> plotValue_tb_after_creation  is: 34093002.54633125</t>
  </si>
  <si>
    <t xml:space="preserve"> plotValue_reit_after_creation  is: 31941163.568777744</t>
  </si>
  <si>
    <t xml:space="preserve">total_value_after_creation is: 145534087.28105375
</t>
  </si>
  <si>
    <t xml:space="preserve"> 145534087.28105375
</t>
  </si>
  <si>
    <t>total_amount_gtncps_before_creation is: 104281571.77619988</t>
  </si>
  <si>
    <t>creation_amount_gtbcps is: -5328.923407107592</t>
  </si>
  <si>
    <t xml:space="preserve">total_amount_gtbcps_new is: 104276242.85279277
</t>
  </si>
  <si>
    <t xml:space="preserve"> 104276242.85279277
</t>
  </si>
  <si>
    <t>payout of tranche of gold is: 1309.0540317161292</t>
  </si>
  <si>
    <t xml:space="preserve"> payout of tranche of Treausry Bill Option is: 277.57294056232973</t>
  </si>
  <si>
    <t xml:space="preserve"> payout of tranche of Collar of REIT is: 257.2543841189621
</t>
  </si>
  <si>
    <t xml:space="preserve"> 257.2543841189621
</t>
  </si>
  <si>
    <t>Collateral size of tranche of gold is: 79499921.16594477</t>
  </si>
  <si>
    <t xml:space="preserve"> collateral size of tranche of Treausry Bill Option is: 34093002.54633125</t>
  </si>
  <si>
    <t xml:space="preserve"> collateral size of tranche of Collar of REIT is: 31941163.568777744
</t>
  </si>
  <si>
    <t xml:space="preserve"> 31941163.568777744
</t>
  </si>
  <si>
    <t>Collateral ratio of tranche of gold is: 0.7625080456043896</t>
  </si>
  <si>
    <t xml:space="preserve"> collateral ratio of tranche of Treausry Bill Option is: 0.32699640904203137</t>
  </si>
  <si>
    <t xml:space="preserve"> collateral ratio of tranche of Collar of REIT is: 0.30635746362968624
</t>
  </si>
  <si>
    <t xml:space="preserve"> 0.30635746362968624
</t>
  </si>
  <si>
    <t xml:space="preserve">date is: 2023-02-21 00:00:00
</t>
  </si>
  <si>
    <t xml:space="preserve"> 2023-02-21 00</t>
  </si>
  <si>
    <t>current price of gold is: 1835.09</t>
  </si>
  <si>
    <t xml:space="preserve"> predicted price of gold is: 1832.5670134499344
</t>
  </si>
  <si>
    <t xml:space="preserve"> 1832.5670134499344
</t>
  </si>
  <si>
    <t>current price of tb is: 89.34765625</t>
  </si>
  <si>
    <t xml:space="preserve"> current price of tb option is: 4.215117667415449</t>
  </si>
  <si>
    <t xml:space="preserve"> predicted price of tb is: 89.6422435273942
</t>
  </si>
  <si>
    <t xml:space="preserve"> 89.6422435273942
</t>
  </si>
  <si>
    <t>current price of reit is: 52.75</t>
  </si>
  <si>
    <t xml:space="preserve"> current price of reit option is: 4.181656557698233</t>
  </si>
  <si>
    <t xml:space="preserve"> predicted price of reit is: 53.33050222847972
</t>
  </si>
  <si>
    <t xml:space="preserve"> 53.33050222847972
</t>
  </si>
  <si>
    <t>value_ratio_gold_to_total is: -0.3738379707364617</t>
  </si>
  <si>
    <t xml:space="preserve"> risk_ratio_to_gold is: 0.5645029954200457</t>
  </si>
  <si>
    <t xml:space="preserve"> risk_ratio_to_gold_before is: 0.5677700480741796
</t>
  </si>
  <si>
    <t xml:space="preserve"> 0.5677700480741796
</t>
  </si>
  <si>
    <t>value_ratio_tb_to_total is: 0.6682155896328673</t>
  </si>
  <si>
    <t xml:space="preserve"> risk_ratio_tb_to_gold is: 0.3487285750513046</t>
  </si>
  <si>
    <t xml:space="preserve"> risk_ratio_tb_to_gold_before is: 0.3474204081835104
</t>
  </si>
  <si>
    <t xml:space="preserve"> 0.3474204081835104
</t>
  </si>
  <si>
    <t>value_ratio_reit_to_total is: 0.7056223811035943</t>
  </si>
  <si>
    <t xml:space="preserve"> risk_ratio_reit_to_gold is: 0.4227412100751707</t>
  </si>
  <si>
    <t xml:space="preserve"> risk_ratio_reit_to_gold_before is: 0.4138560159461211
</t>
  </si>
  <si>
    <t xml:space="preserve"> 0.4138560159461211
</t>
  </si>
  <si>
    <t>delta_gold is: 0.996053974250418</t>
  </si>
  <si>
    <t xml:space="preserve"> delta_tb is: 0.9969124479992398</t>
  </si>
  <si>
    <t xml:space="preserve"> delta_reit is: 0.9939685534020256
</t>
  </si>
  <si>
    <t xml:space="preserve"> 0.9939685534020256
</t>
  </si>
  <si>
    <t>delta_gold_risk is: 0.9979161148931585</t>
  </si>
  <si>
    <t xml:space="preserve"> delta_tb_risk is: 1.0009708676370412</t>
  </si>
  <si>
    <t xml:space="preserve"> delta_reit_risk is: 1.006284369857212
</t>
  </si>
  <si>
    <t xml:space="preserve"> 1.006284369857212
</t>
  </si>
  <si>
    <t xml:space="preserve">collateral_ratio_tranche_gold is: 0.7610851833006893
</t>
  </si>
  <si>
    <t xml:space="preserve"> 0.7610851833006893
</t>
  </si>
  <si>
    <t xml:space="preserve">collateral_ratio_tranche_tb is: 0.3269608033208332
</t>
  </si>
  <si>
    <t xml:space="preserve"> 0.3269608033208332
</t>
  </si>
  <si>
    <t xml:space="preserve">collateral_ratio_tranche_reit is: 0.30380681396266707
</t>
  </si>
  <si>
    <t xml:space="preserve"> 0.30380681396266707
</t>
  </si>
  <si>
    <t>Total plot size is: 144922463.2044771</t>
  </si>
  <si>
    <t xml:space="preserve"> plot size of gold is: 79186212.4299342</t>
  </si>
  <si>
    <t xml:space="preserve"> plot size of TB is: 33987738.628107406</t>
  </si>
  <si>
    <t xml:space="preserve"> plot size of REIT is: 31748512.146435495
</t>
  </si>
  <si>
    <t xml:space="preserve"> 31748512.146435495
</t>
  </si>
  <si>
    <t xml:space="preserve">collateral ratio is: 1.3900666790031657
</t>
  </si>
  <si>
    <t xml:space="preserve"> 1.3900666790031657
</t>
  </si>
  <si>
    <t>S_gtbcps_0 is: 0.9998036066638962</t>
  </si>
  <si>
    <t xml:space="preserve">stdev_gtbcps is: 0.011658590898218024
</t>
  </si>
  <si>
    <t xml:space="preserve"> 0.011658590898218024
</t>
  </si>
  <si>
    <t>predicted price of GTBCPS is: 0.9998111978396225</t>
  </si>
  <si>
    <t xml:space="preserve"> actual price is: 0.9998036066638962
</t>
  </si>
  <si>
    <t xml:space="preserve"> 0.9998036066638962
</t>
  </si>
  <si>
    <t>predicted amount of GTBCPS is: 104275451.1240291</t>
  </si>
  <si>
    <t xml:space="preserve"> actual amount is: 104276242.85279277
</t>
  </si>
  <si>
    <t>plot sizes of gold is: 79186212.4299342</t>
  </si>
  <si>
    <t xml:space="preserve"> plot sizes of tb is: 33987738.628107406 </t>
  </si>
  <si>
    <t xml:space="preserve"> plot sizes of reit is: 31748512.146435495</t>
  </si>
  <si>
    <t xml:space="preserve"> plot sizes of total is: 144922463.2044771.
</t>
  </si>
  <si>
    <t xml:space="preserve"> 144922463.2044771.
</t>
  </si>
  <si>
    <t>predicted stdevs of gold is: 0.01027530366439279</t>
  </si>
  <si>
    <t xml:space="preserve"> predicted stdevs of tb is: 0.0027947607630762583</t>
  </si>
  <si>
    <t xml:space="preserve"> predicted stdevs of reit is: 0.02459774271521311</t>
  </si>
  <si>
    <t xml:space="preserve"> predicted stdevs of GTBCPS is: 0.011658590898218024.
</t>
  </si>
  <si>
    <t xml:space="preserve"> 0.011658590898218024.
</t>
  </si>
  <si>
    <t>total_value_of_collaterals is: 144922737.1538818</t>
  </si>
  <si>
    <t xml:space="preserve"> createdtionValue_gold is: -601.2360955763878</t>
  </si>
  <si>
    <t xml:space="preserve"> createdValue_tb is: -258.0578063961228</t>
  </si>
  <si>
    <t xml:space="preserve"> createdValue_reit is: -241.0561639121295
</t>
  </si>
  <si>
    <t xml:space="preserve"> -241.0561639121295
</t>
  </si>
  <si>
    <t>plotValue_gold_after_creation is: 79187019.58432508</t>
  </si>
  <si>
    <t xml:space="preserve"> plotValue_tb_after_creation  is: 33988026.865531854</t>
  </si>
  <si>
    <t xml:space="preserve"> plotValue_reit_after_creation  is: 31748791.054090757</t>
  </si>
  <si>
    <t xml:space="preserve">total_value_after_creation is: 144923837.5039477
</t>
  </si>
  <si>
    <t xml:space="preserve"> 144923837.5039477
</t>
  </si>
  <si>
    <t>total_amount_gtncps_before_creation is: 104276242.85279277</t>
  </si>
  <si>
    <t>creation_amount_gtbcps is: -791.7287636697292</t>
  </si>
  <si>
    <t xml:space="preserve">total_amount_gtbcps_new is: 104275451.1240291
</t>
  </si>
  <si>
    <t xml:space="preserve"> 104275451.1240291
</t>
  </si>
  <si>
    <t>payout of tranche of gold is: 205.9182953009532</t>
  </si>
  <si>
    <t xml:space="preserve"> payout of tranche of Treausry Bill Option is: 30.179618050682603</t>
  </si>
  <si>
    <t xml:space="preserve"> payout of tranche of Collar of REIT is: 37.851491349299465
</t>
  </si>
  <si>
    <t xml:space="preserve"> 37.851491349299465
</t>
  </si>
  <si>
    <t>Collateral size of tranche of gold is: 79187019.58432508</t>
  </si>
  <si>
    <t xml:space="preserve"> collateral size of tranche of Treausry Bill Option is: 33988026.865531854</t>
  </si>
  <si>
    <t xml:space="preserve"> collateral size of tranche of Collar of REIT is: 31748791.054090757
</t>
  </si>
  <si>
    <t xml:space="preserve"> 31748791.054090757
</t>
  </si>
  <si>
    <t>Collateral ratio of tranche of gold is: 0.7595399577232564</t>
  </si>
  <si>
    <t xml:space="preserve"> collateral ratio of tranche of Treausry Bill Option is: 0.32600373930038723</t>
  </si>
  <si>
    <t xml:space="preserve"> collateral ratio of tranche of Collar of REIT is: 0.30452560964628117
</t>
  </si>
  <si>
    <t xml:space="preserve"> 0.30452560964628117
</t>
  </si>
  <si>
    <t xml:space="preserve">date is: 2023-02-22 00:00:00
</t>
  </si>
  <si>
    <t xml:space="preserve"> 2023-02-22 00</t>
  </si>
  <si>
    <t>current price of gold is: 1825.39</t>
  </si>
  <si>
    <t xml:space="preserve"> predicted price of gold is: 1825.5736272879888
</t>
  </si>
  <si>
    <t xml:space="preserve"> 1825.5736272879888
</t>
  </si>
  <si>
    <t>current price of tb is: 89.38671875</t>
  </si>
  <si>
    <t xml:space="preserve"> current price of tb option is: 4.216438691877867</t>
  </si>
  <si>
    <t xml:space="preserve"> predicted price of tb is: 89.67994014185356
</t>
  </si>
  <si>
    <t xml:space="preserve"> 89.67994014185356
</t>
  </si>
  <si>
    <t>current price of reit is: 53.2</t>
  </si>
  <si>
    <t xml:space="preserve"> current price of reit option is: 4.153573688999984</t>
  </si>
  <si>
    <t xml:space="preserve"> predicted price of reit is: 53.920991996790484
</t>
  </si>
  <si>
    <t xml:space="preserve"> 53.920991996790484
</t>
  </si>
  <si>
    <t>value_ratio_gold_to_total is: 0.019192109962904696</t>
  </si>
  <si>
    <t xml:space="preserve"> risk_ratio_to_gold is: 0.5646585609357772</t>
  </si>
  <si>
    <t xml:space="preserve"> risk_ratio_to_gold_before is: 0.5645029954200457
</t>
  </si>
  <si>
    <t xml:space="preserve"> 0.5645029954200457
</t>
  </si>
  <si>
    <t>value_ratio_tb_to_total is: 0.4713345885043091</t>
  </si>
  <si>
    <t xml:space="preserve"> risk_ratio_tb_to_gold is: 0.3480817218630111</t>
  </si>
  <si>
    <t xml:space="preserve"> risk_ratio_tb_to_gold_before is: 0.3487285750513046
</t>
  </si>
  <si>
    <t xml:space="preserve"> 0.3487285750513046
</t>
  </si>
  <si>
    <t>value_ratio_reit_to_total is: 0.5094733015327862</t>
  </si>
  <si>
    <t xml:space="preserve"> risk_ratio_reit_to_gold is: 0.42290001680531925</t>
  </si>
  <si>
    <t xml:space="preserve"> risk_ratio_reit_to_gold_before is: 0.4227412100751707
</t>
  </si>
  <si>
    <t xml:space="preserve"> 0.4227412100751707
</t>
  </si>
  <si>
    <t>delta_gold is: 0.9947141557089844</t>
  </si>
  <si>
    <t xml:space="preserve"> delta_tb is: 1.0004316195723104</t>
  </si>
  <si>
    <t xml:space="preserve"> delta_reit is: 1.007410940710537
</t>
  </si>
  <si>
    <t xml:space="preserve"> 1.007410940710537
</t>
  </si>
  <si>
    <t>delta_gold_risk is: 1.0000994344633323</t>
  </si>
  <si>
    <t xml:space="preserve"> delta_tb_risk is: 0.9995203978025979</t>
  </si>
  <si>
    <t xml:space="preserve"> delta_reit_risk is: 1.0001116202504179
</t>
  </si>
  <si>
    <t xml:space="preserve"> 1.0001116202504179
</t>
  </si>
  <si>
    <t xml:space="preserve">collateral_ratio_tranche_gold is: 0.7554500300056187
</t>
  </si>
  <si>
    <t xml:space="preserve"> 0.7554500300056187
</t>
  </si>
  <si>
    <t xml:space="preserve">collateral_ratio_tranche_tb is: 0.32803488486788684
</t>
  </si>
  <si>
    <t xml:space="preserve"> 0.32803488486788684
</t>
  </si>
  <si>
    <t xml:space="preserve">collateral_ratio_tranche_reit is: 0.30837823088545047
</t>
  </si>
  <si>
    <t xml:space="preserve"> 0.30837823088545047
</t>
  </si>
  <si>
    <t>Total plot size is: 144755225.55430782</t>
  </si>
  <si>
    <t xml:space="preserve"> plot size of gold is: 78768449.32893273</t>
  </si>
  <si>
    <t xml:space="preserve"> plot size of TB is: 34002696.76315123</t>
  </si>
  <si>
    <t xml:space="preserve"> plot size of REIT is: 31984079.46222385
</t>
  </si>
  <si>
    <t xml:space="preserve"> 31984079.46222385
</t>
  </si>
  <si>
    <t xml:space="preserve">collateral ratio is: 1.38846256960677
</t>
  </si>
  <si>
    <t xml:space="preserve"> 1.38846256960677
</t>
  </si>
  <si>
    <t>S_gtbcps_0 is: 0.9998111978396225</t>
  </si>
  <si>
    <t xml:space="preserve">stdev_gtbcps is: 0.01167022620198793
</t>
  </si>
  <si>
    <t xml:space="preserve"> 0.01167022620198793
</t>
  </si>
  <si>
    <t>predicted price of GTBCPS is: 0.9998457348455211</t>
  </si>
  <si>
    <t xml:space="preserve"> actual price is: 0.9998111978396225
</t>
  </si>
  <si>
    <t xml:space="preserve"> 0.9998111978396225
</t>
  </si>
  <si>
    <t>predicted amount of GTBCPS is: 104271849.20650817</t>
  </si>
  <si>
    <t xml:space="preserve"> actual amount is: 104275451.1240291
</t>
  </si>
  <si>
    <t>plot sizes of gold is: 78768449.32893273</t>
  </si>
  <si>
    <t xml:space="preserve"> plot sizes of tb is: 34002696.76315123 </t>
  </si>
  <si>
    <t xml:space="preserve"> plot sizes of reit is: 31984079.46222385</t>
  </si>
  <si>
    <t xml:space="preserve"> plot sizes of total is: 144755225.55430782.
</t>
  </si>
  <si>
    <t xml:space="preserve"> 144755225.55430782.
</t>
  </si>
  <si>
    <t>predicted stdevs of gold is: 0.010259169003948382</t>
  </si>
  <si>
    <t xml:space="preserve"> predicted stdevs of tb is: 0.002790745412501902</t>
  </si>
  <si>
    <t xml:space="preserve"> predicted stdevs of reit is: 0.024585185364436286</t>
  </si>
  <si>
    <t xml:space="preserve"> predicted stdevs of GTBCPS is: 0.01167022620198793.
</t>
  </si>
  <si>
    <t xml:space="preserve"> 0.01167022620198793.
</t>
  </si>
  <si>
    <t>total_value_of_collaterals is: 144756471.70909244</t>
  </si>
  <si>
    <t xml:space="preserve"> createdtionValue_gold is: -2720.97396441288</t>
  </si>
  <si>
    <t xml:space="preserve"> createdValue_tb is: -1174.5781137381837</t>
  </si>
  <si>
    <t xml:space="preserve"> createdValue_reit is: -1104.8471253165872
</t>
  </si>
  <si>
    <t xml:space="preserve"> -1104.8471253165872
</t>
  </si>
  <si>
    <t>plotValue_gold_after_creation is: 78772150.10825539</t>
  </si>
  <si>
    <t xml:space="preserve"> plotValue_tb_after_creation  is: 34004016.46592753</t>
  </si>
  <si>
    <t xml:space="preserve"> plotValue_reit_after_creation  is: 31985305.534112997</t>
  </si>
  <si>
    <t xml:space="preserve">total_value_after_creation is: 144761472.10829592
</t>
  </si>
  <si>
    <t xml:space="preserve"> 144761472.10829592
</t>
  </si>
  <si>
    <t>total_amount_gtncps_before_creation is: 104275451.1240291</t>
  </si>
  <si>
    <t>creation_amount_gtbcps is: -3601.9175209254026</t>
  </si>
  <si>
    <t xml:space="preserve">total_amount_gtbcps_new is: 104271849.20650817
</t>
  </si>
  <si>
    <t xml:space="preserve"> 104271849.20650817
</t>
  </si>
  <si>
    <t>payout of tranche of gold is: 979.8053582450758</t>
  </si>
  <si>
    <t xml:space="preserve"> payout of tranche of Treausry Bill Option is: 145.12466256273396</t>
  </si>
  <si>
    <t xml:space="preserve"> payout of tranche of Collar of REIT is: 121.22476383109931
</t>
  </si>
  <si>
    <t xml:space="preserve"> 121.22476383109931
</t>
  </si>
  <si>
    <t>Collateral size of tranche of gold is: 78772150.10825539</t>
  </si>
  <si>
    <t xml:space="preserve"> collateral size of tranche of Treausry Bill Option is: 34004016.46592753</t>
  </si>
  <si>
    <t xml:space="preserve"> collateral size of tranche of Collar of REIT is: 31985305.534112997
</t>
  </si>
  <si>
    <t xml:space="preserve"> 31985305.534112997
</t>
  </si>
  <si>
    <t>Collateral ratio of tranche of gold is: 0.7555402823176445</t>
  </si>
  <si>
    <t xml:space="preserve"> collateral ratio of tranche of Treausry Bill Option is: 0.32614831720720333</t>
  </si>
  <si>
    <t xml:space="preserve"> collateral ratio of tranche of Collar of REIT is: 0.3067859229441956
</t>
  </si>
  <si>
    <t xml:space="preserve"> 0.3067859229441956
</t>
  </si>
  <si>
    <t xml:space="preserve">date is: 2023-02-23 00:00:00
</t>
  </si>
  <si>
    <t xml:space="preserve"> 2023-02-23 00</t>
  </si>
  <si>
    <t>current price of gold is: 1822.28</t>
  </si>
  <si>
    <t xml:space="preserve"> predicted price of gold is: 1825.7818984798114
</t>
  </si>
  <si>
    <t xml:space="preserve"> 1825.7818984798114
</t>
  </si>
  <si>
    <t>current price of tb is: 89.44921875</t>
  </si>
  <si>
    <t xml:space="preserve"> current price of tb option is: 4.219856574989325</t>
  </si>
  <si>
    <t xml:space="preserve"> predicted price of tb is: 89.7389059659142
</t>
  </si>
  <si>
    <t xml:space="preserve"> 89.7389059659142
</t>
  </si>
  <si>
    <t xml:space="preserve"> current price of reit option is: 4.186438442112241</t>
  </si>
  <si>
    <t xml:space="preserve"> predicted price of reit is: 53.78153781060131
</t>
  </si>
  <si>
    <t xml:space="preserve"> 53.78153781060131
</t>
  </si>
  <si>
    <t>value_ratio_gold_to_total is: 0.2740264334712407</t>
  </si>
  <si>
    <t xml:space="preserve"> risk_ratio_to_gold is: 0.5653777862951157</t>
  </si>
  <si>
    <t xml:space="preserve"> risk_ratio_to_gold_before is: 0.5646585609357772
</t>
  </si>
  <si>
    <t xml:space="preserve"> 0.5646585609357772
</t>
  </si>
  <si>
    <t>value_ratio_tb_to_total is: 0.3528755070221844</t>
  </si>
  <si>
    <t xml:space="preserve"> risk_ratio_tb_to_gold is: 0.3484121683843821</t>
  </si>
  <si>
    <t xml:space="preserve"> risk_ratio_tb_to_gold_before is: 0.3480817218630111
</t>
  </si>
  <si>
    <t xml:space="preserve"> 0.3480817218630111
</t>
  </si>
  <si>
    <t>value_ratio_reit_to_total is: 0.3730980595065749</t>
  </si>
  <si>
    <t xml:space="preserve"> risk_ratio_reit_to_gold is: 0.4203166784861958</t>
  </si>
  <si>
    <t xml:space="preserve"> risk_ratio_reit_to_gold_before is: 0.42290001680531925
</t>
  </si>
  <si>
    <t xml:space="preserve"> 0.42290001680531925
</t>
  </si>
  <si>
    <t>delta_gold is: 0.9982962544990385</t>
  </si>
  <si>
    <t xml:space="preserve"> delta_tb is: 1.0007042271320001</t>
  </si>
  <si>
    <t xml:space="preserve"> delta_reit is: 1.0005730201450125
</t>
  </si>
  <si>
    <t xml:space="preserve"> 1.0005730201450125
</t>
  </si>
  <si>
    <t>delta_gold_risk is: 1.0004596692066214</t>
  </si>
  <si>
    <t xml:space="preserve"> delta_tb_risk is: 1.0002451235084726</t>
  </si>
  <si>
    <t xml:space="preserve"> delta_reit_risk is: 0.9981844554862516
</t>
  </si>
  <si>
    <t xml:space="preserve"> 0.9981844554862516
</t>
  </si>
  <si>
    <t xml:space="preserve">collateral_ratio_tranche_gold is: 0.7539064863643967
</t>
  </si>
  <si>
    <t xml:space="preserve"> 0.7539064863643967
</t>
  </si>
  <si>
    <t xml:space="preserve">collateral_ratio_tranche_tb is: 0.3268548939416729
</t>
  </si>
  <si>
    <t xml:space="preserve"> 0.3268548939416729
</t>
  </si>
  <si>
    <t xml:space="preserve">collateral_ratio_tranche_reit is: 0.3080448638192512
</t>
  </si>
  <si>
    <t xml:space="preserve"> 0.3080448638192512
</t>
  </si>
  <si>
    <t>Total plot size is: 144669539.1873556</t>
  </si>
  <si>
    <t xml:space="preserve"> plot size of gold is: 78637942.41190737</t>
  </si>
  <si>
    <t xml:space="preserve"> plot size of TB is: 34027963.016919814</t>
  </si>
  <si>
    <t xml:space="preserve"> plot size of REIT is: 32003633.758528423
</t>
  </si>
  <si>
    <t xml:space="preserve"> 32003633.758528423
</t>
  </si>
  <si>
    <t xml:space="preserve">collateral ratio is: 1.3876406834690977
</t>
  </si>
  <si>
    <t xml:space="preserve"> 1.3876406834690977
</t>
  </si>
  <si>
    <t>S_gtbcps_0 is: 0.9998457348455211</t>
  </si>
  <si>
    <t xml:space="preserve">stdev_gtbcps is: 0.01166824319489405
</t>
  </si>
  <si>
    <t xml:space="preserve"> 0.01166824319489405
</t>
  </si>
  <si>
    <t>predicted price of GTBCPS is: 0.9998078579529358</t>
  </si>
  <si>
    <t xml:space="preserve"> actual price is: 0.9998457348455211
</t>
  </si>
  <si>
    <t xml:space="preserve"> 0.9998457348455211
</t>
  </si>
  <si>
    <t>predicted amount of GTBCPS is: 104275799.45914987</t>
  </si>
  <si>
    <t xml:space="preserve"> actual amount is: 104271849.20650817
</t>
  </si>
  <si>
    <t>plot sizes of gold is: 78637942.41190737</t>
  </si>
  <si>
    <t xml:space="preserve"> plot sizes of tb is: 34027963.016919814 </t>
  </si>
  <si>
    <t xml:space="preserve"> plot sizes of reit is: 32003633.758528423</t>
  </si>
  <si>
    <t xml:space="preserve"> plot sizes of total is: 144669539.1873556.
</t>
  </si>
  <si>
    <t xml:space="preserve"> 144669539.1873556.
</t>
  </si>
  <si>
    <t>predicted stdevs of gold is: 0.010269071436384596</t>
  </si>
  <si>
    <t xml:space="preserve"> predicted stdevs of tb is: 0.0027854279235698014</t>
  </si>
  <si>
    <t xml:space="preserve"> predicted stdevs of reit is: 0.024550908357843456</t>
  </si>
  <si>
    <t xml:space="preserve"> predicted stdevs of GTBCPS is: 0.01166824319489405.
</t>
  </si>
  <si>
    <t xml:space="preserve"> 0.01166824319489405.
</t>
  </si>
  <si>
    <t>total_value_of_collaterals is: 144668173.202226</t>
  </si>
  <si>
    <t xml:space="preserve"> createdtionValue_gold is: 2978.9839275888367</t>
  </si>
  <si>
    <t xml:space="preserve"> createdValue_tb is: 1289.0640763445983</t>
  </si>
  <si>
    <t xml:space="preserve"> createdValue_reit is: 1212.3782917655476
</t>
  </si>
  <si>
    <t xml:space="preserve"> 1212.3782917655476
</t>
  </si>
  <si>
    <t>plotValue_gold_after_creation is: 78633999.1543038</t>
  </si>
  <si>
    <t xml:space="preserve"> plotValue_tb_after_creation  is: 34026455.31262329</t>
  </si>
  <si>
    <t xml:space="preserve"> plotValue_reit_after_creation  is: 32002238.309003223</t>
  </si>
  <si>
    <t xml:space="preserve">total_value_after_creation is: 144662692.77593032
</t>
  </si>
  <si>
    <t xml:space="preserve"> 144662692.77593032
</t>
  </si>
  <si>
    <t>total_amount_gtncps_before_creation is: 104271849.20650817</t>
  </si>
  <si>
    <t>creation_amount_gtbcps is: 3950.2526416927576</t>
  </si>
  <si>
    <t xml:space="preserve">total_amount_gtbcps_new is: 104275799.45914987
</t>
  </si>
  <si>
    <t xml:space="preserve"> 104275799.45914987
</t>
  </si>
  <si>
    <t>payout of tranche of gold is: -964.2736759734369</t>
  </si>
  <si>
    <t xml:space="preserve"> payout of tranche of Treausry Bill Option is: -218.64022017987855</t>
  </si>
  <si>
    <t xml:space="preserve"> payout of tranche of Collar of REIT is: -183.07123343117138
</t>
  </si>
  <si>
    <t xml:space="preserve"> -183.07123343117138
</t>
  </si>
  <si>
    <t>Collateral size of tranche of gold is: 78633999.1543038</t>
  </si>
  <si>
    <t xml:space="preserve"> collateral size of tranche of Treausry Bill Option is: 34026455.31262329</t>
  </si>
  <si>
    <t xml:space="preserve"> collateral size of tranche of Collar of REIT is: 32002238.309003223
</t>
  </si>
  <si>
    <t xml:space="preserve"> 32002238.309003223
</t>
  </si>
  <si>
    <t>Collateral ratio of tranche of gold is: 0.7542698394052616</t>
  </si>
  <si>
    <t xml:space="preserve"> collateral ratio of tranche of Treausry Bill Option is: 0.3263871767963867</t>
  </si>
  <si>
    <t xml:space="preserve"> collateral ratio of tranche of Collar of REIT is: 0.3069705650169724
</t>
  </si>
  <si>
    <t xml:space="preserve"> 0.3069705650169724
</t>
  </si>
  <si>
    <t xml:space="preserve">date is: 2023-02-24 00:00:00
</t>
  </si>
  <si>
    <t xml:space="preserve"> 2023-02-24 00</t>
  </si>
  <si>
    <t>current price of gold is: 1811.04</t>
  </si>
  <si>
    <t xml:space="preserve"> predicted price of gold is: 1814.9143275708518
</t>
  </si>
  <si>
    <t xml:space="preserve"> 1814.9143275708518
</t>
  </si>
  <si>
    <t>current price of tb is: 89.171875</t>
  </si>
  <si>
    <t xml:space="preserve"> current price of tb option is: 4.215677131542985</t>
  </si>
  <si>
    <t xml:space="preserve"> predicted price of tb is: 89.46588271076618
</t>
  </si>
  <si>
    <t xml:space="preserve"> 89.46588271076618
</t>
  </si>
  <si>
    <t>current price of reit is: 50.1</t>
  </si>
  <si>
    <t xml:space="preserve"> current price of reit option is: 4.361403048673509</t>
  </si>
  <si>
    <t xml:space="preserve"> predicted price of reit is: 50.50856427434163
</t>
  </si>
  <si>
    <t xml:space="preserve"> 50.50856427434163
</t>
  </si>
  <si>
    <t>value_ratio_gold_to_total is: 0.2945365317993191</t>
  </si>
  <si>
    <t xml:space="preserve"> risk_ratio_to_gold is: 0.5719923880367662</t>
  </si>
  <si>
    <t xml:space="preserve"> risk_ratio_to_gold_before is: 0.5653777862951157
</t>
  </si>
  <si>
    <t xml:space="preserve"> 0.5653777862951157
</t>
  </si>
  <si>
    <t>value_ratio_tb_to_total is: 0.34283805606805123</t>
  </si>
  <si>
    <t xml:space="preserve"> risk_ratio_tb_to_gold is: 0.3464070222869579</t>
  </si>
  <si>
    <t xml:space="preserve"> risk_ratio_tb_to_gold_before is: 0.3484121683843821
</t>
  </si>
  <si>
    <t xml:space="preserve"> 0.3484121683843821
</t>
  </si>
  <si>
    <t>value_ratio_reit_to_total is: 0.3626254121326297</t>
  </si>
  <si>
    <t xml:space="preserve"> risk_ratio_reit_to_gold is: 0.4018679913583677</t>
  </si>
  <si>
    <t xml:space="preserve"> risk_ratio_reit_to_gold_before is: 0.4203166784861958
</t>
  </si>
  <si>
    <t xml:space="preserve"> 0.4203166784861958
</t>
  </si>
  <si>
    <t>delta_gold is: 0.993831902890884</t>
  </si>
  <si>
    <t xml:space="preserve"> delta_tb is: 0.9969944915921335</t>
  </si>
  <si>
    <t xml:space="preserve"> delta_reit is: 0.9490291526561746
</t>
  </si>
  <si>
    <t xml:space="preserve"> 0.9490291526561746
</t>
  </si>
  <si>
    <t>delta_gold_risk is: 1.0042255625444294</t>
  </si>
  <si>
    <t xml:space="preserve"> delta_tb_risk is: 0.9985129575774842</t>
  </si>
  <si>
    <t xml:space="preserve"> delta_reit_risk is: 0.9870108635579136
</t>
  </si>
  <si>
    <t xml:space="preserve"> 0.9870108635579136
</t>
  </si>
  <si>
    <t xml:space="preserve">collateral_ratio_tranche_gold is: 0.7464632028386229
</t>
  </si>
  <si>
    <t xml:space="preserve"> 0.7464632028386229
</t>
  </si>
  <si>
    <t xml:space="preserve">collateral_ratio_tranche_tb is: 0.32791343277970597
</t>
  </si>
  <si>
    <t xml:space="preserve"> 0.32791343277970597
</t>
  </si>
  <si>
    <t xml:space="preserve">collateral_ratio_tranche_reit is: 0.2969897223841728
</t>
  </si>
  <si>
    <t xml:space="preserve"> 0.2969897223841728
</t>
  </si>
  <si>
    <t>Total plot size is: 142444222.6320275</t>
  </si>
  <si>
    <t xml:space="preserve"> plot size of gold is: 78148977.01144192</t>
  </si>
  <si>
    <t xml:space="preserve"> plot size of TB is: 33924188.51509131</t>
  </si>
  <si>
    <t xml:space="preserve"> plot size of REIT is: 30371057.105494298
</t>
  </si>
  <si>
    <t xml:space="preserve"> 30371057.105494298
</t>
  </si>
  <si>
    <t xml:space="preserve">collateral ratio is: 1.3662959014015228
</t>
  </si>
  <si>
    <t xml:space="preserve"> 1.3662959014015228
</t>
  </si>
  <si>
    <t>S_gtbcps_0 is: 0.9998078579529358</t>
  </si>
  <si>
    <t xml:space="preserve">stdev_gtbcps is: 0.011663598063647753
</t>
  </si>
  <si>
    <t xml:space="preserve"> 0.011663598063647753
</t>
  </si>
  <si>
    <t>predicted price of GTBCPS is: 0.9998300481711122</t>
  </si>
  <si>
    <t xml:space="preserve"> actual price is: 0.9998078579529358
</t>
  </si>
  <si>
    <t xml:space="preserve"> 0.9998078579529358
</t>
  </si>
  <si>
    <t>predicted amount of GTBCPS is: 104273485.16309051</t>
  </si>
  <si>
    <t xml:space="preserve"> actual amount is: 104275799.45914987
</t>
  </si>
  <si>
    <t>plot sizes of gold is: 78148977.01144192</t>
  </si>
  <si>
    <t xml:space="preserve"> plot sizes of tb is: 33924188.51509131 </t>
  </si>
  <si>
    <t xml:space="preserve"> plot sizes of reit is: 30371057.105494298</t>
  </si>
  <si>
    <t xml:space="preserve"> plot sizes of total is: 142444222.6320275.
</t>
  </si>
  <si>
    <t xml:space="preserve"> 142444222.6320275.
</t>
  </si>
  <si>
    <t>predicted stdevs of gold is: 0.010269350635604923</t>
  </si>
  <si>
    <t xml:space="preserve"> predicted stdevs of tb is: 0.002769025114475607</t>
  </si>
  <si>
    <t xml:space="preserve"> predicted stdevs of reit is: 0.02518634698426503</t>
  </si>
  <si>
    <t xml:space="preserve"> predicted stdevs of GTBCPS is: 0.011663598063647753.
</t>
  </si>
  <si>
    <t xml:space="preserve"> 0.011663598063647753.
</t>
  </si>
  <si>
    <t>total_value_of_collaterals is: 142445026.09361643</t>
  </si>
  <si>
    <t xml:space="preserve"> createdtionValue_gold is: -1734.4895527920146</t>
  </si>
  <si>
    <t xml:space="preserve"> createdValue_tb is: -752.9318383490564</t>
  </si>
  <si>
    <t xml:space="preserve"> createdValue_reit is: -674.0722718700666
</t>
  </si>
  <si>
    <t xml:space="preserve"> -674.0722718700666
</t>
  </si>
  <si>
    <t>plotValue_gold_after_creation is: 78151316.91548891</t>
  </si>
  <si>
    <t xml:space="preserve"> plotValue_tb_after_creation  is: 33925032.65289755</t>
  </si>
  <si>
    <t xml:space="preserve"> plotValue_reit_after_creation  is: 30371838.01889297</t>
  </si>
  <si>
    <t xml:space="preserve">total_value_after_creation is: 142448187.58727944
</t>
  </si>
  <si>
    <t xml:space="preserve"> 142448187.58727944
</t>
  </si>
  <si>
    <t>total_amount_gtncps_before_creation is: 104275799.45914987</t>
  </si>
  <si>
    <t>creation_amount_gtbcps is: -2314.2960593551397</t>
  </si>
  <si>
    <t xml:space="preserve">total_amount_gtbcps_new is: 104273485.16309051
</t>
  </si>
  <si>
    <t xml:space="preserve"> 104273485.16309051
</t>
  </si>
  <si>
    <t>payout of tranche of gold is: 605.4144942004692</t>
  </si>
  <si>
    <t xml:space="preserve"> payout of tranche of Treausry Bill Option is: 91.20596789471878</t>
  </si>
  <si>
    <t xml:space="preserve"> payout of tranche of Collar of REIT is: 106.84112680181192
</t>
  </si>
  <si>
    <t xml:space="preserve"> 106.84112680181192
</t>
  </si>
  <si>
    <t>Collateral size of tranche of gold is: 78151316.91548891</t>
  </si>
  <si>
    <t xml:space="preserve"> collateral size of tranche of Treausry Bill Option is: 33925032.65289755</t>
  </si>
  <si>
    <t xml:space="preserve"> collateral size of tranche of Collar of REIT is: 30371838.01889297
</t>
  </si>
  <si>
    <t xml:space="preserve"> 30371838.01889297
</t>
  </si>
  <si>
    <t>Collateral ratio of tranche of gold is: 0.7495948392419346</t>
  </si>
  <si>
    <t xml:space="preserve"> collateral ratio of tranche of Treausry Bill Option is: 0.32539476494331615</t>
  </si>
  <si>
    <t xml:space="preserve"> collateral ratio of tranche of Collar of REIT is: 0.2913140038557945
</t>
  </si>
  <si>
    <t xml:space="preserve"> 0.2913140038557945
</t>
  </si>
  <si>
    <t xml:space="preserve">date is: 2023-02-27 00:00:00
</t>
  </si>
  <si>
    <t xml:space="preserve"> 2023-02-27 00</t>
  </si>
  <si>
    <t>current price of gold is: 1817.14</t>
  </si>
  <si>
    <t xml:space="preserve"> predicted price of gold is: 1818.7373095481266
</t>
  </si>
  <si>
    <t xml:space="preserve"> 1818.7373095481266
</t>
  </si>
  <si>
    <t>current price of tb is: 89.25</t>
  </si>
  <si>
    <t xml:space="preserve"> current price of tb option is: 4.217593186786346</t>
  </si>
  <si>
    <t xml:space="preserve"> predicted price of tb is: 89.54202671728414
</t>
  </si>
  <si>
    <t xml:space="preserve"> 89.54202671728414
</t>
  </si>
  <si>
    <t>current price of reit is: 50.85</t>
  </si>
  <si>
    <t xml:space="preserve"> current price of reit option is: 4.303227727018637</t>
  </si>
  <si>
    <t xml:space="preserve"> predicted price of reit is: 51.40198635945721
</t>
  </si>
  <si>
    <t xml:space="preserve"> 51.40198635945721
</t>
  </si>
  <si>
    <t>value_ratio_gold_to_total is: 0.14571142427495617</t>
  </si>
  <si>
    <t xml:space="preserve"> risk_ratio_to_gold is: 0.5677529483951145</t>
  </si>
  <si>
    <t xml:space="preserve"> risk_ratio_to_gold_before is: 0.5719923880367662
</t>
  </si>
  <si>
    <t xml:space="preserve"> 0.5719923880367662
</t>
  </si>
  <si>
    <t>value_ratio_tb_to_total is: 0.41138121282221846</t>
  </si>
  <si>
    <t xml:space="preserve"> risk_ratio_tb_to_gold is: 0.3515238570585844</t>
  </si>
  <si>
    <t xml:space="preserve"> risk_ratio_tb_to_gold_before is: 0.3464070222869579
</t>
  </si>
  <si>
    <t xml:space="preserve"> 0.3464070222869579
</t>
  </si>
  <si>
    <t>value_ratio_reit_to_total is: 0.4429073629028254</t>
  </si>
  <si>
    <t xml:space="preserve"> risk_ratio_reit_to_gold is: 0.4098056134914713</t>
  </si>
  <si>
    <t xml:space="preserve"> risk_ratio_reit_to_gold_before is: 0.4018679913583677
</t>
  </si>
  <si>
    <t xml:space="preserve"> 0.4018679913583677
</t>
  </si>
  <si>
    <t>delta_gold is: 1.0033682304090468</t>
  </si>
  <si>
    <t xml:space="preserve"> delta_tb is: 1.0008570848407143</t>
  </si>
  <si>
    <t xml:space="preserve"> delta_reit is: 1.0127030270910726
</t>
  </si>
  <si>
    <t xml:space="preserve"> 1.0127030270910726
</t>
  </si>
  <si>
    <t>delta_gold_risk is: 0.9973031423854755</t>
  </si>
  <si>
    <t xml:space="preserve"> delta_tb_risk is: 1.003800362510688</t>
  </si>
  <si>
    <t xml:space="preserve"> delta_reit_risk is: 1.0056621751705825
</t>
  </si>
  <si>
    <t xml:space="preserve"> 1.0056621751705825
</t>
  </si>
  <si>
    <t xml:space="preserve">collateral_ratio_tranche_gold is: 0.7541534919612498
</t>
  </si>
  <si>
    <t xml:space="preserve"> 0.7541534919612498
</t>
  </si>
  <si>
    <t xml:space="preserve">collateral_ratio_tranche_tb is: 0.32335154123422416
</t>
  </si>
  <si>
    <t xml:space="preserve"> 0.32335154123422416
</t>
  </si>
  <si>
    <t xml:space="preserve">collateral_ratio_tranche_reit is: 0.29236878888190126
</t>
  </si>
  <si>
    <t xml:space="preserve"> 0.29236878888190126
</t>
  </si>
  <si>
    <t>Total plot size is: 143126310.14178845</t>
  </si>
  <si>
    <t xml:space="preserve"> plot size of gold is: 78414548.55763072</t>
  </si>
  <si>
    <t xml:space="preserve"> plot size of TB is: 33954109.28410509</t>
  </si>
  <si>
    <t xml:space="preserve"> plot size of REIT is: 30757652.300052635
</t>
  </si>
  <si>
    <t xml:space="preserve"> 30757652.300052635
</t>
  </si>
  <si>
    <t xml:space="preserve">collateral ratio is: 1.3728383455369442
</t>
  </si>
  <si>
    <t xml:space="preserve"> 1.3728383455369442
</t>
  </si>
  <si>
    <t>S_gtbcps_0 is: 0.9998300481711122</t>
  </si>
  <si>
    <t xml:space="preserve">stdev_gtbcps is: 0.011636358489638489
</t>
  </si>
  <si>
    <t xml:space="preserve"> 0.011636358489638489
</t>
  </si>
  <si>
    <t>predicted price of GTBCPS is: 0.9998392608095543</t>
  </si>
  <si>
    <t xml:space="preserve"> actual price is: 0.9998300481711122
</t>
  </si>
  <si>
    <t xml:space="preserve"> 0.9998300481711122
</t>
  </si>
  <si>
    <t>predicted amount of GTBCPS is: 104272524.37473626</t>
  </si>
  <si>
    <t xml:space="preserve"> actual amount is: 104273485.16309051
</t>
  </si>
  <si>
    <t>plot sizes of gold is: 78414548.55763072</t>
  </si>
  <si>
    <t xml:space="preserve"> plot sizes of tb is: 33954109.28410509 </t>
  </si>
  <si>
    <t xml:space="preserve"> plot sizes of reit is: 30757652.300052635</t>
  </si>
  <si>
    <t xml:space="preserve"> plot sizes of total is: 143126310.14178845.
</t>
  </si>
  <si>
    <t xml:space="preserve"> 143126310.14178845.
</t>
  </si>
  <si>
    <t>predicted stdevs of gold is: 0.010145154256633874</t>
  </si>
  <si>
    <t xml:space="preserve"> predicted stdevs of tb is: 0.0027602812271623803</t>
  </si>
  <si>
    <t xml:space="preserve"> predicted stdevs of reit is: 0.025236596896711035</t>
  </si>
  <si>
    <t xml:space="preserve"> predicted stdevs of GTBCPS is: 0.011636358489638489.
</t>
  </si>
  <si>
    <t xml:space="preserve"> 0.011636358489638489.
</t>
  </si>
  <si>
    <t>total_value_of_collaterals is: 143126642.5458242</t>
  </si>
  <si>
    <t xml:space="preserve"> createdtionValue_gold is: -722.5299682908737</t>
  </si>
  <si>
    <t xml:space="preserve"> createdValue_tb is: -312.8605992593422</t>
  </si>
  <si>
    <t xml:space="preserve"> createdValue_reit is: -283.4075738126546
</t>
  </si>
  <si>
    <t xml:space="preserve"> -283.4075738126546
</t>
  </si>
  <si>
    <t>plotValue_gold_after_creation is: 78415519.5005982</t>
  </si>
  <si>
    <t xml:space="preserve"> plotValue_tb_after_creation  is: 33954475.93713278</t>
  </si>
  <si>
    <t xml:space="preserve"> plotValue_reit_after_creation  is: 30757965.90623457</t>
  </si>
  <si>
    <t xml:space="preserve">total_value_after_creation is: 143127961.34396556
</t>
  </si>
  <si>
    <t xml:space="preserve"> 143127961.34396556
</t>
  </si>
  <si>
    <t>total_amount_gtncps_before_creation is: 104273485.16309051</t>
  </si>
  <si>
    <t>creation_amount_gtbcps is: -960.7883542478085</t>
  </si>
  <si>
    <t xml:space="preserve">total_amount_gtbcps_new is: 104272524.37473626
</t>
  </si>
  <si>
    <t xml:space="preserve"> 104272524.37473626
</t>
  </si>
  <si>
    <t>payout of tranche of gold is: 248.41299919508856</t>
  </si>
  <si>
    <t xml:space="preserve"> payout of tranche of Treausry Bill Option is: 53.79242843435145</t>
  </si>
  <si>
    <t xml:space="preserve"> payout of tranche of Collar of REIT is: 30.198608123555278
</t>
  </si>
  <si>
    <t xml:space="preserve"> 30.198608123555278
</t>
  </si>
  <si>
    <t>Collateral size of tranche of gold is: 78415519.5005982</t>
  </si>
  <si>
    <t xml:space="preserve"> collateral size of tranche of Treausry Bill Option is: 33954475.93713278</t>
  </si>
  <si>
    <t xml:space="preserve"> collateral size of tranche of Collar of REIT is: 30757965.90623457
</t>
  </si>
  <si>
    <t xml:space="preserve"> 30757965.90623457
</t>
  </si>
  <si>
    <t>Collateral ratio of tranche of gold is: 0.7521387230071841</t>
  </si>
  <si>
    <t xml:space="preserve"> collateral ratio of tranche of Treausry Bill Option is: 0.32568139998789897</t>
  </si>
  <si>
    <t xml:space="preserve"> collateral ratio of tranche of Collar of REIT is: 0.29502141089350675
</t>
  </si>
  <si>
    <t xml:space="preserve"> 0.29502141089350675
</t>
  </si>
  <si>
    <t xml:space="preserve">date is: 2023-02-28 00:00:00
</t>
  </si>
  <si>
    <t xml:space="preserve"> 2023-02-28 00</t>
  </si>
  <si>
    <t>current price of gold is: 1826.92</t>
  </si>
  <si>
    <t xml:space="preserve"> predicted price of gold is: 1825.3686628994662
</t>
  </si>
  <si>
    <t xml:space="preserve"> 1825.3686628994662
</t>
  </si>
  <si>
    <t>current price of tb is: 89.15625</t>
  </si>
  <si>
    <t xml:space="preserve"> current price of tb option is: 4.217889297895445</t>
  </si>
  <si>
    <t xml:space="preserve"> predicted price of tb is: 89.44796996653069
</t>
  </si>
  <si>
    <t xml:space="preserve"> 89.44796996653069
</t>
  </si>
  <si>
    <t xml:space="preserve"> current price of reit option is: 4.245793193010336</t>
  </si>
  <si>
    <t xml:space="preserve"> predicted price of reit is: 52.17173028835523
</t>
  </si>
  <si>
    <t xml:space="preserve"> 52.17173028835523
</t>
  </si>
  <si>
    <t>value_ratio_gold_to_total is: -0.19950847106944286</t>
  </si>
  <si>
    <t xml:space="preserve"> risk_ratio_to_gold is: 0.5698633745887686</t>
  </si>
  <si>
    <t xml:space="preserve"> risk_ratio_to_gold_before is: 0.5677529483951145
</t>
  </si>
  <si>
    <t xml:space="preserve"> 0.5677529483951145
</t>
  </si>
  <si>
    <t>value_ratio_tb_to_total is: 0.5799547043364437</t>
  </si>
  <si>
    <t xml:space="preserve"> risk_ratio_tb_to_gold is: 0.3463189726137434</t>
  </si>
  <si>
    <t xml:space="preserve"> risk_ratio_tb_to_gold_before is: 0.3515238570585844
</t>
  </si>
  <si>
    <t xml:space="preserve"> 0.3515238570585844
</t>
  </si>
  <si>
    <t>value_ratio_reit_to_total is: 0.6195537667329991</t>
  </si>
  <si>
    <t xml:space="preserve"> risk_ratio_reit_to_gold is: 0.4084876083875917</t>
  </si>
  <si>
    <t xml:space="preserve"> risk_ratio_reit_to_gold_before is: 0.4098056134914713
</t>
  </si>
  <si>
    <t xml:space="preserve"> 0.4098056134914713
</t>
  </si>
  <si>
    <t>delta_gold is: 1.0053820839340941</t>
  </si>
  <si>
    <t xml:space="preserve"> delta_tb is: 0.9990001466208277</t>
  </si>
  <si>
    <t xml:space="preserve"> delta_reit is: 1.0125571157760622
</t>
  </si>
  <si>
    <t xml:space="preserve"> 1.0125571157760622
</t>
  </si>
  <si>
    <t>delta_gold_risk is: 1.0013461471693066</t>
  </si>
  <si>
    <t xml:space="preserve"> delta_tb_risk is: 0.9961488771229177</t>
  </si>
  <si>
    <t xml:space="preserve"> delta_reit_risk is: 0.9990651157214394
</t>
  </si>
  <si>
    <t xml:space="preserve"> 0.9990651157214394
</t>
  </si>
  <si>
    <t xml:space="preserve">collateral_ratio_tranche_gold is: 0.7551702264817681
</t>
  </si>
  <si>
    <t xml:space="preserve"> 0.7551702264817681
</t>
  </si>
  <si>
    <t xml:space="preserve">collateral_ratio_tranche_tb is: 0.32486514395687244
</t>
  </si>
  <si>
    <t xml:space="preserve"> 0.32486514395687244
</t>
  </si>
  <si>
    <t xml:space="preserve">collateral_ratio_tranche_reit is: 0.29740490633964306
</t>
  </si>
  <si>
    <t xml:space="preserve"> 0.29740490633964306
</t>
  </si>
  <si>
    <t>Total plot size is: 143902282.0930704</t>
  </si>
  <si>
    <t xml:space="preserve"> plot size of gold is: 78837558.40828602</t>
  </si>
  <si>
    <t xml:space="preserve"> plot size of TB is: 33920526.43962902</t>
  </si>
  <si>
    <t xml:space="preserve"> plot size of REIT is: 31144197.24515533
</t>
  </si>
  <si>
    <t xml:space="preserve"> 31144197.24515533
</t>
  </si>
  <si>
    <t xml:space="preserve">collateral ratio is: 1.380281310067544
</t>
  </si>
  <si>
    <t xml:space="preserve"> 1.380281310067544
</t>
  </si>
  <si>
    <t>S_gtbcps_0 is: 0.9998392608095543</t>
  </si>
  <si>
    <t xml:space="preserve">stdev_gtbcps is: 0.011578085150562441
</t>
  </si>
  <si>
    <t xml:space="preserve"> 0.011578085150562441
</t>
  </si>
  <si>
    <t>predicted price of GTBCPS is: 0.9998823749808448</t>
  </si>
  <si>
    <t xml:space="preserve"> actual price is: 0.9998392608095543
</t>
  </si>
  <si>
    <t xml:space="preserve"> 0.9998392608095543
</t>
  </si>
  <si>
    <t>predicted amount of GTBCPS is: 104268028.22239946</t>
  </si>
  <si>
    <t xml:space="preserve"> actual amount is: 104272524.37473626
</t>
  </si>
  <si>
    <t>plot sizes of gold is: 78837558.40828602</t>
  </si>
  <si>
    <t xml:space="preserve"> plot sizes of tb is: 33920526.43962902 </t>
  </si>
  <si>
    <t xml:space="preserve"> plot sizes of reit is: 31144197.24515533</t>
  </si>
  <si>
    <t xml:space="preserve"> plot sizes of total is: 143902282.09307036.
</t>
  </si>
  <si>
    <t xml:space="preserve"> 143902282.09307036.
</t>
  </si>
  <si>
    <t>predicted stdevs of gold is: 0.010045062694918418</t>
  </si>
  <si>
    <t xml:space="preserve"> predicted stdevs of tb is: 0.0027002084363841818</t>
  </si>
  <si>
    <t xml:space="preserve"> predicted stdevs of reit is: 0.025128024995768914</t>
  </si>
  <si>
    <t xml:space="preserve"> predicted stdevs of GTBCPS is: 0.011578085150562441.
</t>
  </si>
  <si>
    <t xml:space="preserve"> 0.011578085150562441.
</t>
  </si>
  <si>
    <t>total_value_of_collaterals is: 143903839.0165394</t>
  </si>
  <si>
    <t xml:space="preserve"> createdtionValue_gold is: -3399.612588477326</t>
  </si>
  <si>
    <t xml:space="preserve"> createdValue_tb is: -1462.701275586617</t>
  </si>
  <si>
    <t xml:space="preserve"> createdValue_reit is: -1342.9783343223448
</t>
  </si>
  <si>
    <t xml:space="preserve"> -1342.9783343223448
</t>
  </si>
  <si>
    <t>plotValue_gold_after_creation is: 78842120.98304464</t>
  </si>
  <si>
    <t xml:space="preserve"> plotValue_tb_after_creation  is: 33922239.05827643</t>
  </si>
  <si>
    <t xml:space="preserve"> plotValue_reit_after_creation  is: 31145684.267416723</t>
  </si>
  <si>
    <t xml:space="preserve">total_value_after_creation is: 143910044.30873778
</t>
  </si>
  <si>
    <t xml:space="preserve"> 143910044.30873778
</t>
  </si>
  <si>
    <t>total_amount_gtncps_before_creation is: 104272524.37473626</t>
  </si>
  <si>
    <t>creation_amount_gtbcps is: -4496.152336806059</t>
  </si>
  <si>
    <t xml:space="preserve">total_amount_gtbcps_new is: 104268028.22239946
</t>
  </si>
  <si>
    <t xml:space="preserve"> 104268028.22239946
</t>
  </si>
  <si>
    <t>payout of tranche of gold is: 1162.9621701336139</t>
  </si>
  <si>
    <t xml:space="preserve"> payout of tranche of Treausry Bill Option is: 249.91737182129134</t>
  </si>
  <si>
    <t xml:space="preserve"> payout of tranche of Collar of REIT is: 144.0439270714149
</t>
  </si>
  <si>
    <t xml:space="preserve"> 144.0439270714149
</t>
  </si>
  <si>
    <t>Collateral size of tranche of gold is: 78842120.98304464</t>
  </si>
  <si>
    <t xml:space="preserve"> collateral size of tranche of Treausry Bill Option is: 33922239.05827643</t>
  </si>
  <si>
    <t xml:space="preserve"> collateral size of tranche of Collar of REIT is: 31145684.267416723
</t>
  </si>
  <si>
    <t xml:space="preserve"> 31145684.267416723
</t>
  </si>
  <si>
    <t>Collateral ratio of tranche of gold is: 0.756204919299911</t>
  </si>
  <si>
    <t xml:space="preserve"> collateral ratio of tranche of Treausry Bill Option is: 0.32536116139053173</t>
  </si>
  <si>
    <t xml:space="preserve"> collateral ratio of tranche of Collar of REIT is: 0.29873016306914735
</t>
  </si>
  <si>
    <t xml:space="preserve"> 0.29873016306914735
</t>
  </si>
  <si>
    <t xml:space="preserve">date is: 2023-03-01 00:00:00
</t>
  </si>
  <si>
    <t xml:space="preserve"> 2023-03-01 00</t>
  </si>
  <si>
    <t>current price of gold is: 1836.72</t>
  </si>
  <si>
    <t xml:space="preserve"> predicted price of gold is: 1828.0005773615721
</t>
  </si>
  <si>
    <t xml:space="preserve"> 1828.0005773615721
</t>
  </si>
  <si>
    <t>current price of tb is: 88.9765625</t>
  </si>
  <si>
    <t xml:space="preserve"> current price of tb option is: 4.211982430716036</t>
  </si>
  <si>
    <t xml:space="preserve"> predicted price of tb is: 89.27438985574783
</t>
  </si>
  <si>
    <t xml:space="preserve"> 89.27438985574783
</t>
  </si>
  <si>
    <t>current price of reit is: 51.8</t>
  </si>
  <si>
    <t xml:space="preserve"> current price of reit option is: 4.214009974521716</t>
  </si>
  <si>
    <t xml:space="preserve"> predicted price of reit is: 52.45473724302797
</t>
  </si>
  <si>
    <t xml:space="preserve"> 52.45473724302797
</t>
  </si>
  <si>
    <t>value_ratio_gold_to_total is: -13.228596616534118</t>
  </si>
  <si>
    <t xml:space="preserve"> risk_ratio_to_gold is: 0.5658844244609705</t>
  </si>
  <si>
    <t xml:space="preserve"> risk_ratio_to_gold_before is: 0.5698633745887686
</t>
  </si>
  <si>
    <t xml:space="preserve"> 0.5698633745887686
</t>
  </si>
  <si>
    <t>value_ratio_tb_to_total is: 6.842018899222062</t>
  </si>
  <si>
    <t xml:space="preserve"> risk_ratio_tb_to_gold is: 0.34714019283825287</t>
  </si>
  <si>
    <t xml:space="preserve"> risk_ratio_tb_to_gold_before is: 0.3463189726137434
</t>
  </si>
  <si>
    <t xml:space="preserve"> 0.3463189726137434
</t>
  </si>
  <si>
    <t>value_ratio_reit_to_total is: 7.386577717312056</t>
  </si>
  <si>
    <t xml:space="preserve"> risk_ratio_reit_to_gold is: 0.4200051053426317</t>
  </si>
  <si>
    <t xml:space="preserve"> risk_ratio_reit_to_gold_before is: 0.4084876083875917
</t>
  </si>
  <si>
    <t xml:space="preserve"> 0.4084876083875917
</t>
  </si>
  <si>
    <t>delta_gold is: 1.0053642195607908</t>
  </si>
  <si>
    <t xml:space="preserve"> delta_tb is: 0.998012357933632</t>
  </si>
  <si>
    <t xml:space="preserve"> delta_reit is: 1.0030121656779052
</t>
  </si>
  <si>
    <t xml:space="preserve"> 1.0030121656779052
</t>
  </si>
  <si>
    <t>delta_gold_risk is: 0.9974654162953254</t>
  </si>
  <si>
    <t xml:space="preserve"> delta_tb_risk is: 1.0006099744868893</t>
  </si>
  <si>
    <t xml:space="preserve"> delta_reit_risk is: 1.0081772085792255
</t>
  </si>
  <si>
    <t xml:space="preserve"> 1.0081772085792255
</t>
  </si>
  <si>
    <t xml:space="preserve">collateral_ratio_tranche_gold is: 0.7621932110124315
</t>
  </si>
  <si>
    <t xml:space="preserve"> 0.7621932110124315
</t>
  </si>
  <si>
    <t xml:space="preserve">collateral_ratio_tranche_tb is: 0.32278502332976927
</t>
  </si>
  <si>
    <t xml:space="preserve"> 0.32278502332976927
</t>
  </si>
  <si>
    <t xml:space="preserve">collateral_ratio_tranche_reit is: 0.29561398536034145
</t>
  </si>
  <si>
    <t xml:space="preserve"> 0.29561398536034145
</t>
  </si>
  <si>
    <t>Total plot size is: 144359361.44815683</t>
  </si>
  <si>
    <t xml:space="preserve"> plot size of gold is: 79265047.43063612</t>
  </si>
  <si>
    <t xml:space="preserve"> plot size of TB is: 33854813.788938805</t>
  </si>
  <si>
    <t xml:space="preserve"> plot size of REIT is: 31239500.22858191
</t>
  </si>
  <si>
    <t xml:space="preserve"> 31239500.22858191
</t>
  </si>
  <si>
    <t xml:space="preserve">collateral ratio is: 1.3846655219220547
</t>
  </si>
  <si>
    <t xml:space="preserve"> 1.3846655219220547
</t>
  </si>
  <si>
    <t>S_gtbcps_0 is: 0.9998823749808448</t>
  </si>
  <si>
    <t xml:space="preserve">stdev_gtbcps is: 0.011516608933136467
</t>
  </si>
  <si>
    <t xml:space="preserve"> 0.011516608933136467
</t>
  </si>
  <si>
    <t>predicted price of GTBCPS is: 0.9998419183877446</t>
  </si>
  <si>
    <t xml:space="preserve"> actual price is: 0.9998823749808448
</t>
  </si>
  <si>
    <t xml:space="preserve"> 0.9998823749808448
</t>
  </si>
  <si>
    <t>predicted amount of GTBCPS is: 104272247.21853632</t>
  </si>
  <si>
    <t xml:space="preserve"> actual amount is: 104268028.22239946
</t>
  </si>
  <si>
    <t>plot sizes of gold is: 79265047.43063612</t>
  </si>
  <si>
    <t xml:space="preserve"> plot sizes of tb is: 33854813.788938805 </t>
  </si>
  <si>
    <t xml:space="preserve"> plot sizes of reit is: 31239500.22858191</t>
  </si>
  <si>
    <t xml:space="preserve"> plot sizes of total is: 144359361.44815683.
</t>
  </si>
  <si>
    <t xml:space="preserve"> 144359361.44815683.
</t>
  </si>
  <si>
    <t>predicted stdevs of gold is: 0.010049853435520503</t>
  </si>
  <si>
    <t xml:space="preserve"> predicted stdevs of tb is: 0.0027074429235252203</t>
  </si>
  <si>
    <t xml:space="preserve"> predicted stdevs of reit is: 0.02478491079283395</t>
  </si>
  <si>
    <t xml:space="preserve"> predicted stdevs of GTBCPS is: 0.011516608933136467.
</t>
  </si>
  <si>
    <t xml:space="preserve"> 0.011516608933136467.
</t>
  </si>
  <si>
    <t>total_value_of_collaterals is: 144357901.4679687</t>
  </si>
  <si>
    <t xml:space="preserve"> createdtionValue_gold is: 3207.124154200852</t>
  </si>
  <si>
    <t xml:space="preserve"> createdValue_tb is: 1369.805075191393</t>
  </si>
  <si>
    <t xml:space="preserve"> createdValue_reit is: 1263.986688934407
</t>
  </si>
  <si>
    <t xml:space="preserve"> 1263.986688934407
</t>
  </si>
  <si>
    <t>plotValue_gold_after_creation is: 79260682.15646827</t>
  </si>
  <si>
    <t xml:space="preserve"> plotValue_tb_after_creation  is: 33853283.95810604</t>
  </si>
  <si>
    <t xml:space="preserve"> plotValue_reit_after_creation  is: 31238094.437476065</t>
  </si>
  <si>
    <t xml:space="preserve">total_value_after_creation is: 144352060.55205038
</t>
  </si>
  <si>
    <t xml:space="preserve"> 144352060.55205038
</t>
  </si>
  <si>
    <t>total_amount_gtncps_before_creation is: 104268028.22239946</t>
  </si>
  <si>
    <t>creation_amount_gtbcps is: 4218.996136859059</t>
  </si>
  <si>
    <t xml:space="preserve">total_amount_gtbcps_new is: 104272247.21853632
</t>
  </si>
  <si>
    <t xml:space="preserve"> 104272247.21853632
</t>
  </si>
  <si>
    <t>payout of tranche of gold is: -1158.1500136553875</t>
  </si>
  <si>
    <t xml:space="preserve"> payout of tranche of Treausry Bill Option is: -160.02575757336777</t>
  </si>
  <si>
    <t xml:space="preserve"> payout of tranche of Collar of REIT is: -141.8044169092641
</t>
  </si>
  <si>
    <t xml:space="preserve"> -141.8044169092641
</t>
  </si>
  <si>
    <t>Collateral size of tranche of gold is: 79260682.15646827</t>
  </si>
  <si>
    <t xml:space="preserve"> collateral size of tranche of Treausry Bill Option is: 33853283.95810604</t>
  </si>
  <si>
    <t xml:space="preserve"> collateral size of tranche of Collar of REIT is: 31238094.437476065
</t>
  </si>
  <si>
    <t xml:space="preserve"> 31238094.437476065
</t>
  </si>
  <si>
    <t>Collateral ratio of tranche of gold is: 0.7602830430899388</t>
  </si>
  <si>
    <t xml:space="preserve"> collateral ratio of tranche of Treausry Bill Option is: 0.3247269269705149</t>
  </si>
  <si>
    <t xml:space="preserve"> collateral ratio of tranche of Collar of REIT is: 0.2996415480297128
</t>
  </si>
  <si>
    <t xml:space="preserve"> 0.2996415480297128
</t>
  </si>
  <si>
    <t xml:space="preserve">date is: 2023-03-02 00:00:00
</t>
  </si>
  <si>
    <t xml:space="preserve"> 2023-03-02 00</t>
  </si>
  <si>
    <t>current price of gold is: 1835.87</t>
  </si>
  <si>
    <t xml:space="preserve"> predicted price of gold is: 1837.346758516977
</t>
  </si>
  <si>
    <t xml:space="preserve"> 1837.346758516977
</t>
  </si>
  <si>
    <t xml:space="preserve"> current price of tb option is: 4.207177615147182</t>
  </si>
  <si>
    <t xml:space="preserve"> predicted price of tb is: 89.20904571101558
</t>
  </si>
  <si>
    <t xml:space="preserve"> 89.20904571101558
</t>
  </si>
  <si>
    <t>current price of reit is: 51.15</t>
  </si>
  <si>
    <t xml:space="preserve"> current price of reit option is: 4.2613897418556235</t>
  </si>
  <si>
    <t xml:space="preserve"> predicted price of reit is: 51.81728561915709
</t>
  </si>
  <si>
    <t xml:space="preserve"> 51.81728561915709
</t>
  </si>
  <si>
    <t>value_ratio_gold_to_total is: 0.13529119796971412</t>
  </si>
  <si>
    <t xml:space="preserve"> risk_ratio_to_gold is: 0.5710651488522838</t>
  </si>
  <si>
    <t xml:space="preserve"> risk_ratio_to_gold_before is: 0.5658844244609705
</t>
  </si>
  <si>
    <t xml:space="preserve"> 0.5658844244609705
</t>
  </si>
  <si>
    <t>value_ratio_tb_to_total is: 0.4131749958395548</t>
  </si>
  <si>
    <t xml:space="preserve"> risk_ratio_tb_to_gold is: 0.33883161029340036</t>
  </si>
  <si>
    <t xml:space="preserve"> risk_ratio_tb_to_gold_before is: 0.34714019283825287
</t>
  </si>
  <si>
    <t xml:space="preserve"> 0.34714019283825287
</t>
  </si>
  <si>
    <t>value_ratio_reit_to_total is: 0.4515338061907311</t>
  </si>
  <si>
    <t xml:space="preserve"> risk_ratio_reit_to_gold is: 0.412282079641595</t>
  </si>
  <si>
    <t xml:space="preserve"> risk_ratio_reit_to_gold_before is: 0.4200051053426317
</t>
  </si>
  <si>
    <t xml:space="preserve"> 0.4200051053426317
</t>
  </si>
  <si>
    <t>delta_gold is: 0.9995372185199703</t>
  </si>
  <si>
    <t xml:space="preserve"> delta_tb is: 0.9991939211453007</t>
  </si>
  <si>
    <t xml:space="preserve"> delta_reit is: 0.98924161592894
</t>
  </si>
  <si>
    <t xml:space="preserve"> 0.98924161592894
</t>
  </si>
  <si>
    <t>delta_gold_risk is: 1.003308497300557</t>
  </si>
  <si>
    <t xml:space="preserve"> delta_tb_risk is: 0.9938324291792174</t>
  </si>
  <si>
    <t xml:space="preserve"> delta_reit_risk is: 0.9945612690602452
</t>
  </si>
  <si>
    <t xml:space="preserve"> 0.9945612690602452
</t>
  </si>
  <si>
    <t xml:space="preserve">collateral_ratio_tranche_gold is: 0.7574252587540546
</t>
  </si>
  <si>
    <t xml:space="preserve"> 0.7574252587540546
</t>
  </si>
  <si>
    <t xml:space="preserve">collateral_ratio_tranche_tb is: 0.32662991056077667
</t>
  </si>
  <si>
    <t xml:space="preserve"> 0.32662991056077667
</t>
  </si>
  <si>
    <t xml:space="preserve">collateral_ratio_tranche_reit is: 0.2981768329609966
</t>
  </si>
  <si>
    <t xml:space="preserve"> 0.2981768329609966
</t>
  </si>
  <si>
    <t>Total plot size is: 143952020.34228668</t>
  </si>
  <si>
    <t xml:space="preserve"> plot size of gold is: 79224001.78067175</t>
  </si>
  <si>
    <t xml:space="preserve"> plot size of TB is: 33825995.54174528</t>
  </si>
  <si>
    <t xml:space="preserve"> plot size of REIT is: 30902023.019869655
</t>
  </si>
  <si>
    <t xml:space="preserve"> 30902023.019869655
</t>
  </si>
  <si>
    <t xml:space="preserve">collateral ratio is: 1.380758389199231
</t>
  </si>
  <si>
    <t xml:space="preserve"> 1.380758389199231
</t>
  </si>
  <si>
    <t>S_gtbcps_0 is: 0.9998419183877446</t>
  </si>
  <si>
    <t xml:space="preserve">stdev_gtbcps is: 0.01132834395789186
</t>
  </si>
  <si>
    <t xml:space="preserve"> 0.01132834395789186
</t>
  </si>
  <si>
    <t>predicted price of GTBCPS is: 0.9998538877988055</t>
  </si>
  <si>
    <t xml:space="preserve"> actual price is: 0.9998419183877446
</t>
  </si>
  <si>
    <t xml:space="preserve"> 0.9998419183877446
</t>
  </si>
  <si>
    <t>predicted amount of GTBCPS is: 104270998.95876114</t>
  </si>
  <si>
    <t xml:space="preserve"> actual amount is: 104272247.21853632
</t>
  </si>
  <si>
    <t>plot sizes of gold is: 79224001.78067175</t>
  </si>
  <si>
    <t xml:space="preserve"> plot sizes of tb is: 33825995.54174528 </t>
  </si>
  <si>
    <t xml:space="preserve"> plot sizes of reit is: 30902023.019869655</t>
  </si>
  <si>
    <t xml:space="preserve"> plot sizes of total is: 143952020.34228668.
</t>
  </si>
  <si>
    <t xml:space="preserve"> 143952020.34228668.
</t>
  </si>
  <si>
    <t>predicted stdevs of gold is: 0.009894590016924687</t>
  </si>
  <si>
    <t xml:space="preserve"> predicted stdevs of tb is: 0.002616337900093767</t>
  </si>
  <si>
    <t xml:space="preserve"> predicted stdevs of reit is: 0.02454042404017143</t>
  </si>
  <si>
    <t xml:space="preserve"> predicted stdevs of GTBCPS is: 0.01132834395789186.
</t>
  </si>
  <si>
    <t xml:space="preserve"> 0.01132834395789186.
</t>
  </si>
  <si>
    <t>total_value_of_collaterals is: 143952453.57542226</t>
  </si>
  <si>
    <t xml:space="preserve"> createdtionValue_gold is: -948.418273357509</t>
  </si>
  <si>
    <t xml:space="preserve"> createdValue_tb is: -404.94205016044765</t>
  </si>
  <si>
    <t xml:space="preserve"> createdValue_reit is: -369.93818834582436
</t>
  </si>
  <si>
    <t xml:space="preserve"> -369.93818834582436
</t>
  </si>
  <si>
    <t>plotValue_gold_after_creation is: 79225259.54352477</t>
  </si>
  <si>
    <t xml:space="preserve"> plotValue_tb_after_creation  is: 33826466.57626685</t>
  </si>
  <si>
    <t xml:space="preserve"> plotValue_reit_after_creation  is: 30902450.7541425</t>
  </si>
  <si>
    <t xml:space="preserve">total_value_after_creation is: 143954176.87393412
</t>
  </si>
  <si>
    <t xml:space="preserve"> 143954176.87393412
</t>
  </si>
  <si>
    <t>total_amount_gtncps_before_creation is: 104272247.21853632</t>
  </si>
  <si>
    <t>creation_amount_gtbcps is: -1248.2597751766443</t>
  </si>
  <si>
    <t xml:space="preserve">total_amount_gtbcps_new is: 104270998.95876114
</t>
  </si>
  <si>
    <t xml:space="preserve"> 104270998.95876114
</t>
  </si>
  <si>
    <t>payout of tranche of gold is: 309.3445796657369</t>
  </si>
  <si>
    <t xml:space="preserve"> payout of tranche of Treausry Bill Option is: 66.09247140739535</t>
  </si>
  <si>
    <t xml:space="preserve"> payout of tranche of Collar of REIT is: 57.79608450176677
</t>
  </si>
  <si>
    <t xml:space="preserve"> 57.79608450176677
</t>
  </si>
  <si>
    <t>Collateral size of tranche of gold is: 79225259.54352477</t>
  </si>
  <si>
    <t xml:space="preserve"> collateral size of tranche of Treausry Bill Option is: 33826466.57626685</t>
  </si>
  <si>
    <t xml:space="preserve"> collateral size of tranche of Collar of REIT is: 30902450.7541425
</t>
  </si>
  <si>
    <t xml:space="preserve"> 30902450.7541425
</t>
  </si>
  <si>
    <t>Collateral ratio of tranche of gold is: 0.7599034175040826</t>
  </si>
  <si>
    <t xml:space="preserve"> collateral ratio of tranche of Treausry Bill Option is: 0.32445267710699105</t>
  </si>
  <si>
    <t xml:space="preserve"> collateral ratio of tranche of Collar of REIT is: 0.296406450071943
</t>
  </si>
  <si>
    <t xml:space="preserve"> 0.296406450071943
</t>
  </si>
  <si>
    <t xml:space="preserve">date is: 2023-03-03 00:00:00
</t>
  </si>
  <si>
    <t xml:space="preserve"> 2023-03-03 00</t>
  </si>
  <si>
    <t>current price of gold is: 1856.48</t>
  </si>
  <si>
    <t xml:space="preserve"> predicted price of gold is: 1852.3690254812009
</t>
  </si>
  <si>
    <t xml:space="preserve"> 1852.3690254812009
</t>
  </si>
  <si>
    <t>current price of tb is: 89.02539063</t>
  </si>
  <si>
    <t xml:space="preserve"> current price of tb option is: 4.214703810734064</t>
  </si>
  <si>
    <t xml:space="preserve"> predicted price of tb is: 89.3204040295876
</t>
  </si>
  <si>
    <t xml:space="preserve"> 89.3204040295876
</t>
  </si>
  <si>
    <t>current price of reit is: 50.7</t>
  </si>
  <si>
    <t xml:space="preserve"> current price of reit option is: 4.362994422096719</t>
  </si>
  <si>
    <t xml:space="preserve"> predicted price of reit is: 51.69335866291784
</t>
  </si>
  <si>
    <t xml:space="preserve"> 51.69335866291784
</t>
  </si>
  <si>
    <t>value_ratio_gold_to_total is: -0.7143190449686603</t>
  </si>
  <si>
    <t xml:space="preserve"> risk_ratio_to_gold is: 0.5745600333244256</t>
  </si>
  <si>
    <t xml:space="preserve"> risk_ratio_to_gold_before is: 0.5710651488522838
</t>
  </si>
  <si>
    <t xml:space="preserve"> 0.5710651488522838
</t>
  </si>
  <si>
    <t>value_ratio_tb_to_total is: 0.78360419798873</t>
  </si>
  <si>
    <t xml:space="preserve"> risk_ratio_tb_to_gold is: 0.33809011992498006</t>
  </si>
  <si>
    <t xml:space="preserve"> risk_ratio_tb_to_gold_before is: 0.33883161029340036
</t>
  </si>
  <si>
    <t xml:space="preserve"> 0.33883161029340036
</t>
  </si>
  <si>
    <t>value_ratio_reit_to_total is: 0.9307148469799303</t>
  </si>
  <si>
    <t xml:space="preserve"> risk_ratio_reit_to_gold is: 0.40237204590643516</t>
  </si>
  <si>
    <t xml:space="preserve"> risk_ratio_reit_to_gold_before is: 0.412282079641595
</t>
  </si>
  <si>
    <t xml:space="preserve"> 0.412282079641595
</t>
  </si>
  <si>
    <t>delta_gold is: 1.0112262850855454</t>
  </si>
  <si>
    <t xml:space="preserve"> delta_tb is: 1.0013603497243213</t>
  </si>
  <si>
    <t xml:space="preserve"> delta_reit is: 0.9937125684560166
</t>
  </si>
  <si>
    <t xml:space="preserve"> 0.9937125684560166
</t>
  </si>
  <si>
    <t>delta_gold_risk is: 1.0022245318564256</t>
  </si>
  <si>
    <t xml:space="preserve"> delta_tb_risk is: 0.9994461660729254</t>
  </si>
  <si>
    <t xml:space="preserve"> delta_reit_risk is: 0.9929829643256008
</t>
  </si>
  <si>
    <t xml:space="preserve"> 0.9929829643256008
</t>
  </si>
  <si>
    <t xml:space="preserve">collateral_ratio_tranche_gold is: 0.7667286974936532
</t>
  </si>
  <si>
    <t xml:space="preserve"> 0.7667286974936532
</t>
  </si>
  <si>
    <t xml:space="preserve">collateral_ratio_tranche_tb is: 0.3214652230341088
</t>
  </si>
  <si>
    <t xml:space="preserve"> 0.3214652230341088
</t>
  </si>
  <si>
    <t xml:space="preserve">collateral_ratio_tranche_reit is: 0.2933312177901089
</t>
  </si>
  <si>
    <t xml:space="preserve"> 0.2933312177901089
</t>
  </si>
  <si>
    <t>Total plot size is: 144695301.00436985</t>
  </si>
  <si>
    <t xml:space="preserve"> plot size of gold is: 80114664.89313671</t>
  </si>
  <si>
    <t xml:space="preserve"> plot size of TB is: 33872482.40074863</t>
  </si>
  <si>
    <t xml:space="preserve"> plot size of REIT is: 30708153.710484512
</t>
  </si>
  <si>
    <t xml:space="preserve"> 30708153.710484512
</t>
  </si>
  <si>
    <t xml:space="preserve">collateral ratio is: 1.3878877855582443
</t>
  </si>
  <si>
    <t xml:space="preserve"> 1.3878877855582443
</t>
  </si>
  <si>
    <t>S_gtbcps_0 is: 0.9998538877988055</t>
  </si>
  <si>
    <t xml:space="preserve">stdev_gtbcps is: 0.011301107731799282
</t>
  </si>
  <si>
    <t xml:space="preserve"> 0.011301107731799282
</t>
  </si>
  <si>
    <t>predicted price of GTBCPS is: 0.9999071864864011</t>
  </si>
  <si>
    <t xml:space="preserve"> actual price is: 0.9998538877988055
</t>
  </si>
  <si>
    <t xml:space="preserve"> 0.9998538877988055
</t>
  </si>
  <si>
    <t>predicted amount of GTBCPS is: 104265440.93550268</t>
  </si>
  <si>
    <t xml:space="preserve"> actual amount is: 104270998.95876114
</t>
  </si>
  <si>
    <t>plot sizes of gold is: 80114664.89313671</t>
  </si>
  <si>
    <t xml:space="preserve"> plot sizes of tb is: 33872482.40074863 </t>
  </si>
  <si>
    <t xml:space="preserve"> plot sizes of reit is: 30708153.710484512</t>
  </si>
  <si>
    <t xml:space="preserve"> plot sizes of total is: 144695301.00436985.
</t>
  </si>
  <si>
    <t xml:space="preserve"> 144695301.00436985.
</t>
  </si>
  <si>
    <t>predicted stdevs of gold is: 0.009895535544448714</t>
  </si>
  <si>
    <t xml:space="preserve"> predicted stdevs of tb is: 0.002614675209811513</t>
  </si>
  <si>
    <t xml:space="preserve"> predicted stdevs of reit is: 0.024549640396272717</t>
  </si>
  <si>
    <t xml:space="preserve"> predicted stdevs of GTBCPS is: 0.011301107731799282.
</t>
  </si>
  <si>
    <t xml:space="preserve"> 0.011301107731799282.
</t>
  </si>
  <si>
    <t>total_value_of_collaterals is: 144697229.58950934</t>
  </si>
  <si>
    <t xml:space="preserve"> createdtionValue_gold is: -4270.704535464175</t>
  </si>
  <si>
    <t xml:space="preserve"> createdValue_tb is: -1805.6380902841559</t>
  </si>
  <si>
    <t xml:space="preserve"> createdValue_reit is: -1636.9568172672641
</t>
  </si>
  <si>
    <t xml:space="preserve"> -1636.9568172672641
</t>
  </si>
  <si>
    <t>plotValue_gold_after_creation is: 80120324.70222923</t>
  </si>
  <si>
    <t xml:space="preserve"> plotValue_tb_after_creation  is: 33874577.107113294</t>
  </si>
  <si>
    <t xml:space="preserve"> plotValue_reit_after_creation  is: 30710041.07960985</t>
  </si>
  <si>
    <t xml:space="preserve">total_value_after_creation is: 144704942.88895237
</t>
  </si>
  <si>
    <t xml:space="preserve"> 144704942.88895237
</t>
  </si>
  <si>
    <t>total_amount_gtncps_before_creation is: 104270998.95876114</t>
  </si>
  <si>
    <t>creation_amount_gtbcps is: -5558.023258462548</t>
  </si>
  <si>
    <t xml:space="preserve">total_amount_gtbcps_new is: 104265440.93550268
</t>
  </si>
  <si>
    <t xml:space="preserve"> 104265440.93550268
</t>
  </si>
  <si>
    <t>payout of tranche of gold is: 1389.1045570591443</t>
  </si>
  <si>
    <t xml:space="preserve"> payout of tranche of Treausry Bill Option is: 289.06827437654545</t>
  </si>
  <si>
    <t xml:space="preserve"> payout of tranche of Collar of REIT is: 250.41230807042197
</t>
  </si>
  <si>
    <t xml:space="preserve"> 250.41230807042197
</t>
  </si>
  <si>
    <t>Collateral size of tranche of gold is: 80120324.70222923</t>
  </si>
  <si>
    <t xml:space="preserve"> collateral size of tranche of Treausry Bill Option is: 33874577.107113294</t>
  </si>
  <si>
    <t xml:space="preserve"> collateral size of tranche of Collar of REIT is: 30710041.07960985
</t>
  </si>
  <si>
    <t xml:space="preserve"> 30710041.07960985
</t>
  </si>
  <si>
    <t>Collateral ratio of tranche of gold is: 0.7684568330741154</t>
  </si>
  <si>
    <t xml:space="preserve"> collateral ratio of tranche of Treausry Bill Option is: 0.3249007083059529</t>
  </si>
  <si>
    <t xml:space="preserve"> collateral ratio of tranche of Collar of REIT is: 0.2945487427730851
</t>
  </si>
  <si>
    <t xml:space="preserve"> 0.2945487427730851
</t>
  </si>
  <si>
    <t xml:space="preserve">date is: 2023-03-06 00:00:00
</t>
  </si>
  <si>
    <t xml:space="preserve"> 2023-03-06 00</t>
  </si>
  <si>
    <t>current price of gold is: 1846.86</t>
  </si>
  <si>
    <t xml:space="preserve"> predicted price of gold is: 1843.8090817159755
</t>
  </si>
  <si>
    <t xml:space="preserve"> 1843.8090817159755
</t>
  </si>
  <si>
    <t>current price of tb is: 88.98046875</t>
  </si>
  <si>
    <t xml:space="preserve"> current price of tb option is: 4.214128093416081</t>
  </si>
  <si>
    <t xml:space="preserve"> predicted price of tb is: 89.27607725113731
</t>
  </si>
  <si>
    <t xml:space="preserve"> 89.27607725113731
</t>
  </si>
  <si>
    <t>current price of reit is: 50.9</t>
  </si>
  <si>
    <t xml:space="preserve"> current price of reit option is: 4.342127697462402</t>
  </si>
  <si>
    <t xml:space="preserve"> predicted price of reit is: 51.62283309746014
</t>
  </si>
  <si>
    <t xml:space="preserve"> 51.62283309746014
</t>
  </si>
  <si>
    <t>value_ratio_gold_to_total is: -0.46766118758910147</t>
  </si>
  <si>
    <t xml:space="preserve"> risk_ratio_to_gold is: 0.5756381595870099</t>
  </si>
  <si>
    <t xml:space="preserve"> risk_ratio_to_gold_before is: 0.5745600333244256
</t>
  </si>
  <si>
    <t xml:space="preserve"> 0.5745600333244256
</t>
  </si>
  <si>
    <t>value_ratio_tb_to_total is: 0.6912767157896083</t>
  </si>
  <si>
    <t xml:space="preserve"> risk_ratio_tb_to_gold is: 0.33589680675121064</t>
  </si>
  <si>
    <t xml:space="preserve"> risk_ratio_tb_to_gold_before is: 0.33809011992498006
</t>
  </si>
  <si>
    <t xml:space="preserve"> 0.33809011992498006
</t>
  </si>
  <si>
    <t>value_ratio_reit_to_total is: 0.7763844717994932</t>
  </si>
  <si>
    <t xml:space="preserve"> risk_ratio_reit_to_gold is: 0.40130560651035535</t>
  </si>
  <si>
    <t xml:space="preserve"> risk_ratio_reit_to_gold_before is: 0.40237204590643516
</t>
  </si>
  <si>
    <t xml:space="preserve"> 0.40237204590643516
</t>
  </si>
  <si>
    <t>delta_gold is: 0.9948181504783246</t>
  </si>
  <si>
    <t xml:space="preserve"> delta_tb is: 0.999512038275048</t>
  </si>
  <si>
    <t xml:space="preserve"> delta_reit is: 1.0032532425314995
</t>
  </si>
  <si>
    <t xml:space="preserve"> 1.0032532425314995
</t>
  </si>
  <si>
    <t>delta_gold_risk is: 1.000684715882384</t>
  </si>
  <si>
    <t xml:space="preserve"> delta_tb_risk is: 0.9983608628887476</t>
  </si>
  <si>
    <t xml:space="preserve"> delta_reit_risk is: 0.9992395460254695
</t>
  </si>
  <si>
    <t xml:space="preserve"> 0.9992395460254695
</t>
  </si>
  <si>
    <t xml:space="preserve">collateral_ratio_tranche_gold is: 0.7639517155282254
</t>
  </si>
  <si>
    <t xml:space="preserve"> 0.7639517155282254
</t>
  </si>
  <si>
    <t xml:space="preserve">collateral_ratio_tranche_tb is: 0.32696964758914776
</t>
  </si>
  <si>
    <t xml:space="preserve"> 0.32696964758914776
</t>
  </si>
  <si>
    <t xml:space="preserve">collateral_ratio_tranche_reit is: 0.2972722920322148
</t>
  </si>
  <si>
    <t xml:space="preserve"> 0.2972722920322148
</t>
  </si>
  <si>
    <t>Total plot size is: 144373149.1374247</t>
  </si>
  <si>
    <t xml:space="preserve"> plot size of gold is: 79705153.2359945</t>
  </si>
  <si>
    <t xml:space="preserve"> plot size of TB is: 33858047.61003609</t>
  </si>
  <si>
    <t xml:space="preserve"> plot size of REIT is: 30809948.291394133
</t>
  </si>
  <si>
    <t xml:space="preserve"> 30809948.291394133
</t>
  </si>
  <si>
    <t xml:space="preserve">collateral ratio is: 1.3847977706225523
</t>
  </si>
  <si>
    <t xml:space="preserve"> 1.3847977706225523
</t>
  </si>
  <si>
    <t>S_gtbcps_0 is: 0.9999071864864011</t>
  </si>
  <si>
    <t xml:space="preserve">stdev_gtbcps is: 0.011336050601314585
</t>
  </si>
  <si>
    <t xml:space="preserve"> 0.011336050601314585
</t>
  </si>
  <si>
    <t>predicted price of GTBCPS is: 0.9999725084678042</t>
  </si>
  <si>
    <t xml:space="preserve"> actual price is: 0.9999071864864011
</t>
  </si>
  <si>
    <t xml:space="preserve"> 0.9999071864864011
</t>
  </si>
  <si>
    <t>predicted amount of GTBCPS is: 104258629.92306377</t>
  </si>
  <si>
    <t xml:space="preserve"> actual amount is: 104265440.93550268
</t>
  </si>
  <si>
    <t>plot sizes of gold is: 79705153.2359945</t>
  </si>
  <si>
    <t xml:space="preserve"> plot sizes of tb is: 33858047.61003609 </t>
  </si>
  <si>
    <t xml:space="preserve"> plot sizes of reit is: 30809948.291394133</t>
  </si>
  <si>
    <t xml:space="preserve"> plot sizes of total is: 144373149.13742474.
</t>
  </si>
  <si>
    <t xml:space="preserve"> 144373149.13742474.
</t>
  </si>
  <si>
    <t>predicted stdevs of gold is: 0.009947339481849362</t>
  </si>
  <si>
    <t xml:space="preserve"> predicted stdevs of tb is: 0.0026064132524177006</t>
  </si>
  <si>
    <t xml:space="preserve"> predicted stdevs of reit is: 0.024521918546061536</t>
  </si>
  <si>
    <t xml:space="preserve"> predicted stdevs of GTBCPS is: 0.011336050601314585.
</t>
  </si>
  <si>
    <t xml:space="preserve"> 0.011336050601314585.
</t>
  </si>
  <si>
    <t>total_value_of_collaterals is: 144375514.2829672</t>
  </si>
  <si>
    <t xml:space="preserve"> createdtionValue_gold is: -5207.104627719209</t>
  </si>
  <si>
    <t xml:space="preserve"> createdValue_tb is: -2211.8978404492623</t>
  </si>
  <si>
    <t xml:space="preserve"> createdValue_reit is: -2012.7675865570277
</t>
  </si>
  <si>
    <t xml:space="preserve"> -2012.7675865570277
</t>
  </si>
  <si>
    <t>plotValue_gold_after_creation is: 79712240.26915273</t>
  </si>
  <si>
    <t xml:space="preserve"> plotValue_tb_after_creation  is: 33860531.85298496</t>
  </si>
  <si>
    <t xml:space="preserve"> plotValue_reit_after_creation  is: 30812173.930884235</t>
  </si>
  <si>
    <t xml:space="preserve">total_value_after_creation is: 144384946.05302194
</t>
  </si>
  <si>
    <t xml:space="preserve"> 144384946.05302194
</t>
  </si>
  <si>
    <t>total_amount_gtncps_before_creation is: 104265440.93550268</t>
  </si>
  <si>
    <t>creation_amount_gtbcps is: -6811.012438908219</t>
  </si>
  <si>
    <t xml:space="preserve">total_amount_gtbcps_new is: 104258629.92306377
</t>
  </si>
  <si>
    <t xml:space="preserve"> 104258629.92306377
</t>
  </si>
  <si>
    <t>payout of tranche of gold is: 1879.9285305130127</t>
  </si>
  <si>
    <t xml:space="preserve"> payout of tranche of Treausry Bill Option is: 272.34510842237194</t>
  </si>
  <si>
    <t xml:space="preserve"> payout of tranche of Collar of REIT is: 212.87190354582455
</t>
  </si>
  <si>
    <t xml:space="preserve"> 212.87190354582455
</t>
  </si>
  <si>
    <t>Collateral size of tranche of gold is: 79712240.26915273</t>
  </si>
  <si>
    <t xml:space="preserve"> collateral size of tranche of Treausry Bill Option is: 33860531.85298496</t>
  </si>
  <si>
    <t xml:space="preserve"> collateral size of tranche of Collar of REIT is: 30812173.930884235
</t>
  </si>
  <si>
    <t xml:space="preserve"> 30812173.930884235
</t>
  </si>
  <si>
    <t>Collateral ratio of tranche of gold is: 0.7645335887499846</t>
  </si>
  <si>
    <t xml:space="preserve"> collateral ratio of tranche of Treausry Bill Option is: 0.32476209233531955</t>
  </si>
  <si>
    <t xml:space="preserve"> collateral ratio of tranche of Collar of REIT is: 0.2955247755304122
</t>
  </si>
  <si>
    <t xml:space="preserve"> 0.2955247755304122
</t>
  </si>
  <si>
    <t xml:space="preserve">date is: 2023-03-07 00:00:00
</t>
  </si>
  <si>
    <t xml:space="preserve"> 2023-03-07 00</t>
  </si>
  <si>
    <t>current price of gold is: 1813.45</t>
  </si>
  <si>
    <t xml:space="preserve"> predicted price of gold is: 1820.1072124653758
</t>
  </si>
  <si>
    <t xml:space="preserve"> 1820.1072124653758
</t>
  </si>
  <si>
    <t>current price of tb is: 88.734375</t>
  </si>
  <si>
    <t xml:space="preserve"> current price of tb option is: 4.215634731928988</t>
  </si>
  <si>
    <t xml:space="preserve"> predicted price of tb is: 89.0284240285275
</t>
  </si>
  <si>
    <t xml:space="preserve"> 89.0284240285275
</t>
  </si>
  <si>
    <t>current price of reit is: 50.0</t>
  </si>
  <si>
    <t xml:space="preserve"> current price of reit option is: 4.423658706149354</t>
  </si>
  <si>
    <t xml:space="preserve"> predicted price of reit is: 50.681920752213394
</t>
  </si>
  <si>
    <t xml:space="preserve"> 50.681920752213394
</t>
  </si>
  <si>
    <t>value_ratio_gold_to_total is: 0.40910876713380123</t>
  </si>
  <si>
    <t xml:space="preserve"> risk_ratio_to_gold is: 0.5771472602126992</t>
  </si>
  <si>
    <t xml:space="preserve"> risk_ratio_to_gold_before is: 0.5756381595870099
</t>
  </si>
  <si>
    <t xml:space="preserve"> 0.5756381595870099
</t>
  </si>
  <si>
    <t>value_ratio_tb_to_total is: 0.27713568899885405</t>
  </si>
  <si>
    <t xml:space="preserve"> risk_ratio_tb_to_gold is: 0.3358911742546352</t>
  </si>
  <si>
    <t xml:space="preserve"> risk_ratio_tb_to_gold_before is: 0.33589680675121064
</t>
  </si>
  <si>
    <t xml:space="preserve"> 0.33589680675121064
</t>
  </si>
  <si>
    <t>value_ratio_reit_to_total is: 0.3137555438673447</t>
  </si>
  <si>
    <t xml:space="preserve"> risk_ratio_reit_to_gold is: 0.39676887446753073</t>
  </si>
  <si>
    <t xml:space="preserve"> risk_ratio_reit_to_gold_before is: 0.40130560651035535
</t>
  </si>
  <si>
    <t xml:space="preserve"> 0.40130560651035535
</t>
  </si>
  <si>
    <t>delta_gold is: 0.9819098361543377</t>
  </si>
  <si>
    <t xml:space="preserve"> delta_tb is: 0.9973755226185693</t>
  </si>
  <si>
    <t xml:space="preserve"> delta_reit is: 0.9851839705415503
</t>
  </si>
  <si>
    <t xml:space="preserve"> 0.9851839705415503
</t>
  </si>
  <si>
    <t>delta_gold_risk is: 1.0009577710570838</t>
  </si>
  <si>
    <t xml:space="preserve"> delta_tb_risk is: 0.9999957837337833</t>
  </si>
  <si>
    <t xml:space="preserve"> delta_reit_risk is: 0.9967624963307451
</t>
  </si>
  <si>
    <t xml:space="preserve"> 0.9967624963307451
</t>
  </si>
  <si>
    <t xml:space="preserve">collateral_ratio_tranche_gold is: 0.7499847371894505
</t>
  </si>
  <si>
    <t xml:space="preserve"> 0.7499847371894505
</t>
  </si>
  <si>
    <t xml:space="preserve">collateral_ratio_tranche_tb is: 0.32987868675782345
</t>
  </si>
  <si>
    <t xml:space="preserve"> 0.32987868675782345
</t>
  </si>
  <si>
    <t xml:space="preserve">collateral_ratio_tranche_reit is: 0.29747326043553585
</t>
  </si>
  <si>
    <t xml:space="preserve"> 0.29747326043553585
</t>
  </si>
  <si>
    <t>Total plot size is: 142397558.28943792</t>
  </si>
  <si>
    <t xml:space="preserve"> plot size of gold is: 78270232.78217895</t>
  </si>
  <si>
    <t xml:space="preserve"> plot size of TB is: 33771665.65301359</t>
  </si>
  <si>
    <t xml:space="preserve"> plot size of REIT is: 30355659.854245376
</t>
  </si>
  <si>
    <t xml:space="preserve"> 30355659.854245376
</t>
  </si>
  <si>
    <t xml:space="preserve">collateral ratio is: 1.3658483065546159
</t>
  </si>
  <si>
    <t xml:space="preserve"> 1.3658483065546159
</t>
  </si>
  <si>
    <t>S_gtbcps_0 is: 0.9999725084678042</t>
  </si>
  <si>
    <t xml:space="preserve">stdev_gtbcps is: 0.011179057657227601
</t>
  </si>
  <si>
    <t xml:space="preserve"> 0.011179057657227601
</t>
  </si>
  <si>
    <t>predicted price of GTBCPS is: 0.9999449007381433</t>
  </si>
  <si>
    <t xml:space="preserve"> actual price is: 0.9999725084678042
</t>
  </si>
  <si>
    <t xml:space="preserve"> 0.9999725084678042
</t>
  </si>
  <si>
    <t>predicted amount of GTBCPS is: 104261508.42573687</t>
  </si>
  <si>
    <t xml:space="preserve"> actual amount is: 104258629.92306377
</t>
  </si>
  <si>
    <t>plot sizes of gold is: 78270232.78217895</t>
  </si>
  <si>
    <t xml:space="preserve"> plot sizes of tb is: 33771665.65301359 </t>
  </si>
  <si>
    <t xml:space="preserve"> plot sizes of reit is: 30355659.854245376</t>
  </si>
  <si>
    <t xml:space="preserve"> plot sizes of total is: 142397558.28943792.
</t>
  </si>
  <si>
    <t xml:space="preserve"> 142397558.28943792.
</t>
  </si>
  <si>
    <t>predicted stdevs of gold is: 0.00970188752596455</t>
  </si>
  <si>
    <t xml:space="preserve"> predicted stdevs of tb is: 0.0025558727624858672</t>
  </si>
  <si>
    <t xml:space="preserve"> predicted stdevs of reit is: 0.024581427070893225</t>
  </si>
  <si>
    <t xml:space="preserve"> predicted stdevs of GTBCPS is: 0.011179057657227601.
</t>
  </si>
  <si>
    <t xml:space="preserve"> 0.011179057657227601.
</t>
  </si>
  <si>
    <t>total_value_of_collaterals is: 142396558.00212485</t>
  </si>
  <si>
    <t xml:space="preserve"> createdtionValue_gold is: 2160.903182804772</t>
  </si>
  <si>
    <t xml:space="preserve"> createdValue_tb is: 932.3801342307983</t>
  </si>
  <si>
    <t xml:space="preserve"> createdValue_reit is: 838.0704398682782
</t>
  </si>
  <si>
    <t xml:space="preserve"> 838.0704398682782
</t>
  </si>
  <si>
    <t>plotValue_gold_after_creation is: 78267360.08990386</t>
  </si>
  <si>
    <t xml:space="preserve"> plotValue_tb_after_creation  is: 33770569.77249487</t>
  </si>
  <si>
    <t xml:space="preserve"> plotValue_reit_after_creation  is: 30354696.78596921</t>
  </si>
  <si>
    <t xml:space="preserve">total_value_after_creation is: 142392626.64836794
</t>
  </si>
  <si>
    <t xml:space="preserve"> 142392626.64836794
</t>
  </si>
  <si>
    <t>total_amount_gtncps_before_creation is: 104258629.92306377</t>
  </si>
  <si>
    <t>creation_amount_gtbcps is: 2878.5026731044054</t>
  </si>
  <si>
    <t xml:space="preserve">total_amount_gtbcps_new is: 104261508.42573687
</t>
  </si>
  <si>
    <t xml:space="preserve"> 104261508.42573687
</t>
  </si>
  <si>
    <t>payout of tranche of gold is: -711.7890922876201</t>
  </si>
  <si>
    <t xml:space="preserve"> payout of tranche of Treausry Bill Option is: -163.5003844835185</t>
  </si>
  <si>
    <t xml:space="preserve"> payout of tranche of Collar of REIT is: -124.99783629982693
</t>
  </si>
  <si>
    <t xml:space="preserve"> -124.99783629982693
</t>
  </si>
  <si>
    <t>Collateral size of tranche of gold is: 78267360.08990386</t>
  </si>
  <si>
    <t xml:space="preserve"> collateral size of tranche of Treausry Bill Option is: 33770569.77249487</t>
  </si>
  <si>
    <t xml:space="preserve"> collateral size of tranche of Collar of REIT is: 30354696.78596921
</t>
  </si>
  <si>
    <t xml:space="preserve"> 30354696.78596921
</t>
  </si>
  <si>
    <t>Collateral ratio of tranche of gold is: 0.7507452654908184</t>
  </si>
  <si>
    <t xml:space="preserve"> collateral ratio of tranche of Treausry Bill Option is: 0.3239293536987241</t>
  </si>
  <si>
    <t xml:space="preserve"> collateral ratio of tranche of Collar of REIT is: 0.29116409281338956
</t>
  </si>
  <si>
    <t xml:space="preserve"> 0.29116409281338956
</t>
  </si>
  <si>
    <t xml:space="preserve">date is: 2023-03-08 00:00:00
</t>
  </si>
  <si>
    <t xml:space="preserve"> 2023-03-08 00</t>
  </si>
  <si>
    <t>current price of gold is: 1813.8</t>
  </si>
  <si>
    <t xml:space="preserve"> predicted price of gold is: 1822.4227657140598
</t>
  </si>
  <si>
    <t xml:space="preserve"> 1822.4227657140598
</t>
  </si>
  <si>
    <t>current price of tb is: 88.59375</t>
  </si>
  <si>
    <t xml:space="preserve"> current price of tb option is: 4.215368277478174</t>
  </si>
  <si>
    <t xml:space="preserve"> predicted price of tb is: 88.8880737545895
</t>
  </si>
  <si>
    <t xml:space="preserve"> 88.8880737545895
</t>
  </si>
  <si>
    <t xml:space="preserve"> current price of reit option is: 4.528678167079846</t>
  </si>
  <si>
    <t xml:space="preserve"> predicted price of reit is: 49.424595893008174
</t>
  </si>
  <si>
    <t xml:space="preserve"> 49.424595893008174
</t>
  </si>
  <si>
    <t>value_ratio_gold_to_total is: 0.4715570481641238</t>
  </si>
  <si>
    <t xml:space="preserve"> risk_ratio_to_gold is: 0.5839958927005363</t>
  </si>
  <si>
    <t xml:space="preserve"> risk_ratio_to_gold_before is: 0.5771472602126992
</t>
  </si>
  <si>
    <t xml:space="preserve"> 0.5771472602126992
</t>
  </si>
  <si>
    <t>value_ratio_tb_to_total is: 0.24662354670075504</t>
  </si>
  <si>
    <t xml:space="preserve"> risk_ratio_tb_to_gold is: 0.3289602896156104</t>
  </si>
  <si>
    <t xml:space="preserve"> risk_ratio_tb_to_gold_before is: 0.3358911742546352
</t>
  </si>
  <si>
    <t xml:space="preserve"> 0.3358911742546352
</t>
  </si>
  <si>
    <t>value_ratio_reit_to_total is: 0.28181940513512116</t>
  </si>
  <si>
    <t xml:space="preserve"> risk_ratio_reit_to_gold is: 0.38338052048112076</t>
  </si>
  <si>
    <t xml:space="preserve"> risk_ratio_reit_to_gold_before is: 0.39676887446753073
</t>
  </si>
  <si>
    <t xml:space="preserve"> 0.39676887446753073
</t>
  </si>
  <si>
    <t>delta_gold is: 1.0001930022884558</t>
  </si>
  <si>
    <t xml:space="preserve"> delta_tb is: 0.9984842233491191</t>
  </si>
  <si>
    <t xml:space="preserve"> delta_reit is: 0.9798804313215754
</t>
  </si>
  <si>
    <t xml:space="preserve"> 0.9798804313215754
</t>
  </si>
  <si>
    <t>delta_gold_risk is: 1.004342417896293</t>
  </si>
  <si>
    <t xml:space="preserve"> delta_tb_risk is: 0.9948117894836067</t>
  </si>
  <si>
    <t xml:space="preserve"> delta_reit_risk is: 0.990414767803647
</t>
  </si>
  <si>
    <t xml:space="preserve"> 0.990414767803647
</t>
  </si>
  <si>
    <t xml:space="preserve">collateral_ratio_tranche_gold is: 0.7476435801824726
</t>
  </si>
  <si>
    <t xml:space="preserve"> 0.7476435801824726
</t>
  </si>
  <si>
    <t xml:space="preserve">collateral_ratio_tranche_tb is: 0.3250624291654894
</t>
  </si>
  <si>
    <t xml:space="preserve"> 0.3250624291654894
</t>
  </si>
  <si>
    <t xml:space="preserve">collateral_ratio_tranche_reit is: 0.2880116008358563
</t>
  </si>
  <si>
    <t xml:space="preserve"> 0.2880116008358563
</t>
  </si>
  <si>
    <t>Total plot size is: 141745820.38013053</t>
  </si>
  <si>
    <t xml:space="preserve"> plot size of gold is: 78282465.8695126</t>
  </si>
  <si>
    <t xml:space="preserve"> plot size of TB is: 33719381.13134678</t>
  </si>
  <si>
    <t xml:space="preserve"> plot size of REIT is: 29743973.37927115
</t>
  </si>
  <si>
    <t xml:space="preserve"> 29743973.37927115
</t>
  </si>
  <si>
    <t xml:space="preserve">collateral ratio is: 1.3595969695904273
</t>
  </si>
  <si>
    <t xml:space="preserve"> 1.3595969695904273
</t>
  </si>
  <si>
    <t>S_gtbcps_0 is: 0.9999449007381433</t>
  </si>
  <si>
    <t xml:space="preserve">stdev_gtbcps is: 0.011202858160336827
</t>
  </si>
  <si>
    <t xml:space="preserve"> 0.011202858160336827
</t>
  </si>
  <si>
    <t>predicted price of GTBCPS is: 0.9999392502605868</t>
  </si>
  <si>
    <t xml:space="preserve"> actual price is: 0.9999449007381433
</t>
  </si>
  <si>
    <t xml:space="preserve"> 0.9999449007381433
</t>
  </si>
  <si>
    <t>predicted amount of GTBCPS is: 104262097.58884174</t>
  </si>
  <si>
    <t xml:space="preserve"> actual amount is: 104261508.42573687
</t>
  </si>
  <si>
    <t>plot sizes of gold is: 78282465.8695126</t>
  </si>
  <si>
    <t xml:space="preserve"> plot sizes of tb is: 33719381.13134678 </t>
  </si>
  <si>
    <t xml:space="preserve"> plot sizes of reit is: 29743973.37927115</t>
  </si>
  <si>
    <t xml:space="preserve"> plot sizes of total is: 141745820.38013053.
</t>
  </si>
  <si>
    <t xml:space="preserve"> 141745820.38013053.
</t>
  </si>
  <si>
    <t>predicted stdevs of gold is: 0.009846068442312752</t>
  </si>
  <si>
    <t xml:space="preserve"> predicted stdevs of tb is: 0.002555884044323641</t>
  </si>
  <si>
    <t xml:space="preserve"> predicted stdevs of reit is: 0.02457643994686718</t>
  </si>
  <si>
    <t xml:space="preserve"> predicted stdevs of GTBCPS is: 0.011202858160336827.
</t>
  </si>
  <si>
    <t xml:space="preserve"> 0.011202858160336827.
</t>
  </si>
  <si>
    <t>total_value_of_collaterals is: 141745615.60043812</t>
  </si>
  <si>
    <t xml:space="preserve"> createdtionValue_gold is: 442.3567707642498</t>
  </si>
  <si>
    <t xml:space="preserve"> createdValue_tb is: 190.54096802815587</t>
  </si>
  <si>
    <t xml:space="preserve"> createdValue_reit is: 168.07681398374686
</t>
  </si>
  <si>
    <t xml:space="preserve"> 168.07681398374686
</t>
  </si>
  <si>
    <t>plotValue_gold_after_creation is: 78281860.8321094</t>
  </si>
  <si>
    <t xml:space="preserve"> plotValue_tb_after_creation  is: 33719166.35575768</t>
  </si>
  <si>
    <t xml:space="preserve"> plotValue_reit_after_creation  is: 29743787.43801825</t>
  </si>
  <si>
    <t xml:space="preserve">total_value_after_creation is: 141744814.62588534
</t>
  </si>
  <si>
    <t xml:space="preserve"> 141744814.62588534
</t>
  </si>
  <si>
    <t>total_amount_gtncps_before_creation is: 104261508.42573687</t>
  </si>
  <si>
    <t>creation_amount_gtbcps is: 589.1631048619747</t>
  </si>
  <si>
    <t xml:space="preserve">total_amount_gtbcps_new is: 104262097.58884174
</t>
  </si>
  <si>
    <t xml:space="preserve"> 104262097.58884174
</t>
  </si>
  <si>
    <t>payout of tranche of gold is: -162.6806324318605</t>
  </si>
  <si>
    <t xml:space="preserve"> payout of tranche of Treausry Bill Option is: -24.234621061653783</t>
  </si>
  <si>
    <t xml:space="preserve"> payout of tranche of Collar of REIT is: -17.864438914962186
</t>
  </si>
  <si>
    <t xml:space="preserve"> -17.864438914962186
</t>
  </si>
  <si>
    <t>Collateral size of tranche of gold is: 78281860.8321094</t>
  </si>
  <si>
    <t xml:space="preserve"> collateral size of tranche of Treausry Bill Option is: 33719166.35575768</t>
  </si>
  <si>
    <t xml:space="preserve"> collateral size of tranche of Collar of REIT is: 29743787.43801825
</t>
  </si>
  <si>
    <t xml:space="preserve"> 29743787.43801825
</t>
  </si>
  <si>
    <t>Collateral ratio of tranche of gold is: 0.7508678697031964</t>
  </si>
  <si>
    <t xml:space="preserve"> collateral ratio of tranche of Treausry Bill Option is: 0.3234291870503204</t>
  </si>
  <si>
    <t xml:space="preserve"> collateral ratio of tranche of Collar of REIT is: 0.28529794863190977
</t>
  </si>
  <si>
    <t xml:space="preserve"> 0.28529794863190977
</t>
  </si>
  <si>
    <t xml:space="preserve">date is: 2023-03-09 00:00:00
</t>
  </si>
  <si>
    <t xml:space="preserve"> 2023-03-09 00</t>
  </si>
  <si>
    <t>current price of gold is: 1831.03</t>
  </si>
  <si>
    <t xml:space="preserve"> predicted price of gold is: 1826.8237348712526
</t>
  </si>
  <si>
    <t xml:space="preserve"> 1826.8237348712526
</t>
  </si>
  <si>
    <t>current price of tb is: 89.08203125</t>
  </si>
  <si>
    <t xml:space="preserve"> current price of tb option is: 4.217403511868144</t>
  </si>
  <si>
    <t xml:space="preserve"> predicted price of tb is: 89.3742531545239
</t>
  </si>
  <si>
    <t xml:space="preserve"> 89.3742531545239
</t>
  </si>
  <si>
    <t>current price of reit is: 48.0</t>
  </si>
  <si>
    <t xml:space="preserve"> current price of reit option is: 4.629791714719261</t>
  </si>
  <si>
    <t xml:space="preserve"> predicted price of reit is: 48.68094494798096
</t>
  </si>
  <si>
    <t xml:space="preserve"> 48.68094494798096
</t>
  </si>
  <si>
    <t>value_ratio_gold_to_total is: -0.749232720052875</t>
  </si>
  <si>
    <t xml:space="preserve"> risk_ratio_to_gold is: 0.5837163673818783</t>
  </si>
  <si>
    <t xml:space="preserve"> risk_ratio_to_gold_before is: 0.5839958927005363
</t>
  </si>
  <si>
    <t xml:space="preserve"> 0.5839958927005363
</t>
  </si>
  <si>
    <t>value_ratio_tb_to_total is: 0.8032681758577465</t>
  </si>
  <si>
    <t xml:space="preserve"> risk_ratio_tb_to_gold is: 0.33348724891397724</t>
  </si>
  <si>
    <t xml:space="preserve"> risk_ratio_tb_to_gold_before is: 0.3289602896156104
</t>
  </si>
  <si>
    <t xml:space="preserve"> 0.3289602896156104
</t>
  </si>
  <si>
    <t>value_ratio_reit_to_total is: 0.9459645441951285</t>
  </si>
  <si>
    <t xml:space="preserve"> risk_ratio_reit_to_gold is: 0.3796735529413202</t>
  </si>
  <si>
    <t xml:space="preserve"> risk_ratio_reit_to_gold_before is: 0.38338052048112076
</t>
  </si>
  <si>
    <t xml:space="preserve"> 0.38338052048112076
</t>
  </si>
  <si>
    <t>delta_gold is: 1.0094993935384275</t>
  </si>
  <si>
    <t xml:space="preserve"> delta_tb is: 1.0052830637063486</t>
  </si>
  <si>
    <t xml:space="preserve"> delta_reit is: 0.9868947351334875
</t>
  </si>
  <si>
    <t xml:space="preserve"> 0.9868947351334875
</t>
  </si>
  <si>
    <t>delta_gold_risk is: 0.9998235315382152</t>
  </si>
  <si>
    <t xml:space="preserve"> delta_tb_risk is: 1.0034063916986384</t>
  </si>
  <si>
    <t xml:space="preserve"> delta_reit_risk is: 0.9973203558349143
</t>
  </si>
  <si>
    <t xml:space="preserve"> 0.9973203558349143
</t>
  </si>
  <si>
    <t xml:space="preserve">collateral_ratio_tranche_gold is: 0.758134445912364
</t>
  </si>
  <si>
    <t xml:space="preserve"> 0.758134445912364
</t>
  </si>
  <si>
    <t xml:space="preserve">collateral_ratio_tranche_tb is: 0.3209849347765814
</t>
  </si>
  <si>
    <t xml:space="preserve"> 0.3209849347765814
</t>
  </si>
  <si>
    <t xml:space="preserve">collateral_ratio_tranche_reit is: 0.2796589581617754
</t>
  </si>
  <si>
    <t xml:space="preserve"> 0.2796589581617754
</t>
  </si>
  <si>
    <t>Total plot size is: 142276785.12032393</t>
  </si>
  <si>
    <t xml:space="preserve"> plot size of gold is: 79025491.03507403</t>
  </si>
  <si>
    <t xml:space="preserve"> plot size of TB is: 33897306.859740116</t>
  </si>
  <si>
    <t xml:space="preserve"> plot size of REIT is: 29353987.225509774
</t>
  </si>
  <si>
    <t xml:space="preserve"> 29353987.225509774
</t>
  </si>
  <si>
    <t xml:space="preserve">collateral ratio is: 1.3646898749740946
</t>
  </si>
  <si>
    <t xml:space="preserve"> 1.3646898749740946
</t>
  </si>
  <si>
    <t>S_gtbcps_0 is: 0.9999392502605868</t>
  </si>
  <si>
    <t xml:space="preserve">stdev_gtbcps is: 0.011151605344756527
</t>
  </si>
  <si>
    <t xml:space="preserve"> 0.011151605344756527
</t>
  </si>
  <si>
    <t>predicted price of GTBCPS is: 0.9999283122807</t>
  </si>
  <si>
    <t xml:space="preserve"> actual price is: 0.9999392502605868
</t>
  </si>
  <si>
    <t xml:space="preserve"> 0.9999392502605868
</t>
  </si>
  <si>
    <t>predicted amount of GTBCPS is: 104263238.08732785</t>
  </si>
  <si>
    <t xml:space="preserve"> actual amount is: 104262097.58884174
</t>
  </si>
  <si>
    <t>plot sizes of gold is: 79025491.03507403</t>
  </si>
  <si>
    <t xml:space="preserve"> plot sizes of tb is: 33897306.859740116 </t>
  </si>
  <si>
    <t xml:space="preserve"> plot sizes of reit is: 29353987.225509774</t>
  </si>
  <si>
    <t xml:space="preserve"> plot sizes of total is: 142276785.1203239.
</t>
  </si>
  <si>
    <t xml:space="preserve"> 142276785.1203239.
</t>
  </si>
  <si>
    <t>predicted stdevs of gold is: 0.00984211245186465</t>
  </si>
  <si>
    <t xml:space="preserve"> predicted stdevs of tb is: 0.002592820915644556</t>
  </si>
  <si>
    <t xml:space="preserve"> predicted stdevs of reit is: 0.02456045021424115</t>
  </si>
  <si>
    <t xml:space="preserve"> predicted stdevs of GTBCPS is: 0.011151605344756527.
</t>
  </si>
  <si>
    <t xml:space="preserve"> 0.011151605344756527.
</t>
  </si>
  <si>
    <t>total_value_of_collaterals is: 142276389.03442508</t>
  </si>
  <si>
    <t xml:space="preserve"> createdtionValue_gold is: 864.4282810329687</t>
  </si>
  <si>
    <t xml:space="preserve"> createdValue_tb is: 370.7900789650018</t>
  </si>
  <si>
    <t xml:space="preserve"> createdValue_reit is: 321.0924671027452
</t>
  </si>
  <si>
    <t xml:space="preserve"> 321.0924671027452
</t>
  </si>
  <si>
    <t>plotValue_gold_after_creation is: 79024309.88970686</t>
  </si>
  <si>
    <t xml:space="preserve"> plotValue_tb_after_creation  is: 33896889.70974521</t>
  </si>
  <si>
    <t xml:space="preserve"> plotValue_reit_after_creation  is: 29353633.124145895</t>
  </si>
  <si>
    <t xml:space="preserve">total_value_after_creation is: 142274832.72359797
</t>
  </si>
  <si>
    <t xml:space="preserve"> 142274832.72359797
</t>
  </si>
  <si>
    <t>total_amount_gtncps_before_creation is: 104262097.58884174</t>
  </si>
  <si>
    <t>creation_amount_gtbcps is: 1140.4984861165285</t>
  </si>
  <si>
    <t xml:space="preserve">total_amount_gtbcps_new is: 104263238.08732785
</t>
  </si>
  <si>
    <t xml:space="preserve"> 104263238.08732785
</t>
  </si>
  <si>
    <t>payout of tranche of gold is: -316.7170861155785</t>
  </si>
  <si>
    <t xml:space="preserve"> payout of tranche of Treausry Bill Option is: -46.359915935003905</t>
  </si>
  <si>
    <t xml:space="preserve"> payout of tranche of Collar of REIT is: -33.00889677636312
</t>
  </si>
  <si>
    <t xml:space="preserve"> -33.00889677636312
</t>
  </si>
  <si>
    <t>Collateral size of tranche of gold is: 79024309.88970686</t>
  </si>
  <si>
    <t xml:space="preserve"> collateral size of tranche of Treausry Bill Option is: 33896889.70974521</t>
  </si>
  <si>
    <t xml:space="preserve"> collateral size of tranche of Collar of REIT is: 29353633.124145895
</t>
  </si>
  <si>
    <t xml:space="preserve"> 29353633.124145895
</t>
  </si>
  <si>
    <t>Collateral ratio of tranche of gold is: 0.7579933379055215</t>
  </si>
  <si>
    <t xml:space="preserve"> collateral ratio of tranche of Treausry Bill Option is: 0.32513560208960157</t>
  </si>
  <si>
    <t xml:space="preserve"> collateral ratio of tranche of Collar of REIT is: 0.28155713580389685
</t>
  </si>
  <si>
    <t xml:space="preserve"> 0.28155713580389685
</t>
  </si>
  <si>
    <t xml:space="preserve">date is: 2023-03-10 00:00:00
</t>
  </si>
  <si>
    <t xml:space="preserve"> 2023-03-10 00</t>
  </si>
  <si>
    <t>current price of gold is: 1868.26</t>
  </si>
  <si>
    <t xml:space="preserve"> predicted price of gold is: 1857.8098853844833
</t>
  </si>
  <si>
    <t xml:space="preserve"> 1857.8098853844833
</t>
  </si>
  <si>
    <t>current price of tb is: 89.67578125</t>
  </si>
  <si>
    <t xml:space="preserve"> current price of tb option is: 4.232196853981564</t>
  </si>
  <si>
    <t xml:space="preserve"> predicted price of tb is: 89.95270828530613
</t>
  </si>
  <si>
    <t xml:space="preserve"> 89.95270828530613
</t>
  </si>
  <si>
    <t>current price of reit is: 47.5</t>
  </si>
  <si>
    <t xml:space="preserve"> current price of reit option is: 4.792599483165219</t>
  </si>
  <si>
    <t xml:space="preserve"> predicted price of reit is: 48.359167214217706
</t>
  </si>
  <si>
    <t xml:space="preserve"> 48.359167214217706
</t>
  </si>
  <si>
    <t>value_ratio_gold_to_total is: 36.131557454650924</t>
  </si>
  <si>
    <t xml:space="preserve"> risk_ratio_to_gold is: 0.583241985962538</t>
  </si>
  <si>
    <t xml:space="preserve"> risk_ratio_to_gold_before is: 0.5837163673818783
</t>
  </si>
  <si>
    <t xml:space="preserve"> 0.5837163673818783
</t>
  </si>
  <si>
    <t>value_ratio_tb_to_total is: -15.59041932746134</t>
  </si>
  <si>
    <t xml:space="preserve"> risk_ratio_tb_to_gold is: 0.3426062165894862</t>
  </si>
  <si>
    <t xml:space="preserve"> risk_ratio_tb_to_gold_before is: 0.33348724891397724
</t>
  </si>
  <si>
    <t xml:space="preserve"> 0.33348724891397724
</t>
  </si>
  <si>
    <t>value_ratio_reit_to_total is: -19.54113812718958</t>
  </si>
  <si>
    <t xml:space="preserve"> risk_ratio_reit_to_gold is: 0.3719479891569955</t>
  </si>
  <si>
    <t xml:space="preserve"> risk_ratio_reit_to_gold_before is: 0.3796735529413202
</t>
  </si>
  <si>
    <t xml:space="preserve"> 0.3796735529413202
</t>
  </si>
  <si>
    <t>delta_gold is: 1.0203328181406095</t>
  </si>
  <si>
    <t xml:space="preserve"> delta_tb is: 1.00652247619363</t>
  </si>
  <si>
    <t xml:space="preserve"> delta_reit is: 0.993593130039697
</t>
  </si>
  <si>
    <t xml:space="preserve"> 0.993593130039697
</t>
  </si>
  <si>
    <t>delta_gold_risk is: 0.999700463145352</t>
  </si>
  <si>
    <t xml:space="preserve"> delta_tb_risk is: 1.0068384363502056</t>
  </si>
  <si>
    <t xml:space="preserve"> delta_reit_risk is: 0.9944004407652414
</t>
  </si>
  <si>
    <t xml:space="preserve"> 0.9944004407652414
</t>
  </si>
  <si>
    <t xml:space="preserve">collateral_ratio_tranche_gold is: 0.7736372114539055
</t>
  </si>
  <si>
    <t xml:space="preserve"> 0.7736372114539055
</t>
  </si>
  <si>
    <t xml:space="preserve">collateral_ratio_tranche_tb is: 0.3185564201753089
</t>
  </si>
  <si>
    <t xml:space="preserve"> 0.3185564201753089
</t>
  </si>
  <si>
    <t xml:space="preserve">collateral_ratio_tranche_reit is: 0.2757223395509015
</t>
  </si>
  <si>
    <t xml:space="preserve"> 0.2757223395509015
</t>
  </si>
  <si>
    <t>Total plot size is: 143914646.3911536</t>
  </si>
  <si>
    <t xml:space="preserve"> plot size of gold is: 80631096.81138144</t>
  </si>
  <si>
    <t xml:space="preserve"> plot size of TB is: 34117981.36591513</t>
  </si>
  <si>
    <t xml:space="preserve"> plot size of REIT is: 29165568.213857047
</t>
  </si>
  <si>
    <t xml:space="preserve"> 29165568.213857047
</t>
  </si>
  <si>
    <t xml:space="preserve">collateral ratio is: 1.3803999058904046
</t>
  </si>
  <si>
    <t xml:space="preserve"> 1.3803999058904046
</t>
  </si>
  <si>
    <t>S_gtbcps_0 is: 0.9999283122807</t>
  </si>
  <si>
    <t xml:space="preserve">stdev_gtbcps is: 0.011114175568916796
</t>
  </si>
  <si>
    <t xml:space="preserve"> 0.011114175568916796
</t>
  </si>
  <si>
    <t>predicted price of GTBCPS is: 0.9998702650243403</t>
  </si>
  <si>
    <t xml:space="preserve"> actual price is: 0.9999283122807
</t>
  </si>
  <si>
    <t xml:space="preserve"> 0.9999283122807
</t>
  </si>
  <si>
    <t>predicted amount of GTBCPS is: 104269291.06752126</t>
  </si>
  <si>
    <t xml:space="preserve"> actual amount is: 104263238.08732785
</t>
  </si>
  <si>
    <t>plot sizes of gold is: 80631096.81138144</t>
  </si>
  <si>
    <t xml:space="preserve"> plot sizes of tb is: 34117981.36591513 </t>
  </si>
  <si>
    <t xml:space="preserve"> plot sizes of reit is: 29165568.213857047</t>
  </si>
  <si>
    <t xml:space="preserve"> plot sizes of total is: 143914646.39115363.
</t>
  </si>
  <si>
    <t xml:space="preserve"> 143914646.39115363.
</t>
  </si>
  <si>
    <t>predicted stdevs of gold is: 0.009818284436314795</t>
  </si>
  <si>
    <t xml:space="preserve"> predicted stdevs of tb is: 0.0026671215206543423</t>
  </si>
  <si>
    <t xml:space="preserve"> predicted stdevs of reit is: 0.024578187416927622</t>
  </si>
  <si>
    <t xml:space="preserve"> predicted stdevs of GTBCPS is: 0.011114175568916796.
</t>
  </si>
  <si>
    <t xml:space="preserve"> 0.011114175568916796.
</t>
  </si>
  <si>
    <t>total_value_of_collaterals is: 143912542.16398486</t>
  </si>
  <si>
    <t xml:space="preserve"> createdtionValue_gold is: 4680.651071476569</t>
  </si>
  <si>
    <t xml:space="preserve"> createdValue_tb is: 1980.5832314100653</t>
  </si>
  <si>
    <t xml:space="preserve"> createdValue_reit is: 1693.092828169248
</t>
  </si>
  <si>
    <t xml:space="preserve"> 1693.092828169248
</t>
  </si>
  <si>
    <t>plotValue_gold_after_creation is: 80624720.62946439</t>
  </si>
  <si>
    <t xml:space="preserve"> plotValue_tb_after_creation  is: 34115760.23877038</t>
  </si>
  <si>
    <t xml:space="preserve"> plotValue_reit_after_creation  is: 29163706.96861903</t>
  </si>
  <si>
    <t xml:space="preserve">total_value_after_creation is: 143904187.8368538
</t>
  </si>
  <si>
    <t xml:space="preserve"> 143904187.8368538
</t>
  </si>
  <si>
    <t>total_amount_gtncps_before_creation is: 104263238.08732785</t>
  </si>
  <si>
    <t>creation_amount_gtbcps is: 6052.9801934063435</t>
  </si>
  <si>
    <t xml:space="preserve">total_amount_gtbcps_new is: 104269291.06752126
</t>
  </si>
  <si>
    <t xml:space="preserve"> 104269291.06752126
</t>
  </si>
  <si>
    <t>payout of tranche of gold is: -1695.5308455822196</t>
  </si>
  <si>
    <t xml:space="preserve"> payout of tranche of Treausry Bill Option is: -240.5439133323672</t>
  </si>
  <si>
    <t xml:space="preserve"> payout of tranche of Collar of REIT is: -168.15240984830078
</t>
  </si>
  <si>
    <t xml:space="preserve"> -168.15240984830078
</t>
  </si>
  <si>
    <t>Collateral size of tranche of gold is: 80624720.62946439</t>
  </si>
  <si>
    <t xml:space="preserve"> collateral size of tranche of Treausry Bill Option is: 34115760.23877038</t>
  </si>
  <si>
    <t xml:space="preserve"> collateral size of tranche of Collar of REIT is: 29163706.96861903
</t>
  </si>
  <si>
    <t xml:space="preserve"> 29163706.96861903
</t>
  </si>
  <si>
    <t>Collateral ratio of tranche of gold is: 0.773380755403732</t>
  </si>
  <si>
    <t xml:space="preserve"> collateral ratio of tranche of Treausry Bill Option is: 0.3272504043256258</t>
  </si>
  <si>
    <t xml:space="preserve"> collateral ratio of tranche of Collar of REIT is: 0.2797485628436528
</t>
  </si>
  <si>
    <t xml:space="preserve"> 0.2797485628436528
</t>
  </si>
  <si>
    <t xml:space="preserve">date is: 2023-03-13 00:00:00
</t>
  </si>
  <si>
    <t xml:space="preserve"> 2023-03-13 00</t>
  </si>
  <si>
    <t>current price of gold is: 1913.7</t>
  </si>
  <si>
    <t xml:space="preserve"> predicted price of gold is: 1892.1265208528932
</t>
  </si>
  <si>
    <t xml:space="preserve"> 1892.1265208528932
</t>
  </si>
  <si>
    <t xml:space="preserve"> current price of tb option is: 4.239829413004734</t>
  </si>
  <si>
    <t xml:space="preserve"> predicted price of tb is: 91.07763359840574
</t>
  </si>
  <si>
    <t xml:space="preserve"> 91.07763359840574
</t>
  </si>
  <si>
    <t>current price of reit is: 48.7</t>
  </si>
  <si>
    <t xml:space="preserve"> current price of reit option is: 4.767177062853712</t>
  </si>
  <si>
    <t xml:space="preserve"> predicted price of reit is: 49.204649996998235
</t>
  </si>
  <si>
    <t xml:space="preserve"> 49.204649996998235
</t>
  </si>
  <si>
    <t>value_ratio_gold_to_total is: 1.8293798389831777</t>
  </si>
  <si>
    <t xml:space="preserve"> risk_ratio_to_gold is: 0.5592312133226525</t>
  </si>
  <si>
    <t xml:space="preserve"> risk_ratio_to_gold_before is: 0.583241985962538
</t>
  </si>
  <si>
    <t xml:space="preserve"> 0.583241985962538
</t>
  </si>
  <si>
    <t>value_ratio_tb_to_total is: -0.3823414140663291</t>
  </si>
  <si>
    <t xml:space="preserve"> risk_ratio_tb_to_gold is: 0.3804934997159274</t>
  </si>
  <si>
    <t xml:space="preserve"> risk_ratio_tb_to_gold_before is: 0.3426062165894862
</t>
  </si>
  <si>
    <t xml:space="preserve"> 0.3426062165894862
</t>
  </si>
  <si>
    <t>value_ratio_reit_to_total is: -0.4470384249168487</t>
  </si>
  <si>
    <t xml:space="preserve"> risk_ratio_reit_to_gold is: 0.4076756442389232</t>
  </si>
  <si>
    <t xml:space="preserve"> risk_ratio_reit_to_gold_before is: 0.3719479891569955
</t>
  </si>
  <si>
    <t xml:space="preserve"> 0.3719479891569955
</t>
  </si>
  <si>
    <t>delta_gold is: 1.024322096496205</t>
  </si>
  <si>
    <t xml:space="preserve"> delta_tb is: 1.012144282967741</t>
  </si>
  <si>
    <t xml:space="preserve"> delta_reit is: 1.0224616406775997
</t>
  </si>
  <si>
    <t xml:space="preserve"> 1.0224616406775997
</t>
  </si>
  <si>
    <t>delta_gold_risk is: 0.9848344265420121</t>
  </si>
  <si>
    <t xml:space="preserve"> delta_tb_risk is: 1.028219207283788</t>
  </si>
  <si>
    <t xml:space="preserve"> delta_reit_risk is: 1.0260415521319295
</t>
  </si>
  <si>
    <t xml:space="preserve"> 1.0260415521319295
</t>
  </si>
  <si>
    <t xml:space="preserve">collateral_ratio_tranche_gold is: 0.8043900328977536
</t>
  </si>
  <si>
    <t xml:space="preserve"> 0.8043900328977536
</t>
  </si>
  <si>
    <t xml:space="preserve">collateral_ratio_tranche_tb is: 0.31448531052088996
</t>
  </si>
  <si>
    <t xml:space="preserve"> 0.31448531052088996
</t>
  </si>
  <si>
    <t xml:space="preserve">collateral_ratio_tranche_reit is: 0.27215317013384954
</t>
  </si>
  <si>
    <t xml:space="preserve"> 0.27215317013384954
</t>
  </si>
  <si>
    <t>Total plot size is: 146934526.22473836</t>
  </si>
  <si>
    <t xml:space="preserve"> plot size of gold is: 82585682.86459379</t>
  </si>
  <si>
    <t xml:space="preserve"> plot size of TB is: 34530071.684769616</t>
  </si>
  <si>
    <t xml:space="preserve"> plot size of REIT is: 29818771.675374962
</t>
  </si>
  <si>
    <t xml:space="preserve"> 29818771.675374962
</t>
  </si>
  <si>
    <t xml:space="preserve">collateral ratio is: 1.4093659767012274
</t>
  </si>
  <si>
    <t xml:space="preserve"> 1.4093659767012274
</t>
  </si>
  <si>
    <t>S_gtbcps_0 is: 0.9998702650243403</t>
  </si>
  <si>
    <t xml:space="preserve">stdev_gtbcps is: 0.01121129154932535
</t>
  </si>
  <si>
    <t xml:space="preserve"> 0.01121129154932535
</t>
  </si>
  <si>
    <t>predicted price of GTBCPS is: 0.9998619666782227</t>
  </si>
  <si>
    <t xml:space="preserve"> actual price is: 0.9998702650243403
</t>
  </si>
  <si>
    <t xml:space="preserve"> 0.9998702650243403
</t>
  </si>
  <si>
    <t>predicted amount of GTBCPS is: 104270156.44963954</t>
  </si>
  <si>
    <t xml:space="preserve"> actual amount is: 104269291.06752126
</t>
  </si>
  <si>
    <t>plot sizes of gold is: 82585682.86459379</t>
  </si>
  <si>
    <t xml:space="preserve"> plot sizes of tb is: 34530071.684769616 </t>
  </si>
  <si>
    <t xml:space="preserve"> plot sizes of reit is: 29818771.675374962</t>
  </si>
  <si>
    <t xml:space="preserve"> plot sizes of total is: 146934526.22473836.
</t>
  </si>
  <si>
    <t xml:space="preserve"> 146934526.22473836.
</t>
  </si>
  <si>
    <t>predicted stdevs of gold is: 0.009846715465810212</t>
  </si>
  <si>
    <t xml:space="preserve"> predicted stdevs of tb is: 0.002943718158004788</t>
  </si>
  <si>
    <t xml:space="preserve"> predicted stdevs of reit is: 0.024564435463969057</t>
  </si>
  <si>
    <t xml:space="preserve"> predicted stdevs of GTBCPS is: 0.01121129154932535.
</t>
  </si>
  <si>
    <t xml:space="preserve"> 0.01121129154932535.
</t>
  </si>
  <si>
    <t>total_value_of_collaterals is: 146934226.61850086</t>
  </si>
  <si>
    <t xml:space="preserve"> createdtionValue_gold is: 685.4114847381011</t>
  </si>
  <si>
    <t xml:space="preserve"> createdValue_tb is: 286.5794022891629</t>
  </si>
  <si>
    <t xml:space="preserve"> createdValue_reit is: 247.4783897936237
</t>
  </si>
  <si>
    <t xml:space="preserve"> 247.4783897936237
</t>
  </si>
  <si>
    <t>plotValue_gold_after_creation is: 82584754.28731579</t>
  </si>
  <si>
    <t xml:space="preserve"> plotValue_tb_after_creation  is: 34529753.3654541</t>
  </si>
  <si>
    <t xml:space="preserve"> plotValue_reit_after_creation  is: 29818499.496454164</t>
  </si>
  <si>
    <t xml:space="preserve">total_value_after_creation is: 146933007.14922404
</t>
  </si>
  <si>
    <t xml:space="preserve"> 146933007.14922404
</t>
  </si>
  <si>
    <t>total_amount_gtncps_before_creation is: 104269291.06752126</t>
  </si>
  <si>
    <t>creation_amount_gtbcps is: 865.3821182847023</t>
  </si>
  <si>
    <t xml:space="preserve">total_amount_gtbcps_new is: 104270156.44963954
</t>
  </si>
  <si>
    <t xml:space="preserve"> 104270156.44963954
</t>
  </si>
  <si>
    <t>payout of tranche of gold is: -243.16579326704763</t>
  </si>
  <si>
    <t xml:space="preserve"> payout of tranche of Treausry Bill Option is: -31.739913224365772</t>
  </si>
  <si>
    <t xml:space="preserve"> payout of tranche of Collar of REIT is: -24.70053100747595
</t>
  </si>
  <si>
    <t xml:space="preserve"> -24.70053100747595
</t>
  </si>
  <si>
    <t>Collateral size of tranche of gold is: 82584754.28731579</t>
  </si>
  <si>
    <t xml:space="preserve"> collateral size of tranche of Treausry Bill Option is: 34529753.3654541</t>
  </si>
  <si>
    <t xml:space="preserve"> collateral size of tranche of Collar of REIT is: 29818499.496454164
</t>
  </si>
  <si>
    <t xml:space="preserve"> 29818499.496454164
</t>
  </si>
  <si>
    <t>Collateral ratio of tranche of gold is: 0.7921426765576899</t>
  </si>
  <si>
    <t xml:space="preserve"> collateral ratio of tranche of Treausry Bill Option is: 0.33120509333511194</t>
  </si>
  <si>
    <t xml:space="preserve"> collateral ratio of tranche of Collar of REIT is: 0.2860153330465646
</t>
  </si>
  <si>
    <t xml:space="preserve"> 0.2860153330465646
</t>
  </si>
  <si>
    <t xml:space="preserve">date is: 2023-03-14 00:00:00
</t>
  </si>
  <si>
    <t xml:space="preserve"> 2023-03-14 00</t>
  </si>
  <si>
    <t>current price of gold is: 1904.01</t>
  </si>
  <si>
    <t xml:space="preserve"> predicted price of gold is: 1900.6164205317993
</t>
  </si>
  <si>
    <t xml:space="preserve"> 1900.6164205317993
</t>
  </si>
  <si>
    <t>current price of tb is: 90.26171875</t>
  </si>
  <si>
    <t xml:space="preserve"> current price of tb option is: 4.234827649010538</t>
  </si>
  <si>
    <t xml:space="preserve"> predicted price of tb is: 90.53592830444656
</t>
  </si>
  <si>
    <t xml:space="preserve"> 90.53592830444656
</t>
  </si>
  <si>
    <t>current price of reit is: 48.65</t>
  </si>
  <si>
    <t xml:space="preserve"> current price of reit option is: 4.731673807064993</t>
  </si>
  <si>
    <t xml:space="preserve"> predicted price of reit is: 49.460395142245254
</t>
  </si>
  <si>
    <t xml:space="preserve"> 49.460395142245254
</t>
  </si>
  <si>
    <t>value_ratio_gold_to_total is: -0.5097357665974579</t>
  </si>
  <si>
    <t xml:space="preserve"> risk_ratio_to_gold is: 0.5558460269493585</t>
  </si>
  <si>
    <t xml:space="preserve"> risk_ratio_to_gold_before is: 0.5592312133226525
</t>
  </si>
  <si>
    <t xml:space="preserve"> 0.5592312133226525
</t>
  </si>
  <si>
    <t>value_ratio_tb_to_total is: 0.67728413524948</t>
  </si>
  <si>
    <t xml:space="preserve"> risk_ratio_tb_to_gold is: 0.3822903031069641</t>
  </si>
  <si>
    <t xml:space="preserve"> risk_ratio_tb_to_gold_before is: 0.3804934997159274
</t>
  </si>
  <si>
    <t xml:space="preserve"> 0.3804934997159274
</t>
  </si>
  <si>
    <t>value_ratio_reit_to_total is: 0.8324516313479781</t>
  </si>
  <si>
    <t xml:space="preserve"> risk_ratio_reit_to_gold is: 0.416769061386986</t>
  </si>
  <si>
    <t xml:space="preserve"> risk_ratio_reit_to_gold_before is: 0.4076756442389232
</t>
  </si>
  <si>
    <t xml:space="preserve"> 0.4076756442389232
</t>
  </si>
  <si>
    <t>delta_gold is: 0.9949365104248314</t>
  </si>
  <si>
    <t xml:space="preserve"> delta_tb is: 0.9941937304625481</t>
  </si>
  <si>
    <t xml:space="preserve"> delta_reit is: 0.998400827189956
</t>
  </si>
  <si>
    <t xml:space="preserve"> 0.998400827189956
</t>
  </si>
  <si>
    <t>delta_gold_risk is: 0.9978289388101202</t>
  </si>
  <si>
    <t xml:space="preserve"> delta_tb_risk is: 1.0013015659917317</t>
  </si>
  <si>
    <t xml:space="preserve"> delta_reit_risk is: 1.0064598809997733
</t>
  </si>
  <si>
    <t xml:space="preserve"> 1.0064598809997733
</t>
  </si>
  <si>
    <t xml:space="preserve">collateral_ratio_tranche_gold is: 0.7898464754016017
</t>
  </si>
  <si>
    <t xml:space="preserve"> 0.7898464754016017
</t>
  </si>
  <si>
    <t xml:space="preserve">collateral_ratio_tranche_tb is: 0.33052762529061
</t>
  </si>
  <si>
    <t xml:space="preserve"> 0.33052762529061
</t>
  </si>
  <si>
    <t xml:space="preserve">collateral_ratio_tranche_reit is: 0.2851690652144465
</t>
  </si>
  <si>
    <t xml:space="preserve"> 0.2851690652144465
</t>
  </si>
  <si>
    <t>Total plot size is: 146266666.11808977</t>
  </si>
  <si>
    <t xml:space="preserve"> plot size of gold is: 82166587.2449141</t>
  </si>
  <si>
    <t xml:space="preserve"> plot size of TB is: 34329264.310352534</t>
  </si>
  <si>
    <t xml:space="preserve"> plot size of REIT is: 29770814.562823124
</t>
  </si>
  <si>
    <t xml:space="preserve"> 29770814.562823124
</t>
  </si>
  <si>
    <t xml:space="preserve">collateral ratio is: 1.402959998911726
</t>
  </si>
  <si>
    <t xml:space="preserve"> 1.402959998911726
</t>
  </si>
  <si>
    <t>S_gtbcps_0 is: 0.9998619666782227</t>
  </si>
  <si>
    <t xml:space="preserve">stdev_gtbcps is: 0.01137168890738604
</t>
  </si>
  <si>
    <t xml:space="preserve"> 0.01137168890738604
</t>
  </si>
  <si>
    <t>predicted price of GTBCPS is: 0.9998587331771964</t>
  </si>
  <si>
    <t xml:space="preserve"> actual price is: 0.9998619666782227
</t>
  </si>
  <si>
    <t xml:space="preserve"> 0.9998619666782227
</t>
  </si>
  <si>
    <t>predicted amount of GTBCPS is: 104270493.65493336</t>
  </si>
  <si>
    <t xml:space="preserve"> actual amount is: 104270156.44963954
</t>
  </si>
  <si>
    <t>plot sizes of gold is: 82166587.2449141</t>
  </si>
  <si>
    <t xml:space="preserve"> plot sizes of tb is: 34329264.310352534 </t>
  </si>
  <si>
    <t xml:space="preserve"> plot sizes of reit is: 29770814.562823124</t>
  </si>
  <si>
    <t xml:space="preserve"> plot sizes of total is: 146266666.11808977.
</t>
  </si>
  <si>
    <t xml:space="preserve"> 146266666.11808977.
</t>
  </si>
  <si>
    <t>predicted stdevs of gold is: 0.01011323827497091</t>
  </si>
  <si>
    <t xml:space="preserve"> predicted stdevs of tb is: 0.0030085638127903707</t>
  </si>
  <si>
    <t xml:space="preserve"> predicted stdevs of reit is: 0.024488646949989257</t>
  </si>
  <si>
    <t xml:space="preserve"> predicted stdevs of GTBCPS is: 0.01137168890738604.
</t>
  </si>
  <si>
    <t xml:space="preserve"> 0.01137168890738604.
</t>
  </si>
  <si>
    <t>total_value_of_collaterals is: 146266548.57538778</t>
  </si>
  <si>
    <t xml:space="preserve"> createdtionValue_gold is: 265.72212912697256</t>
  </si>
  <si>
    <t xml:space="preserve"> createdValue_tb is: 111.01899421870797</t>
  </si>
  <si>
    <t xml:space="preserve"> createdValue_reit is: 96.2772038862074
</t>
  </si>
  <si>
    <t xml:space="preserve"> 96.2772038862074
</t>
  </si>
  <si>
    <t>plotValue_gold_after_creation is: 82166230.73256823</t>
  </si>
  <si>
    <t xml:space="preserve"> plotValue_tb_after_creation  is: 34329140.46203942</t>
  </si>
  <si>
    <t xml:space="preserve"> plotValue_reit_after_creation  is: 29770704.362452887</t>
  </si>
  <si>
    <t xml:space="preserve">total_value_after_creation is: 146266075.55706054
</t>
  </si>
  <si>
    <t xml:space="preserve"> 146266075.55706054
</t>
  </si>
  <si>
    <t>total_amount_gtncps_before_creation is: 104270156.44963954</t>
  </si>
  <si>
    <t>creation_amount_gtbcps is: 337.2052938193083</t>
  </si>
  <si>
    <t xml:space="preserve">total_amount_gtbcps_new is: 104270493.65493336
</t>
  </si>
  <si>
    <t xml:space="preserve"> 104270493.65493336
</t>
  </si>
  <si>
    <t>payout of tranche of gold is: -90.79021674989806</t>
  </si>
  <si>
    <t xml:space="preserve"> payout of tranche of Treausry Bill Option is: -12.829318894189296</t>
  </si>
  <si>
    <t xml:space="preserve"> payout of tranche of Collar of REIT is: -13.923166349381217
</t>
  </si>
  <si>
    <t xml:space="preserve"> -13.923166349381217
</t>
  </si>
  <si>
    <t>Collateral size of tranche of gold is: 82166230.73256823</t>
  </si>
  <si>
    <t xml:space="preserve"> collateral size of tranche of Treausry Bill Option is: 34329140.46203942</t>
  </si>
  <si>
    <t xml:space="preserve"> collateral size of tranche of Collar of REIT is: 29770704.362452887
</t>
  </si>
  <si>
    <t xml:space="preserve"> 29770704.362452887
</t>
  </si>
  <si>
    <t>Collateral ratio of tranche of gold is: 0.7881242584936826</t>
  </si>
  <si>
    <t xml:space="preserve"> collateral ratio of tranche of Treausry Bill Option is: 0.3292791713840447</t>
  </si>
  <si>
    <t xml:space="preserve"> collateral ratio of tranche of Collar of REIT is: 0.2855554415883993
</t>
  </si>
  <si>
    <t xml:space="preserve"> 0.2855554415883993
</t>
  </si>
  <si>
    <t xml:space="preserve">date is: 2023-03-15 00:00:00
</t>
  </si>
  <si>
    <t xml:space="preserve"> 2023-03-15 00</t>
  </si>
  <si>
    <t>current price of gold is: 1918.58</t>
  </si>
  <si>
    <t xml:space="preserve"> predicted price of gold is: 1914.6798794125593
</t>
  </si>
  <si>
    <t xml:space="preserve"> 1914.6798794125593
</t>
  </si>
  <si>
    <t xml:space="preserve"> current price of tb option is: 4.242135441419054</t>
  </si>
  <si>
    <t xml:space="preserve"> predicted price of tb is: 91.29790620082619
</t>
  </si>
  <si>
    <t xml:space="preserve"> 91.29790620082619
</t>
  </si>
  <si>
    <t>current price of reit is: 48.5</t>
  </si>
  <si>
    <t xml:space="preserve"> current price of reit option is: 4.813466639881973</t>
  </si>
  <si>
    <t xml:space="preserve"> predicted price of reit is: 48.888110869028964
</t>
  </si>
  <si>
    <t xml:space="preserve"> 48.888110869028964
</t>
  </si>
  <si>
    <t>value_ratio_gold_to_total is: -0.6712484921551304</t>
  </si>
  <si>
    <t xml:space="preserve"> risk_ratio_to_gold is: 0.5528548094664497</t>
  </si>
  <si>
    <t xml:space="preserve"> risk_ratio_to_gold_before is: 0.5558460269493585
</t>
  </si>
  <si>
    <t xml:space="preserve"> 0.5558460269493585
</t>
  </si>
  <si>
    <t>value_ratio_tb_to_total is: 0.7760066704206413</t>
  </si>
  <si>
    <t xml:space="preserve"> risk_ratio_tb_to_gold is: 0.3925988279581433</t>
  </si>
  <si>
    <t xml:space="preserve"> risk_ratio_tb_to_gold_before is: 0.3822903031069641
</t>
  </si>
  <si>
    <t xml:space="preserve"> 0.3822903031069641
</t>
  </si>
  <si>
    <t>value_ratio_reit_to_total is: 0.8952418217344892</t>
  </si>
  <si>
    <t xml:space="preserve"> risk_ratio_reit_to_gold is: 0.41619433595605343</t>
  </si>
  <si>
    <t xml:space="preserve"> risk_ratio_reit_to_gold_before is: 0.416769061386986
</t>
  </si>
  <si>
    <t xml:space="preserve"> 0.416769061386986
</t>
  </si>
  <si>
    <t>delta_gold is: 1.0076522707338722</t>
  </si>
  <si>
    <t xml:space="preserve"> delta_tb is: 1.008220819405699</t>
  </si>
  <si>
    <t xml:space="preserve"> delta_reit is: 0.9987222737258196
</t>
  </si>
  <si>
    <t xml:space="preserve"> 0.9987222737258196
</t>
  </si>
  <si>
    <t>delta_gold_risk is: 0.9980774334792153</t>
  </si>
  <si>
    <t xml:space="preserve"> delta_tb_risk is: 1.0074575686655753</t>
  </si>
  <si>
    <t xml:space="preserve"> delta_reit_risk is: 0.9995943407810091
</t>
  </si>
  <si>
    <t xml:space="preserve"> 0.9995943407810091
</t>
  </si>
  <si>
    <t xml:space="preserve">collateral_ratio_tranche_gold is: 0.7956849559490081
</t>
  </si>
  <si>
    <t xml:space="preserve"> 0.7956849559490081
</t>
  </si>
  <si>
    <t xml:space="preserve">collateral_ratio_tranche_tb is: 0.3270261410058702
</t>
  </si>
  <si>
    <t xml:space="preserve"> 0.3270261410058702
</t>
  </si>
  <si>
    <t xml:space="preserve">collateral_ratio_tranche_reit is: 0.2831396557345126
</t>
  </si>
  <si>
    <t xml:space="preserve"> 0.2831396557345126
</t>
  </si>
  <si>
    <t>Total plot size is: 147139008.65273452</t>
  </si>
  <si>
    <t xml:space="preserve"> plot size of gold is: 82794988.97531566</t>
  </si>
  <si>
    <t xml:space="preserve"> plot size of TB is: 34611354.126130715</t>
  </si>
  <si>
    <t xml:space="preserve"> plot size of REIT is: 29732665.551288124
</t>
  </si>
  <si>
    <t xml:space="preserve"> 29732665.551288124
</t>
  </si>
  <si>
    <t xml:space="preserve">collateral ratio is: 1.411327330402469
</t>
  </si>
  <si>
    <t xml:space="preserve"> 1.411327330402469
</t>
  </si>
  <si>
    <t>S_gtbcps_0 is: 0.9998587331771964</t>
  </si>
  <si>
    <t xml:space="preserve">stdev_gtbcps is: 0.011368970499558817
</t>
  </si>
  <si>
    <t xml:space="preserve"> 0.011368970499558817
</t>
  </si>
  <si>
    <t>predicted price of GTBCPS is: 0.9998345888922274</t>
  </si>
  <si>
    <t xml:space="preserve"> actual price is: 0.9998587331771964
</t>
  </si>
  <si>
    <t xml:space="preserve"> 0.9998587331771964
</t>
  </si>
  <si>
    <t>predicted amount of GTBCPS is: 104273011.60794339</t>
  </si>
  <si>
    <t xml:space="preserve"> actual amount is: 104270493.65493336
</t>
  </si>
  <si>
    <t>plot sizes of gold is: 82794988.97531566</t>
  </si>
  <si>
    <t xml:space="preserve"> plot sizes of tb is: 34611354.126130715 </t>
  </si>
  <si>
    <t xml:space="preserve"> plot sizes of reit is: 29732665.551288124</t>
  </si>
  <si>
    <t xml:space="preserve"> plot sizes of total is: 147139008.6527345.
</t>
  </si>
  <si>
    <t xml:space="preserve"> 147139008.6527345.
</t>
  </si>
  <si>
    <t>predicted stdevs of gold is: 0.010119201527604078</t>
  </si>
  <si>
    <t xml:space="preserve"> predicted stdevs of tb is: 0.0030890131109412564</t>
  </si>
  <si>
    <t xml:space="preserve"> predicted stdevs of reit is: 0.024487711734130047</t>
  </si>
  <si>
    <t xml:space="preserve"> predicted stdevs of GTBCPS is: 0.011368970499558817.
</t>
  </si>
  <si>
    <t xml:space="preserve"> 0.011368970499558817.
</t>
  </si>
  <si>
    <t>total_value_of_collaterals is: 147138131.72346988</t>
  </si>
  <si>
    <t xml:space="preserve"> createdtionValue_gold is: 1999.292075232668</t>
  </si>
  <si>
    <t xml:space="preserve"> createdValue_tb is: 835.7811392232048</t>
  </si>
  <si>
    <t xml:space="preserve"> createdValue_reit is: 717.9736952777237
</t>
  </si>
  <si>
    <t xml:space="preserve"> 717.9736952777237
</t>
  </si>
  <si>
    <t>plotValue_gold_after_creation is: 82792320.11682062</t>
  </si>
  <si>
    <t xml:space="preserve"> plotValue_tb_after_creation  is: 34610380.58589607</t>
  </si>
  <si>
    <t xml:space="preserve"> plotValue_reit_after_creation  is: 29731877.973843448</t>
  </si>
  <si>
    <t xml:space="preserve">total_value_after_creation is: 147134578.67656013
</t>
  </si>
  <si>
    <t xml:space="preserve"> 147134578.67656013
</t>
  </si>
  <si>
    <t>total_amount_gtncps_before_creation is: 104270493.65493336</t>
  </si>
  <si>
    <t>creation_amount_gtbcps is: 2517.9530100226402</t>
  </si>
  <si>
    <t xml:space="preserve">total_amount_gtbcps_new is: 104273011.60794339
</t>
  </si>
  <si>
    <t xml:space="preserve"> 104273011.60794339
</t>
  </si>
  <si>
    <t>payout of tranche of gold is: -669.5664198143991</t>
  </si>
  <si>
    <t xml:space="preserve"> payout of tranche of Treausry Bill Option is: -137.75909542070642</t>
  </si>
  <si>
    <t xml:space="preserve"> payout of tranche of Collar of REIT is: -69.60374939801655
</t>
  </si>
  <si>
    <t xml:space="preserve"> -69.60374939801655
</t>
  </si>
  <si>
    <t>Collateral size of tranche of gold is: 82792320.11682062</t>
  </si>
  <si>
    <t xml:space="preserve"> collateral size of tranche of Treausry Bill Option is: 34610380.58589607</t>
  </si>
  <si>
    <t xml:space="preserve"> collateral size of tranche of Collar of REIT is: 29731877.973843448
</t>
  </si>
  <si>
    <t xml:space="preserve"> 29731877.973843448
</t>
  </si>
  <si>
    <t>Collateral ratio of tranche of gold is: 0.7941462080910568</t>
  </si>
  <si>
    <t xml:space="preserve"> collateral ratio of tranche of Treausry Bill Option is: 0.33198372100329054</t>
  </si>
  <si>
    <t xml:space="preserve"> collateral ratio of tranche of Collar of REIT is: 0.2851889899816533
</t>
  </si>
  <si>
    <t xml:space="preserve"> 0.2851889899816533
</t>
  </si>
  <si>
    <t xml:space="preserve">date is: 2023-03-16 00:00:00
</t>
  </si>
  <si>
    <t xml:space="preserve"> 2023-03-16 00</t>
  </si>
  <si>
    <t>current price of gold is: 1919.52</t>
  </si>
  <si>
    <t xml:space="preserve"> predicted price of gold is: 1916.5654678683693
</t>
  </si>
  <si>
    <t xml:space="preserve"> 1916.5654678683693
</t>
  </si>
  <si>
    <t xml:space="preserve"> current price of tb option is: 4.239969344477006</t>
  </si>
  <si>
    <t xml:space="preserve"> predicted price of tb is: 90.772799833477
</t>
  </si>
  <si>
    <t xml:space="preserve"> 90.772799833477
</t>
  </si>
  <si>
    <t>current price of reit is: 49.7</t>
  </si>
  <si>
    <t xml:space="preserve"> current price of reit option is: 4.671763605502896</t>
  </si>
  <si>
    <t xml:space="preserve"> predicted price of reit is: 50.69203817150458
</t>
  </si>
  <si>
    <t xml:space="preserve"> 50.69203817150458
</t>
  </si>
  <si>
    <t>value_ratio_gold_to_total is: -0.40932084602421287</t>
  </si>
  <si>
    <t xml:space="preserve"> risk_ratio_to_gold is: 0.5429802958200873</t>
  </si>
  <si>
    <t xml:space="preserve"> risk_ratio_to_gold_before is: 0.5528548094664497
</t>
  </si>
  <si>
    <t xml:space="preserve"> 0.5528548094664497
</t>
  </si>
  <si>
    <t>value_ratio_tb_to_total is: 0.6246578158751382</t>
  </si>
  <si>
    <t xml:space="preserve"> risk_ratio_tb_to_gold is: 0.4024254560376293</t>
  </si>
  <si>
    <t xml:space="preserve"> risk_ratio_tb_to_gold_before is: 0.3925988279581433
</t>
  </si>
  <si>
    <t xml:space="preserve"> 0.3925988279581433
</t>
  </si>
  <si>
    <t>value_ratio_reit_to_total is: 0.7846630301490747</t>
  </si>
  <si>
    <t xml:space="preserve"> risk_ratio_reit_to_gold is: 0.4392620005756086</t>
  </si>
  <si>
    <t xml:space="preserve"> risk_ratio_reit_to_gold_before is: 0.41619433595605343
</t>
  </si>
  <si>
    <t xml:space="preserve"> 0.41619433595605343
</t>
  </si>
  <si>
    <t>delta_gold is: 1.0004899456889993</t>
  </si>
  <si>
    <t xml:space="preserve"> delta_tb is: 0.9944422060317398</t>
  </si>
  <si>
    <t xml:space="preserve"> delta_reit is: 1.0198504624126101
</t>
  </si>
  <si>
    <t xml:space="preserve"> 1.0198504624126101
</t>
  </si>
  <si>
    <t>delta_gold_risk is: 0.993641058013817</t>
  </si>
  <si>
    <t xml:space="preserve"> delta_tb_risk is: 1.007056323674991</t>
  </si>
  <si>
    <t xml:space="preserve"> delta_reit_risk is: 1.0162884881219234
</t>
  </si>
  <si>
    <t xml:space="preserve"> 1.0162884881219234
</t>
  </si>
  <si>
    <t xml:space="preserve">collateral_ratio_tranche_gold is: 0.7996200340094017
</t>
  </si>
  <si>
    <t xml:space="preserve"> 0.7996200340094017
</t>
  </si>
  <si>
    <t xml:space="preserve">collateral_ratio_tranche_tb is: 0.32766484390002565
</t>
  </si>
  <si>
    <t xml:space="preserve"> 0.32766484390002565
</t>
  </si>
  <si>
    <t xml:space="preserve">collateral_ratio_tranche_reit is: 0.28604839641978086
</t>
  </si>
  <si>
    <t xml:space="preserve"> 0.28604839641978086
</t>
  </si>
  <si>
    <t>Total plot size is: 147572976.57860023</t>
  </si>
  <si>
    <t xml:space="preserve"> plot size of gold is: 82832883.8571441</t>
  </si>
  <si>
    <t xml:space="preserve"> plot size of TB is: 34418023.22143658</t>
  </si>
  <si>
    <t xml:space="preserve"> plot size of REIT is: 30322069.50001954
</t>
  </si>
  <si>
    <t xml:space="preserve"> 30322069.50001954
</t>
  </si>
  <si>
    <t xml:space="preserve">collateral ratio is: 1.415489862146433
</t>
  </si>
  <si>
    <t xml:space="preserve"> 1.415489862146433
</t>
  </si>
  <si>
    <t>S_gtbcps_0 is: 0.9998345888922274</t>
  </si>
  <si>
    <t xml:space="preserve">stdev_gtbcps is: 0.0114163923513842
</t>
  </si>
  <si>
    <t xml:space="preserve"> 0.0114163923513842
</t>
  </si>
  <si>
    <t>predicted price of GTBCPS is: 0.9998170085891899</t>
  </si>
  <si>
    <t xml:space="preserve"> actual price is: 0.9998345888922274
</t>
  </si>
  <si>
    <t xml:space="preserve"> 0.9998345888922274
</t>
  </si>
  <si>
    <t>predicted amount of GTBCPS is: 104274845.0945984</t>
  </si>
  <si>
    <t xml:space="preserve"> actual amount is: 104273011.60794339
</t>
  </si>
  <si>
    <t>plot sizes of gold is: 82832883.8571441</t>
  </si>
  <si>
    <t xml:space="preserve"> plot sizes of tb is: 34418023.22143658 </t>
  </si>
  <si>
    <t xml:space="preserve"> plot sizes of reit is: 30322069.50001954</t>
  </si>
  <si>
    <t xml:space="preserve"> plot sizes of total is: 147572976.57860023.
</t>
  </si>
  <si>
    <t xml:space="preserve"> 147572976.57860023.
</t>
  </si>
  <si>
    <t>predicted stdevs of gold is: 0.010029403534864981</t>
  </si>
  <si>
    <t xml:space="preserve"> predicted stdevs of tb is: 0.003144997030739285</t>
  </si>
  <si>
    <t xml:space="preserve"> predicted stdevs of reit is: 0.024594033797304484</t>
  </si>
  <si>
    <t xml:space="preserve"> predicted stdevs of GTBCPS is: 0.0114163923513842.
</t>
  </si>
  <si>
    <t xml:space="preserve"> 0.0114163923513842.
</t>
  </si>
  <si>
    <t>total_value_of_collaterals is: 147572338.91704574</t>
  </si>
  <si>
    <t xml:space="preserve"> createdtionValue_gold is: 1456.4594456021653</t>
  </si>
  <si>
    <t xml:space="preserve"> createdValue_tb is: 605.1781799726155</t>
  </si>
  <si>
    <t xml:space="preserve"> createdValue_reit is: 533.158020564174
</t>
  </si>
  <si>
    <t xml:space="preserve"> 533.158020564174
</t>
  </si>
  <si>
    <t>plotValue_gold_after_creation is: 82830934.3090355</t>
  </si>
  <si>
    <t xml:space="preserve"> plotValue_tb_after_creation  is: 34417349.70509147</t>
  </si>
  <si>
    <t xml:space="preserve"> plotValue_reit_after_creation  is: 30321460.10727264</t>
  </si>
  <si>
    <t xml:space="preserve">total_value_after_creation is: 147569744.12139958
</t>
  </si>
  <si>
    <t xml:space="preserve"> 147569744.12139958
</t>
  </si>
  <si>
    <t>total_amount_gtncps_before_creation is: 104273011.60794339</t>
  </si>
  <si>
    <t>creation_amount_gtbcps is: 1833.486655011773</t>
  </si>
  <si>
    <t xml:space="preserve">total_amount_gtbcps_new is: 104274845.0945984
</t>
  </si>
  <si>
    <t xml:space="preserve"> 104274845.0945984
</t>
  </si>
  <si>
    <t>payout of tranche of gold is: -493.0886630171668</t>
  </si>
  <si>
    <t xml:space="preserve"> payout of tranche of Treausry Bill Option is: -68.33816514464458</t>
  </si>
  <si>
    <t xml:space="preserve"> payout of tranche of Collar of REIT is: -76.23472633402493
</t>
  </si>
  <si>
    <t xml:space="preserve"> -76.23472633402493
</t>
  </si>
  <si>
    <t>Collateral size of tranche of gold is: 82830934.3090355</t>
  </si>
  <si>
    <t xml:space="preserve"> collateral size of tranche of Treausry Bill Option is: 34417349.70509147</t>
  </si>
  <si>
    <t xml:space="preserve"> collateral size of tranche of Collar of REIT is: 30321460.10727264
</t>
  </si>
  <si>
    <t xml:space="preserve"> 30321460.10727264
</t>
  </si>
  <si>
    <t>Collateral ratio of tranche of gold is: 0.79451138079937</t>
  </si>
  <si>
    <t xml:space="preserve"> collateral ratio of tranche of Treausry Bill Option is: 0.3301299963082045</t>
  </si>
  <si>
    <t xml:space="preserve"> collateral ratio of tranche of Collar of REIT is: 0.2908423687194157
</t>
  </si>
  <si>
    <t xml:space="preserve"> 0.2908423687194157
</t>
  </si>
  <si>
    <t xml:space="preserve">date is: 2023-03-17 00:00:00
</t>
  </si>
  <si>
    <t xml:space="preserve"> 2023-03-17 00</t>
  </si>
  <si>
    <t>current price of gold is: 1989.25</t>
  </si>
  <si>
    <t xml:space="preserve"> predicted price of gold is: 1977.510745142368
</t>
  </si>
  <si>
    <t xml:space="preserve"> 1977.510745142368
</t>
  </si>
  <si>
    <t>current price of tb is: 91.26171875</t>
  </si>
  <si>
    <t xml:space="preserve"> current price of tb option is: 4.250333943095202</t>
  </si>
  <si>
    <t xml:space="preserve"> predicted price of tb is: 91.51989761140813
</t>
  </si>
  <si>
    <t xml:space="preserve"> 91.51989761140813
</t>
  </si>
  <si>
    <t xml:space="preserve"> current price of reit option is: 4.729340549802977</t>
  </si>
  <si>
    <t xml:space="preserve"> predicted price of reit is: 50.627373827917005
</t>
  </si>
  <si>
    <t xml:space="preserve"> 50.627373827917005
</t>
  </si>
  <si>
    <t>value_ratio_gold_to_total is: 5.946854243166409</t>
  </si>
  <si>
    <t xml:space="preserve"> risk_ratio_to_gold is: 0.5388020284600231</t>
  </si>
  <si>
    <t xml:space="preserve"> risk_ratio_to_gold_before is: 0.5429802958200873
</t>
  </si>
  <si>
    <t xml:space="preserve"> 0.5429802958200873
</t>
  </si>
  <si>
    <t>value_ratio_tb_to_total is: -2.2839157022304444</t>
  </si>
  <si>
    <t xml:space="preserve"> risk_ratio_tb_to_gold is: 0.4149607765523154</t>
  </si>
  <si>
    <t xml:space="preserve"> risk_ratio_tb_to_gold_before is: 0.4024254560376293
</t>
  </si>
  <si>
    <t xml:space="preserve"> 0.4024254560376293
</t>
  </si>
  <si>
    <t>value_ratio_reit_to_total is: -2.662938540935965</t>
  </si>
  <si>
    <t xml:space="preserve"> risk_ratio_reit_to_gold is: 0.4410084796476838</t>
  </si>
  <si>
    <t xml:space="preserve"> risk_ratio_reit_to_gold_before is: 0.4392620005756086
</t>
  </si>
  <si>
    <t xml:space="preserve"> 0.4392620005756086
</t>
  </si>
  <si>
    <t>delta_gold is: 1.036326790030841</t>
  </si>
  <si>
    <t xml:space="preserve"> delta_tb is: 1.0081079340885963</t>
  </si>
  <si>
    <t xml:space="preserve"> delta_reit is: 1.0084157090731882
</t>
  </si>
  <si>
    <t xml:space="preserve"> 1.0084157090731882
</t>
  </si>
  <si>
    <t>delta_gold_risk is: 0.9972920798979851</t>
  </si>
  <si>
    <t xml:space="preserve"> delta_tb_risk is: 1.0089383150175433</t>
  </si>
  <si>
    <t xml:space="preserve"> delta_reit_risk is: 1.0012134545839302
</t>
  </si>
  <si>
    <t xml:space="preserve"> 1.0012134545839302
</t>
  </si>
  <si>
    <t xml:space="preserve">collateral_ratio_tranche_gold is: 0.8256091124187076
</t>
  </si>
  <si>
    <t xml:space="preserve"> 0.8256091124187076
</t>
  </si>
  <si>
    <t xml:space="preserve">collateral_ratio_tranche_tb is: 0.3182956326265247
</t>
  </si>
  <si>
    <t xml:space="preserve"> 0.3182956326265247
</t>
  </si>
  <si>
    <t xml:space="preserve">collateral_ratio_tranche_reit is: 0.28266619518602826
</t>
  </si>
  <si>
    <t xml:space="preserve"> 0.28266619518602826
</t>
  </si>
  <si>
    <t>Total plot size is: 151112956.26995245</t>
  </si>
  <si>
    <t xml:space="preserve"> plot size of gold is: 85839916.26773821</t>
  </si>
  <si>
    <t xml:space="preserve"> plot size of TB is: 34696403.30800452</t>
  </si>
  <si>
    <t xml:space="preserve"> plot size of REIT is: 30576636.69420973
</t>
  </si>
  <si>
    <t xml:space="preserve"> 30576636.69420973
</t>
  </si>
  <si>
    <t xml:space="preserve">collateral ratio is: 1.4494446246069195
</t>
  </si>
  <si>
    <t xml:space="preserve"> 1.4494446246069195
</t>
  </si>
  <si>
    <t>S_gtbcps_0 is: 0.9998170085891899</t>
  </si>
  <si>
    <t xml:space="preserve">stdev_gtbcps is: 0.011417802065086007
</t>
  </si>
  <si>
    <t xml:space="preserve"> 0.011417802065086007
</t>
  </si>
  <si>
    <t>predicted price of GTBCPS is: 0.9998238853581733</t>
  </si>
  <si>
    <t xml:space="preserve"> actual price is: 0.9998170085891899
</t>
  </si>
  <si>
    <t xml:space="preserve"> 0.9998170085891899
</t>
  </si>
  <si>
    <t>predicted amount of GTBCPS is: 104274127.89426842</t>
  </si>
  <si>
    <t xml:space="preserve"> actual amount is: 104274845.0945984
</t>
  </si>
  <si>
    <t>plot sizes of gold is: 85839916.26773821</t>
  </si>
  <si>
    <t xml:space="preserve"> plot sizes of tb is: 34696403.30800452 </t>
  </si>
  <si>
    <t xml:space="preserve"> plot sizes of reit is: 30576636.69420973</t>
  </si>
  <si>
    <t xml:space="preserve"> plot sizes of total is: 151112956.26995245.
</t>
  </si>
  <si>
    <t xml:space="preserve"> 151112956.26995245.
</t>
  </si>
  <si>
    <t>predicted stdevs of gold is: 0.010028378269553773</t>
  </si>
  <si>
    <t xml:space="preserve"> predicted stdevs of tb is: 0.003242749149252121</t>
  </si>
  <si>
    <t xml:space="preserve"> predicted stdevs of reit is: 0.024594952950920353</t>
  </si>
  <si>
    <t xml:space="preserve"> predicted stdevs of GTBCPS is: 0.011417802065086007.
</t>
  </si>
  <si>
    <t xml:space="preserve"> 0.011417802065086007.
</t>
  </si>
  <si>
    <t>total_value_of_collaterals is: 151113205.76672304</t>
  </si>
  <si>
    <t xml:space="preserve"> createdtionValue_gold is: -590.410589331957</t>
  </si>
  <si>
    <t xml:space="preserve"> createdValue_tb is: -238.64307235511072</t>
  </si>
  <si>
    <t xml:space="preserve"> createdValue_reit is: -210.30713881044738
</t>
  </si>
  <si>
    <t xml:space="preserve"> -210.30713881044738
</t>
  </si>
  <si>
    <t>plotValue_gold_after_creation is: 85840692.16338345</t>
  </si>
  <si>
    <t xml:space="preserve"> plotValue_tb_after_creation  is: 34696678.68616308</t>
  </si>
  <si>
    <t xml:space="preserve"> plotValue_reit_after_creation  is: 30576874.277977012</t>
  </si>
  <si>
    <t xml:space="preserve">total_value_after_creation is: 151114245.12752354
</t>
  </si>
  <si>
    <t xml:space="preserve"> 151114245.12752354
</t>
  </si>
  <si>
    <t>total_amount_gtncps_before_creation is: 104274845.0945984</t>
  </si>
  <si>
    <t>creation_amount_gtbcps is: -717.2003299742937</t>
  </si>
  <si>
    <t xml:space="preserve">total_amount_gtbcps_new is: 104274127.89426842
</t>
  </si>
  <si>
    <t xml:space="preserve"> 104274127.89426842
</t>
  </si>
  <si>
    <t>payout of tranche of gold is: 185.48505591143527</t>
  </si>
  <si>
    <t xml:space="preserve"> payout of tranche of Treausry Bill Option is: 36.73508620825872</t>
  </si>
  <si>
    <t xml:space="preserve"> payout of tranche of Collar of REIT is: 27.276628470341528
</t>
  </si>
  <si>
    <t xml:space="preserve"> 27.276628470341528
</t>
  </si>
  <si>
    <t>Collateral size of tranche of gold is: 85840692.16338345</t>
  </si>
  <si>
    <t xml:space="preserve"> collateral size of tranche of Treausry Bill Option is: 34696678.68616308</t>
  </si>
  <si>
    <t xml:space="preserve"> collateral size of tranche of Collar of REIT is: 30576874.277977012
</t>
  </si>
  <si>
    <t xml:space="preserve"> 30576874.277977012
</t>
  </si>
  <si>
    <t>Collateral ratio of tranche of gold is: 0.8233607304924284</t>
  </si>
  <si>
    <t xml:space="preserve"> collateral ratio of tranche of Treausry Bill Option is: 0.3328011691043463</t>
  </si>
  <si>
    <t xml:space="preserve"> collateral ratio of tranche of Collar of REIT is: 0.2932851181322299
</t>
  </si>
  <si>
    <t xml:space="preserve"> 0.2932851181322299
</t>
  </si>
  <si>
    <t xml:space="preserve">date is: 2023-03-20 00:00:00
</t>
  </si>
  <si>
    <t xml:space="preserve"> 2023-03-20 00</t>
  </si>
  <si>
    <t>current price of gold is: 1978.84</t>
  </si>
  <si>
    <t xml:space="preserve"> predicted price of gold is: 1966.0653990038056
</t>
  </si>
  <si>
    <t xml:space="preserve"> 1966.0653990038056
</t>
  </si>
  <si>
    <t>current price of tb is: 91.0390625</t>
  </si>
  <si>
    <t xml:space="preserve"> current price of tb option is: 4.245056325594576</t>
  </si>
  <si>
    <t xml:space="preserve"> predicted price of tb is: 91.30269811184704
</t>
  </si>
  <si>
    <t xml:space="preserve"> 91.30269811184704
</t>
  </si>
  <si>
    <t>current price of reit is: 49.65</t>
  </si>
  <si>
    <t xml:space="preserve"> current price of reit option is: 4.7269017834043225</t>
  </si>
  <si>
    <t xml:space="preserve"> predicted price of reit is: 50.26002048183057
</t>
  </si>
  <si>
    <t xml:space="preserve"> 50.26002048183057
</t>
  </si>
  <si>
    <t>value_ratio_gold_to_total is: 4.361440285243376</t>
  </si>
  <si>
    <t xml:space="preserve"> risk_ratio_to_gold is: 0.5460234104980097</t>
  </si>
  <si>
    <t xml:space="preserve"> risk_ratio_to_gold_before is: 0.5388020284600231
</t>
  </si>
  <si>
    <t xml:space="preserve"> 0.5388020284600231
</t>
  </si>
  <si>
    <t>value_ratio_tb_to_total is: -1.5393350176313219</t>
  </si>
  <si>
    <t xml:space="preserve"> risk_ratio_tb_to_gold is: 0.40136292308960086</t>
  </si>
  <si>
    <t xml:space="preserve"> risk_ratio_tb_to_gold_before is: 0.4149607765523154
</t>
  </si>
  <si>
    <t xml:space="preserve"> 0.4149607765523154
</t>
  </si>
  <si>
    <t>value_ratio_reit_to_total is: -1.8221052676120533</t>
  </si>
  <si>
    <t xml:space="preserve"> risk_ratio_reit_to_gold is: 0.43006038362893934</t>
  </si>
  <si>
    <t xml:space="preserve"> risk_ratio_reit_to_gold_before is: 0.4410084796476838
</t>
  </si>
  <si>
    <t xml:space="preserve"> 0.4410084796476838
</t>
  </si>
  <si>
    <t>delta_gold is: 0.9947668719366595</t>
  </si>
  <si>
    <t xml:space="preserve"> delta_tb is: 0.997613559115591</t>
  </si>
  <si>
    <t xml:space="preserve"> delta_reit is: 0.9917482362205744
</t>
  </si>
  <si>
    <t xml:space="preserve"> 0.9917482362205744
</t>
  </si>
  <si>
    <t>delta_gold_risk is: 1.0046928597080245</t>
  </si>
  <si>
    <t xml:space="preserve"> delta_tb_risk is: 0.990389943178604</t>
  </si>
  <si>
    <t xml:space="preserve"> delta_reit_risk is: 0.9924024763397498
</t>
  </si>
  <si>
    <t xml:space="preserve"> 0.9924024763397498
</t>
  </si>
  <si>
    <t xml:space="preserve">collateral_ratio_tranche_gold is: 0.8152262359916264
</t>
  </si>
  <si>
    <t xml:space="preserve"> 0.8152262359916264
</t>
  </si>
  <si>
    <t xml:space="preserve">collateral_ratio_tranche_tb is: 0.33699204648693504
</t>
  </si>
  <si>
    <t xml:space="preserve"> 0.33699204648693504
</t>
  </si>
  <si>
    <t xml:space="preserve">collateral_ratio_tranche_reit is: 0.2946336257721154
</t>
  </si>
  <si>
    <t xml:space="preserve"> 0.2946336257721154
</t>
  </si>
  <si>
    <t>Total plot size is: 150329915.07616186</t>
  </si>
  <si>
    <t xml:space="preserve"> plot size of gold is: 85391476.82824668</t>
  </si>
  <si>
    <t xml:space="preserve"> plot size of TB is: 34613877.11359322</t>
  </si>
  <si>
    <t xml:space="preserve"> plot size of REIT is: 30324561.13432195
</t>
  </si>
  <si>
    <t xml:space="preserve"> 30324561.13432195
</t>
  </si>
  <si>
    <t xml:space="preserve">collateral ratio is: 1.4419338533454666
</t>
  </si>
  <si>
    <t xml:space="preserve"> 1.4419338533454666
</t>
  </si>
  <si>
    <t>S_gtbcps_0 is: 0.9998238853581733</t>
  </si>
  <si>
    <t xml:space="preserve">stdev_gtbcps is: 0.011737750338342593
</t>
  </si>
  <si>
    <t xml:space="preserve"> 0.011737750338342593
</t>
  </si>
  <si>
    <t>predicted price of GTBCPS is: 0.9998082235328064</t>
  </si>
  <si>
    <t xml:space="preserve"> actual price is: 0.9998238853581733
</t>
  </si>
  <si>
    <t xml:space="preserve"> 0.9998238853581733
</t>
  </si>
  <si>
    <t>predicted amount of GTBCPS is: 104275761.33070447</t>
  </si>
  <si>
    <t xml:space="preserve"> actual amount is: 104274127.89426842
</t>
  </si>
  <si>
    <t>plot sizes of gold is: 85391476.82824668</t>
  </si>
  <si>
    <t xml:space="preserve"> plot sizes of tb is: 34613877.11359322 </t>
  </si>
  <si>
    <t xml:space="preserve"> plot sizes of reit is: 30324561.13432195</t>
  </si>
  <si>
    <t xml:space="preserve"> plot sizes of total is: 150329915.07616186.
</t>
  </si>
  <si>
    <t xml:space="preserve"> 150329915.07616186.
</t>
  </si>
  <si>
    <t>predicted stdevs of gold is: 0.010618335939058959</t>
  </si>
  <si>
    <t xml:space="preserve"> predicted stdevs of tb is: 0.0032548810402392467</t>
  </si>
  <si>
    <t xml:space="preserve"> predicted stdevs of reit is: 0.02457267455930145</t>
  </si>
  <si>
    <t xml:space="preserve"> predicted stdevs of GTBCPS is: 0.011737750338342593.
</t>
  </si>
  <si>
    <t xml:space="preserve"> 0.011737750338342593.
</t>
  </si>
  <si>
    <t>total_value_of_collaterals is: 150329343.07372957</t>
  </si>
  <si>
    <t xml:space="preserve"> createdtionValue_gold is: 1337.61509657984</t>
  </si>
  <si>
    <t xml:space="preserve"> createdValue_tb is: 542.2106181259952</t>
  </si>
  <si>
    <t xml:space="preserve"> createdValue_reit is: 475.0209270190636
</t>
  </si>
  <si>
    <t xml:space="preserve"> 475.0209270190636
</t>
  </si>
  <si>
    <t>plotValue_gold_after_creation is: 85389700.25183634</t>
  </si>
  <si>
    <t xml:space="preserve"> plotValue_tb_after_creation  is: 34613247.318697646</t>
  </si>
  <si>
    <t xml:space="preserve"> plotValue_reit_after_creation  is: 30324040.656553853</t>
  </si>
  <si>
    <t xml:space="preserve">total_value_after_creation is: 150326988.22708786
</t>
  </si>
  <si>
    <t xml:space="preserve"> 150326988.22708786
</t>
  </si>
  <si>
    <t>total_amount_gtncps_before_creation is: 104274127.89426842</t>
  </si>
  <si>
    <t>creation_amount_gtbcps is: 1633.4364360421896</t>
  </si>
  <si>
    <t xml:space="preserve">total_amount_gtbcps_new is: 104275761.33070447
</t>
  </si>
  <si>
    <t xml:space="preserve"> 104275761.33070447
</t>
  </si>
  <si>
    <t>payout of tranche of gold is: -438.9613137536844</t>
  </si>
  <si>
    <t xml:space="preserve"> payout of tranche of Treausry Bill Option is: -87.58427745351828</t>
  </si>
  <si>
    <t xml:space="preserve"> payout of tranche of Collar of REIT is: -45.45684107749617
</t>
  </si>
  <si>
    <t xml:space="preserve"> -45.45684107749617
</t>
  </si>
  <si>
    <t>Collateral size of tranche of gold is: 85389700.25183634</t>
  </si>
  <si>
    <t xml:space="preserve"> collateral size of tranche of Treausry Bill Option is: 34613247.318697646</t>
  </si>
  <si>
    <t xml:space="preserve"> collateral size of tranche of Collar of REIT is: 30324040.656553853
</t>
  </si>
  <si>
    <t xml:space="preserve"> 30324040.656553853
</t>
  </si>
  <si>
    <t>Collateral ratio of tranche of gold is: 0.8190534013822506</t>
  </si>
  <si>
    <t xml:space="preserve"> collateral ratio of tranche of Treausry Bill Option is: 0.3320084022505359</t>
  </si>
  <si>
    <t xml:space="preserve"> collateral ratio of tranche of Collar of REIT is: 0.2908665631821322
</t>
  </si>
  <si>
    <t xml:space="preserve"> 0.2908665631821322
</t>
  </si>
  <si>
    <t xml:space="preserve">date is: 2023-03-21 00:00:00
</t>
  </si>
  <si>
    <t xml:space="preserve"> 2023-03-21 00</t>
  </si>
  <si>
    <t>current price of gold is: 1940.07</t>
  </si>
  <si>
    <t xml:space="preserve"> predicted price of gold is: 1947.1041020881564
</t>
  </si>
  <si>
    <t xml:space="preserve"> 1947.1041020881564
</t>
  </si>
  <si>
    <t>current price of tb is: 90.6171875</t>
  </si>
  <si>
    <t xml:space="preserve"> current price of tb option is: 4.237447278525923</t>
  </si>
  <si>
    <t xml:space="preserve"> predicted price of tb is: 90.88868983902259
</t>
  </si>
  <si>
    <t xml:space="preserve"> 90.88868983902259
</t>
  </si>
  <si>
    <t>current price of reit is: 49.4</t>
  </si>
  <si>
    <t xml:space="preserve"> current price of reit option is: 4.691066713611498</t>
  </si>
  <si>
    <t xml:space="preserve"> predicted price of reit is: 50.09667237102578
</t>
  </si>
  <si>
    <t xml:space="preserve"> 50.09667237102578
</t>
  </si>
  <si>
    <t>value_ratio_gold_to_total is: 0.41546211132494204</t>
  </si>
  <si>
    <t xml:space="preserve"> risk_ratio_to_gold is: 0.5400112318317207</t>
  </si>
  <si>
    <t xml:space="preserve"> risk_ratio_to_gold_before is: 0.5460234104980097
</t>
  </si>
  <si>
    <t xml:space="preserve"> 0.5460234104980097
</t>
  </si>
  <si>
    <t>value_ratio_tb_to_total is: 0.2663165396929079</t>
  </si>
  <si>
    <t xml:space="preserve"> risk_ratio_tb_to_gold is: 0.4074247793483633</t>
  </si>
  <si>
    <t xml:space="preserve"> risk_ratio_tb_to_gold_before is: 0.40136292308960086
</t>
  </si>
  <si>
    <t xml:space="preserve"> 0.40136292308960086
</t>
  </si>
  <si>
    <t>value_ratio_reit_to_total is: 0.31822134898215004</t>
  </si>
  <si>
    <t xml:space="preserve"> risk_ratio_reit_to_gold is: 0.444388555363204</t>
  </si>
  <si>
    <t xml:space="preserve"> risk_ratio_reit_to_gold_before is: 0.43006038362893934
</t>
  </si>
  <si>
    <t xml:space="preserve"> 0.43006038362893934
</t>
  </si>
  <si>
    <t>delta_gold is: 0.9804077136099938</t>
  </si>
  <si>
    <t xml:space="preserve"> delta_tb is: 0.9954925956984</t>
  </si>
  <si>
    <t xml:space="preserve"> delta_reit is: 0.9947434469339321
</t>
  </si>
  <si>
    <t xml:space="preserve"> 0.9947434469339321
</t>
  </si>
  <si>
    <t>delta_gold_risk is: 0.9961111981710857</t>
  </si>
  <si>
    <t xml:space="preserve"> delta_tb_risk is: 1.0043256862008292</t>
  </si>
  <si>
    <t xml:space="preserve"> delta_reit_risk is: 1.0100192774363173
</t>
  </si>
  <si>
    <t xml:space="preserve"> 1.0100192774363173
</t>
  </si>
  <si>
    <t xml:space="preserve">collateral_ratio_tranche_gold is: 0.8061411959307595
</t>
  </si>
  <si>
    <t xml:space="preserve"> 0.8061411959307595
</t>
  </si>
  <si>
    <t xml:space="preserve">collateral_ratio_tranche_tb is: 0.3356648142882077
</t>
  </si>
  <si>
    <t xml:space="preserve"> 0.3356648142882077
</t>
  </si>
  <si>
    <t xml:space="preserve">collateral_ratio_tranche_reit is: 0.2921921229420443
</t>
  </si>
  <si>
    <t xml:space="preserve"> 0.2921921229420443
</t>
  </si>
  <si>
    <t>Total plot size is: 148338592.93625167</t>
  </si>
  <si>
    <t xml:space="preserve"> plot size of gold is: 83716720.78974558</t>
  </si>
  <si>
    <t xml:space="preserve"> plot size of TB is: 34457231.418841004</t>
  </si>
  <si>
    <t xml:space="preserve"> plot size of REIT is: 30164640.727665078
</t>
  </si>
  <si>
    <t xml:space="preserve"> 30164640.727665078
</t>
  </si>
  <si>
    <t xml:space="preserve">collateral ratio is: 1.422833497937176
</t>
  </si>
  <si>
    <t xml:space="preserve"> 1.422833497937176
</t>
  </si>
  <si>
    <t>S_gtbcps_0 is: 0.9998082235328064</t>
  </si>
  <si>
    <t xml:space="preserve">stdev_gtbcps is: 0.011680208293934857
</t>
  </si>
  <si>
    <t xml:space="preserve"> 0.011680208293934857
</t>
  </si>
  <si>
    <t>predicted price of GTBCPS is: 0.9997911478883111</t>
  </si>
  <si>
    <t xml:space="preserve"> actual price is: 0.9998082235328064
</t>
  </si>
  <si>
    <t xml:space="preserve"> 0.9998082235328064
</t>
  </si>
  <si>
    <t>predicted amount of GTBCPS is: 104277542.27848913</t>
  </si>
  <si>
    <t xml:space="preserve"> actual amount is: 104275761.33070447
</t>
  </si>
  <si>
    <t>plot sizes of gold is: 83716720.78974558</t>
  </si>
  <si>
    <t xml:space="preserve"> plot sizes of tb is: 34457231.418841004 </t>
  </si>
  <si>
    <t xml:space="preserve"> plot sizes of reit is: 30164640.727665078</t>
  </si>
  <si>
    <t xml:space="preserve"> plot sizes of total is: 148338592.93625167.
</t>
  </si>
  <si>
    <t xml:space="preserve"> 148338592.93625167.
</t>
  </si>
  <si>
    <t>predicted stdevs of gold is: 0.010523323498149287</t>
  </si>
  <si>
    <t xml:space="preserve"> predicted stdevs of tb is: 0.003264129967792242</t>
  </si>
  <si>
    <t xml:space="preserve"> predicted stdevs of reit is: 0.024504672654383244</t>
  </si>
  <si>
    <t xml:space="preserve"> predicted stdevs of GTBCPS is: 0.011680208293934857.
</t>
  </si>
  <si>
    <t xml:space="preserve"> 0.011680208293934857.
</t>
  </si>
  <si>
    <t>total_value_of_collaterals is: 148337970.9053953</t>
  </si>
  <si>
    <t xml:space="preserve"> createdtionValue_gold is: 1429.7833842764599</t>
  </si>
  <si>
    <t xml:space="preserve"> createdValue_tb is: 588.4906394435104</t>
  </si>
  <si>
    <t xml:space="preserve"> createdValue_reit is: 515.178289144459
</t>
  </si>
  <si>
    <t xml:space="preserve"> 515.178289144459
</t>
  </si>
  <si>
    <t>plotValue_gold_after_creation is: 83714835.55970395</t>
  </si>
  <si>
    <t xml:space="preserve"> plotValue_tb_after_creation  is: 34456546.1112623</t>
  </si>
  <si>
    <t xml:space="preserve"> plotValue_reit_after_creation  is: 30164055.782116182</t>
  </si>
  <si>
    <t xml:space="preserve">total_value_after_creation is: 148335437.4530824
</t>
  </si>
  <si>
    <t xml:space="preserve"> 148335437.4530824
</t>
  </si>
  <si>
    <t>total_amount_gtncps_before_creation is: 104275761.33070447</t>
  </si>
  <si>
    <t>creation_amount_gtbcps is: 1780.9477846622467</t>
  </si>
  <si>
    <t xml:space="preserve">total_amount_gtbcps_new is: 104277542.27848913
</t>
  </si>
  <si>
    <t xml:space="preserve"> 104277542.27848913
</t>
  </si>
  <si>
    <t>payout of tranche of gold is: -455.4466573573543</t>
  </si>
  <si>
    <t xml:space="preserve"> payout of tranche of Treausry Bill Option is: -96.81693926205527</t>
  </si>
  <si>
    <t xml:space="preserve"> payout of tranche of Collar of REIT is: -69.76725975016122
</t>
  </si>
  <si>
    <t xml:space="preserve"> -69.76725975016122
</t>
  </si>
  <si>
    <t>Collateral size of tranche of gold is: 83714835.55970395</t>
  </si>
  <si>
    <t xml:space="preserve"> collateral size of tranche of Treausry Bill Option is: 34456546.1112623</t>
  </si>
  <si>
    <t xml:space="preserve"> collateral size of tranche of Collar of REIT is: 30164055.782116182
</t>
  </si>
  <si>
    <t xml:space="preserve"> 30164055.782116182
</t>
  </si>
  <si>
    <t>Collateral ratio of tranche of gold is: 0.8029893252629963</t>
  </si>
  <si>
    <t xml:space="preserve"> collateral ratio of tranche of Treausry Bill Option is: 0.33050580017019</t>
  </si>
  <si>
    <t xml:space="preserve"> collateral ratio of tranche of Collar of REIT is: 0.2893324061110121
</t>
  </si>
  <si>
    <t xml:space="preserve"> 0.2893324061110121
</t>
  </si>
  <si>
    <t xml:space="preserve">date is: 2023-03-22 00:00:00
</t>
  </si>
  <si>
    <t xml:space="preserve"> 2023-03-22 00</t>
  </si>
  <si>
    <t>current price of gold is: 1970.11</t>
  </si>
  <si>
    <t xml:space="preserve"> predicted price of gold is: 1976.0809231386013
</t>
  </si>
  <si>
    <t xml:space="preserve"> 1976.0809231386013
</t>
  </si>
  <si>
    <t>current price of tb is: 91.2734375</t>
  </si>
  <si>
    <t xml:space="preserve"> current price of tb option is: 4.243663521557074</t>
  </si>
  <si>
    <t xml:space="preserve"> predicted price of tb is: 91.53851464483513
</t>
  </si>
  <si>
    <t xml:space="preserve"> 91.53851464483513
</t>
  </si>
  <si>
    <t xml:space="preserve"> current price of reit option is: 4.698216355290334</t>
  </si>
  <si>
    <t xml:space="preserve"> predicted price of reit is: 50.43050774993982
</t>
  </si>
  <si>
    <t xml:space="preserve"> 50.43050774993982
</t>
  </si>
  <si>
    <t>value_ratio_gold_to_total is: 0.3825457935146743</t>
  </si>
  <si>
    <t xml:space="preserve"> risk_ratio_to_gold is: 0.5449174898164959</t>
  </si>
  <si>
    <t xml:space="preserve"> risk_ratio_to_gold_before is: 0.5400112318317207
</t>
  </si>
  <si>
    <t xml:space="preserve"> 0.5400112318317207
</t>
  </si>
  <si>
    <t>value_ratio_tb_to_total is: 0.28886651794698803</t>
  </si>
  <si>
    <t xml:space="preserve"> risk_ratio_tb_to_gold is: 0.40274841229035263</t>
  </si>
  <si>
    <t xml:space="preserve"> risk_ratio_tb_to_gold_before is: 0.4074247793483633
</t>
  </si>
  <si>
    <t xml:space="preserve"> 0.4074247793483633
</t>
  </si>
  <si>
    <t>value_ratio_reit_to_total is: 0.32858768853833764</t>
  </si>
  <si>
    <t xml:space="preserve"> risk_ratio_reit_to_gold is: 0.4323918037756721</t>
  </si>
  <si>
    <t xml:space="preserve"> risk_ratio_reit_to_gold_before is: 0.444388555363204
</t>
  </si>
  <si>
    <t xml:space="preserve"> 0.444388555363204
</t>
  </si>
  <si>
    <t>delta_gold is: 1.0154839773822595</t>
  </si>
  <si>
    <t xml:space="preserve"> delta_tb is: 1.0069840155368046</t>
  </si>
  <si>
    <t xml:space="preserve"> delta_reit is: 1.011224582515509
</t>
  </si>
  <si>
    <t xml:space="preserve"> 1.011224582515509
</t>
  </si>
  <si>
    <t>delta_gold_risk is: 1.0031858585725635</t>
  </si>
  <si>
    <t xml:space="preserve"> delta_tb_risk is: 0.9966773591550833</t>
  </si>
  <si>
    <t xml:space="preserve"> delta_reit_risk is: 0.9916942352229349
</t>
  </si>
  <si>
    <t xml:space="preserve"> 0.9916942352229349
</t>
  </si>
  <si>
    <t xml:space="preserve">collateral_ratio_tranche_gold is: 0.8128332221247937
</t>
  </si>
  <si>
    <t xml:space="preserve"> 0.8128332221247937
</t>
  </si>
  <si>
    <t xml:space="preserve">collateral_ratio_tranche_tb is: 0.3288319395777122
</t>
  </si>
  <si>
    <t xml:space="preserve"> 0.3288319395777122
</t>
  </si>
  <si>
    <t xml:space="preserve">collateral_ratio_tranche_reit is: 0.290531906013753
</t>
  </si>
  <si>
    <t xml:space="preserve"> 0.290531906013753
</t>
  </si>
  <si>
    <t>Total plot size is: 150210900.05996293</t>
  </si>
  <si>
    <t xml:space="preserve"> plot size of gold is: 85011074.18006997</t>
  </si>
  <si>
    <t xml:space="preserve"> plot size of TB is: 34697191.16464798</t>
  </si>
  <si>
    <t xml:space="preserve"> plot size of REIT is: 30502634.715244964
</t>
  </si>
  <si>
    <t xml:space="preserve"> 30502634.715244964
</t>
  </si>
  <si>
    <t xml:space="preserve">collateral ratio is: 1.440792285608754
</t>
  </si>
  <si>
    <t xml:space="preserve"> 1.440792285608754
</t>
  </si>
  <si>
    <t>S_gtbcps_0 is: 0.9997911478883111</t>
  </si>
  <si>
    <t xml:space="preserve">stdev_gtbcps is: 0.01182380648086674
</t>
  </si>
  <si>
    <t xml:space="preserve"> 0.01182380648086674
</t>
  </si>
  <si>
    <t>predicted price of GTBCPS is: 0.9997862547969586</t>
  </si>
  <si>
    <t xml:space="preserve"> actual price is: 0.9997911478883111
</t>
  </si>
  <si>
    <t xml:space="preserve"> 0.9997911478883111
</t>
  </si>
  <si>
    <t>predicted amount of GTBCPS is: 104278052.62711407</t>
  </si>
  <si>
    <t xml:space="preserve"> actual amount is: 104277542.27848913
</t>
  </si>
  <si>
    <t>plot sizes of gold is: 85011074.18006997</t>
  </si>
  <si>
    <t xml:space="preserve"> plot sizes of tb is: 34697191.16464798 </t>
  </si>
  <si>
    <t xml:space="preserve"> plot sizes of reit is: 30502634.715244964</t>
  </si>
  <si>
    <t xml:space="preserve"> plot sizes of total is: 150210900.05996293.
</t>
  </si>
  <si>
    <t xml:space="preserve"> 150210900.05996293.
</t>
  </si>
  <si>
    <t>predicted stdevs of gold is: 0.010742075098195839</t>
  </si>
  <si>
    <t xml:space="preserve"> predicted stdevs of tb is: 0.0033239298477301185</t>
  </si>
  <si>
    <t xml:space="preserve"> predicted stdevs of reit is: 0.024507333489032095</t>
  </si>
  <si>
    <t xml:space="preserve"> predicted stdevs of GTBCPS is: 0.01182380648086674.
</t>
  </si>
  <si>
    <t xml:space="preserve"> 0.01182380648086674.
</t>
  </si>
  <si>
    <t>total_value_of_collaterals is: 150210722.00061986</t>
  </si>
  <si>
    <t xml:space="preserve"> createdtionValue_gold is: 416.0531390207856</t>
  </si>
  <si>
    <t xml:space="preserve"> createdValue_tb is: 169.8119005836799</t>
  </si>
  <si>
    <t xml:space="preserve"> createdValue_reit is: 149.2832825366416
</t>
  </si>
  <si>
    <t xml:space="preserve"> 149.2832825366416
</t>
  </si>
  <si>
    <t>plotValue_gold_after_creation is: 85010513.74252313</t>
  </si>
  <si>
    <t xml:space="preserve"> plotValue_tb_after_creation  is: 34697002.74870824</t>
  </si>
  <si>
    <t xml:space="preserve"> plotValue_reit_after_creation  is: 30502470.361066356</t>
  </si>
  <si>
    <t xml:space="preserve">total_value_after_creation is: 150209986.85229772
</t>
  </si>
  <si>
    <t xml:space="preserve"> 150209986.85229772
</t>
  </si>
  <si>
    <t>total_amount_gtncps_before_creation is: 104277542.27848913</t>
  </si>
  <si>
    <t>creation_amount_gtbcps is: 510.3486249446869</t>
  </si>
  <si>
    <t xml:space="preserve">total_amount_gtbcps_new is: 104278052.62711407
</t>
  </si>
  <si>
    <t xml:space="preserve"> 104278052.62711407
</t>
  </si>
  <si>
    <t>payout of tranche of gold is: -144.38440781698367</t>
  </si>
  <si>
    <t xml:space="preserve"> payout of tranche of Treausry Bill Option is: -18.604039154611865</t>
  </si>
  <si>
    <t xml:space="preserve"> payout of tranche of Collar of REIT is: -15.070896070561465
</t>
  </si>
  <si>
    <t xml:space="preserve"> -15.070896070561465
</t>
  </si>
  <si>
    <t>Collateral size of tranche of gold is: 85010513.74252313</t>
  </si>
  <si>
    <t xml:space="preserve"> collateral size of tranche of Treausry Bill Option is: 34697002.74870824</t>
  </si>
  <si>
    <t xml:space="preserve"> collateral size of tranche of Collar of REIT is: 30502470.361066356
</t>
  </si>
  <si>
    <t xml:space="preserve"> 30502470.361066356
</t>
  </si>
  <si>
    <t>Collateral ratio of tranche of gold is: 0.8154074823672794</t>
  </si>
  <si>
    <t xml:space="preserve"> collateral ratio of tranche of Treausry Bill Option is: 0.3328081952628257</t>
  </si>
  <si>
    <t xml:space="preserve"> collateral ratio of tranche of Collar of REIT is: 0.2925749000697837
</t>
  </si>
  <si>
    <t xml:space="preserve"> 0.2925749000697837
</t>
  </si>
  <si>
    <t xml:space="preserve">date is: 2023-03-23 00:00:00
</t>
  </si>
  <si>
    <t xml:space="preserve"> 2023-03-23 00</t>
  </si>
  <si>
    <t>current price of gold is: 1993.4</t>
  </si>
  <si>
    <t xml:space="preserve"> predicted price of gold is: 1983.9779253725828
</t>
  </si>
  <si>
    <t xml:space="preserve"> 1983.9779253725828
</t>
  </si>
  <si>
    <t>current price of tb is: 91.53125</t>
  </si>
  <si>
    <t xml:space="preserve"> current price of tb option is: 4.250337534708685</t>
  </si>
  <si>
    <t xml:space="preserve"> predicted price of tb is: 91.78942644864256
</t>
  </si>
  <si>
    <t xml:space="preserve"> 91.78942644864256
</t>
  </si>
  <si>
    <t xml:space="preserve"> current price of reit option is: 4.7931302301228484</t>
  </si>
  <si>
    <t xml:space="preserve"> predicted price of reit is: 50.88687499442132
</t>
  </si>
  <si>
    <t xml:space="preserve"> 50.88687499442132
</t>
  </si>
  <si>
    <t>value_ratio_gold_to_total is: -14.13782166351652</t>
  </si>
  <si>
    <t xml:space="preserve"> risk_ratio_to_gold is: 0.5470041077010525</t>
  </si>
  <si>
    <t xml:space="preserve"> risk_ratio_to_gold_before is: 0.5449174898164959
</t>
  </si>
  <si>
    <t xml:space="preserve"> 0.5449174898164959
</t>
  </si>
  <si>
    <t>value_ratio_tb_to_total is: 6.765024602820702</t>
  </si>
  <si>
    <t xml:space="preserve"> risk_ratio_tb_to_gold is: 0.4014080134049422</t>
  </si>
  <si>
    <t xml:space="preserve"> risk_ratio_tb_to_gold_before is: 0.40274841229035263
</t>
  </si>
  <si>
    <t xml:space="preserve"> 0.40274841229035263
</t>
  </si>
  <si>
    <t>value_ratio_reit_to_total is: 8.372797060695818</t>
  </si>
  <si>
    <t xml:space="preserve"> risk_ratio_reit_to_gold is: 0.42673182306319246</t>
  </si>
  <si>
    <t xml:space="preserve"> risk_ratio_reit_to_gold_before is: 0.4323918037756721
</t>
  </si>
  <si>
    <t xml:space="preserve"> 0.4323918037756721
</t>
  </si>
  <si>
    <t>delta_gold is: 1.0118216749318567</t>
  </si>
  <si>
    <t xml:space="preserve"> delta_tb is: 1.0027689964448558</t>
  </si>
  <si>
    <t xml:space="preserve"> delta_reit is: 1.0035634411470835
</t>
  </si>
  <si>
    <t xml:space="preserve"> 1.0035634411470835
</t>
  </si>
  <si>
    <t>delta_gold_risk is: 1.0013506338677054</t>
  </si>
  <si>
    <t xml:space="preserve"> delta_tb_risk is: 0.9990444481179473</t>
  </si>
  <si>
    <t xml:space="preserve"> delta_reit_risk is: 0.9960485806344601
</t>
  </si>
  <si>
    <t xml:space="preserve"> 0.9960485806344601
</t>
  </si>
  <si>
    <t xml:space="preserve">collateral_ratio_tranche_gold is: 0.8239341312184469
</t>
  </si>
  <si>
    <t xml:space="preserve"> 0.8239341312184469
</t>
  </si>
  <si>
    <t xml:space="preserve">collateral_ratio_tranche_tb is: 0.33014606164585125
</t>
  </si>
  <si>
    <t xml:space="preserve"> 0.33014606164585125
</t>
  </si>
  <si>
    <t xml:space="preserve">collateral_ratio_tranche_reit is: 0.2913381767044715
</t>
  </si>
  <si>
    <t xml:space="preserve"> 0.2913381767044715
</t>
  </si>
  <si>
    <t>Total plot size is: 151419723.14678264</t>
  </si>
  <si>
    <t xml:space="preserve"> plot size of gold is: 86015480.40177739</t>
  </si>
  <si>
    <t xml:space="preserve"> plot size of TB is: 34793078.625966564</t>
  </si>
  <si>
    <t xml:space="preserve"> plot size of REIT is: 30611164.119038675
</t>
  </si>
  <si>
    <t xml:space="preserve"> 30611164.119038675
</t>
  </si>
  <si>
    <t xml:space="preserve">collateral ratio is: 1.452387069858501
</t>
  </si>
  <si>
    <t xml:space="preserve"> 1.452387069858501
</t>
  </si>
  <si>
    <t>S_gtbcps_0 is: 0.9997862547969586</t>
  </si>
  <si>
    <t xml:space="preserve">stdev_gtbcps is: 0.011699291210566405
</t>
  </si>
  <si>
    <t xml:space="preserve"> 0.011699291210566405
</t>
  </si>
  <si>
    <t>predicted price of GTBCPS is: 0.9997663054947872</t>
  </si>
  <si>
    <t xml:space="preserve"> actual price is: 0.9997862547969586
</t>
  </si>
  <si>
    <t xml:space="preserve"> 0.9997862547969586
</t>
  </si>
  <si>
    <t>predicted amount of GTBCPS is: 104280133.38775812</t>
  </si>
  <si>
    <t xml:space="preserve"> actual amount is: 104278052.62711407
</t>
  </si>
  <si>
    <t>plot sizes of gold is: 86015480.40177739</t>
  </si>
  <si>
    <t xml:space="preserve"> plot sizes of tb is: 34793078.625966564 </t>
  </si>
  <si>
    <t xml:space="preserve"> plot sizes of reit is: 30611164.119038675</t>
  </si>
  <si>
    <t xml:space="preserve"> plot sizes of total is: 151419723.14678264.
</t>
  </si>
  <si>
    <t xml:space="preserve"> 151419723.14678264.
</t>
  </si>
  <si>
    <t>predicted stdevs of gold is: 0.0107029015093089</t>
  </si>
  <si>
    <t xml:space="preserve"> predicted stdevs of tb is: 0.0033050050823909337</t>
  </si>
  <si>
    <t xml:space="preserve"> predicted stdevs of reit is: 0.02404014811553344</t>
  </si>
  <si>
    <t xml:space="preserve"> predicted stdevs of GTBCPS is: 0.011699291210566405.
</t>
  </si>
  <si>
    <t xml:space="preserve"> 0.011699291210566405.
</t>
  </si>
  <si>
    <t>total_value_of_collaterals is: 151418996.59759295</t>
  </si>
  <si>
    <t xml:space="preserve"> createdtionValue_gold is: 1716.3038742008291</t>
  </si>
  <si>
    <t xml:space="preserve"> createdValue_tb is: 694.2445345091675</t>
  </si>
  <si>
    <t xml:space="preserve"> createdValue_reit is: 610.8007078089213
</t>
  </si>
  <si>
    <t xml:space="preserve"> 610.8007078089213
</t>
  </si>
  <si>
    <t>plotValue_gold_after_creation is: 86013173.22583227</t>
  </si>
  <si>
    <t xml:space="preserve"> plotValue_tb_after_creation  is: 34792309.3954614</t>
  </si>
  <si>
    <t xml:space="preserve"> plotValue_reit_after_creation  is: 30610492.627182774</t>
  </si>
  <si>
    <t xml:space="preserve">total_value_after_creation is: 151415975.24847645
</t>
  </si>
  <si>
    <t xml:space="preserve"> 151415975.24847645
</t>
  </si>
  <si>
    <t>total_amount_gtncps_before_creation is: 104278052.62711407</t>
  </si>
  <si>
    <t>creation_amount_gtbcps is: 2080.7606440484524</t>
  </si>
  <si>
    <t xml:space="preserve">total_amount_gtbcps_new is: 104280133.38775812
</t>
  </si>
  <si>
    <t xml:space="preserve"> 104280133.38775812
</t>
  </si>
  <si>
    <t>payout of tranche of gold is: -590.8720709229751</t>
  </si>
  <si>
    <t xml:space="preserve"> payout of tranche of Treausry Bill Option is: -74.98597065011818</t>
  </si>
  <si>
    <t xml:space="preserve"> payout of tranche of Collar of REIT is: -60.691148091772355
</t>
  </si>
  <si>
    <t xml:space="preserve"> -60.691148091772355
</t>
  </si>
  <si>
    <t>Collateral size of tranche of gold is: 86013173.22583227</t>
  </si>
  <si>
    <t xml:space="preserve"> collateral size of tranche of Treausry Bill Option is: 34792309.3954614</t>
  </si>
  <si>
    <t xml:space="preserve"> collateral size of tranche of Collar of REIT is: 30610492.627182774
</t>
  </si>
  <si>
    <t xml:space="preserve"> 30610492.627182774
</t>
  </si>
  <si>
    <t>Collateral ratio of tranche of gold is: 0.8250372591630741</t>
  </si>
  <si>
    <t xml:space="preserve"> collateral ratio of tranche of Treausry Bill Option is: 0.333727387410981</t>
  </si>
  <si>
    <t xml:space="preserve"> collateral ratio of tranche of Collar of REIT is: 0.2936154543729543
</t>
  </si>
  <si>
    <t xml:space="preserve"> 0.2936154543729543
</t>
  </si>
  <si>
    <t xml:space="preserve">date is: 2023-03-24 00:00:00
</t>
  </si>
  <si>
    <t xml:space="preserve"> 2023-03-24 00</t>
  </si>
  <si>
    <t>current price of gold is: 1978.21</t>
  </si>
  <si>
    <t xml:space="preserve"> predicted price of gold is: 1970.7599335122363
</t>
  </si>
  <si>
    <t xml:space="preserve"> 1970.7599335122363
</t>
  </si>
  <si>
    <t>current price of tb is: 91.66796875</t>
  </si>
  <si>
    <t xml:space="preserve"> current price of tb option is: 4.249965273521194</t>
  </si>
  <si>
    <t xml:space="preserve"> predicted price of tb is: 91.92653083263464
</t>
  </si>
  <si>
    <t xml:space="preserve"> 91.92653083263464
</t>
  </si>
  <si>
    <t xml:space="preserve"> current price of reit option is: 4.7996221050435395</t>
  </si>
  <si>
    <t xml:space="preserve"> predicted price of reit is: 50.5802480966636
</t>
  </si>
  <si>
    <t xml:space="preserve"> 50.5802480966636
</t>
  </si>
  <si>
    <t>value_ratio_gold_to_total is: -3.186061453414045</t>
  </si>
  <si>
    <t xml:space="preserve"> risk_ratio_to_gold is: 0.548435938867261</t>
  </si>
  <si>
    <t xml:space="preserve"> risk_ratio_to_gold_before is: 0.5470041077010525
</t>
  </si>
  <si>
    <t xml:space="preserve"> 0.5470041077010525
</t>
  </si>
  <si>
    <t>value_ratio_tb_to_total is: 1.9280962451413826</t>
  </si>
  <si>
    <t xml:space="preserve"> risk_ratio_tb_to_gold is: 0.3995036158666701</t>
  </si>
  <si>
    <t xml:space="preserve"> risk_ratio_tb_to_gold_before is: 0.4014080134049422
</t>
  </si>
  <si>
    <t xml:space="preserve"> 0.4014080134049422
</t>
  </si>
  <si>
    <t>value_ratio_reit_to_total is: 2.2579652082726622</t>
  </si>
  <si>
    <t xml:space="preserve"> risk_ratio_reit_to_gold is: 0.42386339772729476</t>
  </si>
  <si>
    <t xml:space="preserve"> risk_ratio_reit_to_gold_before is: 0.42673182306319246
</t>
  </si>
  <si>
    <t xml:space="preserve"> 0.42673182306319246
</t>
  </si>
  <si>
    <t>delta_gold is: 0.9923798535166047</t>
  </si>
  <si>
    <t xml:space="preserve"> delta_tb is: 1.0014235146056971</t>
  </si>
  <si>
    <t xml:space="preserve"> delta_reit is: 1.000118263886455
</t>
  </si>
  <si>
    <t xml:space="preserve"> 1.000118263886455
</t>
  </si>
  <si>
    <t>delta_gold_risk is: 1.0009255509788766</t>
  </si>
  <si>
    <t xml:space="preserve"> delta_tb_risk is: 0.9986410827396047</t>
  </si>
  <si>
    <t xml:space="preserve"> delta_reit_risk is: 0.9979895133132033
</t>
  </si>
  <si>
    <t xml:space="preserve"> 0.9979895133132033
</t>
  </si>
  <si>
    <t xml:space="preserve">collateral_ratio_tranche_gold is: 0.8179932599315485
</t>
  </si>
  <si>
    <t xml:space="preserve"> 0.8179932599315485
</t>
  </si>
  <si>
    <t xml:space="preserve">collateral_ratio_tranche_tb is: 0.337226943407153
</t>
  </si>
  <si>
    <t xml:space="preserve"> 0.337226943407153
</t>
  </si>
  <si>
    <t xml:space="preserve">collateral_ratio_tranche_reit is: 0.29650112963425423
</t>
  </si>
  <si>
    <t xml:space="preserve"> 0.29650112963425423
</t>
  </si>
  <si>
    <t>Total plot size is: 150813689.7454087</t>
  </si>
  <si>
    <t xml:space="preserve"> plot size of gold is: 85357740.24634978</t>
  </si>
  <si>
    <t xml:space="preserve"> plot size of TB is: 34841836.75605178</t>
  </si>
  <si>
    <t xml:space="preserve"> plot size of REIT is: 30614112.743007164
</t>
  </si>
  <si>
    <t xml:space="preserve"> 30614112.743007164
</t>
  </si>
  <si>
    <t xml:space="preserve">collateral ratio is: 1.4465741212031624
</t>
  </si>
  <si>
    <t xml:space="preserve"> 1.4465741212031624
</t>
  </si>
  <si>
    <t>S_gtbcps_0 is: 0.9997663054947872</t>
  </si>
  <si>
    <t xml:space="preserve">stdev_gtbcps is: 0.011703330635724742
</t>
  </si>
  <si>
    <t xml:space="preserve"> 0.011703330635724742
</t>
  </si>
  <si>
    <t>predicted price of GTBCPS is: 0.9997758666860207</t>
  </si>
  <si>
    <t xml:space="preserve"> actual price is: 0.9997663054947872
</t>
  </si>
  <si>
    <t xml:space="preserve"> 0.9997663054947872
</t>
  </si>
  <si>
    <t>predicted amount of GTBCPS is: 104279136.12194045</t>
  </si>
  <si>
    <t xml:space="preserve"> actual amount is: 104280133.38775812
</t>
  </si>
  <si>
    <t>plot sizes of gold is: 85357740.24634978</t>
  </si>
  <si>
    <t xml:space="preserve"> plot sizes of tb is: 34841836.75605178 </t>
  </si>
  <si>
    <t xml:space="preserve"> plot sizes of reit is: 30614112.743007164</t>
  </si>
  <si>
    <t xml:space="preserve"> plot sizes of total is: 150813689.7454087.
</t>
  </si>
  <si>
    <t xml:space="preserve"> 150813689.7454087.
</t>
  </si>
  <si>
    <t>predicted stdevs of gold is: 0.010728498176428023</t>
  </si>
  <si>
    <t xml:space="preserve"> predicted stdevs of tb is: 0.003305931807901286</t>
  </si>
  <si>
    <t xml:space="preserve"> predicted stdevs of reit is: 0.02397839795952567</t>
  </si>
  <si>
    <t xml:space="preserve"> predicted stdevs of GTBCPS is: 0.011703330635724742.
</t>
  </si>
  <si>
    <t xml:space="preserve"> 0.011703330635724742.
</t>
  </si>
  <si>
    <t>total_value_of_collaterals is: 150814038.30929813</t>
  </si>
  <si>
    <t xml:space="preserve"> createdtionValue_gold is: -816.315143821355</t>
  </si>
  <si>
    <t xml:space="preserve"> createdValue_tb is: -333.2076845631206</t>
  </si>
  <si>
    <t xml:space="preserve"> createdValue_reit is: -292.776089925186
</t>
  </si>
  <si>
    <t xml:space="preserve"> -292.776089925186
</t>
  </si>
  <si>
    <t>plotValue_gold_after_creation is: 85358838.71248291</t>
  </si>
  <si>
    <t xml:space="preserve"> plotValue_tb_after_creation  is: 34842206.73799931</t>
  </si>
  <si>
    <t xml:space="preserve"> plotValue_reit_after_creation  is: 30614435.157734208</t>
  </si>
  <si>
    <t xml:space="preserve">total_value_after_creation is: 150815480.60821643
</t>
  </si>
  <si>
    <t xml:space="preserve"> 150815480.60821643
</t>
  </si>
  <si>
    <t>total_amount_gtncps_before_creation is: 104280133.38775812</t>
  </si>
  <si>
    <t>creation_amount_gtbcps is: -997.2658176720142</t>
  </si>
  <si>
    <t xml:space="preserve">total_amount_gtbcps_new is: 104279136.12194045
</t>
  </si>
  <si>
    <t xml:space="preserve"> 104279136.12194045
</t>
  </si>
  <si>
    <t>payout of tranche of gold is: 282.1509893117228</t>
  </si>
  <si>
    <t xml:space="preserve"> payout of tranche of Treausry Bill Option is: 36.774262972329026</t>
  </si>
  <si>
    <t xml:space="preserve"> payout of tranche of Collar of REIT is: 29.63863711957459
</t>
  </si>
  <si>
    <t xml:space="preserve"> 29.63863711957459
</t>
  </si>
  <si>
    <t>Collateral size of tranche of gold is: 85358838.71248291</t>
  </si>
  <si>
    <t xml:space="preserve"> collateral size of tranche of Treausry Bill Option is: 34842206.73799931</t>
  </si>
  <si>
    <t xml:space="preserve"> collateral size of tranche of Collar of REIT is: 30614435.157734208
</t>
  </si>
  <si>
    <t xml:space="preserve"> 30614435.157734208
</t>
  </si>
  <si>
    <t>Collateral ratio of tranche of gold is: 0.8187367237385007</t>
  </si>
  <si>
    <t xml:space="preserve"> collateral ratio of tranche of Treausry Bill Option is: 0.33419613742141185</t>
  </si>
  <si>
    <t xml:space="preserve"> collateral ratio of tranche of Collar of REIT is: 0.2936446033969126
</t>
  </si>
  <si>
    <t xml:space="preserve"> 0.2936446033969126
</t>
  </si>
  <si>
    <t>min</t>
  </si>
  <si>
    <t>max</t>
  </si>
  <si>
    <t>average</t>
  </si>
  <si>
    <t>stdev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</si>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</sst>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8656F-9F8C-4913-85A6-10852EA8D9A6}">
  <sheetPr filterMode="1"/>
  <dimension ref="A1:D12413"/>
  <sheetViews>
    <sheetView workbookViewId="0">
      <selection activeCell="D1" sqref="D1:D1048576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0</v>
      </c>
      <c r="B2" s="1" t="s">
        <v>3</v>
      </c>
      <c r="C2" t="s">
        <v>4</v>
      </c>
      <c r="D2" t="s">
        <v>5</v>
      </c>
    </row>
    <row r="3" spans="1:4" hidden="1" x14ac:dyDescent="0.3">
      <c r="A3">
        <v>1</v>
      </c>
      <c r="B3" t="s">
        <v>6</v>
      </c>
      <c r="C3" t="s">
        <v>7</v>
      </c>
      <c r="D3">
        <v>1826.88</v>
      </c>
    </row>
    <row r="4" spans="1:4" hidden="1" x14ac:dyDescent="0.3">
      <c r="A4">
        <v>2</v>
      </c>
      <c r="B4" t="s">
        <v>8</v>
      </c>
      <c r="C4" t="s">
        <v>9</v>
      </c>
      <c r="D4">
        <v>1831.8650747858301</v>
      </c>
    </row>
    <row r="5" spans="1:4" hidden="1" x14ac:dyDescent="0.3">
      <c r="A5">
        <v>3</v>
      </c>
      <c r="B5" s="1" t="s">
        <v>10</v>
      </c>
      <c r="C5" t="s">
        <v>11</v>
      </c>
      <c r="D5" s="1" t="s">
        <v>12</v>
      </c>
    </row>
    <row r="6" spans="1:4" hidden="1" x14ac:dyDescent="0.3">
      <c r="A6">
        <v>4</v>
      </c>
      <c r="B6" t="s">
        <v>13</v>
      </c>
      <c r="C6" t="s">
        <v>14</v>
      </c>
      <c r="D6">
        <v>90.67578125</v>
      </c>
    </row>
    <row r="7" spans="1:4" hidden="1" x14ac:dyDescent="0.3">
      <c r="A7">
        <v>5</v>
      </c>
      <c r="B7" t="s">
        <v>15</v>
      </c>
      <c r="C7" t="s">
        <v>16</v>
      </c>
      <c r="D7">
        <v>4.2709836985238701</v>
      </c>
    </row>
    <row r="8" spans="1:4" hidden="1" x14ac:dyDescent="0.3">
      <c r="A8">
        <v>6</v>
      </c>
      <c r="B8" t="s">
        <v>17</v>
      </c>
      <c r="C8" t="s">
        <v>18</v>
      </c>
      <c r="D8">
        <v>90.912602633048195</v>
      </c>
    </row>
    <row r="9" spans="1:4" hidden="1" x14ac:dyDescent="0.3">
      <c r="A9">
        <v>7</v>
      </c>
      <c r="B9" s="1" t="s">
        <v>19</v>
      </c>
      <c r="C9" t="s">
        <v>11</v>
      </c>
      <c r="D9" s="1" t="s">
        <v>20</v>
      </c>
    </row>
    <row r="10" spans="1:4" hidden="1" x14ac:dyDescent="0.3">
      <c r="A10">
        <v>8</v>
      </c>
      <c r="B10" t="s">
        <v>21</v>
      </c>
      <c r="C10" t="s">
        <v>22</v>
      </c>
      <c r="D10">
        <v>63.75</v>
      </c>
    </row>
    <row r="11" spans="1:4" hidden="1" x14ac:dyDescent="0.3">
      <c r="A11">
        <v>9</v>
      </c>
      <c r="B11" t="s">
        <v>23</v>
      </c>
      <c r="C11" t="s">
        <v>24</v>
      </c>
      <c r="D11">
        <v>5.4102826472713801</v>
      </c>
    </row>
    <row r="12" spans="1:4" hidden="1" x14ac:dyDescent="0.3">
      <c r="A12">
        <v>10</v>
      </c>
      <c r="B12" t="s">
        <v>25</v>
      </c>
      <c r="C12" t="s">
        <v>26</v>
      </c>
      <c r="D12">
        <v>64.591610356759602</v>
      </c>
    </row>
    <row r="13" spans="1:4" hidden="1" x14ac:dyDescent="0.3">
      <c r="A13">
        <v>11</v>
      </c>
      <c r="B13" s="1" t="s">
        <v>27</v>
      </c>
      <c r="C13" t="s">
        <v>11</v>
      </c>
      <c r="D13" s="1" t="s">
        <v>28</v>
      </c>
    </row>
    <row r="14" spans="1:4" hidden="1" x14ac:dyDescent="0.3">
      <c r="A14">
        <v>12</v>
      </c>
      <c r="B14" t="s">
        <v>29</v>
      </c>
      <c r="C14" t="s">
        <v>30</v>
      </c>
      <c r="D14">
        <v>0.28630486564533902</v>
      </c>
    </row>
    <row r="15" spans="1:4" hidden="1" x14ac:dyDescent="0.3">
      <c r="A15">
        <v>13</v>
      </c>
      <c r="B15" s="1" t="s">
        <v>31</v>
      </c>
      <c r="C15" t="s">
        <v>32</v>
      </c>
      <c r="D15" s="1" t="s">
        <v>33</v>
      </c>
    </row>
    <row r="16" spans="1:4" hidden="1" x14ac:dyDescent="0.3">
      <c r="A16">
        <v>14</v>
      </c>
      <c r="B16" t="s">
        <v>34</v>
      </c>
      <c r="C16" t="s">
        <v>35</v>
      </c>
      <c r="D16">
        <v>0.31661776429146898</v>
      </c>
    </row>
    <row r="17" spans="1:4" hidden="1" x14ac:dyDescent="0.3">
      <c r="A17">
        <v>15</v>
      </c>
      <c r="B17" s="1" t="s">
        <v>36</v>
      </c>
      <c r="C17" t="s">
        <v>37</v>
      </c>
      <c r="D17" s="1" t="s">
        <v>38</v>
      </c>
    </row>
    <row r="18" spans="1:4" hidden="1" x14ac:dyDescent="0.3">
      <c r="A18">
        <v>16</v>
      </c>
      <c r="B18" t="s">
        <v>39</v>
      </c>
      <c r="C18" t="s">
        <v>40</v>
      </c>
      <c r="D18">
        <v>0.39707737006318999</v>
      </c>
    </row>
    <row r="19" spans="1:4" hidden="1" x14ac:dyDescent="0.3">
      <c r="A19">
        <v>17</v>
      </c>
      <c r="B19" s="1" t="s">
        <v>41</v>
      </c>
      <c r="C19" t="s">
        <v>42</v>
      </c>
      <c r="D19" s="1" t="s">
        <v>43</v>
      </c>
    </row>
    <row r="20" spans="1:4" hidden="1" x14ac:dyDescent="0.3">
      <c r="A20">
        <v>18</v>
      </c>
      <c r="B20" t="s">
        <v>44</v>
      </c>
      <c r="C20" t="s">
        <v>45</v>
      </c>
      <c r="D20">
        <v>8.6083545521535906E-3</v>
      </c>
    </row>
    <row r="21" spans="1:4" hidden="1" x14ac:dyDescent="0.3">
      <c r="A21">
        <v>19</v>
      </c>
      <c r="B21" t="s">
        <v>46</v>
      </c>
      <c r="C21" t="s">
        <v>47</v>
      </c>
      <c r="D21">
        <v>1.0969246192973401</v>
      </c>
    </row>
    <row r="22" spans="1:4" hidden="1" x14ac:dyDescent="0.3">
      <c r="A22">
        <v>20</v>
      </c>
      <c r="B22" s="1" t="s">
        <v>48</v>
      </c>
      <c r="C22" t="s">
        <v>49</v>
      </c>
      <c r="D22" s="1" t="s">
        <v>50</v>
      </c>
    </row>
    <row r="23" spans="1:4" hidden="1" x14ac:dyDescent="0.3">
      <c r="A23">
        <v>21</v>
      </c>
      <c r="B23" t="s">
        <v>29</v>
      </c>
      <c r="C23" t="s">
        <v>30</v>
      </c>
      <c r="D23">
        <v>0.28630486564533902</v>
      </c>
    </row>
    <row r="24" spans="1:4" hidden="1" x14ac:dyDescent="0.3">
      <c r="A24">
        <v>22</v>
      </c>
      <c r="B24" s="1" t="s">
        <v>31</v>
      </c>
      <c r="C24" t="s">
        <v>32</v>
      </c>
      <c r="D24" s="1" t="s">
        <v>33</v>
      </c>
    </row>
    <row r="25" spans="1:4" hidden="1" x14ac:dyDescent="0.3">
      <c r="A25">
        <v>23</v>
      </c>
      <c r="B25" t="s">
        <v>34</v>
      </c>
      <c r="C25" t="s">
        <v>35</v>
      </c>
      <c r="D25">
        <v>0.31661776429146898</v>
      </c>
    </row>
    <row r="26" spans="1:4" hidden="1" x14ac:dyDescent="0.3">
      <c r="A26">
        <v>24</v>
      </c>
      <c r="B26" s="1" t="s">
        <v>36</v>
      </c>
      <c r="C26" t="s">
        <v>37</v>
      </c>
      <c r="D26" s="1" t="s">
        <v>38</v>
      </c>
    </row>
    <row r="27" spans="1:4" hidden="1" x14ac:dyDescent="0.3">
      <c r="A27">
        <v>25</v>
      </c>
      <c r="B27" t="s">
        <v>39</v>
      </c>
      <c r="C27" t="s">
        <v>40</v>
      </c>
      <c r="D27">
        <v>0.39707737006318999</v>
      </c>
    </row>
    <row r="28" spans="1:4" hidden="1" x14ac:dyDescent="0.3">
      <c r="A28">
        <v>26</v>
      </c>
      <c r="B28" s="1" t="s">
        <v>41</v>
      </c>
      <c r="C28" t="s">
        <v>42</v>
      </c>
      <c r="D28" s="1" t="s">
        <v>43</v>
      </c>
    </row>
    <row r="29" spans="1:4" hidden="1" x14ac:dyDescent="0.3">
      <c r="A29">
        <v>27</v>
      </c>
      <c r="B29" s="1" t="s">
        <v>51</v>
      </c>
      <c r="C29" t="s">
        <v>52</v>
      </c>
      <c r="D29" s="1" t="s">
        <v>53</v>
      </c>
    </row>
    <row r="30" spans="1:4" hidden="1" x14ac:dyDescent="0.3">
      <c r="A30">
        <v>28</v>
      </c>
      <c r="B30" s="1" t="s">
        <v>54</v>
      </c>
      <c r="C30" t="s">
        <v>55</v>
      </c>
      <c r="D30" s="1" t="s">
        <v>56</v>
      </c>
    </row>
    <row r="31" spans="1:4" hidden="1" x14ac:dyDescent="0.3">
      <c r="A31">
        <v>29</v>
      </c>
      <c r="B31" s="1" t="s">
        <v>57</v>
      </c>
      <c r="C31" t="s">
        <v>58</v>
      </c>
      <c r="D31" s="1" t="s">
        <v>59</v>
      </c>
    </row>
    <row r="32" spans="1:4" hidden="1" x14ac:dyDescent="0.3">
      <c r="A32">
        <v>30</v>
      </c>
      <c r="B32" t="s">
        <v>60</v>
      </c>
      <c r="C32" t="s">
        <v>61</v>
      </c>
      <c r="D32">
        <v>154138358.943454</v>
      </c>
    </row>
    <row r="33" spans="1:4" hidden="1" x14ac:dyDescent="0.3">
      <c r="A33">
        <v>31</v>
      </c>
      <c r="B33" t="s">
        <v>62</v>
      </c>
      <c r="C33" t="s">
        <v>63</v>
      </c>
      <c r="D33">
        <v>80000000</v>
      </c>
    </row>
    <row r="34" spans="1:4" hidden="1" x14ac:dyDescent="0.3">
      <c r="A34">
        <v>32</v>
      </c>
      <c r="B34" t="s">
        <v>64</v>
      </c>
      <c r="C34" t="s">
        <v>65</v>
      </c>
      <c r="D34">
        <v>35000000</v>
      </c>
    </row>
    <row r="35" spans="1:4" hidden="1" x14ac:dyDescent="0.3">
      <c r="A35">
        <v>33</v>
      </c>
      <c r="B35" s="1" t="s">
        <v>66</v>
      </c>
      <c r="C35" t="s">
        <v>67</v>
      </c>
      <c r="D35" s="1" t="s">
        <v>68</v>
      </c>
    </row>
    <row r="36" spans="1:4" hidden="1" x14ac:dyDescent="0.3">
      <c r="A36">
        <v>34</v>
      </c>
      <c r="B36" s="1" t="s">
        <v>69</v>
      </c>
      <c r="C36" t="s">
        <v>70</v>
      </c>
      <c r="D36" s="1" t="s">
        <v>71</v>
      </c>
    </row>
    <row r="37" spans="1:4" hidden="1" x14ac:dyDescent="0.3">
      <c r="A37">
        <v>35</v>
      </c>
      <c r="B37" t="s">
        <v>72</v>
      </c>
      <c r="C37" t="s">
        <v>73</v>
      </c>
      <c r="D37">
        <v>1</v>
      </c>
    </row>
    <row r="38" spans="1:4" hidden="1" x14ac:dyDescent="0.3">
      <c r="A38">
        <v>36</v>
      </c>
      <c r="B38" t="s">
        <v>74</v>
      </c>
      <c r="C38" t="s">
        <v>75</v>
      </c>
      <c r="D38">
        <v>2.7397260273972599E-3</v>
      </c>
    </row>
    <row r="39" spans="1:4" hidden="1" x14ac:dyDescent="0.3">
      <c r="A39">
        <v>37</v>
      </c>
      <c r="B39" t="s">
        <v>76</v>
      </c>
      <c r="C39" t="s">
        <v>77</v>
      </c>
      <c r="D39">
        <v>0</v>
      </c>
    </row>
    <row r="40" spans="1:4" hidden="1" x14ac:dyDescent="0.3">
      <c r="A40">
        <v>38</v>
      </c>
      <c r="B40" t="s">
        <v>78</v>
      </c>
      <c r="C40" t="s">
        <v>79</v>
      </c>
      <c r="D40">
        <v>0</v>
      </c>
    </row>
    <row r="41" spans="1:4" hidden="1" x14ac:dyDescent="0.3">
      <c r="A41">
        <v>39</v>
      </c>
      <c r="B41" s="1" t="s">
        <v>80</v>
      </c>
      <c r="C41" t="s">
        <v>81</v>
      </c>
      <c r="D41" s="1" t="s">
        <v>82</v>
      </c>
    </row>
    <row r="42" spans="1:4" hidden="1" x14ac:dyDescent="0.3">
      <c r="A42">
        <v>40</v>
      </c>
      <c r="B42" t="s">
        <v>83</v>
      </c>
      <c r="C42" t="s">
        <v>84</v>
      </c>
      <c r="D42">
        <v>0.99999234732264997</v>
      </c>
    </row>
    <row r="43" spans="1:4" hidden="1" x14ac:dyDescent="0.3">
      <c r="A43">
        <v>41</v>
      </c>
      <c r="B43" s="1" t="s">
        <v>85</v>
      </c>
      <c r="C43" t="s">
        <v>86</v>
      </c>
      <c r="D43" s="1" t="s">
        <v>87</v>
      </c>
    </row>
    <row r="44" spans="1:4" hidden="1" x14ac:dyDescent="0.3">
      <c r="A44">
        <v>42</v>
      </c>
      <c r="B44" t="s">
        <v>88</v>
      </c>
      <c r="C44" t="s">
        <v>89</v>
      </c>
      <c r="D44">
        <v>102759692.34907199</v>
      </c>
    </row>
    <row r="45" spans="1:4" hidden="1" x14ac:dyDescent="0.3">
      <c r="A45">
        <v>43</v>
      </c>
      <c r="B45" s="1" t="s">
        <v>90</v>
      </c>
      <c r="C45" t="s">
        <v>91</v>
      </c>
      <c r="D45" s="1" t="s">
        <v>92</v>
      </c>
    </row>
    <row r="46" spans="1:4" hidden="1" x14ac:dyDescent="0.3">
      <c r="A46">
        <v>44</v>
      </c>
      <c r="B46" t="s">
        <v>93</v>
      </c>
      <c r="C46" t="s">
        <v>94</v>
      </c>
      <c r="D46">
        <v>80000000</v>
      </c>
    </row>
    <row r="47" spans="1:4" hidden="1" x14ac:dyDescent="0.3">
      <c r="A47">
        <v>45</v>
      </c>
      <c r="B47" t="s">
        <v>95</v>
      </c>
      <c r="C47" t="s">
        <v>96</v>
      </c>
      <c r="D47">
        <v>35000000</v>
      </c>
    </row>
    <row r="48" spans="1:4" hidden="1" x14ac:dyDescent="0.3">
      <c r="A48">
        <v>46</v>
      </c>
      <c r="B48" t="s">
        <v>97</v>
      </c>
      <c r="C48" t="s">
        <v>98</v>
      </c>
      <c r="D48">
        <v>39138358.943454102</v>
      </c>
    </row>
    <row r="49" spans="1:4" hidden="1" x14ac:dyDescent="0.3">
      <c r="A49">
        <v>47</v>
      </c>
      <c r="B49" s="1" t="s">
        <v>99</v>
      </c>
      <c r="C49" t="s">
        <v>100</v>
      </c>
      <c r="D49" s="1" t="s">
        <v>101</v>
      </c>
    </row>
    <row r="50" spans="1:4" hidden="1" x14ac:dyDescent="0.3">
      <c r="A50">
        <v>48</v>
      </c>
      <c r="B50" t="s">
        <v>102</v>
      </c>
      <c r="C50" t="s">
        <v>103</v>
      </c>
      <c r="D50">
        <v>1.0178377489492201E-2</v>
      </c>
    </row>
    <row r="51" spans="1:4" hidden="1" x14ac:dyDescent="0.3">
      <c r="A51">
        <v>49</v>
      </c>
      <c r="B51" t="s">
        <v>104</v>
      </c>
      <c r="C51" t="s">
        <v>105</v>
      </c>
      <c r="D51">
        <v>3.1717670409081799E-3</v>
      </c>
    </row>
    <row r="52" spans="1:4" hidden="1" x14ac:dyDescent="0.3">
      <c r="A52">
        <v>50</v>
      </c>
      <c r="B52" t="s">
        <v>106</v>
      </c>
      <c r="C52" t="s">
        <v>107</v>
      </c>
      <c r="D52">
        <v>1.2016957142289E-2</v>
      </c>
    </row>
    <row r="53" spans="1:4" hidden="1" x14ac:dyDescent="0.3">
      <c r="A53">
        <v>51</v>
      </c>
      <c r="B53" s="1" t="s">
        <v>108</v>
      </c>
      <c r="C53" t="s">
        <v>109</v>
      </c>
      <c r="D53" s="1" t="s">
        <v>110</v>
      </c>
    </row>
    <row r="54" spans="1:4" hidden="1" x14ac:dyDescent="0.3">
      <c r="A54">
        <v>52</v>
      </c>
      <c r="B54" t="s">
        <v>111</v>
      </c>
      <c r="C54" t="s">
        <v>112</v>
      </c>
      <c r="D54">
        <v>-204.07295768764499</v>
      </c>
    </row>
    <row r="55" spans="1:4" hidden="1" x14ac:dyDescent="0.3">
      <c r="A55">
        <v>53</v>
      </c>
      <c r="B55" t="s">
        <v>113</v>
      </c>
      <c r="C55" t="s">
        <v>114</v>
      </c>
      <c r="D55">
        <v>-30.024218952972301</v>
      </c>
    </row>
    <row r="56" spans="1:4" hidden="1" x14ac:dyDescent="0.3">
      <c r="A56">
        <v>54</v>
      </c>
      <c r="B56" s="1" t="s">
        <v>115</v>
      </c>
      <c r="C56" t="s">
        <v>116</v>
      </c>
      <c r="D56" s="1" t="s">
        <v>117</v>
      </c>
    </row>
    <row r="57" spans="1:4" hidden="1" x14ac:dyDescent="0.3">
      <c r="A57">
        <v>55</v>
      </c>
      <c r="B57" t="s">
        <v>118</v>
      </c>
      <c r="C57" t="s">
        <v>119</v>
      </c>
      <c r="D57">
        <v>79999795.927042305</v>
      </c>
    </row>
    <row r="58" spans="1:4" hidden="1" x14ac:dyDescent="0.3">
      <c r="A58">
        <v>56</v>
      </c>
      <c r="B58" t="s">
        <v>120</v>
      </c>
      <c r="C58" t="s">
        <v>121</v>
      </c>
      <c r="D58">
        <v>34999969.975781001</v>
      </c>
    </row>
    <row r="59" spans="1:4" hidden="1" x14ac:dyDescent="0.3">
      <c r="A59">
        <v>57</v>
      </c>
      <c r="B59" s="1" t="s">
        <v>122</v>
      </c>
      <c r="C59" t="s">
        <v>123</v>
      </c>
      <c r="D59" s="1" t="s">
        <v>124</v>
      </c>
    </row>
    <row r="60" spans="1:4" hidden="1" x14ac:dyDescent="0.3">
      <c r="A60">
        <v>58</v>
      </c>
      <c r="B60" t="s">
        <v>125</v>
      </c>
      <c r="C60" t="s">
        <v>126</v>
      </c>
      <c r="D60">
        <v>0.77851934270680401</v>
      </c>
    </row>
    <row r="61" spans="1:4" hidden="1" x14ac:dyDescent="0.3">
      <c r="A61">
        <v>59</v>
      </c>
      <c r="B61" t="s">
        <v>127</v>
      </c>
      <c r="C61" t="s">
        <v>128</v>
      </c>
      <c r="D61">
        <v>0.34060278910151898</v>
      </c>
    </row>
    <row r="62" spans="1:4" hidden="1" x14ac:dyDescent="0.3">
      <c r="A62">
        <v>60</v>
      </c>
      <c r="B62" s="1" t="s">
        <v>129</v>
      </c>
      <c r="C62" t="s">
        <v>130</v>
      </c>
      <c r="D62" s="1" t="s">
        <v>131</v>
      </c>
    </row>
    <row r="63" spans="1:4" x14ac:dyDescent="0.3">
      <c r="A63">
        <v>61</v>
      </c>
      <c r="B63" s="1" t="s">
        <v>132</v>
      </c>
      <c r="C63" t="s">
        <v>4</v>
      </c>
      <c r="D63" t="s">
        <v>133</v>
      </c>
    </row>
    <row r="64" spans="1:4" hidden="1" x14ac:dyDescent="0.3">
      <c r="A64">
        <v>62</v>
      </c>
      <c r="B64" t="s">
        <v>134</v>
      </c>
      <c r="C64" t="s">
        <v>7</v>
      </c>
      <c r="D64">
        <v>1822.85</v>
      </c>
    </row>
    <row r="65" spans="1:4" hidden="1" x14ac:dyDescent="0.3">
      <c r="A65">
        <v>63</v>
      </c>
      <c r="B65" s="1" t="s">
        <v>135</v>
      </c>
      <c r="C65" t="s">
        <v>9</v>
      </c>
      <c r="D65" s="1" t="s">
        <v>136</v>
      </c>
    </row>
    <row r="66" spans="1:4" hidden="1" x14ac:dyDescent="0.3">
      <c r="A66">
        <v>64</v>
      </c>
      <c r="B66" t="s">
        <v>137</v>
      </c>
      <c r="C66" t="s">
        <v>14</v>
      </c>
      <c r="D66">
        <v>90.50390625</v>
      </c>
    </row>
    <row r="67" spans="1:4" hidden="1" x14ac:dyDescent="0.3">
      <c r="A67">
        <v>65</v>
      </c>
      <c r="B67" t="s">
        <v>138</v>
      </c>
      <c r="C67" t="s">
        <v>16</v>
      </c>
      <c r="D67">
        <v>4.2662983759990496</v>
      </c>
    </row>
    <row r="68" spans="1:4" hidden="1" x14ac:dyDescent="0.3">
      <c r="A68">
        <v>66</v>
      </c>
      <c r="B68" s="1" t="s">
        <v>139</v>
      </c>
      <c r="C68" t="s">
        <v>140</v>
      </c>
      <c r="D68" s="1" t="s">
        <v>141</v>
      </c>
    </row>
    <row r="69" spans="1:4" hidden="1" x14ac:dyDescent="0.3">
      <c r="A69">
        <v>67</v>
      </c>
      <c r="B69" t="s">
        <v>142</v>
      </c>
      <c r="C69" t="s">
        <v>22</v>
      </c>
      <c r="D69">
        <v>64.8</v>
      </c>
    </row>
    <row r="70" spans="1:4" hidden="1" x14ac:dyDescent="0.3">
      <c r="A70">
        <v>68</v>
      </c>
      <c r="B70" t="s">
        <v>143</v>
      </c>
      <c r="C70" t="s">
        <v>24</v>
      </c>
      <c r="D70">
        <v>5.2935623913609504</v>
      </c>
    </row>
    <row r="71" spans="1:4" hidden="1" x14ac:dyDescent="0.3">
      <c r="A71">
        <v>69</v>
      </c>
      <c r="B71" s="1" t="s">
        <v>144</v>
      </c>
      <c r="C71" t="s">
        <v>145</v>
      </c>
      <c r="D71" s="1" t="s">
        <v>146</v>
      </c>
    </row>
    <row r="72" spans="1:4" hidden="1" x14ac:dyDescent="0.3">
      <c r="A72">
        <v>70</v>
      </c>
      <c r="B72" t="s">
        <v>147</v>
      </c>
      <c r="C72" t="s">
        <v>35</v>
      </c>
      <c r="D72">
        <v>-0.23705871803789999</v>
      </c>
    </row>
    <row r="73" spans="1:4" hidden="1" x14ac:dyDescent="0.3">
      <c r="A73">
        <v>71</v>
      </c>
      <c r="B73" t="s">
        <v>148</v>
      </c>
      <c r="C73" t="s">
        <v>149</v>
      </c>
      <c r="D73">
        <v>0.56306642527364803</v>
      </c>
    </row>
    <row r="74" spans="1:4" hidden="1" x14ac:dyDescent="0.3">
      <c r="A74">
        <v>72</v>
      </c>
      <c r="B74" s="1" t="s">
        <v>150</v>
      </c>
      <c r="C74" t="s">
        <v>151</v>
      </c>
      <c r="D74" s="1" t="s">
        <v>38</v>
      </c>
    </row>
    <row r="75" spans="1:4" hidden="1" x14ac:dyDescent="0.3">
      <c r="A75">
        <v>73</v>
      </c>
      <c r="B75" t="s">
        <v>152</v>
      </c>
      <c r="C75" t="s">
        <v>30</v>
      </c>
      <c r="D75">
        <v>0.54389411875382299</v>
      </c>
    </row>
    <row r="76" spans="1:4" hidden="1" x14ac:dyDescent="0.3">
      <c r="A76">
        <v>74</v>
      </c>
      <c r="B76" t="s">
        <v>153</v>
      </c>
      <c r="C76" t="s">
        <v>32</v>
      </c>
      <c r="D76">
        <v>0.368524499207532</v>
      </c>
    </row>
    <row r="77" spans="1:4" hidden="1" x14ac:dyDescent="0.3">
      <c r="A77">
        <v>75</v>
      </c>
      <c r="B77" s="1" t="s">
        <v>154</v>
      </c>
      <c r="C77" t="s">
        <v>155</v>
      </c>
      <c r="D77" s="1" t="s">
        <v>33</v>
      </c>
    </row>
    <row r="78" spans="1:4" hidden="1" x14ac:dyDescent="0.3">
      <c r="A78">
        <v>76</v>
      </c>
      <c r="B78" t="s">
        <v>156</v>
      </c>
      <c r="C78" t="s">
        <v>40</v>
      </c>
      <c r="D78">
        <v>0.69316459928407603</v>
      </c>
    </row>
    <row r="79" spans="1:4" hidden="1" x14ac:dyDescent="0.3">
      <c r="A79">
        <v>77</v>
      </c>
      <c r="B79" t="s">
        <v>157</v>
      </c>
      <c r="C79" t="s">
        <v>42</v>
      </c>
      <c r="D79">
        <v>0.40746489585185602</v>
      </c>
    </row>
    <row r="80" spans="1:4" hidden="1" x14ac:dyDescent="0.3">
      <c r="A80">
        <v>78</v>
      </c>
      <c r="B80" s="1" t="s">
        <v>158</v>
      </c>
      <c r="C80" t="s">
        <v>159</v>
      </c>
      <c r="D80" s="1" t="s">
        <v>43</v>
      </c>
    </row>
    <row r="81" spans="1:4" hidden="1" x14ac:dyDescent="0.3">
      <c r="A81">
        <v>79</v>
      </c>
      <c r="B81" t="s">
        <v>160</v>
      </c>
      <c r="C81" t="s">
        <v>161</v>
      </c>
      <c r="D81">
        <v>0.99779405324925496</v>
      </c>
    </row>
    <row r="82" spans="1:4" hidden="1" x14ac:dyDescent="0.3">
      <c r="A82">
        <v>80</v>
      </c>
      <c r="B82" t="s">
        <v>162</v>
      </c>
      <c r="C82" t="s">
        <v>163</v>
      </c>
      <c r="D82">
        <v>0.99814042824291505</v>
      </c>
    </row>
    <row r="83" spans="1:4" hidden="1" x14ac:dyDescent="0.3">
      <c r="A83">
        <v>81</v>
      </c>
      <c r="B83" s="1" t="s">
        <v>164</v>
      </c>
      <c r="C83" t="s">
        <v>165</v>
      </c>
      <c r="D83" s="1" t="s">
        <v>166</v>
      </c>
    </row>
    <row r="84" spans="1:4" hidden="1" x14ac:dyDescent="0.3">
      <c r="A84">
        <v>82</v>
      </c>
      <c r="B84" t="s">
        <v>167</v>
      </c>
      <c r="C84" t="s">
        <v>168</v>
      </c>
      <c r="D84">
        <v>0.99644018754985997</v>
      </c>
    </row>
    <row r="85" spans="1:4" hidden="1" x14ac:dyDescent="0.3">
      <c r="A85">
        <v>83</v>
      </c>
      <c r="B85" t="s">
        <v>169</v>
      </c>
      <c r="C85" t="s">
        <v>170</v>
      </c>
      <c r="D85">
        <v>1.0000528440576899</v>
      </c>
    </row>
    <row r="86" spans="1:4" hidden="1" x14ac:dyDescent="0.3">
      <c r="A86">
        <v>84</v>
      </c>
      <c r="B86" s="1" t="s">
        <v>171</v>
      </c>
      <c r="C86" t="s">
        <v>172</v>
      </c>
      <c r="D86" s="1" t="s">
        <v>173</v>
      </c>
    </row>
    <row r="87" spans="1:4" hidden="1" x14ac:dyDescent="0.3">
      <c r="A87">
        <v>85</v>
      </c>
      <c r="B87" s="1" t="s">
        <v>174</v>
      </c>
      <c r="C87" t="s">
        <v>55</v>
      </c>
      <c r="D87" s="1" t="s">
        <v>175</v>
      </c>
    </row>
    <row r="88" spans="1:4" hidden="1" x14ac:dyDescent="0.3">
      <c r="A88">
        <v>86</v>
      </c>
      <c r="B88" s="1" t="s">
        <v>176</v>
      </c>
      <c r="C88" t="s">
        <v>52</v>
      </c>
      <c r="D88" s="1" t="s">
        <v>177</v>
      </c>
    </row>
    <row r="89" spans="1:4" hidden="1" x14ac:dyDescent="0.3">
      <c r="A89">
        <v>87</v>
      </c>
      <c r="B89" s="1" t="s">
        <v>178</v>
      </c>
      <c r="C89" t="s">
        <v>58</v>
      </c>
      <c r="D89" s="1" t="s">
        <v>179</v>
      </c>
    </row>
    <row r="90" spans="1:4" hidden="1" x14ac:dyDescent="0.3">
      <c r="A90">
        <v>88</v>
      </c>
      <c r="B90" t="s">
        <v>180</v>
      </c>
      <c r="C90" t="s">
        <v>61</v>
      </c>
      <c r="D90">
        <v>154424948.68840501</v>
      </c>
    </row>
    <row r="91" spans="1:4" hidden="1" x14ac:dyDescent="0.3">
      <c r="A91">
        <v>89</v>
      </c>
      <c r="B91" t="s">
        <v>181</v>
      </c>
      <c r="C91" t="s">
        <v>63</v>
      </c>
      <c r="D91">
        <v>79823524.259940401</v>
      </c>
    </row>
    <row r="92" spans="1:4" hidden="1" x14ac:dyDescent="0.3">
      <c r="A92">
        <v>90</v>
      </c>
      <c r="B92" t="s">
        <v>182</v>
      </c>
      <c r="C92" t="s">
        <v>65</v>
      </c>
      <c r="D92">
        <v>34934914.988502003</v>
      </c>
    </row>
    <row r="93" spans="1:4" hidden="1" x14ac:dyDescent="0.3">
      <c r="A93">
        <v>91</v>
      </c>
      <c r="B93" s="1" t="s">
        <v>183</v>
      </c>
      <c r="C93" t="s">
        <v>67</v>
      </c>
      <c r="D93" s="1" t="s">
        <v>184</v>
      </c>
    </row>
    <row r="94" spans="1:4" hidden="1" x14ac:dyDescent="0.3">
      <c r="A94">
        <v>92</v>
      </c>
      <c r="B94" s="1" t="s">
        <v>185</v>
      </c>
      <c r="C94" t="s">
        <v>70</v>
      </c>
      <c r="D94" s="1" t="s">
        <v>186</v>
      </c>
    </row>
    <row r="95" spans="1:4" hidden="1" x14ac:dyDescent="0.3">
      <c r="A95">
        <v>93</v>
      </c>
      <c r="B95" t="s">
        <v>187</v>
      </c>
      <c r="C95" t="s">
        <v>73</v>
      </c>
      <c r="D95">
        <v>0.99999234732264997</v>
      </c>
    </row>
    <row r="96" spans="1:4" hidden="1" x14ac:dyDescent="0.3">
      <c r="A96">
        <v>94</v>
      </c>
      <c r="B96" t="s">
        <v>74</v>
      </c>
      <c r="C96" t="s">
        <v>75</v>
      </c>
      <c r="D96">
        <v>2.7397260273972599E-3</v>
      </c>
    </row>
    <row r="97" spans="1:4" hidden="1" x14ac:dyDescent="0.3">
      <c r="A97">
        <v>95</v>
      </c>
      <c r="B97" t="s">
        <v>76</v>
      </c>
      <c r="C97" t="s">
        <v>77</v>
      </c>
      <c r="D97">
        <v>0</v>
      </c>
    </row>
    <row r="98" spans="1:4" hidden="1" x14ac:dyDescent="0.3">
      <c r="A98">
        <v>96</v>
      </c>
      <c r="B98" t="s">
        <v>188</v>
      </c>
      <c r="C98" t="s">
        <v>79</v>
      </c>
      <c r="D98" s="2">
        <v>-2.2204460492503101E-16</v>
      </c>
    </row>
    <row r="99" spans="1:4" hidden="1" x14ac:dyDescent="0.3">
      <c r="A99">
        <v>97</v>
      </c>
      <c r="B99" s="1" t="s">
        <v>189</v>
      </c>
      <c r="C99" t="s">
        <v>81</v>
      </c>
      <c r="D99" s="1" t="s">
        <v>190</v>
      </c>
    </row>
    <row r="100" spans="1:4" hidden="1" x14ac:dyDescent="0.3">
      <c r="A100">
        <v>98</v>
      </c>
      <c r="B100" t="s">
        <v>191</v>
      </c>
      <c r="C100" t="s">
        <v>84</v>
      </c>
      <c r="D100">
        <v>0.99998481435365305</v>
      </c>
    </row>
    <row r="101" spans="1:4" hidden="1" x14ac:dyDescent="0.3">
      <c r="A101">
        <v>99</v>
      </c>
      <c r="B101" s="1" t="s">
        <v>192</v>
      </c>
      <c r="C101" t="s">
        <v>86</v>
      </c>
      <c r="D101" s="1" t="s">
        <v>193</v>
      </c>
    </row>
    <row r="102" spans="1:4" hidden="1" x14ac:dyDescent="0.3">
      <c r="A102">
        <v>100</v>
      </c>
      <c r="B102" t="s">
        <v>194</v>
      </c>
      <c r="C102" t="s">
        <v>89</v>
      </c>
      <c r="D102">
        <v>102951529.177783</v>
      </c>
    </row>
    <row r="103" spans="1:4" hidden="1" x14ac:dyDescent="0.3">
      <c r="A103">
        <v>101</v>
      </c>
      <c r="B103" s="1" t="s">
        <v>195</v>
      </c>
      <c r="C103" t="s">
        <v>91</v>
      </c>
      <c r="D103" s="1" t="s">
        <v>196</v>
      </c>
    </row>
    <row r="104" spans="1:4" hidden="1" x14ac:dyDescent="0.3">
      <c r="A104">
        <v>102</v>
      </c>
      <c r="B104" t="s">
        <v>197</v>
      </c>
      <c r="C104" t="s">
        <v>94</v>
      </c>
      <c r="D104">
        <v>79823524.259940401</v>
      </c>
    </row>
    <row r="105" spans="1:4" hidden="1" x14ac:dyDescent="0.3">
      <c r="A105">
        <v>103</v>
      </c>
      <c r="B105" t="s">
        <v>198</v>
      </c>
      <c r="C105" t="s">
        <v>96</v>
      </c>
      <c r="D105">
        <v>34934914.988502003</v>
      </c>
    </row>
    <row r="106" spans="1:4" hidden="1" x14ac:dyDescent="0.3">
      <c r="A106">
        <v>104</v>
      </c>
      <c r="B106" t="s">
        <v>199</v>
      </c>
      <c r="C106" t="s">
        <v>98</v>
      </c>
      <c r="D106">
        <v>39666509.4399627</v>
      </c>
    </row>
    <row r="107" spans="1:4" hidden="1" x14ac:dyDescent="0.3">
      <c r="A107">
        <v>105</v>
      </c>
      <c r="B107" s="1" t="s">
        <v>200</v>
      </c>
      <c r="C107" t="s">
        <v>100</v>
      </c>
      <c r="D107" s="1" t="s">
        <v>201</v>
      </c>
    </row>
    <row r="108" spans="1:4" hidden="1" x14ac:dyDescent="0.3">
      <c r="A108">
        <v>106</v>
      </c>
      <c r="B108" t="s">
        <v>202</v>
      </c>
      <c r="C108" t="s">
        <v>103</v>
      </c>
      <c r="D108">
        <v>1.01787386609767E-2</v>
      </c>
    </row>
    <row r="109" spans="1:4" hidden="1" x14ac:dyDescent="0.3">
      <c r="A109">
        <v>107</v>
      </c>
      <c r="B109" t="s">
        <v>203</v>
      </c>
      <c r="C109" t="s">
        <v>105</v>
      </c>
      <c r="D109">
        <v>3.1697458273489201E-3</v>
      </c>
    </row>
    <row r="110" spans="1:4" hidden="1" x14ac:dyDescent="0.3">
      <c r="A110">
        <v>108</v>
      </c>
      <c r="B110" t="s">
        <v>204</v>
      </c>
      <c r="C110" t="s">
        <v>107</v>
      </c>
      <c r="D110">
        <v>1.2089384587833599E-2</v>
      </c>
    </row>
    <row r="111" spans="1:4" hidden="1" x14ac:dyDescent="0.3">
      <c r="A111">
        <v>109</v>
      </c>
      <c r="B111" s="1" t="s">
        <v>205</v>
      </c>
      <c r="C111" t="s">
        <v>109</v>
      </c>
      <c r="D111" s="1" t="s">
        <v>206</v>
      </c>
    </row>
    <row r="112" spans="1:4" hidden="1" x14ac:dyDescent="0.3">
      <c r="A112">
        <v>110</v>
      </c>
      <c r="B112" t="s">
        <v>207</v>
      </c>
      <c r="C112" t="s">
        <v>208</v>
      </c>
      <c r="D112">
        <v>154424683.10344401</v>
      </c>
    </row>
    <row r="113" spans="1:4" hidden="1" x14ac:dyDescent="0.3">
      <c r="A113">
        <v>111</v>
      </c>
      <c r="B113" t="s">
        <v>209</v>
      </c>
      <c r="C113" t="s">
        <v>210</v>
      </c>
      <c r="D113">
        <v>148740.458514478</v>
      </c>
    </row>
    <row r="114" spans="1:4" hidden="1" x14ac:dyDescent="0.3">
      <c r="A114">
        <v>112</v>
      </c>
      <c r="B114" t="s">
        <v>211</v>
      </c>
      <c r="C114" t="s">
        <v>212</v>
      </c>
      <c r="D114">
        <v>65096.616070000797</v>
      </c>
    </row>
    <row r="115" spans="1:4" hidden="1" x14ac:dyDescent="0.3">
      <c r="A115">
        <v>113</v>
      </c>
      <c r="B115" s="1" t="s">
        <v>213</v>
      </c>
      <c r="C115" t="s">
        <v>214</v>
      </c>
      <c r="D115" s="1" t="s">
        <v>215</v>
      </c>
    </row>
    <row r="116" spans="1:4" hidden="1" x14ac:dyDescent="0.3">
      <c r="A116">
        <v>114</v>
      </c>
      <c r="B116" t="s">
        <v>216</v>
      </c>
      <c r="C116" t="s">
        <v>217</v>
      </c>
      <c r="D116">
        <v>79674606.067902297</v>
      </c>
    </row>
    <row r="117" spans="1:4" hidden="1" x14ac:dyDescent="0.3">
      <c r="A117">
        <v>115</v>
      </c>
      <c r="B117" t="s">
        <v>218</v>
      </c>
      <c r="C117" t="s">
        <v>219</v>
      </c>
      <c r="D117">
        <v>34869781.184827603</v>
      </c>
    </row>
    <row r="118" spans="1:4" hidden="1" x14ac:dyDescent="0.3">
      <c r="A118">
        <v>116</v>
      </c>
      <c r="B118" t="s">
        <v>220</v>
      </c>
      <c r="C118" t="s">
        <v>221</v>
      </c>
      <c r="D118">
        <v>39592545.472281396</v>
      </c>
    </row>
    <row r="119" spans="1:4" hidden="1" x14ac:dyDescent="0.3">
      <c r="A119">
        <v>117</v>
      </c>
      <c r="B119" s="1" t="s">
        <v>222</v>
      </c>
      <c r="C119" t="s">
        <v>223</v>
      </c>
      <c r="D119" s="1" t="s">
        <v>224</v>
      </c>
    </row>
    <row r="120" spans="1:4" hidden="1" x14ac:dyDescent="0.3">
      <c r="A120">
        <v>118</v>
      </c>
      <c r="B120" t="s">
        <v>225</v>
      </c>
      <c r="C120" t="s">
        <v>226</v>
      </c>
      <c r="D120">
        <v>102759692.34907199</v>
      </c>
    </row>
    <row r="121" spans="1:4" hidden="1" x14ac:dyDescent="0.3">
      <c r="A121">
        <v>119</v>
      </c>
      <c r="B121" t="s">
        <v>227</v>
      </c>
      <c r="C121" t="s">
        <v>228</v>
      </c>
      <c r="D121">
        <v>191836.82871028699</v>
      </c>
    </row>
    <row r="122" spans="1:4" hidden="1" x14ac:dyDescent="0.3">
      <c r="A122">
        <v>120</v>
      </c>
      <c r="B122" s="1" t="s">
        <v>229</v>
      </c>
      <c r="C122" t="s">
        <v>230</v>
      </c>
      <c r="D122" s="1" t="s">
        <v>231</v>
      </c>
    </row>
    <row r="123" spans="1:4" hidden="1" x14ac:dyDescent="0.3">
      <c r="A123">
        <v>121</v>
      </c>
      <c r="B123" t="s">
        <v>232</v>
      </c>
      <c r="C123" t="s">
        <v>112</v>
      </c>
      <c r="D123">
        <v>-177.73352358109599</v>
      </c>
    </row>
    <row r="124" spans="1:4" hidden="1" x14ac:dyDescent="0.3">
      <c r="A124">
        <v>122</v>
      </c>
      <c r="B124" t="s">
        <v>233</v>
      </c>
      <c r="C124" t="s">
        <v>114</v>
      </c>
      <c r="D124">
        <v>-37.187604415511302</v>
      </c>
    </row>
    <row r="125" spans="1:4" hidden="1" x14ac:dyDescent="0.3">
      <c r="A125">
        <v>123</v>
      </c>
      <c r="B125" s="1" t="s">
        <v>234</v>
      </c>
      <c r="C125" t="s">
        <v>116</v>
      </c>
      <c r="D125" s="1" t="s">
        <v>235</v>
      </c>
    </row>
    <row r="126" spans="1:4" hidden="1" x14ac:dyDescent="0.3">
      <c r="A126">
        <v>124</v>
      </c>
      <c r="B126" t="s">
        <v>236</v>
      </c>
      <c r="C126" t="s">
        <v>119</v>
      </c>
      <c r="D126">
        <v>79674606.067902297</v>
      </c>
    </row>
    <row r="127" spans="1:4" hidden="1" x14ac:dyDescent="0.3">
      <c r="A127">
        <v>125</v>
      </c>
      <c r="B127" t="s">
        <v>237</v>
      </c>
      <c r="C127" t="s">
        <v>121</v>
      </c>
      <c r="D127">
        <v>34869781.184827603</v>
      </c>
    </row>
    <row r="128" spans="1:4" hidden="1" x14ac:dyDescent="0.3">
      <c r="A128">
        <v>126</v>
      </c>
      <c r="B128" s="1" t="s">
        <v>238</v>
      </c>
      <c r="C128" t="s">
        <v>123</v>
      </c>
      <c r="D128" s="1" t="s">
        <v>239</v>
      </c>
    </row>
    <row r="129" spans="1:4" hidden="1" x14ac:dyDescent="0.3">
      <c r="A129">
        <v>127</v>
      </c>
      <c r="B129" t="s">
        <v>240</v>
      </c>
      <c r="C129" t="s">
        <v>126</v>
      </c>
      <c r="D129">
        <v>0.77536059300381199</v>
      </c>
    </row>
    <row r="130" spans="1:4" hidden="1" x14ac:dyDescent="0.3">
      <c r="A130">
        <v>128</v>
      </c>
      <c r="B130" t="s">
        <v>241</v>
      </c>
      <c r="C130" t="s">
        <v>128</v>
      </c>
      <c r="D130">
        <v>0.33933841096546102</v>
      </c>
    </row>
    <row r="131" spans="1:4" hidden="1" x14ac:dyDescent="0.3">
      <c r="A131">
        <v>129</v>
      </c>
      <c r="B131" s="1" t="s">
        <v>242</v>
      </c>
      <c r="C131" t="s">
        <v>130</v>
      </c>
      <c r="D131" s="1" t="s">
        <v>243</v>
      </c>
    </row>
    <row r="132" spans="1:4" x14ac:dyDescent="0.3">
      <c r="A132">
        <v>130</v>
      </c>
      <c r="B132" s="1" t="s">
        <v>244</v>
      </c>
      <c r="C132" t="s">
        <v>4</v>
      </c>
      <c r="D132" t="s">
        <v>245</v>
      </c>
    </row>
    <row r="133" spans="1:4" hidden="1" x14ac:dyDescent="0.3">
      <c r="A133">
        <v>131</v>
      </c>
      <c r="B133" t="s">
        <v>246</v>
      </c>
      <c r="C133" t="s">
        <v>7</v>
      </c>
      <c r="D133">
        <v>1820.01</v>
      </c>
    </row>
    <row r="134" spans="1:4" hidden="1" x14ac:dyDescent="0.3">
      <c r="A134">
        <v>132</v>
      </c>
      <c r="B134" s="1" t="s">
        <v>247</v>
      </c>
      <c r="C134" t="s">
        <v>9</v>
      </c>
      <c r="D134" s="1" t="s">
        <v>248</v>
      </c>
    </row>
    <row r="135" spans="1:4" hidden="1" x14ac:dyDescent="0.3">
      <c r="A135">
        <v>133</v>
      </c>
      <c r="B135" t="s">
        <v>249</v>
      </c>
      <c r="C135" t="s">
        <v>14</v>
      </c>
      <c r="D135">
        <v>90.5546875</v>
      </c>
    </row>
    <row r="136" spans="1:4" hidden="1" x14ac:dyDescent="0.3">
      <c r="A136">
        <v>134</v>
      </c>
      <c r="B136" t="s">
        <v>250</v>
      </c>
      <c r="C136" t="s">
        <v>16</v>
      </c>
      <c r="D136">
        <v>4.2661674804478098</v>
      </c>
    </row>
    <row r="137" spans="1:4" hidden="1" x14ac:dyDescent="0.3">
      <c r="A137">
        <v>135</v>
      </c>
      <c r="B137" s="1" t="s">
        <v>251</v>
      </c>
      <c r="C137" t="s">
        <v>140</v>
      </c>
      <c r="D137" s="1" t="s">
        <v>252</v>
      </c>
    </row>
    <row r="138" spans="1:4" hidden="1" x14ac:dyDescent="0.3">
      <c r="A138">
        <v>136</v>
      </c>
      <c r="B138" t="s">
        <v>253</v>
      </c>
      <c r="C138" t="s">
        <v>22</v>
      </c>
      <c r="D138">
        <v>65.25</v>
      </c>
    </row>
    <row r="139" spans="1:4" hidden="1" x14ac:dyDescent="0.3">
      <c r="A139">
        <v>137</v>
      </c>
      <c r="B139" t="s">
        <v>254</v>
      </c>
      <c r="C139" t="s">
        <v>24</v>
      </c>
      <c r="D139">
        <v>5.2647690457505396</v>
      </c>
    </row>
    <row r="140" spans="1:4" hidden="1" x14ac:dyDescent="0.3">
      <c r="A140">
        <v>138</v>
      </c>
      <c r="B140" s="1" t="s">
        <v>255</v>
      </c>
      <c r="C140" t="s">
        <v>145</v>
      </c>
      <c r="D140" s="1" t="s">
        <v>256</v>
      </c>
    </row>
    <row r="141" spans="1:4" hidden="1" x14ac:dyDescent="0.3">
      <c r="A141">
        <v>139</v>
      </c>
      <c r="B141" t="s">
        <v>257</v>
      </c>
      <c r="C141" t="s">
        <v>35</v>
      </c>
      <c r="D141">
        <v>0.29458703537698899</v>
      </c>
    </row>
    <row r="142" spans="1:4" hidden="1" x14ac:dyDescent="0.3">
      <c r="A142">
        <v>140</v>
      </c>
      <c r="B142" t="s">
        <v>258</v>
      </c>
      <c r="C142" t="s">
        <v>149</v>
      </c>
      <c r="D142">
        <v>0.56293870809070901</v>
      </c>
    </row>
    <row r="143" spans="1:4" hidden="1" x14ac:dyDescent="0.3">
      <c r="A143">
        <v>141</v>
      </c>
      <c r="B143" s="1" t="s">
        <v>259</v>
      </c>
      <c r="C143" t="s">
        <v>151</v>
      </c>
      <c r="D143" s="1" t="s">
        <v>260</v>
      </c>
    </row>
    <row r="144" spans="1:4" hidden="1" x14ac:dyDescent="0.3">
      <c r="A144">
        <v>142</v>
      </c>
      <c r="B144" t="s">
        <v>261</v>
      </c>
      <c r="C144" t="s">
        <v>30</v>
      </c>
      <c r="D144">
        <v>0.30769534252693997</v>
      </c>
    </row>
    <row r="145" spans="1:4" hidden="1" x14ac:dyDescent="0.3">
      <c r="A145">
        <v>143</v>
      </c>
      <c r="B145" t="s">
        <v>262</v>
      </c>
      <c r="C145" t="s">
        <v>32</v>
      </c>
      <c r="D145">
        <v>0.36833483260938099</v>
      </c>
    </row>
    <row r="146" spans="1:4" hidden="1" x14ac:dyDescent="0.3">
      <c r="A146">
        <v>144</v>
      </c>
      <c r="B146" s="1" t="s">
        <v>263</v>
      </c>
      <c r="C146" t="s">
        <v>155</v>
      </c>
      <c r="D146" s="1" t="s">
        <v>264</v>
      </c>
    </row>
    <row r="147" spans="1:4" hidden="1" x14ac:dyDescent="0.3">
      <c r="A147">
        <v>145</v>
      </c>
      <c r="B147" t="s">
        <v>265</v>
      </c>
      <c r="C147" t="s">
        <v>40</v>
      </c>
      <c r="D147">
        <v>0.39771762209606998</v>
      </c>
    </row>
    <row r="148" spans="1:4" hidden="1" x14ac:dyDescent="0.3">
      <c r="A148">
        <v>146</v>
      </c>
      <c r="B148" t="s">
        <v>266</v>
      </c>
      <c r="C148" t="s">
        <v>42</v>
      </c>
      <c r="D148">
        <v>0.40805749150641502</v>
      </c>
    </row>
    <row r="149" spans="1:4" hidden="1" x14ac:dyDescent="0.3">
      <c r="A149">
        <v>147</v>
      </c>
      <c r="B149" s="1" t="s">
        <v>267</v>
      </c>
      <c r="C149" t="s">
        <v>159</v>
      </c>
      <c r="D149" s="1" t="s">
        <v>268</v>
      </c>
    </row>
    <row r="150" spans="1:4" hidden="1" x14ac:dyDescent="0.3">
      <c r="A150">
        <v>148</v>
      </c>
      <c r="B150" t="s">
        <v>269</v>
      </c>
      <c r="C150" t="s">
        <v>161</v>
      </c>
      <c r="D150">
        <v>0.99844200016457696</v>
      </c>
    </row>
    <row r="151" spans="1:4" hidden="1" x14ac:dyDescent="0.3">
      <c r="A151">
        <v>149</v>
      </c>
      <c r="B151" t="s">
        <v>270</v>
      </c>
      <c r="C151" t="s">
        <v>163</v>
      </c>
      <c r="D151">
        <v>1.00053445441685</v>
      </c>
    </row>
    <row r="152" spans="1:4" hidden="1" x14ac:dyDescent="0.3">
      <c r="A152">
        <v>150</v>
      </c>
      <c r="B152" s="1" t="s">
        <v>271</v>
      </c>
      <c r="C152" t="s">
        <v>165</v>
      </c>
      <c r="D152" s="1" t="s">
        <v>272</v>
      </c>
    </row>
    <row r="153" spans="1:4" hidden="1" x14ac:dyDescent="0.3">
      <c r="A153">
        <v>151</v>
      </c>
      <c r="B153" t="s">
        <v>273</v>
      </c>
      <c r="C153" t="s">
        <v>168</v>
      </c>
      <c r="D153">
        <v>0.99991829062356197</v>
      </c>
    </row>
    <row r="154" spans="1:4" hidden="1" x14ac:dyDescent="0.3">
      <c r="A154">
        <v>152</v>
      </c>
      <c r="B154" t="s">
        <v>274</v>
      </c>
      <c r="C154" t="s">
        <v>170</v>
      </c>
      <c r="D154">
        <v>0.99986140796291101</v>
      </c>
    </row>
    <row r="155" spans="1:4" hidden="1" x14ac:dyDescent="0.3">
      <c r="A155">
        <v>153</v>
      </c>
      <c r="B155" s="1" t="s">
        <v>275</v>
      </c>
      <c r="C155" t="s">
        <v>172</v>
      </c>
      <c r="D155" s="1" t="s">
        <v>276</v>
      </c>
    </row>
    <row r="156" spans="1:4" hidden="1" x14ac:dyDescent="0.3">
      <c r="A156">
        <v>154</v>
      </c>
      <c r="B156" s="1" t="s">
        <v>277</v>
      </c>
      <c r="C156" t="s">
        <v>55</v>
      </c>
      <c r="D156" s="1" t="s">
        <v>278</v>
      </c>
    </row>
    <row r="157" spans="1:4" hidden="1" x14ac:dyDescent="0.3">
      <c r="A157">
        <v>155</v>
      </c>
      <c r="B157" s="1" t="s">
        <v>279</v>
      </c>
      <c r="C157" t="s">
        <v>52</v>
      </c>
      <c r="D157" s="1" t="s">
        <v>280</v>
      </c>
    </row>
    <row r="158" spans="1:4" hidden="1" x14ac:dyDescent="0.3">
      <c r="A158">
        <v>156</v>
      </c>
      <c r="B158" s="1" t="s">
        <v>281</v>
      </c>
      <c r="C158" t="s">
        <v>58</v>
      </c>
      <c r="D158" s="1" t="s">
        <v>282</v>
      </c>
    </row>
    <row r="159" spans="1:4" hidden="1" x14ac:dyDescent="0.3">
      <c r="A159">
        <v>157</v>
      </c>
      <c r="B159" t="s">
        <v>283</v>
      </c>
      <c r="C159" t="s">
        <v>61</v>
      </c>
      <c r="D159">
        <v>154269355.77151501</v>
      </c>
    </row>
    <row r="160" spans="1:4" hidden="1" x14ac:dyDescent="0.3">
      <c r="A160">
        <v>158</v>
      </c>
      <c r="B160" t="s">
        <v>284</v>
      </c>
      <c r="C160" t="s">
        <v>63</v>
      </c>
      <c r="D160">
        <v>79550473.044761196</v>
      </c>
    </row>
    <row r="161" spans="1:4" hidden="1" x14ac:dyDescent="0.3">
      <c r="A161">
        <v>159</v>
      </c>
      <c r="B161" t="s">
        <v>285</v>
      </c>
      <c r="C161" t="s">
        <v>65</v>
      </c>
      <c r="D161">
        <v>34888417.493396603</v>
      </c>
    </row>
    <row r="162" spans="1:4" hidden="1" x14ac:dyDescent="0.3">
      <c r="A162">
        <v>160</v>
      </c>
      <c r="B162" s="1" t="s">
        <v>286</v>
      </c>
      <c r="C162" t="s">
        <v>67</v>
      </c>
      <c r="D162" s="1" t="s">
        <v>287</v>
      </c>
    </row>
    <row r="163" spans="1:4" hidden="1" x14ac:dyDescent="0.3">
      <c r="A163">
        <v>161</v>
      </c>
      <c r="B163" s="1" t="s">
        <v>288</v>
      </c>
      <c r="C163" t="s">
        <v>70</v>
      </c>
      <c r="D163" s="1" t="s">
        <v>289</v>
      </c>
    </row>
    <row r="164" spans="1:4" hidden="1" x14ac:dyDescent="0.3">
      <c r="A164">
        <v>162</v>
      </c>
      <c r="B164" t="s">
        <v>290</v>
      </c>
      <c r="C164" t="s">
        <v>73</v>
      </c>
      <c r="D164">
        <v>0.99998481435365305</v>
      </c>
    </row>
    <row r="165" spans="1:4" hidden="1" x14ac:dyDescent="0.3">
      <c r="A165">
        <v>163</v>
      </c>
      <c r="B165" t="s">
        <v>74</v>
      </c>
      <c r="C165" t="s">
        <v>75</v>
      </c>
      <c r="D165">
        <v>2.7397260273972599E-3</v>
      </c>
    </row>
    <row r="166" spans="1:4" hidden="1" x14ac:dyDescent="0.3">
      <c r="A166">
        <v>164</v>
      </c>
      <c r="B166" t="s">
        <v>76</v>
      </c>
      <c r="C166" t="s">
        <v>77</v>
      </c>
      <c r="D166">
        <v>0</v>
      </c>
    </row>
    <row r="167" spans="1:4" hidden="1" x14ac:dyDescent="0.3">
      <c r="A167">
        <v>165</v>
      </c>
      <c r="B167" t="s">
        <v>78</v>
      </c>
      <c r="C167" t="s">
        <v>79</v>
      </c>
      <c r="D167">
        <v>0</v>
      </c>
    </row>
    <row r="168" spans="1:4" hidden="1" x14ac:dyDescent="0.3">
      <c r="A168">
        <v>166</v>
      </c>
      <c r="B168" s="1" t="s">
        <v>291</v>
      </c>
      <c r="C168" t="s">
        <v>81</v>
      </c>
      <c r="D168" s="1" t="s">
        <v>292</v>
      </c>
    </row>
    <row r="169" spans="1:4" hidden="1" x14ac:dyDescent="0.3">
      <c r="A169">
        <v>167</v>
      </c>
      <c r="B169" t="s">
        <v>293</v>
      </c>
      <c r="C169" t="s">
        <v>84</v>
      </c>
      <c r="D169">
        <v>0.99998843570993401</v>
      </c>
    </row>
    <row r="170" spans="1:4" hidden="1" x14ac:dyDescent="0.3">
      <c r="A170">
        <v>168</v>
      </c>
      <c r="B170" s="1" t="s">
        <v>294</v>
      </c>
      <c r="C170" t="s">
        <v>86</v>
      </c>
      <c r="D170" s="1" t="s">
        <v>295</v>
      </c>
    </row>
    <row r="171" spans="1:4" hidden="1" x14ac:dyDescent="0.3">
      <c r="A171">
        <v>169</v>
      </c>
      <c r="B171" t="s">
        <v>296</v>
      </c>
      <c r="C171" t="s">
        <v>89</v>
      </c>
      <c r="D171">
        <v>102951156.34930401</v>
      </c>
    </row>
    <row r="172" spans="1:4" hidden="1" x14ac:dyDescent="0.3">
      <c r="A172">
        <v>170</v>
      </c>
      <c r="B172" s="1" t="s">
        <v>297</v>
      </c>
      <c r="C172" t="s">
        <v>91</v>
      </c>
      <c r="D172" s="1" t="s">
        <v>231</v>
      </c>
    </row>
    <row r="173" spans="1:4" hidden="1" x14ac:dyDescent="0.3">
      <c r="A173">
        <v>171</v>
      </c>
      <c r="B173" t="s">
        <v>298</v>
      </c>
      <c r="C173" t="s">
        <v>94</v>
      </c>
      <c r="D173">
        <v>79550473.044761196</v>
      </c>
    </row>
    <row r="174" spans="1:4" hidden="1" x14ac:dyDescent="0.3">
      <c r="A174">
        <v>172</v>
      </c>
      <c r="B174" t="s">
        <v>299</v>
      </c>
      <c r="C174" t="s">
        <v>96</v>
      </c>
      <c r="D174">
        <v>34888417.493396603</v>
      </c>
    </row>
    <row r="175" spans="1:4" hidden="1" x14ac:dyDescent="0.3">
      <c r="A175">
        <v>173</v>
      </c>
      <c r="B175" t="s">
        <v>300</v>
      </c>
      <c r="C175" t="s">
        <v>98</v>
      </c>
      <c r="D175">
        <v>39830465.233357802</v>
      </c>
    </row>
    <row r="176" spans="1:4" hidden="1" x14ac:dyDescent="0.3">
      <c r="A176">
        <v>174</v>
      </c>
      <c r="B176" s="1" t="s">
        <v>301</v>
      </c>
      <c r="C176" t="s">
        <v>100</v>
      </c>
      <c r="D176" s="1" t="s">
        <v>302</v>
      </c>
    </row>
    <row r="177" spans="1:4" hidden="1" x14ac:dyDescent="0.3">
      <c r="A177">
        <v>175</v>
      </c>
      <c r="B177" t="s">
        <v>303</v>
      </c>
      <c r="C177" t="s">
        <v>103</v>
      </c>
      <c r="D177">
        <v>1.01722198749201E-2</v>
      </c>
    </row>
    <row r="178" spans="1:4" hidden="1" x14ac:dyDescent="0.3">
      <c r="A178">
        <v>176</v>
      </c>
      <c r="B178" t="s">
        <v>304</v>
      </c>
      <c r="C178" t="s">
        <v>105</v>
      </c>
      <c r="D178">
        <v>3.16924070008318E-3</v>
      </c>
    </row>
    <row r="179" spans="1:4" hidden="1" x14ac:dyDescent="0.3">
      <c r="A179">
        <v>177</v>
      </c>
      <c r="B179" t="s">
        <v>305</v>
      </c>
      <c r="C179" t="s">
        <v>107</v>
      </c>
      <c r="D179">
        <v>1.2112113771651299E-2</v>
      </c>
    </row>
    <row r="180" spans="1:4" hidden="1" x14ac:dyDescent="0.3">
      <c r="A180">
        <v>178</v>
      </c>
      <c r="B180" s="1" t="s">
        <v>306</v>
      </c>
      <c r="C180" t="s">
        <v>109</v>
      </c>
      <c r="D180" s="1" t="s">
        <v>307</v>
      </c>
    </row>
    <row r="181" spans="1:4" hidden="1" x14ac:dyDescent="0.3">
      <c r="A181">
        <v>179</v>
      </c>
      <c r="B181" t="s">
        <v>308</v>
      </c>
      <c r="C181" t="s">
        <v>208</v>
      </c>
      <c r="D181">
        <v>154269483.56988201</v>
      </c>
    </row>
    <row r="182" spans="1:4" hidden="1" x14ac:dyDescent="0.3">
      <c r="A182">
        <v>180</v>
      </c>
      <c r="B182" t="s">
        <v>309</v>
      </c>
      <c r="C182" t="s">
        <v>210</v>
      </c>
      <c r="D182">
        <v>-288.08532807998</v>
      </c>
    </row>
    <row r="183" spans="1:4" hidden="1" x14ac:dyDescent="0.3">
      <c r="A183">
        <v>181</v>
      </c>
      <c r="B183" t="s">
        <v>310</v>
      </c>
      <c r="C183" t="s">
        <v>212</v>
      </c>
      <c r="D183">
        <v>-126.34535975775999</v>
      </c>
    </row>
    <row r="184" spans="1:4" hidden="1" x14ac:dyDescent="0.3">
      <c r="A184">
        <v>182</v>
      </c>
      <c r="B184" s="1" t="s">
        <v>311</v>
      </c>
      <c r="C184" t="s">
        <v>214</v>
      </c>
      <c r="D184" s="1" t="s">
        <v>312</v>
      </c>
    </row>
    <row r="185" spans="1:4" hidden="1" x14ac:dyDescent="0.3">
      <c r="A185">
        <v>183</v>
      </c>
      <c r="B185" t="s">
        <v>313</v>
      </c>
      <c r="C185" t="s">
        <v>217</v>
      </c>
      <c r="D185">
        <v>79550857.254920006</v>
      </c>
    </row>
    <row r="186" spans="1:4" hidden="1" x14ac:dyDescent="0.3">
      <c r="A186">
        <v>184</v>
      </c>
      <c r="B186" t="s">
        <v>314</v>
      </c>
      <c r="C186" t="s">
        <v>219</v>
      </c>
      <c r="D186">
        <v>34888558.004317097</v>
      </c>
    </row>
    <row r="187" spans="1:4" hidden="1" x14ac:dyDescent="0.3">
      <c r="A187">
        <v>185</v>
      </c>
      <c r="B187" t="s">
        <v>315</v>
      </c>
      <c r="C187" t="s">
        <v>221</v>
      </c>
      <c r="D187">
        <v>39830626.983892597</v>
      </c>
    </row>
    <row r="188" spans="1:4" hidden="1" x14ac:dyDescent="0.3">
      <c r="A188">
        <v>186</v>
      </c>
      <c r="B188" s="1" t="s">
        <v>316</v>
      </c>
      <c r="C188" t="s">
        <v>223</v>
      </c>
      <c r="D188" s="1" t="s">
        <v>317</v>
      </c>
    </row>
    <row r="189" spans="1:4" hidden="1" x14ac:dyDescent="0.3">
      <c r="A189">
        <v>187</v>
      </c>
      <c r="B189" t="s">
        <v>318</v>
      </c>
      <c r="C189" t="s">
        <v>226</v>
      </c>
      <c r="D189">
        <v>102951529.177783</v>
      </c>
    </row>
    <row r="190" spans="1:4" hidden="1" x14ac:dyDescent="0.3">
      <c r="A190">
        <v>188</v>
      </c>
      <c r="B190" t="s">
        <v>319</v>
      </c>
      <c r="C190" t="s">
        <v>228</v>
      </c>
      <c r="D190">
        <v>-372.82847832143301</v>
      </c>
    </row>
    <row r="191" spans="1:4" hidden="1" x14ac:dyDescent="0.3">
      <c r="A191">
        <v>189</v>
      </c>
      <c r="B191" s="1" t="s">
        <v>320</v>
      </c>
      <c r="C191" t="s">
        <v>230</v>
      </c>
      <c r="D191" s="1" t="s">
        <v>321</v>
      </c>
    </row>
    <row r="192" spans="1:4" hidden="1" x14ac:dyDescent="0.3">
      <c r="A192">
        <v>190</v>
      </c>
      <c r="B192" t="s">
        <v>322</v>
      </c>
      <c r="C192" t="s">
        <v>112</v>
      </c>
      <c r="D192">
        <v>96.124830755435795</v>
      </c>
    </row>
    <row r="193" spans="1:4" hidden="1" x14ac:dyDescent="0.3">
      <c r="A193">
        <v>191</v>
      </c>
      <c r="B193" t="s">
        <v>323</v>
      </c>
      <c r="C193" t="s">
        <v>114</v>
      </c>
      <c r="D193">
        <v>14.165560740389701</v>
      </c>
    </row>
    <row r="194" spans="1:4" hidden="1" x14ac:dyDescent="0.3">
      <c r="A194">
        <v>192</v>
      </c>
      <c r="B194" s="1" t="s">
        <v>324</v>
      </c>
      <c r="C194" t="s">
        <v>116</v>
      </c>
      <c r="D194" s="1" t="s">
        <v>325</v>
      </c>
    </row>
    <row r="195" spans="1:4" hidden="1" x14ac:dyDescent="0.3">
      <c r="A195">
        <v>193</v>
      </c>
      <c r="B195" t="s">
        <v>326</v>
      </c>
      <c r="C195" t="s">
        <v>119</v>
      </c>
      <c r="D195">
        <v>79550857.254920006</v>
      </c>
    </row>
    <row r="196" spans="1:4" hidden="1" x14ac:dyDescent="0.3">
      <c r="A196">
        <v>194</v>
      </c>
      <c r="B196" t="s">
        <v>327</v>
      </c>
      <c r="C196" t="s">
        <v>121</v>
      </c>
      <c r="D196">
        <v>34888558.004317097</v>
      </c>
    </row>
    <row r="197" spans="1:4" hidden="1" x14ac:dyDescent="0.3">
      <c r="A197">
        <v>195</v>
      </c>
      <c r="B197" s="1" t="s">
        <v>328</v>
      </c>
      <c r="C197" t="s">
        <v>123</v>
      </c>
      <c r="D197" s="1" t="s">
        <v>329</v>
      </c>
    </row>
    <row r="198" spans="1:4" hidden="1" x14ac:dyDescent="0.3">
      <c r="A198">
        <v>196</v>
      </c>
      <c r="B198" t="s">
        <v>330</v>
      </c>
      <c r="C198" t="s">
        <v>126</v>
      </c>
      <c r="D198">
        <v>0.77271098205226296</v>
      </c>
    </row>
    <row r="199" spans="1:4" hidden="1" x14ac:dyDescent="0.3">
      <c r="A199">
        <v>197</v>
      </c>
      <c r="B199" t="s">
        <v>331</v>
      </c>
      <c r="C199" t="s">
        <v>128</v>
      </c>
      <c r="D199">
        <v>0.33888725839262901</v>
      </c>
    </row>
    <row r="200" spans="1:4" hidden="1" x14ac:dyDescent="0.3">
      <c r="A200">
        <v>198</v>
      </c>
      <c r="B200" s="1" t="s">
        <v>332</v>
      </c>
      <c r="C200" t="s">
        <v>130</v>
      </c>
      <c r="D200" s="1" t="s">
        <v>333</v>
      </c>
    </row>
    <row r="201" spans="1:4" x14ac:dyDescent="0.3">
      <c r="A201">
        <v>199</v>
      </c>
      <c r="B201" s="1" t="s">
        <v>334</v>
      </c>
      <c r="C201" t="s">
        <v>4</v>
      </c>
      <c r="D201" t="s">
        <v>335</v>
      </c>
    </row>
    <row r="202" spans="1:4" hidden="1" x14ac:dyDescent="0.3">
      <c r="A202">
        <v>200</v>
      </c>
      <c r="B202" t="s">
        <v>336</v>
      </c>
      <c r="C202" t="s">
        <v>7</v>
      </c>
      <c r="D202">
        <v>1817.73</v>
      </c>
    </row>
    <row r="203" spans="1:4" hidden="1" x14ac:dyDescent="0.3">
      <c r="A203">
        <v>201</v>
      </c>
      <c r="B203" s="1" t="s">
        <v>337</v>
      </c>
      <c r="C203" t="s">
        <v>9</v>
      </c>
      <c r="D203" s="1" t="s">
        <v>338</v>
      </c>
    </row>
    <row r="204" spans="1:4" hidden="1" x14ac:dyDescent="0.3">
      <c r="A204">
        <v>202</v>
      </c>
      <c r="B204" t="s">
        <v>339</v>
      </c>
      <c r="C204" t="s">
        <v>14</v>
      </c>
      <c r="D204">
        <v>90.82421875</v>
      </c>
    </row>
    <row r="205" spans="1:4" hidden="1" x14ac:dyDescent="0.3">
      <c r="A205">
        <v>203</v>
      </c>
      <c r="B205" t="s">
        <v>340</v>
      </c>
      <c r="C205" t="s">
        <v>16</v>
      </c>
      <c r="D205">
        <v>4.2728108300744099</v>
      </c>
    </row>
    <row r="206" spans="1:4" hidden="1" x14ac:dyDescent="0.3">
      <c r="A206">
        <v>204</v>
      </c>
      <c r="B206" s="1" t="s">
        <v>341</v>
      </c>
      <c r="C206" t="s">
        <v>140</v>
      </c>
      <c r="D206" s="1" t="s">
        <v>342</v>
      </c>
    </row>
    <row r="207" spans="1:4" hidden="1" x14ac:dyDescent="0.3">
      <c r="A207">
        <v>205</v>
      </c>
      <c r="B207" t="s">
        <v>343</v>
      </c>
      <c r="C207" t="s">
        <v>22</v>
      </c>
      <c r="D207">
        <v>65.05</v>
      </c>
    </row>
    <row r="208" spans="1:4" hidden="1" x14ac:dyDescent="0.3">
      <c r="A208">
        <v>206</v>
      </c>
      <c r="B208" t="s">
        <v>344</v>
      </c>
      <c r="C208" t="s">
        <v>24</v>
      </c>
      <c r="D208">
        <v>5.3507213244155301</v>
      </c>
    </row>
    <row r="209" spans="1:4" hidden="1" x14ac:dyDescent="0.3">
      <c r="A209">
        <v>207</v>
      </c>
      <c r="B209" s="1" t="s">
        <v>345</v>
      </c>
      <c r="C209" t="s">
        <v>145</v>
      </c>
      <c r="D209" s="1" t="s">
        <v>346</v>
      </c>
    </row>
    <row r="210" spans="1:4" hidden="1" x14ac:dyDescent="0.3">
      <c r="A210">
        <v>208</v>
      </c>
      <c r="B210" t="s">
        <v>347</v>
      </c>
      <c r="C210" t="s">
        <v>35</v>
      </c>
      <c r="D210">
        <v>0.24403786631178501</v>
      </c>
    </row>
    <row r="211" spans="1:4" hidden="1" x14ac:dyDescent="0.3">
      <c r="A211">
        <v>209</v>
      </c>
      <c r="B211" t="s">
        <v>348</v>
      </c>
      <c r="C211" t="s">
        <v>149</v>
      </c>
      <c r="D211">
        <v>0.56447407767775604</v>
      </c>
    </row>
    <row r="212" spans="1:4" hidden="1" x14ac:dyDescent="0.3">
      <c r="A212">
        <v>210</v>
      </c>
      <c r="B212" s="1" t="s">
        <v>349</v>
      </c>
      <c r="C212" t="s">
        <v>151</v>
      </c>
      <c r="D212" s="1" t="s">
        <v>350</v>
      </c>
    </row>
    <row r="213" spans="1:4" hidden="1" x14ac:dyDescent="0.3">
      <c r="A213">
        <v>211</v>
      </c>
      <c r="B213" t="s">
        <v>351</v>
      </c>
      <c r="C213" t="s">
        <v>30</v>
      </c>
      <c r="D213">
        <v>0.32443407252321799</v>
      </c>
    </row>
    <row r="214" spans="1:4" hidden="1" x14ac:dyDescent="0.3">
      <c r="A214">
        <v>212</v>
      </c>
      <c r="B214" t="s">
        <v>352</v>
      </c>
      <c r="C214" t="s">
        <v>32</v>
      </c>
      <c r="D214">
        <v>0.37017982237208102</v>
      </c>
    </row>
    <row r="215" spans="1:4" hidden="1" x14ac:dyDescent="0.3">
      <c r="A215">
        <v>213</v>
      </c>
      <c r="B215" s="1" t="s">
        <v>353</v>
      </c>
      <c r="C215" t="s">
        <v>155</v>
      </c>
      <c r="D215" s="1" t="s">
        <v>354</v>
      </c>
    </row>
    <row r="216" spans="1:4" hidden="1" x14ac:dyDescent="0.3">
      <c r="A216">
        <v>214</v>
      </c>
      <c r="B216" t="s">
        <v>355</v>
      </c>
      <c r="C216" t="s">
        <v>40</v>
      </c>
      <c r="D216">
        <v>0.43152806116499498</v>
      </c>
    </row>
    <row r="217" spans="1:4" hidden="1" x14ac:dyDescent="0.3">
      <c r="A217">
        <v>215</v>
      </c>
      <c r="B217" t="s">
        <v>356</v>
      </c>
      <c r="C217" t="s">
        <v>42</v>
      </c>
      <c r="D217">
        <v>0.401380714320756</v>
      </c>
    </row>
    <row r="218" spans="1:4" hidden="1" x14ac:dyDescent="0.3">
      <c r="A218">
        <v>216</v>
      </c>
      <c r="B218" s="1" t="s">
        <v>357</v>
      </c>
      <c r="C218" t="s">
        <v>159</v>
      </c>
      <c r="D218" s="1" t="s">
        <v>358</v>
      </c>
    </row>
    <row r="219" spans="1:4" hidden="1" x14ac:dyDescent="0.3">
      <c r="A219">
        <v>217</v>
      </c>
      <c r="B219" t="s">
        <v>359</v>
      </c>
      <c r="C219" t="s">
        <v>161</v>
      </c>
      <c r="D219">
        <v>0.99874725963044098</v>
      </c>
    </row>
    <row r="220" spans="1:4" hidden="1" x14ac:dyDescent="0.3">
      <c r="A220">
        <v>218</v>
      </c>
      <c r="B220" t="s">
        <v>360</v>
      </c>
      <c r="C220" t="s">
        <v>163</v>
      </c>
      <c r="D220">
        <v>1.0029125934340399</v>
      </c>
    </row>
    <row r="221" spans="1:4" hidden="1" x14ac:dyDescent="0.3">
      <c r="A221">
        <v>219</v>
      </c>
      <c r="B221" s="1" t="s">
        <v>361</v>
      </c>
      <c r="C221" t="s">
        <v>165</v>
      </c>
      <c r="D221" s="1" t="s">
        <v>362</v>
      </c>
    </row>
    <row r="222" spans="1:4" hidden="1" x14ac:dyDescent="0.3">
      <c r="A222">
        <v>220</v>
      </c>
      <c r="B222" t="s">
        <v>363</v>
      </c>
      <c r="C222" t="s">
        <v>168</v>
      </c>
      <c r="D222">
        <v>1.00098236071516</v>
      </c>
    </row>
    <row r="223" spans="1:4" hidden="1" x14ac:dyDescent="0.3">
      <c r="A223">
        <v>221</v>
      </c>
      <c r="B223" t="s">
        <v>364</v>
      </c>
      <c r="C223" t="s">
        <v>170</v>
      </c>
      <c r="D223">
        <v>1.0013483467048601</v>
      </c>
    </row>
    <row r="224" spans="1:4" hidden="1" x14ac:dyDescent="0.3">
      <c r="A224">
        <v>222</v>
      </c>
      <c r="B224" s="1" t="s">
        <v>365</v>
      </c>
      <c r="C224" t="s">
        <v>172</v>
      </c>
      <c r="D224" s="1" t="s">
        <v>366</v>
      </c>
    </row>
    <row r="225" spans="1:4" hidden="1" x14ac:dyDescent="0.3">
      <c r="A225">
        <v>223</v>
      </c>
      <c r="B225" s="1" t="s">
        <v>367</v>
      </c>
      <c r="C225" t="s">
        <v>55</v>
      </c>
      <c r="D225" s="1" t="s">
        <v>368</v>
      </c>
    </row>
    <row r="226" spans="1:4" hidden="1" x14ac:dyDescent="0.3">
      <c r="A226">
        <v>224</v>
      </c>
      <c r="B226" s="1" t="s">
        <v>369</v>
      </c>
      <c r="C226" t="s">
        <v>52</v>
      </c>
      <c r="D226" s="1" t="s">
        <v>370</v>
      </c>
    </row>
    <row r="227" spans="1:4" hidden="1" x14ac:dyDescent="0.3">
      <c r="A227">
        <v>225</v>
      </c>
      <c r="B227" s="1" t="s">
        <v>371</v>
      </c>
      <c r="C227" t="s">
        <v>58</v>
      </c>
      <c r="D227" s="1" t="s">
        <v>372</v>
      </c>
    </row>
    <row r="228" spans="1:4" hidden="1" x14ac:dyDescent="0.3">
      <c r="A228">
        <v>226</v>
      </c>
      <c r="B228" t="s">
        <v>373</v>
      </c>
      <c r="C228" t="s">
        <v>61</v>
      </c>
      <c r="D228">
        <v>154207581.420638</v>
      </c>
    </row>
    <row r="229" spans="1:4" hidden="1" x14ac:dyDescent="0.3">
      <c r="A229">
        <v>227</v>
      </c>
      <c r="B229" t="s">
        <v>374</v>
      </c>
      <c r="C229" t="s">
        <v>63</v>
      </c>
      <c r="D229">
        <v>79451200.684603795</v>
      </c>
    </row>
    <row r="230" spans="1:4" hidden="1" x14ac:dyDescent="0.3">
      <c r="A230">
        <v>228</v>
      </c>
      <c r="B230" t="s">
        <v>375</v>
      </c>
      <c r="C230" t="s">
        <v>65</v>
      </c>
      <c r="D230">
        <v>34990174.189283803</v>
      </c>
    </row>
    <row r="231" spans="1:4" hidden="1" x14ac:dyDescent="0.3">
      <c r="A231">
        <v>229</v>
      </c>
      <c r="B231" s="1" t="s">
        <v>376</v>
      </c>
      <c r="C231" t="s">
        <v>67</v>
      </c>
      <c r="D231" s="1" t="s">
        <v>377</v>
      </c>
    </row>
    <row r="232" spans="1:4" hidden="1" x14ac:dyDescent="0.3">
      <c r="A232">
        <v>230</v>
      </c>
      <c r="B232" s="1" t="s">
        <v>378</v>
      </c>
      <c r="C232" t="s">
        <v>70</v>
      </c>
      <c r="D232" s="1" t="s">
        <v>379</v>
      </c>
    </row>
    <row r="233" spans="1:4" hidden="1" x14ac:dyDescent="0.3">
      <c r="A233">
        <v>231</v>
      </c>
      <c r="B233" t="s">
        <v>380</v>
      </c>
      <c r="C233" t="s">
        <v>73</v>
      </c>
      <c r="D233">
        <v>0.99998843570993401</v>
      </c>
    </row>
    <row r="234" spans="1:4" hidden="1" x14ac:dyDescent="0.3">
      <c r="A234">
        <v>232</v>
      </c>
      <c r="B234" t="s">
        <v>74</v>
      </c>
      <c r="C234" t="s">
        <v>75</v>
      </c>
      <c r="D234">
        <v>2.7397260273972599E-3</v>
      </c>
    </row>
    <row r="235" spans="1:4" hidden="1" x14ac:dyDescent="0.3">
      <c r="A235">
        <v>233</v>
      </c>
      <c r="B235" t="s">
        <v>76</v>
      </c>
      <c r="C235" t="s">
        <v>77</v>
      </c>
      <c r="D235">
        <v>0</v>
      </c>
    </row>
    <row r="236" spans="1:4" hidden="1" x14ac:dyDescent="0.3">
      <c r="A236">
        <v>234</v>
      </c>
      <c r="B236" t="s">
        <v>78</v>
      </c>
      <c r="C236" t="s">
        <v>79</v>
      </c>
      <c r="D236">
        <v>0</v>
      </c>
    </row>
    <row r="237" spans="1:4" hidden="1" x14ac:dyDescent="0.3">
      <c r="A237">
        <v>235</v>
      </c>
      <c r="B237" s="1" t="s">
        <v>381</v>
      </c>
      <c r="C237" t="s">
        <v>81</v>
      </c>
      <c r="D237" s="1" t="s">
        <v>382</v>
      </c>
    </row>
    <row r="238" spans="1:4" hidden="1" x14ac:dyDescent="0.3">
      <c r="A238">
        <v>236</v>
      </c>
      <c r="B238" t="s">
        <v>383</v>
      </c>
      <c r="C238" t="s">
        <v>84</v>
      </c>
      <c r="D238">
        <v>0.99995411685544799</v>
      </c>
    </row>
    <row r="239" spans="1:4" hidden="1" x14ac:dyDescent="0.3">
      <c r="A239">
        <v>237</v>
      </c>
      <c r="B239" s="1" t="s">
        <v>384</v>
      </c>
      <c r="C239" t="s">
        <v>86</v>
      </c>
      <c r="D239" s="1" t="s">
        <v>385</v>
      </c>
    </row>
    <row r="240" spans="1:4" hidden="1" x14ac:dyDescent="0.3">
      <c r="A240">
        <v>238</v>
      </c>
      <c r="B240" t="s">
        <v>386</v>
      </c>
      <c r="C240" t="s">
        <v>89</v>
      </c>
      <c r="D240">
        <v>102954689.677178</v>
      </c>
    </row>
    <row r="241" spans="1:4" hidden="1" x14ac:dyDescent="0.3">
      <c r="A241">
        <v>239</v>
      </c>
      <c r="B241" s="1" t="s">
        <v>387</v>
      </c>
      <c r="C241" t="s">
        <v>91</v>
      </c>
      <c r="D241" s="1" t="s">
        <v>321</v>
      </c>
    </row>
    <row r="242" spans="1:4" hidden="1" x14ac:dyDescent="0.3">
      <c r="A242">
        <v>240</v>
      </c>
      <c r="B242" t="s">
        <v>388</v>
      </c>
      <c r="C242" t="s">
        <v>94</v>
      </c>
      <c r="D242">
        <v>79451200.684603795</v>
      </c>
    </row>
    <row r="243" spans="1:4" hidden="1" x14ac:dyDescent="0.3">
      <c r="A243">
        <v>241</v>
      </c>
      <c r="B243" t="s">
        <v>389</v>
      </c>
      <c r="C243" t="s">
        <v>96</v>
      </c>
      <c r="D243">
        <v>34990174.189283803</v>
      </c>
    </row>
    <row r="244" spans="1:4" hidden="1" x14ac:dyDescent="0.3">
      <c r="A244">
        <v>242</v>
      </c>
      <c r="B244" t="s">
        <v>390</v>
      </c>
      <c r="C244" t="s">
        <v>98</v>
      </c>
      <c r="D244">
        <v>39766206.546751097</v>
      </c>
    </row>
    <row r="245" spans="1:4" hidden="1" x14ac:dyDescent="0.3">
      <c r="A245">
        <v>243</v>
      </c>
      <c r="B245" s="1" t="s">
        <v>391</v>
      </c>
      <c r="C245" t="s">
        <v>100</v>
      </c>
      <c r="D245" s="1" t="s">
        <v>392</v>
      </c>
    </row>
    <row r="246" spans="1:4" hidden="1" x14ac:dyDescent="0.3">
      <c r="A246">
        <v>244</v>
      </c>
      <c r="B246" t="s">
        <v>393</v>
      </c>
      <c r="C246" t="s">
        <v>103</v>
      </c>
      <c r="D246">
        <v>1.01694536917648E-2</v>
      </c>
    </row>
    <row r="247" spans="1:4" hidden="1" x14ac:dyDescent="0.3">
      <c r="A247">
        <v>245</v>
      </c>
      <c r="B247" t="s">
        <v>394</v>
      </c>
      <c r="C247" t="s">
        <v>105</v>
      </c>
      <c r="D247">
        <v>3.18904922495437E-3</v>
      </c>
    </row>
    <row r="248" spans="1:4" hidden="1" x14ac:dyDescent="0.3">
      <c r="A248">
        <v>246</v>
      </c>
      <c r="B248" t="s">
        <v>395</v>
      </c>
      <c r="C248" t="s">
        <v>107</v>
      </c>
      <c r="D248">
        <v>1.2069043619397901E-2</v>
      </c>
    </row>
    <row r="249" spans="1:4" hidden="1" x14ac:dyDescent="0.3">
      <c r="A249">
        <v>247</v>
      </c>
      <c r="B249" s="1" t="s">
        <v>396</v>
      </c>
      <c r="C249" t="s">
        <v>109</v>
      </c>
      <c r="D249" s="1" t="s">
        <v>397</v>
      </c>
    </row>
    <row r="250" spans="1:4" hidden="1" x14ac:dyDescent="0.3">
      <c r="A250">
        <v>248</v>
      </c>
      <c r="B250" t="s">
        <v>398</v>
      </c>
      <c r="C250" t="s">
        <v>208</v>
      </c>
      <c r="D250">
        <v>154206370.02063799</v>
      </c>
    </row>
    <row r="251" spans="1:4" hidden="1" x14ac:dyDescent="0.3">
      <c r="A251">
        <v>249</v>
      </c>
      <c r="B251" t="s">
        <v>399</v>
      </c>
      <c r="C251" t="s">
        <v>210</v>
      </c>
      <c r="D251">
        <v>2726.67609598648</v>
      </c>
    </row>
    <row r="252" spans="1:4" hidden="1" x14ac:dyDescent="0.3">
      <c r="A252">
        <v>250</v>
      </c>
      <c r="B252" t="s">
        <v>400</v>
      </c>
      <c r="C252" t="s">
        <v>212</v>
      </c>
      <c r="D252">
        <v>1200.83034716254</v>
      </c>
    </row>
    <row r="253" spans="1:4" hidden="1" x14ac:dyDescent="0.3">
      <c r="A253">
        <v>251</v>
      </c>
      <c r="B253" s="1" t="s">
        <v>401</v>
      </c>
      <c r="C253" t="s">
        <v>214</v>
      </c>
      <c r="D253" s="1" t="s">
        <v>402</v>
      </c>
    </row>
    <row r="254" spans="1:4" hidden="1" x14ac:dyDescent="0.3">
      <c r="A254">
        <v>252</v>
      </c>
      <c r="B254" t="s">
        <v>403</v>
      </c>
      <c r="C254" t="s">
        <v>217</v>
      </c>
      <c r="D254">
        <v>79447610.604123607</v>
      </c>
    </row>
    <row r="255" spans="1:4" hidden="1" x14ac:dyDescent="0.3">
      <c r="A255">
        <v>253</v>
      </c>
      <c r="B255" t="s">
        <v>404</v>
      </c>
      <c r="C255" t="s">
        <v>219</v>
      </c>
      <c r="D255">
        <v>34988791.651275501</v>
      </c>
    </row>
    <row r="256" spans="1:4" hidden="1" x14ac:dyDescent="0.3">
      <c r="A256">
        <v>254</v>
      </c>
      <c r="B256" t="s">
        <v>405</v>
      </c>
      <c r="C256" t="s">
        <v>221</v>
      </c>
      <c r="D256">
        <v>39764675.518064603</v>
      </c>
    </row>
    <row r="257" spans="1:4" hidden="1" x14ac:dyDescent="0.3">
      <c r="A257">
        <v>255</v>
      </c>
      <c r="B257" s="1" t="s">
        <v>406</v>
      </c>
      <c r="C257" t="s">
        <v>223</v>
      </c>
      <c r="D257" s="1" t="s">
        <v>407</v>
      </c>
    </row>
    <row r="258" spans="1:4" hidden="1" x14ac:dyDescent="0.3">
      <c r="A258">
        <v>256</v>
      </c>
      <c r="B258" t="s">
        <v>408</v>
      </c>
      <c r="C258" t="s">
        <v>226</v>
      </c>
      <c r="D258">
        <v>102951156.34930401</v>
      </c>
    </row>
    <row r="259" spans="1:4" hidden="1" x14ac:dyDescent="0.3">
      <c r="A259">
        <v>257</v>
      </c>
      <c r="B259" t="s">
        <v>409</v>
      </c>
      <c r="C259" t="s">
        <v>228</v>
      </c>
      <c r="D259">
        <v>3533.3278740197402</v>
      </c>
    </row>
    <row r="260" spans="1:4" hidden="1" x14ac:dyDescent="0.3">
      <c r="A260">
        <v>258</v>
      </c>
      <c r="B260" s="1" t="s">
        <v>410</v>
      </c>
      <c r="C260" t="s">
        <v>230</v>
      </c>
      <c r="D260" s="1" t="s">
        <v>411</v>
      </c>
    </row>
    <row r="261" spans="1:4" hidden="1" x14ac:dyDescent="0.3">
      <c r="A261">
        <v>259</v>
      </c>
      <c r="B261" t="s">
        <v>412</v>
      </c>
      <c r="C261" t="s">
        <v>112</v>
      </c>
      <c r="D261">
        <v>-863.40438418255997</v>
      </c>
    </row>
    <row r="262" spans="1:4" hidden="1" x14ac:dyDescent="0.3">
      <c r="A262">
        <v>260</v>
      </c>
      <c r="B262" t="s">
        <v>413</v>
      </c>
      <c r="C262" t="s">
        <v>114</v>
      </c>
      <c r="D262">
        <v>-181.70766109646399</v>
      </c>
    </row>
    <row r="263" spans="1:4" hidden="1" x14ac:dyDescent="0.3">
      <c r="A263">
        <v>261</v>
      </c>
      <c r="B263" s="1" t="s">
        <v>414</v>
      </c>
      <c r="C263" t="s">
        <v>116</v>
      </c>
      <c r="D263" s="1" t="s">
        <v>415</v>
      </c>
    </row>
    <row r="264" spans="1:4" hidden="1" x14ac:dyDescent="0.3">
      <c r="A264">
        <v>262</v>
      </c>
      <c r="B264" t="s">
        <v>416</v>
      </c>
      <c r="C264" t="s">
        <v>119</v>
      </c>
      <c r="D264">
        <v>79447610.604123607</v>
      </c>
    </row>
    <row r="265" spans="1:4" hidden="1" x14ac:dyDescent="0.3">
      <c r="A265">
        <v>263</v>
      </c>
      <c r="B265" t="s">
        <v>417</v>
      </c>
      <c r="C265" t="s">
        <v>121</v>
      </c>
      <c r="D265">
        <v>34988791.651275501</v>
      </c>
    </row>
    <row r="266" spans="1:4" hidden="1" x14ac:dyDescent="0.3">
      <c r="A266">
        <v>264</v>
      </c>
      <c r="B266" s="1" t="s">
        <v>418</v>
      </c>
      <c r="C266" t="s">
        <v>123</v>
      </c>
      <c r="D266" s="1" t="s">
        <v>419</v>
      </c>
    </row>
    <row r="267" spans="1:4" hidden="1" x14ac:dyDescent="0.3">
      <c r="A267">
        <v>265</v>
      </c>
      <c r="B267" t="s">
        <v>420</v>
      </c>
      <c r="C267" t="s">
        <v>126</v>
      </c>
      <c r="D267">
        <v>0.77173738396895197</v>
      </c>
    </row>
    <row r="268" spans="1:4" hidden="1" x14ac:dyDescent="0.3">
      <c r="A268">
        <v>266</v>
      </c>
      <c r="B268" t="s">
        <v>421</v>
      </c>
      <c r="C268" t="s">
        <v>128</v>
      </c>
      <c r="D268">
        <v>0.33987376501148697</v>
      </c>
    </row>
    <row r="269" spans="1:4" hidden="1" x14ac:dyDescent="0.3">
      <c r="A269">
        <v>267</v>
      </c>
      <c r="B269" s="1" t="s">
        <v>422</v>
      </c>
      <c r="C269" t="s">
        <v>130</v>
      </c>
      <c r="D269" s="1" t="s">
        <v>423</v>
      </c>
    </row>
    <row r="270" spans="1:4" x14ac:dyDescent="0.3">
      <c r="A270">
        <v>268</v>
      </c>
      <c r="B270" s="1" t="s">
        <v>424</v>
      </c>
      <c r="C270" t="s">
        <v>4</v>
      </c>
      <c r="D270" t="s">
        <v>425</v>
      </c>
    </row>
    <row r="271" spans="1:4" hidden="1" x14ac:dyDescent="0.3">
      <c r="A271">
        <v>269</v>
      </c>
      <c r="B271" t="s">
        <v>426</v>
      </c>
      <c r="C271" t="s">
        <v>7</v>
      </c>
      <c r="D271">
        <v>1807.27</v>
      </c>
    </row>
    <row r="272" spans="1:4" hidden="1" x14ac:dyDescent="0.3">
      <c r="A272">
        <v>270</v>
      </c>
      <c r="B272" s="1" t="s">
        <v>427</v>
      </c>
      <c r="C272" t="s">
        <v>9</v>
      </c>
      <c r="D272" s="1" t="s">
        <v>428</v>
      </c>
    </row>
    <row r="273" spans="1:4" hidden="1" x14ac:dyDescent="0.3">
      <c r="A273">
        <v>271</v>
      </c>
      <c r="B273" t="s">
        <v>429</v>
      </c>
      <c r="C273" t="s">
        <v>14</v>
      </c>
      <c r="D273">
        <v>91.13671875</v>
      </c>
    </row>
    <row r="274" spans="1:4" hidden="1" x14ac:dyDescent="0.3">
      <c r="A274">
        <v>272</v>
      </c>
      <c r="B274" t="s">
        <v>430</v>
      </c>
      <c r="C274" t="s">
        <v>16</v>
      </c>
      <c r="D274">
        <v>4.2808657100326402</v>
      </c>
    </row>
    <row r="275" spans="1:4" hidden="1" x14ac:dyDescent="0.3">
      <c r="A275">
        <v>273</v>
      </c>
      <c r="B275" s="1" t="s">
        <v>431</v>
      </c>
      <c r="C275" t="s">
        <v>140</v>
      </c>
      <c r="D275" s="1" t="s">
        <v>432</v>
      </c>
    </row>
    <row r="276" spans="1:4" hidden="1" x14ac:dyDescent="0.3">
      <c r="A276">
        <v>274</v>
      </c>
      <c r="B276" t="s">
        <v>433</v>
      </c>
      <c r="C276" t="s">
        <v>22</v>
      </c>
      <c r="D276">
        <v>64</v>
      </c>
    </row>
    <row r="277" spans="1:4" hidden="1" x14ac:dyDescent="0.3">
      <c r="A277">
        <v>275</v>
      </c>
      <c r="B277" t="s">
        <v>434</v>
      </c>
      <c r="C277" t="s">
        <v>24</v>
      </c>
      <c r="D277">
        <v>5.4772882505236096</v>
      </c>
    </row>
    <row r="278" spans="1:4" hidden="1" x14ac:dyDescent="0.3">
      <c r="A278">
        <v>276</v>
      </c>
      <c r="B278" s="1" t="s">
        <v>435</v>
      </c>
      <c r="C278" t="s">
        <v>145</v>
      </c>
      <c r="D278" s="1" t="s">
        <v>436</v>
      </c>
    </row>
    <row r="279" spans="1:4" hidden="1" x14ac:dyDescent="0.3">
      <c r="A279">
        <v>277</v>
      </c>
      <c r="B279" t="s">
        <v>437</v>
      </c>
      <c r="C279" t="s">
        <v>35</v>
      </c>
      <c r="D279">
        <v>-3.8886163495316303E-2</v>
      </c>
    </row>
    <row r="280" spans="1:4" hidden="1" x14ac:dyDescent="0.3">
      <c r="A280">
        <v>278</v>
      </c>
      <c r="B280" t="s">
        <v>438</v>
      </c>
      <c r="C280" t="s">
        <v>149</v>
      </c>
      <c r="D280">
        <v>0.56699964162926797</v>
      </c>
    </row>
    <row r="281" spans="1:4" hidden="1" x14ac:dyDescent="0.3">
      <c r="A281">
        <v>279</v>
      </c>
      <c r="B281" s="1" t="s">
        <v>439</v>
      </c>
      <c r="C281" t="s">
        <v>151</v>
      </c>
      <c r="D281" s="1" t="s">
        <v>440</v>
      </c>
    </row>
    <row r="282" spans="1:4" hidden="1" x14ac:dyDescent="0.3">
      <c r="A282">
        <v>280</v>
      </c>
      <c r="B282" t="s">
        <v>441</v>
      </c>
      <c r="C282" t="s">
        <v>30</v>
      </c>
      <c r="D282">
        <v>0.44458071857317699</v>
      </c>
    </row>
    <row r="283" spans="1:4" hidden="1" x14ac:dyDescent="0.3">
      <c r="A283">
        <v>281</v>
      </c>
      <c r="B283" t="s">
        <v>442</v>
      </c>
      <c r="C283" t="s">
        <v>32</v>
      </c>
      <c r="D283">
        <v>0.37113860151785499</v>
      </c>
    </row>
    <row r="284" spans="1:4" hidden="1" x14ac:dyDescent="0.3">
      <c r="A284">
        <v>282</v>
      </c>
      <c r="B284" s="1" t="s">
        <v>443</v>
      </c>
      <c r="C284" t="s">
        <v>155</v>
      </c>
      <c r="D284" s="1" t="s">
        <v>444</v>
      </c>
    </row>
    <row r="285" spans="1:4" hidden="1" x14ac:dyDescent="0.3">
      <c r="A285">
        <v>283</v>
      </c>
      <c r="B285" t="s">
        <v>445</v>
      </c>
      <c r="C285" t="s">
        <v>40</v>
      </c>
      <c r="D285">
        <v>0.59430544492213899</v>
      </c>
    </row>
    <row r="286" spans="1:4" hidden="1" x14ac:dyDescent="0.3">
      <c r="A286">
        <v>284</v>
      </c>
      <c r="B286" t="s">
        <v>446</v>
      </c>
      <c r="C286" t="s">
        <v>42</v>
      </c>
      <c r="D286">
        <v>0.39253094353954199</v>
      </c>
    </row>
    <row r="287" spans="1:4" hidden="1" x14ac:dyDescent="0.3">
      <c r="A287">
        <v>285</v>
      </c>
      <c r="B287" s="1" t="s">
        <v>447</v>
      </c>
      <c r="C287" t="s">
        <v>159</v>
      </c>
      <c r="D287" s="1" t="s">
        <v>448</v>
      </c>
    </row>
    <row r="288" spans="1:4" hidden="1" x14ac:dyDescent="0.3">
      <c r="A288">
        <v>286</v>
      </c>
      <c r="B288" t="s">
        <v>449</v>
      </c>
      <c r="C288" t="s">
        <v>161</v>
      </c>
      <c r="D288">
        <v>0.99424557002415004</v>
      </c>
    </row>
    <row r="289" spans="1:4" hidden="1" x14ac:dyDescent="0.3">
      <c r="A289">
        <v>287</v>
      </c>
      <c r="B289" t="s">
        <v>450</v>
      </c>
      <c r="C289" t="s">
        <v>163</v>
      </c>
      <c r="D289">
        <v>1.00337081906105</v>
      </c>
    </row>
    <row r="290" spans="1:4" hidden="1" x14ac:dyDescent="0.3">
      <c r="A290">
        <v>288</v>
      </c>
      <c r="B290" s="1" t="s">
        <v>451</v>
      </c>
      <c r="C290" t="s">
        <v>165</v>
      </c>
      <c r="D290" s="1" t="s">
        <v>452</v>
      </c>
    </row>
    <row r="291" spans="1:4" hidden="1" x14ac:dyDescent="0.3">
      <c r="A291">
        <v>289</v>
      </c>
      <c r="B291" t="s">
        <v>453</v>
      </c>
      <c r="C291" t="s">
        <v>168</v>
      </c>
      <c r="D291">
        <v>1.00161432137965</v>
      </c>
    </row>
    <row r="292" spans="1:4" hidden="1" x14ac:dyDescent="0.3">
      <c r="A292">
        <v>290</v>
      </c>
      <c r="B292" t="s">
        <v>454</v>
      </c>
      <c r="C292" t="s">
        <v>170</v>
      </c>
      <c r="D292">
        <v>1.0006997469457</v>
      </c>
    </row>
    <row r="293" spans="1:4" hidden="1" x14ac:dyDescent="0.3">
      <c r="A293">
        <v>291</v>
      </c>
      <c r="B293" s="1" t="s">
        <v>455</v>
      </c>
      <c r="C293" t="s">
        <v>172</v>
      </c>
      <c r="D293" s="1" t="s">
        <v>456</v>
      </c>
    </row>
    <row r="294" spans="1:4" hidden="1" x14ac:dyDescent="0.3">
      <c r="A294">
        <v>292</v>
      </c>
      <c r="B294" s="1" t="s">
        <v>457</v>
      </c>
      <c r="C294" t="s">
        <v>55</v>
      </c>
      <c r="D294" s="1" t="s">
        <v>458</v>
      </c>
    </row>
    <row r="295" spans="1:4" hidden="1" x14ac:dyDescent="0.3">
      <c r="A295">
        <v>293</v>
      </c>
      <c r="B295" s="1" t="s">
        <v>459</v>
      </c>
      <c r="C295" t="s">
        <v>52</v>
      </c>
      <c r="D295" s="1" t="s">
        <v>460</v>
      </c>
    </row>
    <row r="296" spans="1:4" hidden="1" x14ac:dyDescent="0.3">
      <c r="A296">
        <v>294</v>
      </c>
      <c r="B296" s="1" t="s">
        <v>461</v>
      </c>
      <c r="C296" t="s">
        <v>58</v>
      </c>
      <c r="D296" s="1" t="s">
        <v>462</v>
      </c>
    </row>
    <row r="297" spans="1:4" hidden="1" x14ac:dyDescent="0.3">
      <c r="A297">
        <v>295</v>
      </c>
      <c r="B297" t="s">
        <v>463</v>
      </c>
      <c r="C297" t="s">
        <v>61</v>
      </c>
      <c r="D297">
        <v>153340257.14740899</v>
      </c>
    </row>
    <row r="298" spans="1:4" hidden="1" x14ac:dyDescent="0.3">
      <c r="A298">
        <v>296</v>
      </c>
      <c r="B298" t="s">
        <v>464</v>
      </c>
      <c r="C298" t="s">
        <v>63</v>
      </c>
      <c r="D298">
        <v>78990434.892153695</v>
      </c>
    </row>
    <row r="299" spans="1:4" hidden="1" x14ac:dyDescent="0.3">
      <c r="A299">
        <v>297</v>
      </c>
      <c r="B299" t="s">
        <v>465</v>
      </c>
      <c r="C299" t="s">
        <v>65</v>
      </c>
      <c r="D299">
        <v>35106732.537096903</v>
      </c>
    </row>
    <row r="300" spans="1:4" hidden="1" x14ac:dyDescent="0.3">
      <c r="A300">
        <v>298</v>
      </c>
      <c r="B300" s="1" t="s">
        <v>466</v>
      </c>
      <c r="C300" t="s">
        <v>67</v>
      </c>
      <c r="D300" s="1" t="s">
        <v>467</v>
      </c>
    </row>
    <row r="301" spans="1:4" hidden="1" x14ac:dyDescent="0.3">
      <c r="A301">
        <v>299</v>
      </c>
      <c r="B301" s="1" t="s">
        <v>468</v>
      </c>
      <c r="C301" t="s">
        <v>70</v>
      </c>
      <c r="D301" s="1" t="s">
        <v>469</v>
      </c>
    </row>
    <row r="302" spans="1:4" hidden="1" x14ac:dyDescent="0.3">
      <c r="A302">
        <v>300</v>
      </c>
      <c r="B302" t="s">
        <v>470</v>
      </c>
      <c r="C302" t="s">
        <v>73</v>
      </c>
      <c r="D302">
        <v>0.99995411685544799</v>
      </c>
    </row>
    <row r="303" spans="1:4" hidden="1" x14ac:dyDescent="0.3">
      <c r="A303">
        <v>301</v>
      </c>
      <c r="B303" t="s">
        <v>74</v>
      </c>
      <c r="C303" t="s">
        <v>75</v>
      </c>
      <c r="D303">
        <v>2.7397260273972599E-3</v>
      </c>
    </row>
    <row r="304" spans="1:4" hidden="1" x14ac:dyDescent="0.3">
      <c r="A304">
        <v>302</v>
      </c>
      <c r="B304" t="s">
        <v>76</v>
      </c>
      <c r="C304" t="s">
        <v>77</v>
      </c>
      <c r="D304">
        <v>0</v>
      </c>
    </row>
    <row r="305" spans="1:4" hidden="1" x14ac:dyDescent="0.3">
      <c r="A305">
        <v>303</v>
      </c>
      <c r="B305" t="s">
        <v>78</v>
      </c>
      <c r="C305" t="s">
        <v>79</v>
      </c>
      <c r="D305">
        <v>0</v>
      </c>
    </row>
    <row r="306" spans="1:4" hidden="1" x14ac:dyDescent="0.3">
      <c r="A306">
        <v>304</v>
      </c>
      <c r="B306" s="1" t="s">
        <v>471</v>
      </c>
      <c r="C306" t="s">
        <v>81</v>
      </c>
      <c r="D306" s="1" t="s">
        <v>472</v>
      </c>
    </row>
    <row r="307" spans="1:4" hidden="1" x14ac:dyDescent="0.3">
      <c r="A307">
        <v>305</v>
      </c>
      <c r="B307" t="s">
        <v>473</v>
      </c>
      <c r="C307" t="s">
        <v>84</v>
      </c>
      <c r="D307">
        <v>0.99996093095017902</v>
      </c>
    </row>
    <row r="308" spans="1:4" hidden="1" x14ac:dyDescent="0.3">
      <c r="A308">
        <v>306</v>
      </c>
      <c r="B308" s="1" t="s">
        <v>474</v>
      </c>
      <c r="C308" t="s">
        <v>86</v>
      </c>
      <c r="D308" s="1" t="s">
        <v>475</v>
      </c>
    </row>
    <row r="309" spans="1:4" hidden="1" x14ac:dyDescent="0.3">
      <c r="A309">
        <v>307</v>
      </c>
      <c r="B309" t="s">
        <v>476</v>
      </c>
      <c r="C309" t="s">
        <v>89</v>
      </c>
      <c r="D309">
        <v>102953988.10676</v>
      </c>
    </row>
    <row r="310" spans="1:4" hidden="1" x14ac:dyDescent="0.3">
      <c r="A310">
        <v>308</v>
      </c>
      <c r="B310" s="1" t="s">
        <v>477</v>
      </c>
      <c r="C310" t="s">
        <v>91</v>
      </c>
      <c r="D310" s="1" t="s">
        <v>411</v>
      </c>
    </row>
    <row r="311" spans="1:4" hidden="1" x14ac:dyDescent="0.3">
      <c r="A311">
        <v>309</v>
      </c>
      <c r="B311" t="s">
        <v>478</v>
      </c>
      <c r="C311" t="s">
        <v>94</v>
      </c>
      <c r="D311">
        <v>78990434.892153695</v>
      </c>
    </row>
    <row r="312" spans="1:4" hidden="1" x14ac:dyDescent="0.3">
      <c r="A312">
        <v>310</v>
      </c>
      <c r="B312" t="s">
        <v>479</v>
      </c>
      <c r="C312" t="s">
        <v>96</v>
      </c>
      <c r="D312">
        <v>35106732.537096903</v>
      </c>
    </row>
    <row r="313" spans="1:4" hidden="1" x14ac:dyDescent="0.3">
      <c r="A313">
        <v>311</v>
      </c>
      <c r="B313" t="s">
        <v>480</v>
      </c>
      <c r="C313" t="s">
        <v>98</v>
      </c>
      <c r="D313">
        <v>39243089.718158603</v>
      </c>
    </row>
    <row r="314" spans="1:4" hidden="1" x14ac:dyDescent="0.3">
      <c r="A314">
        <v>312</v>
      </c>
      <c r="B314" s="1" t="s">
        <v>481</v>
      </c>
      <c r="C314" t="s">
        <v>100</v>
      </c>
      <c r="D314" s="1" t="s">
        <v>482</v>
      </c>
    </row>
    <row r="315" spans="1:4" hidden="1" x14ac:dyDescent="0.3">
      <c r="A315">
        <v>313</v>
      </c>
      <c r="B315" t="s">
        <v>483</v>
      </c>
      <c r="C315" t="s">
        <v>103</v>
      </c>
      <c r="D315">
        <v>1.00512689486755E-2</v>
      </c>
    </row>
    <row r="316" spans="1:4" hidden="1" x14ac:dyDescent="0.3">
      <c r="A316">
        <v>314</v>
      </c>
      <c r="B316" t="s">
        <v>484</v>
      </c>
      <c r="C316" t="s">
        <v>105</v>
      </c>
      <c r="D316">
        <v>3.1838298820962298E-3</v>
      </c>
    </row>
    <row r="317" spans="1:4" hidden="1" x14ac:dyDescent="0.3">
      <c r="A317">
        <v>315</v>
      </c>
      <c r="B317" t="s">
        <v>485</v>
      </c>
      <c r="C317" t="s">
        <v>107</v>
      </c>
      <c r="D317">
        <v>1.21709152433149E-2</v>
      </c>
    </row>
    <row r="318" spans="1:4" hidden="1" x14ac:dyDescent="0.3">
      <c r="A318">
        <v>316</v>
      </c>
      <c r="B318" s="1" t="s">
        <v>486</v>
      </c>
      <c r="C318" t="s">
        <v>109</v>
      </c>
      <c r="D318" s="1" t="s">
        <v>487</v>
      </c>
    </row>
    <row r="319" spans="1:4" hidden="1" x14ac:dyDescent="0.3">
      <c r="A319">
        <v>317</v>
      </c>
      <c r="B319" t="s">
        <v>488</v>
      </c>
      <c r="C319" t="s">
        <v>208</v>
      </c>
      <c r="D319">
        <v>153340497.78852701</v>
      </c>
    </row>
    <row r="320" spans="1:4" hidden="1" x14ac:dyDescent="0.3">
      <c r="A320">
        <v>318</v>
      </c>
      <c r="B320" t="s">
        <v>489</v>
      </c>
      <c r="C320" t="s">
        <v>210</v>
      </c>
      <c r="D320">
        <v>-538.27415378437104</v>
      </c>
    </row>
    <row r="321" spans="1:4" hidden="1" x14ac:dyDescent="0.3">
      <c r="A321">
        <v>319</v>
      </c>
      <c r="B321" t="s">
        <v>490</v>
      </c>
      <c r="C321" t="s">
        <v>212</v>
      </c>
      <c r="D321">
        <v>-239.23175191680801</v>
      </c>
    </row>
    <row r="322" spans="1:4" hidden="1" x14ac:dyDescent="0.3">
      <c r="A322">
        <v>320</v>
      </c>
      <c r="B322" s="1" t="s">
        <v>491</v>
      </c>
      <c r="C322" t="s">
        <v>214</v>
      </c>
      <c r="D322" s="1" t="s">
        <v>492</v>
      </c>
    </row>
    <row r="323" spans="1:4" hidden="1" x14ac:dyDescent="0.3">
      <c r="A323">
        <v>321</v>
      </c>
      <c r="B323" t="s">
        <v>493</v>
      </c>
      <c r="C323" t="s">
        <v>217</v>
      </c>
      <c r="D323">
        <v>78991141.921065301</v>
      </c>
    </row>
    <row r="324" spans="1:4" hidden="1" x14ac:dyDescent="0.3">
      <c r="A324">
        <v>322</v>
      </c>
      <c r="B324" t="s">
        <v>494</v>
      </c>
      <c r="C324" t="s">
        <v>219</v>
      </c>
      <c r="D324">
        <v>35106997.307650298</v>
      </c>
    </row>
    <row r="325" spans="1:4" hidden="1" x14ac:dyDescent="0.3">
      <c r="A325">
        <v>323</v>
      </c>
      <c r="B325" t="s">
        <v>495</v>
      </c>
      <c r="C325" t="s">
        <v>221</v>
      </c>
      <c r="D325">
        <v>39243403.484433703</v>
      </c>
    </row>
    <row r="326" spans="1:4" hidden="1" x14ac:dyDescent="0.3">
      <c r="A326">
        <v>324</v>
      </c>
      <c r="B326" s="1" t="s">
        <v>496</v>
      </c>
      <c r="C326" t="s">
        <v>223</v>
      </c>
      <c r="D326" s="1" t="s">
        <v>497</v>
      </c>
    </row>
    <row r="327" spans="1:4" hidden="1" x14ac:dyDescent="0.3">
      <c r="A327">
        <v>325</v>
      </c>
      <c r="B327" t="s">
        <v>498</v>
      </c>
      <c r="C327" t="s">
        <v>226</v>
      </c>
      <c r="D327">
        <v>102954689.677178</v>
      </c>
    </row>
    <row r="328" spans="1:4" hidden="1" x14ac:dyDescent="0.3">
      <c r="A328">
        <v>326</v>
      </c>
      <c r="B328" t="s">
        <v>499</v>
      </c>
      <c r="C328" t="s">
        <v>228</v>
      </c>
      <c r="D328">
        <v>-701.57041810452904</v>
      </c>
    </row>
    <row r="329" spans="1:4" hidden="1" x14ac:dyDescent="0.3">
      <c r="A329">
        <v>327</v>
      </c>
      <c r="B329" s="1" t="s">
        <v>500</v>
      </c>
      <c r="C329" t="s">
        <v>230</v>
      </c>
      <c r="D329" s="1" t="s">
        <v>501</v>
      </c>
    </row>
    <row r="330" spans="1:4" hidden="1" x14ac:dyDescent="0.3">
      <c r="A330">
        <v>328</v>
      </c>
      <c r="B330" t="s">
        <v>502</v>
      </c>
      <c r="C330" t="s">
        <v>112</v>
      </c>
      <c r="D330">
        <v>168.754757797211</v>
      </c>
    </row>
    <row r="331" spans="1:4" hidden="1" x14ac:dyDescent="0.3">
      <c r="A331">
        <v>329</v>
      </c>
      <c r="B331" t="s">
        <v>503</v>
      </c>
      <c r="C331" t="s">
        <v>114</v>
      </c>
      <c r="D331">
        <v>25.5388014651631</v>
      </c>
    </row>
    <row r="332" spans="1:4" hidden="1" x14ac:dyDescent="0.3">
      <c r="A332">
        <v>330</v>
      </c>
      <c r="B332" s="1" t="s">
        <v>504</v>
      </c>
      <c r="C332" t="s">
        <v>116</v>
      </c>
      <c r="D332" s="1" t="s">
        <v>505</v>
      </c>
    </row>
    <row r="333" spans="1:4" hidden="1" x14ac:dyDescent="0.3">
      <c r="A333">
        <v>331</v>
      </c>
      <c r="B333" t="s">
        <v>506</v>
      </c>
      <c r="C333" t="s">
        <v>119</v>
      </c>
      <c r="D333">
        <v>78991141.921065301</v>
      </c>
    </row>
    <row r="334" spans="1:4" hidden="1" x14ac:dyDescent="0.3">
      <c r="A334">
        <v>332</v>
      </c>
      <c r="B334" t="s">
        <v>507</v>
      </c>
      <c r="C334" t="s">
        <v>121</v>
      </c>
      <c r="D334">
        <v>35106997.307650298</v>
      </c>
    </row>
    <row r="335" spans="1:4" hidden="1" x14ac:dyDescent="0.3">
      <c r="A335">
        <v>333</v>
      </c>
      <c r="B335" s="1" t="s">
        <v>508</v>
      </c>
      <c r="C335" t="s">
        <v>123</v>
      </c>
      <c r="D335" s="1" t="s">
        <v>509</v>
      </c>
    </row>
    <row r="336" spans="1:4" hidden="1" x14ac:dyDescent="0.3">
      <c r="A336">
        <v>334</v>
      </c>
      <c r="B336" t="s">
        <v>510</v>
      </c>
      <c r="C336" t="s">
        <v>126</v>
      </c>
      <c r="D336">
        <v>0.76727178138452901</v>
      </c>
    </row>
    <row r="337" spans="1:4" hidden="1" x14ac:dyDescent="0.3">
      <c r="A337">
        <v>335</v>
      </c>
      <c r="B337" t="s">
        <v>511</v>
      </c>
      <c r="C337" t="s">
        <v>128</v>
      </c>
      <c r="D337">
        <v>0.34100796251584897</v>
      </c>
    </row>
    <row r="338" spans="1:4" hidden="1" x14ac:dyDescent="0.3">
      <c r="A338">
        <v>336</v>
      </c>
      <c r="B338" s="1" t="s">
        <v>512</v>
      </c>
      <c r="C338" t="s">
        <v>130</v>
      </c>
      <c r="D338" s="1" t="s">
        <v>513</v>
      </c>
    </row>
    <row r="339" spans="1:4" x14ac:dyDescent="0.3">
      <c r="A339">
        <v>337</v>
      </c>
      <c r="B339" s="1" t="s">
        <v>514</v>
      </c>
      <c r="C339" t="s">
        <v>4</v>
      </c>
      <c r="D339" t="s">
        <v>515</v>
      </c>
    </row>
    <row r="340" spans="1:4" hidden="1" x14ac:dyDescent="0.3">
      <c r="A340">
        <v>338</v>
      </c>
      <c r="B340" t="s">
        <v>516</v>
      </c>
      <c r="C340" t="s">
        <v>7</v>
      </c>
      <c r="D340">
        <v>1764.76</v>
      </c>
    </row>
    <row r="341" spans="1:4" hidden="1" x14ac:dyDescent="0.3">
      <c r="A341">
        <v>339</v>
      </c>
      <c r="B341" s="1" t="s">
        <v>517</v>
      </c>
      <c r="C341" t="s">
        <v>9</v>
      </c>
      <c r="D341" s="1" t="s">
        <v>518</v>
      </c>
    </row>
    <row r="342" spans="1:4" hidden="1" x14ac:dyDescent="0.3">
      <c r="A342">
        <v>340</v>
      </c>
      <c r="B342" t="s">
        <v>519</v>
      </c>
      <c r="C342" t="s">
        <v>14</v>
      </c>
      <c r="D342">
        <v>91.7890625</v>
      </c>
    </row>
    <row r="343" spans="1:4" hidden="1" x14ac:dyDescent="0.3">
      <c r="A343">
        <v>341</v>
      </c>
      <c r="B343" t="s">
        <v>520</v>
      </c>
      <c r="C343" t="s">
        <v>16</v>
      </c>
      <c r="D343">
        <v>4.2911630364895901</v>
      </c>
    </row>
    <row r="344" spans="1:4" hidden="1" x14ac:dyDescent="0.3">
      <c r="A344">
        <v>342</v>
      </c>
      <c r="B344" s="1" t="s">
        <v>521</v>
      </c>
      <c r="C344" t="s">
        <v>140</v>
      </c>
      <c r="D344" s="1" t="s">
        <v>522</v>
      </c>
    </row>
    <row r="345" spans="1:4" hidden="1" x14ac:dyDescent="0.3">
      <c r="A345">
        <v>343</v>
      </c>
      <c r="B345" t="s">
        <v>523</v>
      </c>
      <c r="C345" t="s">
        <v>22</v>
      </c>
      <c r="D345">
        <v>63.65</v>
      </c>
    </row>
    <row r="346" spans="1:4" hidden="1" x14ac:dyDescent="0.3">
      <c r="A346">
        <v>344</v>
      </c>
      <c r="B346" t="s">
        <v>524</v>
      </c>
      <c r="C346" t="s">
        <v>24</v>
      </c>
      <c r="D346">
        <v>5.6045949228337602</v>
      </c>
    </row>
    <row r="347" spans="1:4" hidden="1" x14ac:dyDescent="0.3">
      <c r="A347">
        <v>345</v>
      </c>
      <c r="B347" s="1" t="s">
        <v>525</v>
      </c>
      <c r="C347" t="s">
        <v>145</v>
      </c>
      <c r="D347" s="1" t="s">
        <v>526</v>
      </c>
    </row>
    <row r="348" spans="1:4" hidden="1" x14ac:dyDescent="0.3">
      <c r="A348">
        <v>346</v>
      </c>
      <c r="B348" t="s">
        <v>527</v>
      </c>
      <c r="C348" t="s">
        <v>35</v>
      </c>
      <c r="D348">
        <v>0.53688208815215299</v>
      </c>
    </row>
    <row r="349" spans="1:4" hidden="1" x14ac:dyDescent="0.3">
      <c r="A349">
        <v>347</v>
      </c>
      <c r="B349" t="s">
        <v>528</v>
      </c>
      <c r="C349" t="s">
        <v>149</v>
      </c>
      <c r="D349">
        <v>0.56357498850543797</v>
      </c>
    </row>
    <row r="350" spans="1:4" hidden="1" x14ac:dyDescent="0.3">
      <c r="A350">
        <v>348</v>
      </c>
      <c r="B350" s="1" t="s">
        <v>529</v>
      </c>
      <c r="C350" t="s">
        <v>151</v>
      </c>
      <c r="D350" s="1" t="s">
        <v>530</v>
      </c>
    </row>
    <row r="351" spans="1:4" hidden="1" x14ac:dyDescent="0.3">
      <c r="A351">
        <v>349</v>
      </c>
      <c r="B351" t="s">
        <v>531</v>
      </c>
      <c r="C351" t="s">
        <v>30</v>
      </c>
      <c r="D351">
        <v>0.19796323797044299</v>
      </c>
    </row>
    <row r="352" spans="1:4" hidden="1" x14ac:dyDescent="0.3">
      <c r="A352">
        <v>350</v>
      </c>
      <c r="B352" t="s">
        <v>532</v>
      </c>
      <c r="C352" t="s">
        <v>32</v>
      </c>
      <c r="D352">
        <v>0.38287509209384801</v>
      </c>
    </row>
    <row r="353" spans="1:4" hidden="1" x14ac:dyDescent="0.3">
      <c r="A353">
        <v>351</v>
      </c>
      <c r="B353" s="1" t="s">
        <v>533</v>
      </c>
      <c r="C353" t="s">
        <v>155</v>
      </c>
      <c r="D353" s="1" t="s">
        <v>534</v>
      </c>
    </row>
    <row r="354" spans="1:4" hidden="1" x14ac:dyDescent="0.3">
      <c r="A354">
        <v>352</v>
      </c>
      <c r="B354" t="s">
        <v>535</v>
      </c>
      <c r="C354" t="s">
        <v>40</v>
      </c>
      <c r="D354">
        <v>0.26515467387740199</v>
      </c>
    </row>
    <row r="355" spans="1:4" hidden="1" x14ac:dyDescent="0.3">
      <c r="A355">
        <v>353</v>
      </c>
      <c r="B355" t="s">
        <v>536</v>
      </c>
      <c r="C355" t="s">
        <v>42</v>
      </c>
      <c r="D355">
        <v>0.39151167168346401</v>
      </c>
    </row>
    <row r="356" spans="1:4" hidden="1" x14ac:dyDescent="0.3">
      <c r="A356">
        <v>354</v>
      </c>
      <c r="B356" s="1" t="s">
        <v>537</v>
      </c>
      <c r="C356" t="s">
        <v>159</v>
      </c>
      <c r="D356" s="1" t="s">
        <v>538</v>
      </c>
    </row>
    <row r="357" spans="1:4" hidden="1" x14ac:dyDescent="0.3">
      <c r="A357">
        <v>355</v>
      </c>
      <c r="B357" t="s">
        <v>539</v>
      </c>
      <c r="C357" t="s">
        <v>161</v>
      </c>
      <c r="D357">
        <v>0.97647833472585699</v>
      </c>
    </row>
    <row r="358" spans="1:4" hidden="1" x14ac:dyDescent="0.3">
      <c r="A358">
        <v>356</v>
      </c>
      <c r="B358" t="s">
        <v>540</v>
      </c>
      <c r="C358" t="s">
        <v>163</v>
      </c>
      <c r="D358">
        <v>1.0069446431725</v>
      </c>
    </row>
    <row r="359" spans="1:4" hidden="1" x14ac:dyDescent="0.3">
      <c r="A359">
        <v>357</v>
      </c>
      <c r="B359" s="1" t="s">
        <v>541</v>
      </c>
      <c r="C359" t="s">
        <v>165</v>
      </c>
      <c r="D359" s="1" t="s">
        <v>542</v>
      </c>
    </row>
    <row r="360" spans="1:4" hidden="1" x14ac:dyDescent="0.3">
      <c r="A360">
        <v>358</v>
      </c>
      <c r="B360" t="s">
        <v>543</v>
      </c>
      <c r="C360" t="s">
        <v>168</v>
      </c>
      <c r="D360">
        <v>0.99781451569429203</v>
      </c>
    </row>
    <row r="361" spans="1:4" hidden="1" x14ac:dyDescent="0.3">
      <c r="A361">
        <v>359</v>
      </c>
      <c r="B361" t="s">
        <v>544</v>
      </c>
      <c r="C361" t="s">
        <v>170</v>
      </c>
      <c r="D361">
        <v>1.00855966753689</v>
      </c>
    </row>
    <row r="362" spans="1:4" hidden="1" x14ac:dyDescent="0.3">
      <c r="A362">
        <v>360</v>
      </c>
      <c r="B362" s="1" t="s">
        <v>545</v>
      </c>
      <c r="C362" t="s">
        <v>172</v>
      </c>
      <c r="D362" s="1" t="s">
        <v>546</v>
      </c>
    </row>
    <row r="363" spans="1:4" hidden="1" x14ac:dyDescent="0.3">
      <c r="A363">
        <v>361</v>
      </c>
      <c r="B363" s="1" t="s">
        <v>547</v>
      </c>
      <c r="C363" t="s">
        <v>55</v>
      </c>
      <c r="D363" s="1" t="s">
        <v>548</v>
      </c>
    </row>
    <row r="364" spans="1:4" hidden="1" x14ac:dyDescent="0.3">
      <c r="A364">
        <v>362</v>
      </c>
      <c r="B364" s="1" t="s">
        <v>549</v>
      </c>
      <c r="C364" t="s">
        <v>52</v>
      </c>
      <c r="D364" s="1" t="s">
        <v>550</v>
      </c>
    </row>
    <row r="365" spans="1:4" hidden="1" x14ac:dyDescent="0.3">
      <c r="A365">
        <v>363</v>
      </c>
      <c r="B365" s="1" t="s">
        <v>551</v>
      </c>
      <c r="C365" t="s">
        <v>58</v>
      </c>
      <c r="D365" s="1" t="s">
        <v>552</v>
      </c>
    </row>
    <row r="366" spans="1:4" hidden="1" x14ac:dyDescent="0.3">
      <c r="A366">
        <v>364</v>
      </c>
      <c r="B366" t="s">
        <v>553</v>
      </c>
      <c r="C366" t="s">
        <v>61</v>
      </c>
      <c r="D366">
        <v>151601559.45762199</v>
      </c>
    </row>
    <row r="367" spans="1:4" hidden="1" x14ac:dyDescent="0.3">
      <c r="A367">
        <v>365</v>
      </c>
      <c r="B367" t="s">
        <v>554</v>
      </c>
      <c r="C367" t="s">
        <v>63</v>
      </c>
      <c r="D367">
        <v>77133138.7211757</v>
      </c>
    </row>
    <row r="368" spans="1:4" hidden="1" x14ac:dyDescent="0.3">
      <c r="A368">
        <v>366</v>
      </c>
      <c r="B368" t="s">
        <v>555</v>
      </c>
      <c r="C368" t="s">
        <v>65</v>
      </c>
      <c r="D368">
        <v>35350802.876809902</v>
      </c>
    </row>
    <row r="369" spans="1:4" hidden="1" x14ac:dyDescent="0.3">
      <c r="A369">
        <v>367</v>
      </c>
      <c r="B369" s="1" t="s">
        <v>556</v>
      </c>
      <c r="C369" t="s">
        <v>67</v>
      </c>
      <c r="D369" s="1" t="s">
        <v>557</v>
      </c>
    </row>
    <row r="370" spans="1:4" hidden="1" x14ac:dyDescent="0.3">
      <c r="A370">
        <v>368</v>
      </c>
      <c r="B370" s="1" t="s">
        <v>558</v>
      </c>
      <c r="C370" t="s">
        <v>70</v>
      </c>
      <c r="D370" s="1" t="s">
        <v>559</v>
      </c>
    </row>
    <row r="371" spans="1:4" hidden="1" x14ac:dyDescent="0.3">
      <c r="A371">
        <v>369</v>
      </c>
      <c r="B371" t="s">
        <v>560</v>
      </c>
      <c r="C371" t="s">
        <v>73</v>
      </c>
      <c r="D371">
        <v>0.99996093095017902</v>
      </c>
    </row>
    <row r="372" spans="1:4" hidden="1" x14ac:dyDescent="0.3">
      <c r="A372">
        <v>370</v>
      </c>
      <c r="B372" t="s">
        <v>74</v>
      </c>
      <c r="C372" t="s">
        <v>75</v>
      </c>
      <c r="D372">
        <v>2.7397260273972599E-3</v>
      </c>
    </row>
    <row r="373" spans="1:4" hidden="1" x14ac:dyDescent="0.3">
      <c r="A373">
        <v>371</v>
      </c>
      <c r="B373" t="s">
        <v>76</v>
      </c>
      <c r="C373" t="s">
        <v>77</v>
      </c>
      <c r="D373">
        <v>0</v>
      </c>
    </row>
    <row r="374" spans="1:4" hidden="1" x14ac:dyDescent="0.3">
      <c r="A374">
        <v>372</v>
      </c>
      <c r="B374" t="s">
        <v>78</v>
      </c>
      <c r="C374" t="s">
        <v>79</v>
      </c>
      <c r="D374">
        <v>0</v>
      </c>
    </row>
    <row r="375" spans="1:4" hidden="1" x14ac:dyDescent="0.3">
      <c r="A375">
        <v>373</v>
      </c>
      <c r="B375" s="1" t="s">
        <v>561</v>
      </c>
      <c r="C375" t="s">
        <v>81</v>
      </c>
      <c r="D375" s="1" t="s">
        <v>562</v>
      </c>
    </row>
    <row r="376" spans="1:4" hidden="1" x14ac:dyDescent="0.3">
      <c r="A376">
        <v>374</v>
      </c>
      <c r="B376" t="s">
        <v>563</v>
      </c>
      <c r="C376" t="s">
        <v>84</v>
      </c>
      <c r="D376">
        <v>0.99996761328120098</v>
      </c>
    </row>
    <row r="377" spans="1:4" hidden="1" x14ac:dyDescent="0.3">
      <c r="A377">
        <v>375</v>
      </c>
      <c r="B377" s="1" t="s">
        <v>564</v>
      </c>
      <c r="C377" t="s">
        <v>86</v>
      </c>
      <c r="D377" s="1" t="s">
        <v>565</v>
      </c>
    </row>
    <row r="378" spans="1:4" hidden="1" x14ac:dyDescent="0.3">
      <c r="A378">
        <v>376</v>
      </c>
      <c r="B378" t="s">
        <v>566</v>
      </c>
      <c r="C378" t="s">
        <v>89</v>
      </c>
      <c r="D378">
        <v>102953300.11184999</v>
      </c>
    </row>
    <row r="379" spans="1:4" hidden="1" x14ac:dyDescent="0.3">
      <c r="A379">
        <v>377</v>
      </c>
      <c r="B379" s="1" t="s">
        <v>567</v>
      </c>
      <c r="C379" t="s">
        <v>91</v>
      </c>
      <c r="D379" s="1" t="s">
        <v>501</v>
      </c>
    </row>
    <row r="380" spans="1:4" hidden="1" x14ac:dyDescent="0.3">
      <c r="A380">
        <v>378</v>
      </c>
      <c r="B380" t="s">
        <v>568</v>
      </c>
      <c r="C380" t="s">
        <v>94</v>
      </c>
      <c r="D380">
        <v>77133138.7211757</v>
      </c>
    </row>
    <row r="381" spans="1:4" hidden="1" x14ac:dyDescent="0.3">
      <c r="A381">
        <v>379</v>
      </c>
      <c r="B381" t="s">
        <v>569</v>
      </c>
      <c r="C381" t="s">
        <v>96</v>
      </c>
      <c r="D381">
        <v>35350802.876809902</v>
      </c>
    </row>
    <row r="382" spans="1:4" hidden="1" x14ac:dyDescent="0.3">
      <c r="A382">
        <v>380</v>
      </c>
      <c r="B382" t="s">
        <v>570</v>
      </c>
      <c r="C382" t="s">
        <v>98</v>
      </c>
      <c r="D382">
        <v>39117617.859636299</v>
      </c>
    </row>
    <row r="383" spans="1:4" hidden="1" x14ac:dyDescent="0.3">
      <c r="A383">
        <v>381</v>
      </c>
      <c r="B383" s="1" t="s">
        <v>571</v>
      </c>
      <c r="C383" t="s">
        <v>100</v>
      </c>
      <c r="D383" s="1" t="s">
        <v>572</v>
      </c>
    </row>
    <row r="384" spans="1:4" hidden="1" x14ac:dyDescent="0.3">
      <c r="A384">
        <v>382</v>
      </c>
      <c r="B384" t="s">
        <v>573</v>
      </c>
      <c r="C384" t="s">
        <v>103</v>
      </c>
      <c r="D384">
        <v>9.9921411115845293E-3</v>
      </c>
    </row>
    <row r="385" spans="1:4" hidden="1" x14ac:dyDescent="0.3">
      <c r="A385">
        <v>383</v>
      </c>
      <c r="B385" t="s">
        <v>574</v>
      </c>
      <c r="C385" t="s">
        <v>105</v>
      </c>
      <c r="D385">
        <v>3.2734647794778098E-3</v>
      </c>
    </row>
    <row r="386" spans="1:4" hidden="1" x14ac:dyDescent="0.3">
      <c r="A386">
        <v>384</v>
      </c>
      <c r="B386" t="s">
        <v>575</v>
      </c>
      <c r="C386" t="s">
        <v>107</v>
      </c>
      <c r="D386">
        <v>1.21656911224815E-2</v>
      </c>
    </row>
    <row r="387" spans="1:4" hidden="1" x14ac:dyDescent="0.3">
      <c r="A387">
        <v>385</v>
      </c>
      <c r="B387" s="1" t="s">
        <v>576</v>
      </c>
      <c r="C387" t="s">
        <v>109</v>
      </c>
      <c r="D387" s="1" t="s">
        <v>577</v>
      </c>
    </row>
    <row r="388" spans="1:4" hidden="1" x14ac:dyDescent="0.3">
      <c r="A388">
        <v>386</v>
      </c>
      <c r="B388" t="s">
        <v>578</v>
      </c>
      <c r="C388" t="s">
        <v>208</v>
      </c>
      <c r="D388">
        <v>151601795.207524</v>
      </c>
    </row>
    <row r="389" spans="1:4" hidden="1" x14ac:dyDescent="0.3">
      <c r="A389">
        <v>387</v>
      </c>
      <c r="B389" t="s">
        <v>579</v>
      </c>
      <c r="C389" t="s">
        <v>210</v>
      </c>
      <c r="D389">
        <v>-515.45047334884896</v>
      </c>
    </row>
    <row r="390" spans="1:4" hidden="1" x14ac:dyDescent="0.3">
      <c r="A390">
        <v>388</v>
      </c>
      <c r="B390" t="s">
        <v>580</v>
      </c>
      <c r="C390" t="s">
        <v>212</v>
      </c>
      <c r="D390">
        <v>-236.23517072802301</v>
      </c>
    </row>
    <row r="391" spans="1:4" hidden="1" x14ac:dyDescent="0.3">
      <c r="A391">
        <v>389</v>
      </c>
      <c r="B391" s="1" t="s">
        <v>581</v>
      </c>
      <c r="C391" t="s">
        <v>214</v>
      </c>
      <c r="D391" s="1" t="s">
        <v>582</v>
      </c>
    </row>
    <row r="392" spans="1:4" hidden="1" x14ac:dyDescent="0.3">
      <c r="A392">
        <v>390</v>
      </c>
      <c r="B392" t="s">
        <v>583</v>
      </c>
      <c r="C392" t="s">
        <v>217</v>
      </c>
      <c r="D392">
        <v>77133829.186780006</v>
      </c>
    </row>
    <row r="393" spans="1:4" hidden="1" x14ac:dyDescent="0.3">
      <c r="A393">
        <v>391</v>
      </c>
      <c r="B393" t="s">
        <v>584</v>
      </c>
      <c r="C393" t="s">
        <v>219</v>
      </c>
      <c r="D393">
        <v>35351065.231271997</v>
      </c>
    </row>
    <row r="394" spans="1:4" hidden="1" x14ac:dyDescent="0.3">
      <c r="A394">
        <v>392</v>
      </c>
      <c r="B394" t="s">
        <v>585</v>
      </c>
      <c r="C394" t="s">
        <v>221</v>
      </c>
      <c r="D394">
        <v>39117913.882431597</v>
      </c>
    </row>
    <row r="395" spans="1:4" hidden="1" x14ac:dyDescent="0.3">
      <c r="A395">
        <v>393</v>
      </c>
      <c r="B395" s="1" t="s">
        <v>586</v>
      </c>
      <c r="C395" t="s">
        <v>223</v>
      </c>
      <c r="D395" s="1" t="s">
        <v>587</v>
      </c>
    </row>
    <row r="396" spans="1:4" hidden="1" x14ac:dyDescent="0.3">
      <c r="A396">
        <v>394</v>
      </c>
      <c r="B396" t="s">
        <v>588</v>
      </c>
      <c r="C396" t="s">
        <v>226</v>
      </c>
      <c r="D396">
        <v>102953988.10676</v>
      </c>
    </row>
    <row r="397" spans="1:4" hidden="1" x14ac:dyDescent="0.3">
      <c r="A397">
        <v>395</v>
      </c>
      <c r="B397" t="s">
        <v>589</v>
      </c>
      <c r="C397" t="s">
        <v>228</v>
      </c>
      <c r="D397">
        <v>-687.99491043388798</v>
      </c>
    </row>
    <row r="398" spans="1:4" hidden="1" x14ac:dyDescent="0.3">
      <c r="A398">
        <v>396</v>
      </c>
      <c r="B398" s="1" t="s">
        <v>590</v>
      </c>
      <c r="C398" t="s">
        <v>230</v>
      </c>
      <c r="D398" s="1" t="s">
        <v>591</v>
      </c>
    </row>
    <row r="399" spans="1:4" hidden="1" x14ac:dyDescent="0.3">
      <c r="A399">
        <v>397</v>
      </c>
      <c r="B399" t="s">
        <v>592</v>
      </c>
      <c r="C399" t="s">
        <v>112</v>
      </c>
      <c r="D399">
        <v>175.01513101097399</v>
      </c>
    </row>
    <row r="400" spans="1:4" hidden="1" x14ac:dyDescent="0.3">
      <c r="A400">
        <v>398</v>
      </c>
      <c r="B400" t="s">
        <v>593</v>
      </c>
      <c r="C400" t="s">
        <v>114</v>
      </c>
      <c r="D400">
        <v>26.119291336525301</v>
      </c>
    </row>
    <row r="401" spans="1:4" hidden="1" x14ac:dyDescent="0.3">
      <c r="A401">
        <v>399</v>
      </c>
      <c r="B401" s="1" t="s">
        <v>594</v>
      </c>
      <c r="C401" t="s">
        <v>116</v>
      </c>
      <c r="D401" s="1" t="s">
        <v>595</v>
      </c>
    </row>
    <row r="402" spans="1:4" hidden="1" x14ac:dyDescent="0.3">
      <c r="A402">
        <v>400</v>
      </c>
      <c r="B402" t="s">
        <v>596</v>
      </c>
      <c r="C402" t="s">
        <v>119</v>
      </c>
      <c r="D402">
        <v>77133829.186780006</v>
      </c>
    </row>
    <row r="403" spans="1:4" hidden="1" x14ac:dyDescent="0.3">
      <c r="A403">
        <v>401</v>
      </c>
      <c r="B403" t="s">
        <v>597</v>
      </c>
      <c r="C403" t="s">
        <v>121</v>
      </c>
      <c r="D403">
        <v>35351065.231271997</v>
      </c>
    </row>
    <row r="404" spans="1:4" hidden="1" x14ac:dyDescent="0.3">
      <c r="A404">
        <v>402</v>
      </c>
      <c r="B404" s="1" t="s">
        <v>598</v>
      </c>
      <c r="C404" t="s">
        <v>123</v>
      </c>
      <c r="D404" s="1" t="s">
        <v>599</v>
      </c>
    </row>
    <row r="405" spans="1:4" hidden="1" x14ac:dyDescent="0.3">
      <c r="A405">
        <v>403</v>
      </c>
      <c r="B405" t="s">
        <v>600</v>
      </c>
      <c r="C405" t="s">
        <v>126</v>
      </c>
      <c r="D405">
        <v>0.74923107688976098</v>
      </c>
    </row>
    <row r="406" spans="1:4" hidden="1" x14ac:dyDescent="0.3">
      <c r="A406">
        <v>404</v>
      </c>
      <c r="B406" t="s">
        <v>601</v>
      </c>
      <c r="C406" t="s">
        <v>128</v>
      </c>
      <c r="D406">
        <v>0.343378734748016</v>
      </c>
    </row>
    <row r="407" spans="1:4" hidden="1" x14ac:dyDescent="0.3">
      <c r="A407">
        <v>405</v>
      </c>
      <c r="B407" s="1" t="s">
        <v>602</v>
      </c>
      <c r="C407" t="s">
        <v>130</v>
      </c>
      <c r="D407" s="1" t="s">
        <v>603</v>
      </c>
    </row>
    <row r="408" spans="1:4" x14ac:dyDescent="0.3">
      <c r="A408">
        <v>406</v>
      </c>
      <c r="B408" s="1" t="s">
        <v>604</v>
      </c>
      <c r="C408" t="s">
        <v>4</v>
      </c>
      <c r="D408" t="s">
        <v>605</v>
      </c>
    </row>
    <row r="409" spans="1:4" hidden="1" x14ac:dyDescent="0.3">
      <c r="A409">
        <v>407</v>
      </c>
      <c r="B409" t="s">
        <v>606</v>
      </c>
      <c r="C409" t="s">
        <v>7</v>
      </c>
      <c r="D409">
        <v>1738.86</v>
      </c>
    </row>
    <row r="410" spans="1:4" hidden="1" x14ac:dyDescent="0.3">
      <c r="A410">
        <v>408</v>
      </c>
      <c r="B410" s="1" t="s">
        <v>607</v>
      </c>
      <c r="C410" t="s">
        <v>9</v>
      </c>
      <c r="D410" s="1" t="s">
        <v>608</v>
      </c>
    </row>
    <row r="411" spans="1:4" hidden="1" x14ac:dyDescent="0.3">
      <c r="A411">
        <v>409</v>
      </c>
      <c r="B411" t="s">
        <v>609</v>
      </c>
      <c r="C411" t="s">
        <v>14</v>
      </c>
      <c r="D411">
        <v>91.25</v>
      </c>
    </row>
    <row r="412" spans="1:4" hidden="1" x14ac:dyDescent="0.3">
      <c r="A412">
        <v>410</v>
      </c>
      <c r="B412" t="s">
        <v>610</v>
      </c>
      <c r="C412" t="s">
        <v>16</v>
      </c>
      <c r="D412">
        <v>4.2842794554516903</v>
      </c>
    </row>
    <row r="413" spans="1:4" hidden="1" x14ac:dyDescent="0.3">
      <c r="A413">
        <v>411</v>
      </c>
      <c r="B413" s="1" t="s">
        <v>611</v>
      </c>
      <c r="C413" t="s">
        <v>140</v>
      </c>
      <c r="D413" s="1" t="s">
        <v>612</v>
      </c>
    </row>
    <row r="414" spans="1:4" hidden="1" x14ac:dyDescent="0.3">
      <c r="A414">
        <v>412</v>
      </c>
      <c r="B414" t="s">
        <v>613</v>
      </c>
      <c r="C414" t="s">
        <v>22</v>
      </c>
      <c r="D414">
        <v>64.400000000000006</v>
      </c>
    </row>
    <row r="415" spans="1:4" hidden="1" x14ac:dyDescent="0.3">
      <c r="A415">
        <v>413</v>
      </c>
      <c r="B415" t="s">
        <v>614</v>
      </c>
      <c r="C415" t="s">
        <v>24</v>
      </c>
      <c r="D415">
        <v>5.4898844360701098</v>
      </c>
    </row>
    <row r="416" spans="1:4" hidden="1" x14ac:dyDescent="0.3">
      <c r="A416">
        <v>414</v>
      </c>
      <c r="B416" s="1" t="s">
        <v>615</v>
      </c>
      <c r="C416" t="s">
        <v>145</v>
      </c>
      <c r="D416" s="1" t="s">
        <v>616</v>
      </c>
    </row>
    <row r="417" spans="1:4" hidden="1" x14ac:dyDescent="0.3">
      <c r="A417">
        <v>415</v>
      </c>
      <c r="B417" t="s">
        <v>617</v>
      </c>
      <c r="C417" t="s">
        <v>35</v>
      </c>
      <c r="D417">
        <v>0.53122506444946604</v>
      </c>
    </row>
    <row r="418" spans="1:4" hidden="1" x14ac:dyDescent="0.3">
      <c r="A418">
        <v>416</v>
      </c>
      <c r="B418" t="s">
        <v>618</v>
      </c>
      <c r="C418" t="s">
        <v>149</v>
      </c>
      <c r="D418">
        <v>0.56506108600706095</v>
      </c>
    </row>
    <row r="419" spans="1:4" hidden="1" x14ac:dyDescent="0.3">
      <c r="A419">
        <v>417</v>
      </c>
      <c r="B419" s="1" t="s">
        <v>619</v>
      </c>
      <c r="C419" t="s">
        <v>151</v>
      </c>
      <c r="D419" s="1" t="s">
        <v>620</v>
      </c>
    </row>
    <row r="420" spans="1:4" hidden="1" x14ac:dyDescent="0.3">
      <c r="A420">
        <v>418</v>
      </c>
      <c r="B420" t="s">
        <v>621</v>
      </c>
      <c r="C420" t="s">
        <v>30</v>
      </c>
      <c r="D420">
        <v>0.20291171180259701</v>
      </c>
    </row>
    <row r="421" spans="1:4" hidden="1" x14ac:dyDescent="0.3">
      <c r="A421">
        <v>419</v>
      </c>
      <c r="B421" t="s">
        <v>622</v>
      </c>
      <c r="C421" t="s">
        <v>32</v>
      </c>
      <c r="D421">
        <v>0.37510335476583201</v>
      </c>
    </row>
    <row r="422" spans="1:4" hidden="1" x14ac:dyDescent="0.3">
      <c r="A422">
        <v>420</v>
      </c>
      <c r="B422" s="1" t="s">
        <v>623</v>
      </c>
      <c r="C422" t="s">
        <v>155</v>
      </c>
      <c r="D422" s="1" t="s">
        <v>624</v>
      </c>
    </row>
    <row r="423" spans="1:4" hidden="1" x14ac:dyDescent="0.3">
      <c r="A423">
        <v>421</v>
      </c>
      <c r="B423" t="s">
        <v>625</v>
      </c>
      <c r="C423" t="s">
        <v>40</v>
      </c>
      <c r="D423">
        <v>0.26586322374793597</v>
      </c>
    </row>
    <row r="424" spans="1:4" hidden="1" x14ac:dyDescent="0.3">
      <c r="A424">
        <v>422</v>
      </c>
      <c r="B424" t="s">
        <v>626</v>
      </c>
      <c r="C424" t="s">
        <v>42</v>
      </c>
      <c r="D424">
        <v>0.39461681313032099</v>
      </c>
    </row>
    <row r="425" spans="1:4" hidden="1" x14ac:dyDescent="0.3">
      <c r="A425">
        <v>423</v>
      </c>
      <c r="B425" s="1" t="s">
        <v>627</v>
      </c>
      <c r="C425" t="s">
        <v>159</v>
      </c>
      <c r="D425" s="1" t="s">
        <v>628</v>
      </c>
    </row>
    <row r="426" spans="1:4" hidden="1" x14ac:dyDescent="0.3">
      <c r="A426">
        <v>424</v>
      </c>
      <c r="B426" t="s">
        <v>629</v>
      </c>
      <c r="C426" t="s">
        <v>161</v>
      </c>
      <c r="D426">
        <v>0.98532378340397497</v>
      </c>
    </row>
    <row r="427" spans="1:4" hidden="1" x14ac:dyDescent="0.3">
      <c r="A427">
        <v>425</v>
      </c>
      <c r="B427" t="s">
        <v>630</v>
      </c>
      <c r="C427" t="s">
        <v>163</v>
      </c>
      <c r="D427">
        <v>0.99431781016343901</v>
      </c>
    </row>
    <row r="428" spans="1:4" hidden="1" x14ac:dyDescent="0.3">
      <c r="A428">
        <v>426</v>
      </c>
      <c r="B428" s="1" t="s">
        <v>631</v>
      </c>
      <c r="C428" t="s">
        <v>165</v>
      </c>
      <c r="D428" s="1" t="s">
        <v>632</v>
      </c>
    </row>
    <row r="429" spans="1:4" hidden="1" x14ac:dyDescent="0.3">
      <c r="A429">
        <v>427</v>
      </c>
      <c r="B429" t="s">
        <v>633</v>
      </c>
      <c r="C429" t="s">
        <v>168</v>
      </c>
      <c r="D429">
        <v>1.00095044849946</v>
      </c>
    </row>
    <row r="430" spans="1:4" hidden="1" x14ac:dyDescent="0.3">
      <c r="A430">
        <v>428</v>
      </c>
      <c r="B430" t="s">
        <v>634</v>
      </c>
      <c r="C430" t="s">
        <v>170</v>
      </c>
      <c r="D430">
        <v>0.99438001496125805</v>
      </c>
    </row>
    <row r="431" spans="1:4" hidden="1" x14ac:dyDescent="0.3">
      <c r="A431">
        <v>429</v>
      </c>
      <c r="B431" s="1" t="s">
        <v>635</v>
      </c>
      <c r="C431" t="s">
        <v>172</v>
      </c>
      <c r="D431" s="1" t="s">
        <v>636</v>
      </c>
    </row>
    <row r="432" spans="1:4" hidden="1" x14ac:dyDescent="0.3">
      <c r="A432">
        <v>430</v>
      </c>
      <c r="B432" s="1" t="s">
        <v>637</v>
      </c>
      <c r="C432" t="s">
        <v>55</v>
      </c>
      <c r="D432" s="1" t="s">
        <v>638</v>
      </c>
    </row>
    <row r="433" spans="1:4" hidden="1" x14ac:dyDescent="0.3">
      <c r="A433">
        <v>431</v>
      </c>
      <c r="B433" s="1" t="s">
        <v>639</v>
      </c>
      <c r="C433" t="s">
        <v>52</v>
      </c>
      <c r="D433" s="1" t="s">
        <v>640</v>
      </c>
    </row>
    <row r="434" spans="1:4" hidden="1" x14ac:dyDescent="0.3">
      <c r="A434">
        <v>432</v>
      </c>
      <c r="B434" s="1" t="s">
        <v>641</v>
      </c>
      <c r="C434" t="s">
        <v>58</v>
      </c>
      <c r="D434" s="1" t="s">
        <v>642</v>
      </c>
    </row>
    <row r="435" spans="1:4" hidden="1" x14ac:dyDescent="0.3">
      <c r="A435">
        <v>433</v>
      </c>
      <c r="B435" t="s">
        <v>643</v>
      </c>
      <c r="C435" t="s">
        <v>61</v>
      </c>
      <c r="D435">
        <v>150628742.34364599</v>
      </c>
    </row>
    <row r="436" spans="1:4" hidden="1" x14ac:dyDescent="0.3">
      <c r="A436">
        <v>434</v>
      </c>
      <c r="B436" t="s">
        <v>644</v>
      </c>
      <c r="C436" t="s">
        <v>63</v>
      </c>
      <c r="D436">
        <v>76001796.402754098</v>
      </c>
    </row>
    <row r="437" spans="1:4" hidden="1" x14ac:dyDescent="0.3">
      <c r="A437">
        <v>435</v>
      </c>
      <c r="B437" t="s">
        <v>645</v>
      </c>
      <c r="C437" t="s">
        <v>65</v>
      </c>
      <c r="D437">
        <v>35150193.767703302</v>
      </c>
    </row>
    <row r="438" spans="1:4" hidden="1" x14ac:dyDescent="0.3">
      <c r="A438">
        <v>436</v>
      </c>
      <c r="B438" s="1" t="s">
        <v>646</v>
      </c>
      <c r="C438" t="s">
        <v>67</v>
      </c>
      <c r="D438" s="1" t="s">
        <v>647</v>
      </c>
    </row>
    <row r="439" spans="1:4" hidden="1" x14ac:dyDescent="0.3">
      <c r="A439">
        <v>437</v>
      </c>
      <c r="B439" s="1" t="s">
        <v>648</v>
      </c>
      <c r="C439" t="s">
        <v>70</v>
      </c>
      <c r="D439" s="1" t="s">
        <v>649</v>
      </c>
    </row>
    <row r="440" spans="1:4" hidden="1" x14ac:dyDescent="0.3">
      <c r="A440">
        <v>438</v>
      </c>
      <c r="B440" t="s">
        <v>650</v>
      </c>
      <c r="C440" t="s">
        <v>73</v>
      </c>
      <c r="D440">
        <v>0.99996761328120098</v>
      </c>
    </row>
    <row r="441" spans="1:4" hidden="1" x14ac:dyDescent="0.3">
      <c r="A441">
        <v>439</v>
      </c>
      <c r="B441" t="s">
        <v>74</v>
      </c>
      <c r="C441" t="s">
        <v>75</v>
      </c>
      <c r="D441">
        <v>2.7397260273972599E-3</v>
      </c>
    </row>
    <row r="442" spans="1:4" hidden="1" x14ac:dyDescent="0.3">
      <c r="A442">
        <v>440</v>
      </c>
      <c r="B442" t="s">
        <v>76</v>
      </c>
      <c r="C442" t="s">
        <v>77</v>
      </c>
      <c r="D442">
        <v>0</v>
      </c>
    </row>
    <row r="443" spans="1:4" hidden="1" x14ac:dyDescent="0.3">
      <c r="A443">
        <v>441</v>
      </c>
      <c r="B443" t="s">
        <v>78</v>
      </c>
      <c r="C443" t="s">
        <v>79</v>
      </c>
      <c r="D443">
        <v>0</v>
      </c>
    </row>
    <row r="444" spans="1:4" hidden="1" x14ac:dyDescent="0.3">
      <c r="A444">
        <v>442</v>
      </c>
      <c r="B444" s="1" t="s">
        <v>651</v>
      </c>
      <c r="C444" t="s">
        <v>81</v>
      </c>
      <c r="D444" s="1" t="s">
        <v>652</v>
      </c>
    </row>
    <row r="445" spans="1:4" hidden="1" x14ac:dyDescent="0.3">
      <c r="A445">
        <v>443</v>
      </c>
      <c r="B445" t="s">
        <v>653</v>
      </c>
      <c r="C445" t="s">
        <v>84</v>
      </c>
      <c r="D445">
        <v>0.99993430691812202</v>
      </c>
    </row>
    <row r="446" spans="1:4" hidden="1" x14ac:dyDescent="0.3">
      <c r="A446">
        <v>444</v>
      </c>
      <c r="B446" s="1" t="s">
        <v>654</v>
      </c>
      <c r="C446" t="s">
        <v>86</v>
      </c>
      <c r="D446" s="1" t="s">
        <v>655</v>
      </c>
    </row>
    <row r="447" spans="1:4" hidden="1" x14ac:dyDescent="0.3">
      <c r="A447">
        <v>445</v>
      </c>
      <c r="B447" t="s">
        <v>656</v>
      </c>
      <c r="C447" t="s">
        <v>89</v>
      </c>
      <c r="D447">
        <v>102956729.33712</v>
      </c>
    </row>
    <row r="448" spans="1:4" hidden="1" x14ac:dyDescent="0.3">
      <c r="A448">
        <v>446</v>
      </c>
      <c r="B448" s="1" t="s">
        <v>657</v>
      </c>
      <c r="C448" t="s">
        <v>91</v>
      </c>
      <c r="D448" s="1" t="s">
        <v>591</v>
      </c>
    </row>
    <row r="449" spans="1:4" hidden="1" x14ac:dyDescent="0.3">
      <c r="A449">
        <v>447</v>
      </c>
      <c r="B449" t="s">
        <v>658</v>
      </c>
      <c r="C449" t="s">
        <v>94</v>
      </c>
      <c r="D449">
        <v>76001796.402754098</v>
      </c>
    </row>
    <row r="450" spans="1:4" hidden="1" x14ac:dyDescent="0.3">
      <c r="A450">
        <v>448</v>
      </c>
      <c r="B450" t="s">
        <v>659</v>
      </c>
      <c r="C450" t="s">
        <v>96</v>
      </c>
      <c r="D450">
        <v>35150193.767703302</v>
      </c>
    </row>
    <row r="451" spans="1:4" hidden="1" x14ac:dyDescent="0.3">
      <c r="A451">
        <v>449</v>
      </c>
      <c r="B451" t="s">
        <v>660</v>
      </c>
      <c r="C451" t="s">
        <v>98</v>
      </c>
      <c r="D451">
        <v>39476752.173188798</v>
      </c>
    </row>
    <row r="452" spans="1:4" hidden="1" x14ac:dyDescent="0.3">
      <c r="A452">
        <v>450</v>
      </c>
      <c r="B452" s="1" t="s">
        <v>661</v>
      </c>
      <c r="C452" t="s">
        <v>100</v>
      </c>
      <c r="D452" s="1" t="s">
        <v>662</v>
      </c>
    </row>
    <row r="453" spans="1:4" hidden="1" x14ac:dyDescent="0.3">
      <c r="A453">
        <v>451</v>
      </c>
      <c r="B453" t="s">
        <v>663</v>
      </c>
      <c r="C453" t="s">
        <v>103</v>
      </c>
      <c r="D453">
        <v>1.0265455748940701E-2</v>
      </c>
    </row>
    <row r="454" spans="1:4" hidden="1" x14ac:dyDescent="0.3">
      <c r="A454">
        <v>452</v>
      </c>
      <c r="B454" t="s">
        <v>664</v>
      </c>
      <c r="C454" t="s">
        <v>105</v>
      </c>
      <c r="D454">
        <v>3.3107208972429801E-3</v>
      </c>
    </row>
    <row r="455" spans="1:4" hidden="1" x14ac:dyDescent="0.3">
      <c r="A455">
        <v>453</v>
      </c>
      <c r="B455" t="s">
        <v>665</v>
      </c>
      <c r="C455" t="s">
        <v>107</v>
      </c>
      <c r="D455">
        <v>1.21660069378501E-2</v>
      </c>
    </row>
    <row r="456" spans="1:4" hidden="1" x14ac:dyDescent="0.3">
      <c r="A456">
        <v>454</v>
      </c>
      <c r="B456" s="1" t="s">
        <v>666</v>
      </c>
      <c r="C456" t="s">
        <v>109</v>
      </c>
      <c r="D456" s="1" t="s">
        <v>667</v>
      </c>
    </row>
    <row r="457" spans="1:4" hidden="1" x14ac:dyDescent="0.3">
      <c r="A457">
        <v>455</v>
      </c>
      <c r="B457" t="s">
        <v>668</v>
      </c>
      <c r="C457" t="s">
        <v>208</v>
      </c>
      <c r="D457">
        <v>150627568.59614</v>
      </c>
    </row>
    <row r="458" spans="1:4" hidden="1" x14ac:dyDescent="0.3">
      <c r="A458">
        <v>456</v>
      </c>
      <c r="B458" t="s">
        <v>669</v>
      </c>
      <c r="C458" t="s">
        <v>210</v>
      </c>
      <c r="D458">
        <v>2531.4000643194099</v>
      </c>
    </row>
    <row r="459" spans="1:4" hidden="1" x14ac:dyDescent="0.3">
      <c r="A459">
        <v>457</v>
      </c>
      <c r="B459" t="s">
        <v>670</v>
      </c>
      <c r="C459" t="s">
        <v>212</v>
      </c>
      <c r="D459">
        <v>1170.75716816519</v>
      </c>
    </row>
    <row r="460" spans="1:4" hidden="1" x14ac:dyDescent="0.3">
      <c r="A460">
        <v>458</v>
      </c>
      <c r="B460" s="1" t="s">
        <v>671</v>
      </c>
      <c r="C460" t="s">
        <v>214</v>
      </c>
      <c r="D460" s="1" t="s">
        <v>672</v>
      </c>
    </row>
    <row r="461" spans="1:4" hidden="1" x14ac:dyDescent="0.3">
      <c r="A461">
        <v>459</v>
      </c>
      <c r="B461" t="s">
        <v>673</v>
      </c>
      <c r="C461" t="s">
        <v>217</v>
      </c>
      <c r="D461">
        <v>75998504.036685795</v>
      </c>
    </row>
    <row r="462" spans="1:4" hidden="1" x14ac:dyDescent="0.3">
      <c r="A462">
        <v>460</v>
      </c>
      <c r="B462" t="s">
        <v>674</v>
      </c>
      <c r="C462" t="s">
        <v>219</v>
      </c>
      <c r="D462">
        <v>35148846.926612899</v>
      </c>
    </row>
    <row r="463" spans="1:4" hidden="1" x14ac:dyDescent="0.3">
      <c r="A463">
        <v>461</v>
      </c>
      <c r="B463" t="s">
        <v>675</v>
      </c>
      <c r="C463" t="s">
        <v>221</v>
      </c>
      <c r="D463">
        <v>39475200.613867901</v>
      </c>
    </row>
    <row r="464" spans="1:4" hidden="1" x14ac:dyDescent="0.3">
      <c r="A464">
        <v>462</v>
      </c>
      <c r="B464" s="1" t="s">
        <v>676</v>
      </c>
      <c r="C464" t="s">
        <v>223</v>
      </c>
      <c r="D464" s="1" t="s">
        <v>677</v>
      </c>
    </row>
    <row r="465" spans="1:4" hidden="1" x14ac:dyDescent="0.3">
      <c r="A465">
        <v>463</v>
      </c>
      <c r="B465" t="s">
        <v>678</v>
      </c>
      <c r="C465" t="s">
        <v>226</v>
      </c>
      <c r="D465">
        <v>102953300.11184999</v>
      </c>
    </row>
    <row r="466" spans="1:4" hidden="1" x14ac:dyDescent="0.3">
      <c r="A466">
        <v>464</v>
      </c>
      <c r="B466" t="s">
        <v>679</v>
      </c>
      <c r="C466" t="s">
        <v>228</v>
      </c>
      <c r="D466">
        <v>3429.2252700030799</v>
      </c>
    </row>
    <row r="467" spans="1:4" hidden="1" x14ac:dyDescent="0.3">
      <c r="A467">
        <v>465</v>
      </c>
      <c r="B467" s="1" t="s">
        <v>680</v>
      </c>
      <c r="C467" t="s">
        <v>230</v>
      </c>
      <c r="D467" s="1" t="s">
        <v>681</v>
      </c>
    </row>
    <row r="468" spans="1:4" hidden="1" x14ac:dyDescent="0.3">
      <c r="A468">
        <v>466</v>
      </c>
      <c r="B468" t="s">
        <v>682</v>
      </c>
      <c r="C468" t="s">
        <v>112</v>
      </c>
      <c r="D468">
        <v>-760.96600394223901</v>
      </c>
    </row>
    <row r="469" spans="1:4" hidden="1" x14ac:dyDescent="0.3">
      <c r="A469">
        <v>467</v>
      </c>
      <c r="B469" t="s">
        <v>683</v>
      </c>
      <c r="C469" t="s">
        <v>114</v>
      </c>
      <c r="D469">
        <v>-176.08392224905501</v>
      </c>
    </row>
    <row r="470" spans="1:4" hidden="1" x14ac:dyDescent="0.3">
      <c r="A470">
        <v>468</v>
      </c>
      <c r="B470" s="1" t="s">
        <v>684</v>
      </c>
      <c r="C470" t="s">
        <v>116</v>
      </c>
      <c r="D470" s="1" t="s">
        <v>685</v>
      </c>
    </row>
    <row r="471" spans="1:4" hidden="1" x14ac:dyDescent="0.3">
      <c r="A471">
        <v>469</v>
      </c>
      <c r="B471" t="s">
        <v>686</v>
      </c>
      <c r="C471" t="s">
        <v>119</v>
      </c>
      <c r="D471">
        <v>75998504.036685795</v>
      </c>
    </row>
    <row r="472" spans="1:4" hidden="1" x14ac:dyDescent="0.3">
      <c r="A472">
        <v>470</v>
      </c>
      <c r="B472" t="s">
        <v>687</v>
      </c>
      <c r="C472" t="s">
        <v>121</v>
      </c>
      <c r="D472">
        <v>35148846.926612899</v>
      </c>
    </row>
    <row r="473" spans="1:4" hidden="1" x14ac:dyDescent="0.3">
      <c r="A473">
        <v>471</v>
      </c>
      <c r="B473" s="1" t="s">
        <v>688</v>
      </c>
      <c r="C473" t="s">
        <v>123</v>
      </c>
      <c r="D473" s="1" t="s">
        <v>689</v>
      </c>
    </row>
    <row r="474" spans="1:4" hidden="1" x14ac:dyDescent="0.3">
      <c r="A474">
        <v>472</v>
      </c>
      <c r="B474" t="s">
        <v>690</v>
      </c>
      <c r="C474" t="s">
        <v>126</v>
      </c>
      <c r="D474">
        <v>0.73823274103949799</v>
      </c>
    </row>
    <row r="475" spans="1:4" hidden="1" x14ac:dyDescent="0.3">
      <c r="A475">
        <v>473</v>
      </c>
      <c r="B475" t="s">
        <v>691</v>
      </c>
      <c r="C475" t="s">
        <v>128</v>
      </c>
      <c r="D475">
        <v>0.34142816282917299</v>
      </c>
    </row>
    <row r="476" spans="1:4" hidden="1" x14ac:dyDescent="0.3">
      <c r="A476">
        <v>474</v>
      </c>
      <c r="B476" s="1" t="s">
        <v>692</v>
      </c>
      <c r="C476" t="s">
        <v>130</v>
      </c>
      <c r="D476" s="1" t="s">
        <v>693</v>
      </c>
    </row>
    <row r="477" spans="1:4" x14ac:dyDescent="0.3">
      <c r="A477">
        <v>475</v>
      </c>
      <c r="B477" s="1" t="s">
        <v>694</v>
      </c>
      <c r="C477" t="s">
        <v>4</v>
      </c>
      <c r="D477" t="s">
        <v>695</v>
      </c>
    </row>
    <row r="478" spans="1:4" hidden="1" x14ac:dyDescent="0.3">
      <c r="A478">
        <v>476</v>
      </c>
      <c r="B478" t="s">
        <v>696</v>
      </c>
      <c r="C478" t="s">
        <v>7</v>
      </c>
      <c r="D478">
        <v>1740.16</v>
      </c>
    </row>
    <row r="479" spans="1:4" hidden="1" x14ac:dyDescent="0.3">
      <c r="A479">
        <v>477</v>
      </c>
      <c r="B479" s="1" t="s">
        <v>697</v>
      </c>
      <c r="C479" t="s">
        <v>9</v>
      </c>
      <c r="D479" s="1" t="s">
        <v>698</v>
      </c>
    </row>
    <row r="480" spans="1:4" hidden="1" x14ac:dyDescent="0.3">
      <c r="A480">
        <v>478</v>
      </c>
      <c r="B480" t="s">
        <v>699</v>
      </c>
      <c r="C480" t="s">
        <v>14</v>
      </c>
      <c r="D480">
        <v>91.15234375</v>
      </c>
    </row>
    <row r="481" spans="1:4" hidden="1" x14ac:dyDescent="0.3">
      <c r="A481">
        <v>479</v>
      </c>
      <c r="B481" t="s">
        <v>700</v>
      </c>
      <c r="C481" t="s">
        <v>16</v>
      </c>
      <c r="D481">
        <v>4.2786191116954004</v>
      </c>
    </row>
    <row r="482" spans="1:4" hidden="1" x14ac:dyDescent="0.3">
      <c r="A482">
        <v>480</v>
      </c>
      <c r="B482" s="1" t="s">
        <v>701</v>
      </c>
      <c r="C482" t="s">
        <v>140</v>
      </c>
      <c r="D482" s="1" t="s">
        <v>702</v>
      </c>
    </row>
    <row r="483" spans="1:4" hidden="1" x14ac:dyDescent="0.3">
      <c r="A483">
        <v>481</v>
      </c>
      <c r="B483" t="s">
        <v>703</v>
      </c>
      <c r="C483" t="s">
        <v>22</v>
      </c>
      <c r="D483">
        <v>64.75</v>
      </c>
    </row>
    <row r="484" spans="1:4" hidden="1" x14ac:dyDescent="0.3">
      <c r="A484">
        <v>482</v>
      </c>
      <c r="B484" t="s">
        <v>704</v>
      </c>
      <c r="C484" t="s">
        <v>24</v>
      </c>
      <c r="D484">
        <v>5.4143749305184397</v>
      </c>
    </row>
    <row r="485" spans="1:4" hidden="1" x14ac:dyDescent="0.3">
      <c r="A485">
        <v>483</v>
      </c>
      <c r="B485" s="1" t="s">
        <v>705</v>
      </c>
      <c r="C485" t="s">
        <v>145</v>
      </c>
      <c r="D485" s="1" t="s">
        <v>706</v>
      </c>
    </row>
    <row r="486" spans="1:4" hidden="1" x14ac:dyDescent="0.3">
      <c r="A486">
        <v>484</v>
      </c>
      <c r="B486" t="s">
        <v>707</v>
      </c>
      <c r="C486" t="s">
        <v>35</v>
      </c>
      <c r="D486">
        <v>0.37655852364890102</v>
      </c>
    </row>
    <row r="487" spans="1:4" hidden="1" x14ac:dyDescent="0.3">
      <c r="A487">
        <v>485</v>
      </c>
      <c r="B487" t="s">
        <v>708</v>
      </c>
      <c r="C487" t="s">
        <v>149</v>
      </c>
      <c r="D487">
        <v>0.56499368446088205</v>
      </c>
    </row>
    <row r="488" spans="1:4" hidden="1" x14ac:dyDescent="0.3">
      <c r="A488">
        <v>486</v>
      </c>
      <c r="B488" s="1" t="s">
        <v>709</v>
      </c>
      <c r="C488" t="s">
        <v>151</v>
      </c>
      <c r="D488" s="1" t="s">
        <v>710</v>
      </c>
    </row>
    <row r="489" spans="1:4" hidden="1" x14ac:dyDescent="0.3">
      <c r="A489">
        <v>487</v>
      </c>
      <c r="B489" t="s">
        <v>711</v>
      </c>
      <c r="C489" t="s">
        <v>30</v>
      </c>
      <c r="D489">
        <v>0.26648498546239602</v>
      </c>
    </row>
    <row r="490" spans="1:4" hidden="1" x14ac:dyDescent="0.3">
      <c r="A490">
        <v>488</v>
      </c>
      <c r="B490" t="s">
        <v>712</v>
      </c>
      <c r="C490" t="s">
        <v>32</v>
      </c>
      <c r="D490">
        <v>0.37394126978057701</v>
      </c>
    </row>
    <row r="491" spans="1:4" hidden="1" x14ac:dyDescent="0.3">
      <c r="A491">
        <v>489</v>
      </c>
      <c r="B491" s="1" t="s">
        <v>713</v>
      </c>
      <c r="C491" t="s">
        <v>155</v>
      </c>
      <c r="D491" s="1" t="s">
        <v>714</v>
      </c>
    </row>
    <row r="492" spans="1:4" hidden="1" x14ac:dyDescent="0.3">
      <c r="A492">
        <v>490</v>
      </c>
      <c r="B492" t="s">
        <v>715</v>
      </c>
      <c r="C492" t="s">
        <v>40</v>
      </c>
      <c r="D492">
        <v>0.35695649088870102</v>
      </c>
    </row>
    <row r="493" spans="1:4" hidden="1" x14ac:dyDescent="0.3">
      <c r="A493">
        <v>491</v>
      </c>
      <c r="B493" t="s">
        <v>716</v>
      </c>
      <c r="C493" t="s">
        <v>42</v>
      </c>
      <c r="D493">
        <v>0.39599001883940099</v>
      </c>
    </row>
    <row r="494" spans="1:4" hidden="1" x14ac:dyDescent="0.3">
      <c r="A494">
        <v>492</v>
      </c>
      <c r="B494" s="1" t="s">
        <v>717</v>
      </c>
      <c r="C494" t="s">
        <v>159</v>
      </c>
      <c r="D494" s="1" t="s">
        <v>718</v>
      </c>
    </row>
    <row r="495" spans="1:4" hidden="1" x14ac:dyDescent="0.3">
      <c r="A495">
        <v>493</v>
      </c>
      <c r="B495" t="s">
        <v>719</v>
      </c>
      <c r="C495" t="s">
        <v>161</v>
      </c>
      <c r="D495">
        <v>1.0007476162543201</v>
      </c>
    </row>
    <row r="496" spans="1:4" hidden="1" x14ac:dyDescent="0.3">
      <c r="A496">
        <v>494</v>
      </c>
      <c r="B496" t="s">
        <v>720</v>
      </c>
      <c r="C496" t="s">
        <v>163</v>
      </c>
      <c r="D496">
        <v>0.99891853903807903</v>
      </c>
    </row>
    <row r="497" spans="1:4" hidden="1" x14ac:dyDescent="0.3">
      <c r="A497">
        <v>495</v>
      </c>
      <c r="B497" s="1" t="s">
        <v>721</v>
      </c>
      <c r="C497" t="s">
        <v>165</v>
      </c>
      <c r="D497" s="1" t="s">
        <v>722</v>
      </c>
    </row>
    <row r="498" spans="1:4" hidden="1" x14ac:dyDescent="0.3">
      <c r="A498">
        <v>496</v>
      </c>
      <c r="B498" t="s">
        <v>723</v>
      </c>
      <c r="C498" t="s">
        <v>168</v>
      </c>
      <c r="D498">
        <v>0.99995693360036697</v>
      </c>
    </row>
    <row r="499" spans="1:4" hidden="1" x14ac:dyDescent="0.3">
      <c r="A499">
        <v>497</v>
      </c>
      <c r="B499" t="s">
        <v>724</v>
      </c>
      <c r="C499" t="s">
        <v>170</v>
      </c>
      <c r="D499">
        <v>0.99915491080635599</v>
      </c>
    </row>
    <row r="500" spans="1:4" hidden="1" x14ac:dyDescent="0.3">
      <c r="A500">
        <v>498</v>
      </c>
      <c r="B500" s="1" t="s">
        <v>725</v>
      </c>
      <c r="C500" t="s">
        <v>172</v>
      </c>
      <c r="D500" s="1" t="s">
        <v>726</v>
      </c>
    </row>
    <row r="501" spans="1:4" hidden="1" x14ac:dyDescent="0.3">
      <c r="A501">
        <v>499</v>
      </c>
      <c r="B501" s="1" t="s">
        <v>727</v>
      </c>
      <c r="C501" t="s">
        <v>55</v>
      </c>
      <c r="D501" s="1" t="s">
        <v>728</v>
      </c>
    </row>
    <row r="502" spans="1:4" hidden="1" x14ac:dyDescent="0.3">
      <c r="A502">
        <v>500</v>
      </c>
      <c r="B502" s="1" t="s">
        <v>729</v>
      </c>
      <c r="C502" t="s">
        <v>52</v>
      </c>
      <c r="D502" s="1" t="s">
        <v>730</v>
      </c>
    </row>
    <row r="503" spans="1:4" hidden="1" x14ac:dyDescent="0.3">
      <c r="A503">
        <v>501</v>
      </c>
      <c r="B503" s="1" t="s">
        <v>731</v>
      </c>
      <c r="C503" t="s">
        <v>58</v>
      </c>
      <c r="D503" s="1" t="s">
        <v>732</v>
      </c>
    </row>
    <row r="504" spans="1:4" hidden="1" x14ac:dyDescent="0.3">
      <c r="A504">
        <v>502</v>
      </c>
      <c r="B504" t="s">
        <v>733</v>
      </c>
      <c r="C504" t="s">
        <v>61</v>
      </c>
      <c r="D504">
        <v>150796394.89398599</v>
      </c>
    </row>
    <row r="505" spans="1:4" hidden="1" x14ac:dyDescent="0.3">
      <c r="A505">
        <v>503</v>
      </c>
      <c r="B505" t="s">
        <v>734</v>
      </c>
      <c r="C505" t="s">
        <v>63</v>
      </c>
      <c r="D505">
        <v>76055321.753608197</v>
      </c>
    </row>
    <row r="506" spans="1:4" hidden="1" x14ac:dyDescent="0.3">
      <c r="A506">
        <v>504</v>
      </c>
      <c r="B506" t="s">
        <v>735</v>
      </c>
      <c r="C506" t="s">
        <v>65</v>
      </c>
      <c r="D506">
        <v>35110834.820805199</v>
      </c>
    </row>
    <row r="507" spans="1:4" hidden="1" x14ac:dyDescent="0.3">
      <c r="A507">
        <v>505</v>
      </c>
      <c r="B507" s="1" t="s">
        <v>736</v>
      </c>
      <c r="C507" t="s">
        <v>67</v>
      </c>
      <c r="D507" s="1" t="s">
        <v>737</v>
      </c>
    </row>
    <row r="508" spans="1:4" hidden="1" x14ac:dyDescent="0.3">
      <c r="A508">
        <v>506</v>
      </c>
      <c r="B508" s="1" t="s">
        <v>738</v>
      </c>
      <c r="C508" t="s">
        <v>70</v>
      </c>
      <c r="D508" s="1" t="s">
        <v>739</v>
      </c>
    </row>
    <row r="509" spans="1:4" hidden="1" x14ac:dyDescent="0.3">
      <c r="A509">
        <v>507</v>
      </c>
      <c r="B509" t="s">
        <v>740</v>
      </c>
      <c r="C509" t="s">
        <v>73</v>
      </c>
      <c r="D509">
        <v>0.99993430691812202</v>
      </c>
    </row>
    <row r="510" spans="1:4" hidden="1" x14ac:dyDescent="0.3">
      <c r="A510">
        <v>508</v>
      </c>
      <c r="B510" t="s">
        <v>74</v>
      </c>
      <c r="C510" t="s">
        <v>75</v>
      </c>
      <c r="D510">
        <v>2.7397260273972599E-3</v>
      </c>
    </row>
    <row r="511" spans="1:4" hidden="1" x14ac:dyDescent="0.3">
      <c r="A511">
        <v>509</v>
      </c>
      <c r="B511" t="s">
        <v>76</v>
      </c>
      <c r="C511" t="s">
        <v>77</v>
      </c>
      <c r="D511">
        <v>0</v>
      </c>
    </row>
    <row r="512" spans="1:4" hidden="1" x14ac:dyDescent="0.3">
      <c r="A512">
        <v>510</v>
      </c>
      <c r="B512" t="s">
        <v>188</v>
      </c>
      <c r="C512" t="s">
        <v>79</v>
      </c>
      <c r="D512" s="2">
        <v>-2.2204460492503101E-16</v>
      </c>
    </row>
    <row r="513" spans="1:4" hidden="1" x14ac:dyDescent="0.3">
      <c r="A513">
        <v>511</v>
      </c>
      <c r="B513" s="1" t="s">
        <v>741</v>
      </c>
      <c r="C513" t="s">
        <v>81</v>
      </c>
      <c r="D513" s="1" t="s">
        <v>742</v>
      </c>
    </row>
    <row r="514" spans="1:4" hidden="1" x14ac:dyDescent="0.3">
      <c r="A514">
        <v>512</v>
      </c>
      <c r="B514" t="s">
        <v>743</v>
      </c>
      <c r="C514" t="s">
        <v>84</v>
      </c>
      <c r="D514">
        <v>0.99987836766846006</v>
      </c>
    </row>
    <row r="515" spans="1:4" hidden="1" x14ac:dyDescent="0.3">
      <c r="A515">
        <v>513</v>
      </c>
      <c r="B515" s="1" t="s">
        <v>744</v>
      </c>
      <c r="C515" t="s">
        <v>86</v>
      </c>
      <c r="D515" s="1" t="s">
        <v>745</v>
      </c>
    </row>
    <row r="516" spans="1:4" hidden="1" x14ac:dyDescent="0.3">
      <c r="A516">
        <v>514</v>
      </c>
      <c r="B516" t="s">
        <v>746</v>
      </c>
      <c r="C516" t="s">
        <v>89</v>
      </c>
      <c r="D516">
        <v>102962489.35991199</v>
      </c>
    </row>
    <row r="517" spans="1:4" hidden="1" x14ac:dyDescent="0.3">
      <c r="A517">
        <v>515</v>
      </c>
      <c r="B517" s="1" t="s">
        <v>747</v>
      </c>
      <c r="C517" t="s">
        <v>91</v>
      </c>
      <c r="D517" s="1" t="s">
        <v>681</v>
      </c>
    </row>
    <row r="518" spans="1:4" hidden="1" x14ac:dyDescent="0.3">
      <c r="A518">
        <v>516</v>
      </c>
      <c r="B518" t="s">
        <v>748</v>
      </c>
      <c r="C518" t="s">
        <v>94</v>
      </c>
      <c r="D518">
        <v>76055321.753608197</v>
      </c>
    </row>
    <row r="519" spans="1:4" hidden="1" x14ac:dyDescent="0.3">
      <c r="A519">
        <v>517</v>
      </c>
      <c r="B519" t="s">
        <v>749</v>
      </c>
      <c r="C519" t="s">
        <v>96</v>
      </c>
      <c r="D519">
        <v>35110834.820805199</v>
      </c>
    </row>
    <row r="520" spans="1:4" hidden="1" x14ac:dyDescent="0.3">
      <c r="A520">
        <v>518</v>
      </c>
      <c r="B520" t="s">
        <v>750</v>
      </c>
      <c r="C520" t="s">
        <v>98</v>
      </c>
      <c r="D520">
        <v>39630238.319572799</v>
      </c>
    </row>
    <row r="521" spans="1:4" hidden="1" x14ac:dyDescent="0.3">
      <c r="A521">
        <v>519</v>
      </c>
      <c r="B521" s="1" t="s">
        <v>751</v>
      </c>
      <c r="C521" t="s">
        <v>100</v>
      </c>
      <c r="D521" s="1" t="s">
        <v>752</v>
      </c>
    </row>
    <row r="522" spans="1:4" hidden="1" x14ac:dyDescent="0.3">
      <c r="A522">
        <v>520</v>
      </c>
      <c r="B522" t="s">
        <v>753</v>
      </c>
      <c r="C522" t="s">
        <v>103</v>
      </c>
      <c r="D522">
        <v>1.03637153934852E-2</v>
      </c>
    </row>
    <row r="523" spans="1:4" hidden="1" x14ac:dyDescent="0.3">
      <c r="A523">
        <v>521</v>
      </c>
      <c r="B523" t="s">
        <v>754</v>
      </c>
      <c r="C523" t="s">
        <v>105</v>
      </c>
      <c r="D523">
        <v>3.3106399642488099E-3</v>
      </c>
    </row>
    <row r="524" spans="1:4" hidden="1" x14ac:dyDescent="0.3">
      <c r="A524">
        <v>522</v>
      </c>
      <c r="B524" t="s">
        <v>755</v>
      </c>
      <c r="C524" t="s">
        <v>107</v>
      </c>
      <c r="D524">
        <v>1.21794368733282E-2</v>
      </c>
    </row>
    <row r="525" spans="1:4" hidden="1" x14ac:dyDescent="0.3">
      <c r="A525">
        <v>523</v>
      </c>
      <c r="B525" s="1" t="s">
        <v>756</v>
      </c>
      <c r="C525" t="s">
        <v>109</v>
      </c>
      <c r="D525" s="1" t="s">
        <v>757</v>
      </c>
    </row>
    <row r="526" spans="1:4" hidden="1" x14ac:dyDescent="0.3">
      <c r="A526">
        <v>524</v>
      </c>
      <c r="B526" t="s">
        <v>758</v>
      </c>
      <c r="C526" t="s">
        <v>208</v>
      </c>
      <c r="D526">
        <v>150794427.83335</v>
      </c>
    </row>
    <row r="527" spans="1:4" hidden="1" x14ac:dyDescent="0.3">
      <c r="A527">
        <v>525</v>
      </c>
      <c r="B527" t="s">
        <v>759</v>
      </c>
      <c r="C527" t="s">
        <v>210</v>
      </c>
      <c r="D527">
        <v>4254.6814895739999</v>
      </c>
    </row>
    <row r="528" spans="1:4" hidden="1" x14ac:dyDescent="0.3">
      <c r="A528">
        <v>526</v>
      </c>
      <c r="B528" t="s">
        <v>760</v>
      </c>
      <c r="C528" t="s">
        <v>212</v>
      </c>
      <c r="D528">
        <v>1964.1906213867801</v>
      </c>
    </row>
    <row r="529" spans="1:4" hidden="1" x14ac:dyDescent="0.3">
      <c r="A529">
        <v>527</v>
      </c>
      <c r="B529" s="1" t="s">
        <v>761</v>
      </c>
      <c r="C529" t="s">
        <v>214</v>
      </c>
      <c r="D529" s="1" t="s">
        <v>762</v>
      </c>
    </row>
    <row r="530" spans="1:4" hidden="1" x14ac:dyDescent="0.3">
      <c r="A530">
        <v>528</v>
      </c>
      <c r="B530" t="s">
        <v>763</v>
      </c>
      <c r="C530" t="s">
        <v>217</v>
      </c>
      <c r="D530">
        <v>76049714.796461403</v>
      </c>
    </row>
    <row r="531" spans="1:4" hidden="1" x14ac:dyDescent="0.3">
      <c r="A531">
        <v>529</v>
      </c>
      <c r="B531" t="s">
        <v>764</v>
      </c>
      <c r="C531" t="s">
        <v>219</v>
      </c>
      <c r="D531">
        <v>35108653.122070797</v>
      </c>
    </row>
    <row r="532" spans="1:4" hidden="1" x14ac:dyDescent="0.3">
      <c r="A532">
        <v>530</v>
      </c>
      <c r="B532" t="s">
        <v>765</v>
      </c>
      <c r="C532" t="s">
        <v>221</v>
      </c>
      <c r="D532">
        <v>39627624.033492602</v>
      </c>
    </row>
    <row r="533" spans="1:4" hidden="1" x14ac:dyDescent="0.3">
      <c r="A533">
        <v>531</v>
      </c>
      <c r="B533" s="1" t="s">
        <v>766</v>
      </c>
      <c r="C533" t="s">
        <v>223</v>
      </c>
      <c r="D533" s="1" t="s">
        <v>767</v>
      </c>
    </row>
    <row r="534" spans="1:4" hidden="1" x14ac:dyDescent="0.3">
      <c r="A534">
        <v>532</v>
      </c>
      <c r="B534" t="s">
        <v>768</v>
      </c>
      <c r="C534" t="s">
        <v>226</v>
      </c>
      <c r="D534">
        <v>102956729.33712</v>
      </c>
    </row>
    <row r="535" spans="1:4" hidden="1" x14ac:dyDescent="0.3">
      <c r="A535">
        <v>533</v>
      </c>
      <c r="B535" t="s">
        <v>769</v>
      </c>
      <c r="C535" t="s">
        <v>228</v>
      </c>
      <c r="D535">
        <v>5760.0227918028804</v>
      </c>
    </row>
    <row r="536" spans="1:4" hidden="1" x14ac:dyDescent="0.3">
      <c r="A536">
        <v>534</v>
      </c>
      <c r="B536" s="1" t="s">
        <v>770</v>
      </c>
      <c r="C536" t="s">
        <v>230</v>
      </c>
      <c r="D536" s="1" t="s">
        <v>771</v>
      </c>
    </row>
    <row r="537" spans="1:4" hidden="1" x14ac:dyDescent="0.3">
      <c r="A537">
        <v>535</v>
      </c>
      <c r="B537" t="s">
        <v>772</v>
      </c>
      <c r="C537" t="s">
        <v>112</v>
      </c>
      <c r="D537">
        <v>-1352.2756572559499</v>
      </c>
    </row>
    <row r="538" spans="1:4" hidden="1" x14ac:dyDescent="0.3">
      <c r="A538">
        <v>536</v>
      </c>
      <c r="B538" t="s">
        <v>773</v>
      </c>
      <c r="C538" t="s">
        <v>114</v>
      </c>
      <c r="D538">
        <v>-217.50811300221901</v>
      </c>
    </row>
    <row r="539" spans="1:4" hidden="1" x14ac:dyDescent="0.3">
      <c r="A539">
        <v>537</v>
      </c>
      <c r="B539" s="1" t="s">
        <v>774</v>
      </c>
      <c r="C539" t="s">
        <v>116</v>
      </c>
      <c r="D539" s="1" t="s">
        <v>775</v>
      </c>
    </row>
    <row r="540" spans="1:4" hidden="1" x14ac:dyDescent="0.3">
      <c r="A540">
        <v>538</v>
      </c>
      <c r="B540" t="s">
        <v>776</v>
      </c>
      <c r="C540" t="s">
        <v>119</v>
      </c>
      <c r="D540">
        <v>76049714.796461403</v>
      </c>
    </row>
    <row r="541" spans="1:4" hidden="1" x14ac:dyDescent="0.3">
      <c r="A541">
        <v>539</v>
      </c>
      <c r="B541" t="s">
        <v>777</v>
      </c>
      <c r="C541" t="s">
        <v>121</v>
      </c>
      <c r="D541">
        <v>35108653.122070797</v>
      </c>
    </row>
    <row r="542" spans="1:4" hidden="1" x14ac:dyDescent="0.3">
      <c r="A542">
        <v>540</v>
      </c>
      <c r="B542" s="1" t="s">
        <v>778</v>
      </c>
      <c r="C542" t="s">
        <v>123</v>
      </c>
      <c r="D542" s="1" t="s">
        <v>779</v>
      </c>
    </row>
    <row r="543" spans="1:4" hidden="1" x14ac:dyDescent="0.3">
      <c r="A543">
        <v>541</v>
      </c>
      <c r="B543" t="s">
        <v>780</v>
      </c>
      <c r="C543" t="s">
        <v>126</v>
      </c>
      <c r="D543">
        <v>0.73874691353866795</v>
      </c>
    </row>
    <row r="544" spans="1:4" hidden="1" x14ac:dyDescent="0.3">
      <c r="A544">
        <v>542</v>
      </c>
      <c r="B544" t="s">
        <v>781</v>
      </c>
      <c r="C544" t="s">
        <v>128</v>
      </c>
      <c r="D544">
        <v>0.341045449044029</v>
      </c>
    </row>
    <row r="545" spans="1:4" hidden="1" x14ac:dyDescent="0.3">
      <c r="A545">
        <v>543</v>
      </c>
      <c r="B545" s="1" t="s">
        <v>782</v>
      </c>
      <c r="C545" t="s">
        <v>130</v>
      </c>
      <c r="D545" s="1" t="s">
        <v>783</v>
      </c>
    </row>
    <row r="546" spans="1:4" x14ac:dyDescent="0.3">
      <c r="A546">
        <v>544</v>
      </c>
      <c r="B546" s="1" t="s">
        <v>784</v>
      </c>
      <c r="C546" t="s">
        <v>4</v>
      </c>
      <c r="D546" t="s">
        <v>785</v>
      </c>
    </row>
    <row r="547" spans="1:4" hidden="1" x14ac:dyDescent="0.3">
      <c r="A547">
        <v>545</v>
      </c>
      <c r="B547" t="s">
        <v>786</v>
      </c>
      <c r="C547" t="s">
        <v>7</v>
      </c>
      <c r="D547">
        <v>1742.48</v>
      </c>
    </row>
    <row r="548" spans="1:4" hidden="1" x14ac:dyDescent="0.3">
      <c r="A548">
        <v>546</v>
      </c>
      <c r="B548" s="1" t="s">
        <v>787</v>
      </c>
      <c r="C548" t="s">
        <v>9</v>
      </c>
      <c r="D548" s="1" t="s">
        <v>788</v>
      </c>
    </row>
    <row r="549" spans="1:4" hidden="1" x14ac:dyDescent="0.3">
      <c r="A549">
        <v>547</v>
      </c>
      <c r="B549" t="s">
        <v>789</v>
      </c>
      <c r="C549" t="s">
        <v>14</v>
      </c>
      <c r="D549">
        <v>90.875</v>
      </c>
    </row>
    <row r="550" spans="1:4" hidden="1" x14ac:dyDescent="0.3">
      <c r="A550">
        <v>548</v>
      </c>
      <c r="B550" t="s">
        <v>790</v>
      </c>
      <c r="C550" t="s">
        <v>16</v>
      </c>
      <c r="D550">
        <v>4.2734182175380004</v>
      </c>
    </row>
    <row r="551" spans="1:4" hidden="1" x14ac:dyDescent="0.3">
      <c r="A551">
        <v>549</v>
      </c>
      <c r="B551" s="1" t="s">
        <v>791</v>
      </c>
      <c r="C551" t="s">
        <v>140</v>
      </c>
      <c r="D551" s="1" t="s">
        <v>792</v>
      </c>
    </row>
    <row r="552" spans="1:4" hidden="1" x14ac:dyDescent="0.3">
      <c r="A552">
        <v>550</v>
      </c>
      <c r="B552" t="s">
        <v>793</v>
      </c>
      <c r="C552" t="s">
        <v>22</v>
      </c>
      <c r="D552">
        <v>64.849999999999994</v>
      </c>
    </row>
    <row r="553" spans="1:4" hidden="1" x14ac:dyDescent="0.3">
      <c r="A553">
        <v>551</v>
      </c>
      <c r="B553" t="s">
        <v>794</v>
      </c>
      <c r="C553" t="s">
        <v>24</v>
      </c>
      <c r="D553">
        <v>5.3551293160293998</v>
      </c>
    </row>
    <row r="554" spans="1:4" hidden="1" x14ac:dyDescent="0.3">
      <c r="A554">
        <v>552</v>
      </c>
      <c r="B554" s="1" t="s">
        <v>795</v>
      </c>
      <c r="C554" t="s">
        <v>145</v>
      </c>
      <c r="D554" s="1" t="s">
        <v>796</v>
      </c>
    </row>
    <row r="555" spans="1:4" hidden="1" x14ac:dyDescent="0.3">
      <c r="A555">
        <v>553</v>
      </c>
      <c r="B555" t="s">
        <v>797</v>
      </c>
      <c r="C555" t="s">
        <v>35</v>
      </c>
      <c r="D555">
        <v>0.24391324372917</v>
      </c>
    </row>
    <row r="556" spans="1:4" hidden="1" x14ac:dyDescent="0.3">
      <c r="A556">
        <v>554</v>
      </c>
      <c r="B556" t="s">
        <v>798</v>
      </c>
      <c r="C556" t="s">
        <v>149</v>
      </c>
      <c r="D556">
        <v>0.56545080668074199</v>
      </c>
    </row>
    <row r="557" spans="1:4" hidden="1" x14ac:dyDescent="0.3">
      <c r="A557">
        <v>555</v>
      </c>
      <c r="B557" s="1" t="s">
        <v>799</v>
      </c>
      <c r="C557" t="s">
        <v>151</v>
      </c>
      <c r="D557" s="1" t="s">
        <v>800</v>
      </c>
    </row>
    <row r="558" spans="1:4" hidden="1" x14ac:dyDescent="0.3">
      <c r="A558">
        <v>556</v>
      </c>
      <c r="B558" t="s">
        <v>801</v>
      </c>
      <c r="C558" t="s">
        <v>30</v>
      </c>
      <c r="D558">
        <v>0.32948802459280602</v>
      </c>
    </row>
    <row r="559" spans="1:4" hidden="1" x14ac:dyDescent="0.3">
      <c r="A559">
        <v>557</v>
      </c>
      <c r="B559" t="s">
        <v>802</v>
      </c>
      <c r="C559" t="s">
        <v>32</v>
      </c>
      <c r="D559">
        <v>0.36979877890433699</v>
      </c>
    </row>
    <row r="560" spans="1:4" hidden="1" x14ac:dyDescent="0.3">
      <c r="A560">
        <v>558</v>
      </c>
      <c r="B560" s="1" t="s">
        <v>803</v>
      </c>
      <c r="C560" t="s">
        <v>155</v>
      </c>
      <c r="D560" s="1" t="s">
        <v>804</v>
      </c>
    </row>
    <row r="561" spans="1:4" hidden="1" x14ac:dyDescent="0.3">
      <c r="A561">
        <v>559</v>
      </c>
      <c r="B561" t="s">
        <v>805</v>
      </c>
      <c r="C561" t="s">
        <v>40</v>
      </c>
      <c r="D561">
        <v>0.42659873167802298</v>
      </c>
    </row>
    <row r="562" spans="1:4" hidden="1" x14ac:dyDescent="0.3">
      <c r="A562">
        <v>560</v>
      </c>
      <c r="B562" t="s">
        <v>806</v>
      </c>
      <c r="C562" t="s">
        <v>42</v>
      </c>
      <c r="D562">
        <v>0.39870166036483401</v>
      </c>
    </row>
    <row r="563" spans="1:4" hidden="1" x14ac:dyDescent="0.3">
      <c r="A563">
        <v>561</v>
      </c>
      <c r="B563" s="1" t="s">
        <v>807</v>
      </c>
      <c r="C563" t="s">
        <v>159</v>
      </c>
      <c r="D563" s="1" t="s">
        <v>808</v>
      </c>
    </row>
    <row r="564" spans="1:4" hidden="1" x14ac:dyDescent="0.3">
      <c r="A564">
        <v>562</v>
      </c>
      <c r="B564" t="s">
        <v>809</v>
      </c>
      <c r="C564" t="s">
        <v>161</v>
      </c>
      <c r="D564">
        <v>1.0013332107392401</v>
      </c>
    </row>
    <row r="565" spans="1:4" hidden="1" x14ac:dyDescent="0.3">
      <c r="A565">
        <v>563</v>
      </c>
      <c r="B565" t="s">
        <v>810</v>
      </c>
      <c r="C565" t="s">
        <v>163</v>
      </c>
      <c r="D565">
        <v>0.99703927702619</v>
      </c>
    </row>
    <row r="566" spans="1:4" hidden="1" x14ac:dyDescent="0.3">
      <c r="A566">
        <v>564</v>
      </c>
      <c r="B566" s="1" t="s">
        <v>811</v>
      </c>
      <c r="C566" t="s">
        <v>165</v>
      </c>
      <c r="D566" s="1" t="s">
        <v>812</v>
      </c>
    </row>
    <row r="567" spans="1:4" hidden="1" x14ac:dyDescent="0.3">
      <c r="A567">
        <v>565</v>
      </c>
      <c r="B567" t="s">
        <v>813</v>
      </c>
      <c r="C567" t="s">
        <v>168</v>
      </c>
      <c r="D567">
        <v>1.0002920920540399</v>
      </c>
    </row>
    <row r="568" spans="1:4" hidden="1" x14ac:dyDescent="0.3">
      <c r="A568">
        <v>566</v>
      </c>
      <c r="B568" t="s">
        <v>814</v>
      </c>
      <c r="C568" t="s">
        <v>170</v>
      </c>
      <c r="D568">
        <v>0.99698495782363294</v>
      </c>
    </row>
    <row r="569" spans="1:4" hidden="1" x14ac:dyDescent="0.3">
      <c r="A569">
        <v>567</v>
      </c>
      <c r="B569" s="1" t="s">
        <v>815</v>
      </c>
      <c r="C569" t="s">
        <v>172</v>
      </c>
      <c r="D569" s="1" t="s">
        <v>816</v>
      </c>
    </row>
    <row r="570" spans="1:4" hidden="1" x14ac:dyDescent="0.3">
      <c r="A570">
        <v>568</v>
      </c>
      <c r="B570" s="1" t="s">
        <v>817</v>
      </c>
      <c r="C570" t="s">
        <v>55</v>
      </c>
      <c r="D570" s="1" t="s">
        <v>818</v>
      </c>
    </row>
    <row r="571" spans="1:4" hidden="1" x14ac:dyDescent="0.3">
      <c r="A571">
        <v>569</v>
      </c>
      <c r="B571" s="1" t="s">
        <v>819</v>
      </c>
      <c r="C571" t="s">
        <v>52</v>
      </c>
      <c r="D571" s="1" t="s">
        <v>820</v>
      </c>
    </row>
    <row r="572" spans="1:4" hidden="1" x14ac:dyDescent="0.3">
      <c r="A572">
        <v>570</v>
      </c>
      <c r="B572" s="1" t="s">
        <v>821</v>
      </c>
      <c r="C572" t="s">
        <v>58</v>
      </c>
      <c r="D572" s="1" t="s">
        <v>822</v>
      </c>
    </row>
    <row r="573" spans="1:4" hidden="1" x14ac:dyDescent="0.3">
      <c r="A573">
        <v>571</v>
      </c>
      <c r="B573" t="s">
        <v>823</v>
      </c>
      <c r="C573" t="s">
        <v>61</v>
      </c>
      <c r="D573">
        <v>150806452.62388599</v>
      </c>
    </row>
    <row r="574" spans="1:4" hidden="1" x14ac:dyDescent="0.3">
      <c r="A574">
        <v>572</v>
      </c>
      <c r="B574" t="s">
        <v>824</v>
      </c>
      <c r="C574" t="s">
        <v>63</v>
      </c>
      <c r="D574">
        <v>76151105.092944399</v>
      </c>
    </row>
    <row r="575" spans="1:4" hidden="1" x14ac:dyDescent="0.3">
      <c r="A575">
        <v>573</v>
      </c>
      <c r="B575" t="s">
        <v>825</v>
      </c>
      <c r="C575" t="s">
        <v>65</v>
      </c>
      <c r="D575">
        <v>35004706.126192801</v>
      </c>
    </row>
    <row r="576" spans="1:4" hidden="1" x14ac:dyDescent="0.3">
      <c r="A576">
        <v>574</v>
      </c>
      <c r="B576" s="1" t="s">
        <v>826</v>
      </c>
      <c r="C576" t="s">
        <v>67</v>
      </c>
      <c r="D576" s="1" t="s">
        <v>827</v>
      </c>
    </row>
    <row r="577" spans="1:4" hidden="1" x14ac:dyDescent="0.3">
      <c r="A577">
        <v>575</v>
      </c>
      <c r="B577" s="1" t="s">
        <v>828</v>
      </c>
      <c r="C577" t="s">
        <v>70</v>
      </c>
      <c r="D577" s="1" t="s">
        <v>829</v>
      </c>
    </row>
    <row r="578" spans="1:4" hidden="1" x14ac:dyDescent="0.3">
      <c r="A578">
        <v>576</v>
      </c>
      <c r="B578" t="s">
        <v>830</v>
      </c>
      <c r="C578" t="s">
        <v>73</v>
      </c>
      <c r="D578">
        <v>0.99987836766846006</v>
      </c>
    </row>
    <row r="579" spans="1:4" hidden="1" x14ac:dyDescent="0.3">
      <c r="A579">
        <v>577</v>
      </c>
      <c r="B579" t="s">
        <v>74</v>
      </c>
      <c r="C579" t="s">
        <v>75</v>
      </c>
      <c r="D579">
        <v>2.7397260273972599E-3</v>
      </c>
    </row>
    <row r="580" spans="1:4" hidden="1" x14ac:dyDescent="0.3">
      <c r="A580">
        <v>578</v>
      </c>
      <c r="B580" t="s">
        <v>76</v>
      </c>
      <c r="C580" t="s">
        <v>77</v>
      </c>
      <c r="D580">
        <v>0</v>
      </c>
    </row>
    <row r="581" spans="1:4" hidden="1" x14ac:dyDescent="0.3">
      <c r="A581">
        <v>579</v>
      </c>
      <c r="B581" t="s">
        <v>831</v>
      </c>
      <c r="C581" t="s">
        <v>79</v>
      </c>
      <c r="D581" s="2">
        <v>2.2204460492503101E-16</v>
      </c>
    </row>
    <row r="582" spans="1:4" hidden="1" x14ac:dyDescent="0.3">
      <c r="A582">
        <v>580</v>
      </c>
      <c r="B582" s="1" t="s">
        <v>832</v>
      </c>
      <c r="C582" t="s">
        <v>81</v>
      </c>
      <c r="D582" s="1" t="s">
        <v>833</v>
      </c>
    </row>
    <row r="583" spans="1:4" hidden="1" x14ac:dyDescent="0.3">
      <c r="A583">
        <v>581</v>
      </c>
      <c r="B583" t="s">
        <v>834</v>
      </c>
      <c r="C583" t="s">
        <v>84</v>
      </c>
      <c r="D583">
        <v>0.99987414766192295</v>
      </c>
    </row>
    <row r="584" spans="1:4" hidden="1" x14ac:dyDescent="0.3">
      <c r="A584">
        <v>582</v>
      </c>
      <c r="B584" s="1" t="s">
        <v>835</v>
      </c>
      <c r="C584" t="s">
        <v>86</v>
      </c>
      <c r="D584" s="1" t="s">
        <v>836</v>
      </c>
    </row>
    <row r="585" spans="1:4" hidden="1" x14ac:dyDescent="0.3">
      <c r="A585">
        <v>583</v>
      </c>
      <c r="B585" t="s">
        <v>837</v>
      </c>
      <c r="C585" t="s">
        <v>89</v>
      </c>
      <c r="D585">
        <v>102962923.91698</v>
      </c>
    </row>
    <row r="586" spans="1:4" hidden="1" x14ac:dyDescent="0.3">
      <c r="A586">
        <v>584</v>
      </c>
      <c r="B586" s="1" t="s">
        <v>838</v>
      </c>
      <c r="C586" t="s">
        <v>91</v>
      </c>
      <c r="D586" s="1" t="s">
        <v>771</v>
      </c>
    </row>
    <row r="587" spans="1:4" hidden="1" x14ac:dyDescent="0.3">
      <c r="A587">
        <v>585</v>
      </c>
      <c r="B587" t="s">
        <v>839</v>
      </c>
      <c r="C587" t="s">
        <v>94</v>
      </c>
      <c r="D587">
        <v>76151105.092944399</v>
      </c>
    </row>
    <row r="588" spans="1:4" hidden="1" x14ac:dyDescent="0.3">
      <c r="A588">
        <v>586</v>
      </c>
      <c r="B588" t="s">
        <v>840</v>
      </c>
      <c r="C588" t="s">
        <v>96</v>
      </c>
      <c r="D588">
        <v>35004706.126192801</v>
      </c>
    </row>
    <row r="589" spans="1:4" hidden="1" x14ac:dyDescent="0.3">
      <c r="A589">
        <v>587</v>
      </c>
      <c r="B589" t="s">
        <v>841</v>
      </c>
      <c r="C589" t="s">
        <v>98</v>
      </c>
      <c r="D589">
        <v>39650641.404748902</v>
      </c>
    </row>
    <row r="590" spans="1:4" hidden="1" x14ac:dyDescent="0.3">
      <c r="A590">
        <v>588</v>
      </c>
      <c r="B590" s="1" t="s">
        <v>842</v>
      </c>
      <c r="C590" t="s">
        <v>100</v>
      </c>
      <c r="D590" s="1" t="s">
        <v>843</v>
      </c>
    </row>
    <row r="591" spans="1:4" hidden="1" x14ac:dyDescent="0.3">
      <c r="A591">
        <v>589</v>
      </c>
      <c r="B591" t="s">
        <v>844</v>
      </c>
      <c r="C591" t="s">
        <v>103</v>
      </c>
      <c r="D591">
        <v>1.0343496426155001E-2</v>
      </c>
    </row>
    <row r="592" spans="1:4" hidden="1" x14ac:dyDescent="0.3">
      <c r="A592">
        <v>590</v>
      </c>
      <c r="B592" t="s">
        <v>845</v>
      </c>
      <c r="C592" t="s">
        <v>105</v>
      </c>
      <c r="D592">
        <v>3.27022649012989E-3</v>
      </c>
    </row>
    <row r="593" spans="1:4" hidden="1" x14ac:dyDescent="0.3">
      <c r="A593">
        <v>591</v>
      </c>
      <c r="B593" t="s">
        <v>846</v>
      </c>
      <c r="C593" t="s">
        <v>107</v>
      </c>
      <c r="D593">
        <v>1.2171440386019699E-2</v>
      </c>
    </row>
    <row r="594" spans="1:4" hidden="1" x14ac:dyDescent="0.3">
      <c r="A594">
        <v>592</v>
      </c>
      <c r="B594" s="1" t="s">
        <v>847</v>
      </c>
      <c r="C594" t="s">
        <v>109</v>
      </c>
      <c r="D594" s="1" t="s">
        <v>848</v>
      </c>
    </row>
    <row r="595" spans="1:4" hidden="1" x14ac:dyDescent="0.3">
      <c r="A595">
        <v>593</v>
      </c>
      <c r="B595" t="s">
        <v>849</v>
      </c>
      <c r="C595" t="s">
        <v>208</v>
      </c>
      <c r="D595">
        <v>150806304.19616801</v>
      </c>
    </row>
    <row r="596" spans="1:4" hidden="1" x14ac:dyDescent="0.3">
      <c r="A596">
        <v>594</v>
      </c>
      <c r="B596" t="s">
        <v>850</v>
      </c>
      <c r="C596" t="s">
        <v>210</v>
      </c>
      <c r="D596">
        <v>321.396790592027</v>
      </c>
    </row>
    <row r="597" spans="1:4" hidden="1" x14ac:dyDescent="0.3">
      <c r="A597">
        <v>595</v>
      </c>
      <c r="B597" t="s">
        <v>851</v>
      </c>
      <c r="C597" t="s">
        <v>212</v>
      </c>
      <c r="D597">
        <v>147.737989482556</v>
      </c>
    </row>
    <row r="598" spans="1:4" hidden="1" x14ac:dyDescent="0.3">
      <c r="A598">
        <v>596</v>
      </c>
      <c r="B598" s="1" t="s">
        <v>852</v>
      </c>
      <c r="C598" t="s">
        <v>214</v>
      </c>
      <c r="D598" s="1" t="s">
        <v>853</v>
      </c>
    </row>
    <row r="599" spans="1:4" hidden="1" x14ac:dyDescent="0.3">
      <c r="A599">
        <v>597</v>
      </c>
      <c r="B599" t="s">
        <v>854</v>
      </c>
      <c r="C599" t="s">
        <v>217</v>
      </c>
      <c r="D599">
        <v>76150673.992705002</v>
      </c>
    </row>
    <row r="600" spans="1:4" hidden="1" x14ac:dyDescent="0.3">
      <c r="A600">
        <v>598</v>
      </c>
      <c r="B600" t="s">
        <v>855</v>
      </c>
      <c r="C600" t="s">
        <v>219</v>
      </c>
      <c r="D600">
        <v>35004542.057498902</v>
      </c>
    </row>
    <row r="601" spans="1:4" hidden="1" x14ac:dyDescent="0.3">
      <c r="A601">
        <v>599</v>
      </c>
      <c r="B601" t="s">
        <v>856</v>
      </c>
      <c r="C601" t="s">
        <v>221</v>
      </c>
      <c r="D601">
        <v>39650451.664958499</v>
      </c>
    </row>
    <row r="602" spans="1:4" hidden="1" x14ac:dyDescent="0.3">
      <c r="A602">
        <v>600</v>
      </c>
      <c r="B602" s="1" t="s">
        <v>857</v>
      </c>
      <c r="C602" t="s">
        <v>223</v>
      </c>
      <c r="D602" s="1" t="s">
        <v>858</v>
      </c>
    </row>
    <row r="603" spans="1:4" hidden="1" x14ac:dyDescent="0.3">
      <c r="A603">
        <v>601</v>
      </c>
      <c r="B603" t="s">
        <v>859</v>
      </c>
      <c r="C603" t="s">
        <v>226</v>
      </c>
      <c r="D603">
        <v>102962489.35991199</v>
      </c>
    </row>
    <row r="604" spans="1:4" hidden="1" x14ac:dyDescent="0.3">
      <c r="A604">
        <v>602</v>
      </c>
      <c r="B604" t="s">
        <v>860</v>
      </c>
      <c r="C604" t="s">
        <v>228</v>
      </c>
      <c r="D604">
        <v>434.55706819891901</v>
      </c>
    </row>
    <row r="605" spans="1:4" hidden="1" x14ac:dyDescent="0.3">
      <c r="A605">
        <v>603</v>
      </c>
      <c r="B605" s="1" t="s">
        <v>861</v>
      </c>
      <c r="C605" t="s">
        <v>230</v>
      </c>
      <c r="D605" s="1" t="s">
        <v>862</v>
      </c>
    </row>
    <row r="606" spans="1:4" hidden="1" x14ac:dyDescent="0.3">
      <c r="A606">
        <v>604</v>
      </c>
      <c r="B606" t="s">
        <v>863</v>
      </c>
      <c r="C606" t="s">
        <v>112</v>
      </c>
      <c r="D606">
        <v>-109.703448803779</v>
      </c>
    </row>
    <row r="607" spans="1:4" hidden="1" x14ac:dyDescent="0.3">
      <c r="A607">
        <v>605</v>
      </c>
      <c r="B607" t="s">
        <v>864</v>
      </c>
      <c r="C607" t="s">
        <v>114</v>
      </c>
      <c r="D607">
        <v>-16.330704409364401</v>
      </c>
    </row>
    <row r="608" spans="1:4" hidden="1" x14ac:dyDescent="0.3">
      <c r="A608">
        <v>606</v>
      </c>
      <c r="B608" s="1" t="s">
        <v>865</v>
      </c>
      <c r="C608" t="s">
        <v>116</v>
      </c>
      <c r="D608" s="1" t="s">
        <v>866</v>
      </c>
    </row>
    <row r="609" spans="1:4" hidden="1" x14ac:dyDescent="0.3">
      <c r="A609">
        <v>607</v>
      </c>
      <c r="B609" t="s">
        <v>867</v>
      </c>
      <c r="C609" t="s">
        <v>119</v>
      </c>
      <c r="D609">
        <v>76150673.992705002</v>
      </c>
    </row>
    <row r="610" spans="1:4" hidden="1" x14ac:dyDescent="0.3">
      <c r="A610">
        <v>608</v>
      </c>
      <c r="B610" t="s">
        <v>868</v>
      </c>
      <c r="C610" t="s">
        <v>121</v>
      </c>
      <c r="D610">
        <v>35004542.057498902</v>
      </c>
    </row>
    <row r="611" spans="1:4" hidden="1" x14ac:dyDescent="0.3">
      <c r="A611">
        <v>609</v>
      </c>
      <c r="B611" s="1" t="s">
        <v>869</v>
      </c>
      <c r="C611" t="s">
        <v>123</v>
      </c>
      <c r="D611" s="1" t="s">
        <v>870</v>
      </c>
    </row>
    <row r="612" spans="1:4" hidden="1" x14ac:dyDescent="0.3">
      <c r="A612">
        <v>610</v>
      </c>
      <c r="B612" t="s">
        <v>871</v>
      </c>
      <c r="C612" t="s">
        <v>126</v>
      </c>
      <c r="D612">
        <v>0.73968937049625705</v>
      </c>
    </row>
    <row r="613" spans="1:4" hidden="1" x14ac:dyDescent="0.3">
      <c r="A613">
        <v>611</v>
      </c>
      <c r="B613" t="s">
        <v>872</v>
      </c>
      <c r="C613" t="s">
        <v>128</v>
      </c>
      <c r="D613">
        <v>0.34001652672833299</v>
      </c>
    </row>
    <row r="614" spans="1:4" hidden="1" x14ac:dyDescent="0.3">
      <c r="A614">
        <v>612</v>
      </c>
      <c r="B614" s="1" t="s">
        <v>873</v>
      </c>
      <c r="C614" t="s">
        <v>130</v>
      </c>
      <c r="D614" s="1" t="s">
        <v>874</v>
      </c>
    </row>
    <row r="615" spans="1:4" x14ac:dyDescent="0.3">
      <c r="A615">
        <v>613</v>
      </c>
      <c r="B615" s="1" t="s">
        <v>875</v>
      </c>
      <c r="C615" t="s">
        <v>4</v>
      </c>
      <c r="D615" t="s">
        <v>876</v>
      </c>
    </row>
    <row r="616" spans="1:4" hidden="1" x14ac:dyDescent="0.3">
      <c r="A616">
        <v>614</v>
      </c>
      <c r="B616" t="s">
        <v>877</v>
      </c>
      <c r="C616" t="s">
        <v>7</v>
      </c>
      <c r="D616">
        <v>1733.96</v>
      </c>
    </row>
    <row r="617" spans="1:4" hidden="1" x14ac:dyDescent="0.3">
      <c r="A617">
        <v>615</v>
      </c>
      <c r="B617" s="1" t="s">
        <v>878</v>
      </c>
      <c r="C617" t="s">
        <v>9</v>
      </c>
      <c r="D617" s="1" t="s">
        <v>879</v>
      </c>
    </row>
    <row r="618" spans="1:4" hidden="1" x14ac:dyDescent="0.3">
      <c r="A618">
        <v>616</v>
      </c>
      <c r="B618" t="s">
        <v>880</v>
      </c>
      <c r="C618" t="s">
        <v>14</v>
      </c>
      <c r="D618">
        <v>91.03125</v>
      </c>
    </row>
    <row r="619" spans="1:4" hidden="1" x14ac:dyDescent="0.3">
      <c r="A619">
        <v>617</v>
      </c>
      <c r="B619" t="s">
        <v>881</v>
      </c>
      <c r="C619" t="s">
        <v>16</v>
      </c>
      <c r="D619">
        <v>4.2803834746453502</v>
      </c>
    </row>
    <row r="620" spans="1:4" hidden="1" x14ac:dyDescent="0.3">
      <c r="A620">
        <v>618</v>
      </c>
      <c r="B620" s="1" t="s">
        <v>882</v>
      </c>
      <c r="C620" t="s">
        <v>140</v>
      </c>
      <c r="D620" s="1" t="s">
        <v>883</v>
      </c>
    </row>
    <row r="621" spans="1:4" hidden="1" x14ac:dyDescent="0.3">
      <c r="A621">
        <v>619</v>
      </c>
      <c r="B621" t="s">
        <v>884</v>
      </c>
      <c r="C621" t="s">
        <v>22</v>
      </c>
      <c r="D621">
        <v>64.150000000000006</v>
      </c>
    </row>
    <row r="622" spans="1:4" hidden="1" x14ac:dyDescent="0.3">
      <c r="A622">
        <v>620</v>
      </c>
      <c r="B622" t="s">
        <v>885</v>
      </c>
      <c r="C622" t="s">
        <v>24</v>
      </c>
      <c r="D622">
        <v>5.4565721159627696</v>
      </c>
    </row>
    <row r="623" spans="1:4" hidden="1" x14ac:dyDescent="0.3">
      <c r="A623">
        <v>621</v>
      </c>
      <c r="B623" s="1" t="s">
        <v>886</v>
      </c>
      <c r="C623" t="s">
        <v>145</v>
      </c>
      <c r="D623" s="1" t="s">
        <v>887</v>
      </c>
    </row>
    <row r="624" spans="1:4" hidden="1" x14ac:dyDescent="0.3">
      <c r="A624">
        <v>622</v>
      </c>
      <c r="B624" t="s">
        <v>888</v>
      </c>
      <c r="C624" t="s">
        <v>35</v>
      </c>
      <c r="D624">
        <v>-4.5842099686953103E-2</v>
      </c>
    </row>
    <row r="625" spans="1:4" hidden="1" x14ac:dyDescent="0.3">
      <c r="A625">
        <v>623</v>
      </c>
      <c r="B625" t="s">
        <v>889</v>
      </c>
      <c r="C625" t="s">
        <v>149</v>
      </c>
      <c r="D625">
        <v>0.56822475269303097</v>
      </c>
    </row>
    <row r="626" spans="1:4" hidden="1" x14ac:dyDescent="0.3">
      <c r="A626">
        <v>624</v>
      </c>
      <c r="B626" s="1" t="s">
        <v>890</v>
      </c>
      <c r="C626" t="s">
        <v>151</v>
      </c>
      <c r="D626" s="1" t="s">
        <v>891</v>
      </c>
    </row>
    <row r="627" spans="1:4" hidden="1" x14ac:dyDescent="0.3">
      <c r="A627">
        <v>625</v>
      </c>
      <c r="B627" t="s">
        <v>892</v>
      </c>
      <c r="C627" t="s">
        <v>30</v>
      </c>
      <c r="D627">
        <v>0.44366726076135798</v>
      </c>
    </row>
    <row r="628" spans="1:4" hidden="1" x14ac:dyDescent="0.3">
      <c r="A628">
        <v>626</v>
      </c>
      <c r="B628" t="s">
        <v>893</v>
      </c>
      <c r="C628" t="s">
        <v>32</v>
      </c>
      <c r="D628">
        <v>0.37100357849286397</v>
      </c>
    </row>
    <row r="629" spans="1:4" hidden="1" x14ac:dyDescent="0.3">
      <c r="A629">
        <v>627</v>
      </c>
      <c r="B629" s="1" t="s">
        <v>894</v>
      </c>
      <c r="C629" t="s">
        <v>155</v>
      </c>
      <c r="D629" s="1" t="s">
        <v>895</v>
      </c>
    </row>
    <row r="630" spans="1:4" hidden="1" x14ac:dyDescent="0.3">
      <c r="A630">
        <v>628</v>
      </c>
      <c r="B630" t="s">
        <v>896</v>
      </c>
      <c r="C630" t="s">
        <v>40</v>
      </c>
      <c r="D630">
        <v>0.60217483892559398</v>
      </c>
    </row>
    <row r="631" spans="1:4" hidden="1" x14ac:dyDescent="0.3">
      <c r="A631">
        <v>629</v>
      </c>
      <c r="B631" t="s">
        <v>897</v>
      </c>
      <c r="C631" t="s">
        <v>42</v>
      </c>
      <c r="D631">
        <v>0.38886343761409298</v>
      </c>
    </row>
    <row r="632" spans="1:4" hidden="1" x14ac:dyDescent="0.3">
      <c r="A632">
        <v>630</v>
      </c>
      <c r="B632" s="1" t="s">
        <v>898</v>
      </c>
      <c r="C632" t="s">
        <v>159</v>
      </c>
      <c r="D632" s="1" t="s">
        <v>899</v>
      </c>
    </row>
    <row r="633" spans="1:4" hidden="1" x14ac:dyDescent="0.3">
      <c r="A633">
        <v>631</v>
      </c>
      <c r="B633" t="s">
        <v>900</v>
      </c>
      <c r="C633" t="s">
        <v>161</v>
      </c>
      <c r="D633">
        <v>0.99511041733620997</v>
      </c>
    </row>
    <row r="634" spans="1:4" hidden="1" x14ac:dyDescent="0.3">
      <c r="A634">
        <v>632</v>
      </c>
      <c r="B634" t="s">
        <v>901</v>
      </c>
      <c r="C634" t="s">
        <v>163</v>
      </c>
      <c r="D634">
        <v>1.00171537541206</v>
      </c>
    </row>
    <row r="635" spans="1:4" hidden="1" x14ac:dyDescent="0.3">
      <c r="A635">
        <v>633</v>
      </c>
      <c r="B635" s="1" t="s">
        <v>902</v>
      </c>
      <c r="C635" t="s">
        <v>165</v>
      </c>
      <c r="D635" s="1" t="s">
        <v>903</v>
      </c>
    </row>
    <row r="636" spans="1:4" hidden="1" x14ac:dyDescent="0.3">
      <c r="A636">
        <v>634</v>
      </c>
      <c r="B636" t="s">
        <v>904</v>
      </c>
      <c r="C636" t="s">
        <v>168</v>
      </c>
      <c r="D636">
        <v>1.00177197903661</v>
      </c>
    </row>
    <row r="637" spans="1:4" hidden="1" x14ac:dyDescent="0.3">
      <c r="A637">
        <v>635</v>
      </c>
      <c r="B637" t="s">
        <v>905</v>
      </c>
      <c r="C637" t="s">
        <v>170</v>
      </c>
      <c r="D637">
        <v>1.0008795449427099</v>
      </c>
    </row>
    <row r="638" spans="1:4" hidden="1" x14ac:dyDescent="0.3">
      <c r="A638">
        <v>636</v>
      </c>
      <c r="B638" s="1" t="s">
        <v>906</v>
      </c>
      <c r="C638" t="s">
        <v>172</v>
      </c>
      <c r="D638" s="1" t="s">
        <v>907</v>
      </c>
    </row>
    <row r="639" spans="1:4" hidden="1" x14ac:dyDescent="0.3">
      <c r="A639">
        <v>637</v>
      </c>
      <c r="B639" s="1" t="s">
        <v>908</v>
      </c>
      <c r="C639" t="s">
        <v>55</v>
      </c>
      <c r="D639" s="1" t="s">
        <v>909</v>
      </c>
    </row>
    <row r="640" spans="1:4" hidden="1" x14ac:dyDescent="0.3">
      <c r="A640">
        <v>638</v>
      </c>
      <c r="B640" s="1" t="s">
        <v>910</v>
      </c>
      <c r="C640" t="s">
        <v>52</v>
      </c>
      <c r="D640" s="1" t="s">
        <v>911</v>
      </c>
    </row>
    <row r="641" spans="1:4" hidden="1" x14ac:dyDescent="0.3">
      <c r="A641">
        <v>639</v>
      </c>
      <c r="B641" s="1" t="s">
        <v>912</v>
      </c>
      <c r="C641" t="s">
        <v>58</v>
      </c>
      <c r="D641" s="1" t="s">
        <v>913</v>
      </c>
    </row>
    <row r="642" spans="1:4" hidden="1" x14ac:dyDescent="0.3">
      <c r="A642">
        <v>640</v>
      </c>
      <c r="B642" t="s">
        <v>914</v>
      </c>
      <c r="C642" t="s">
        <v>61</v>
      </c>
      <c r="D642">
        <v>150155315.50590301</v>
      </c>
    </row>
    <row r="643" spans="1:4" hidden="1" x14ac:dyDescent="0.3">
      <c r="A643">
        <v>641</v>
      </c>
      <c r="B643" t="s">
        <v>915</v>
      </c>
      <c r="C643" t="s">
        <v>63</v>
      </c>
      <c r="D643">
        <v>75778328.977314293</v>
      </c>
    </row>
    <row r="644" spans="1:4" hidden="1" x14ac:dyDescent="0.3">
      <c r="A644">
        <v>642</v>
      </c>
      <c r="B644" t="s">
        <v>916</v>
      </c>
      <c r="C644" t="s">
        <v>65</v>
      </c>
      <c r="D644">
        <v>35064587.988255002</v>
      </c>
    </row>
    <row r="645" spans="1:4" hidden="1" x14ac:dyDescent="0.3">
      <c r="A645">
        <v>643</v>
      </c>
      <c r="B645" s="1" t="s">
        <v>917</v>
      </c>
      <c r="C645" t="s">
        <v>67</v>
      </c>
      <c r="D645" s="1" t="s">
        <v>918</v>
      </c>
    </row>
    <row r="646" spans="1:4" hidden="1" x14ac:dyDescent="0.3">
      <c r="A646">
        <v>644</v>
      </c>
      <c r="B646" s="1" t="s">
        <v>919</v>
      </c>
      <c r="C646" t="s">
        <v>70</v>
      </c>
      <c r="D646" s="1" t="s">
        <v>920</v>
      </c>
    </row>
    <row r="647" spans="1:4" hidden="1" x14ac:dyDescent="0.3">
      <c r="A647">
        <v>645</v>
      </c>
      <c r="B647" t="s">
        <v>921</v>
      </c>
      <c r="C647" t="s">
        <v>73</v>
      </c>
      <c r="D647">
        <v>0.99987414766192295</v>
      </c>
    </row>
    <row r="648" spans="1:4" hidden="1" x14ac:dyDescent="0.3">
      <c r="A648">
        <v>646</v>
      </c>
      <c r="B648" t="s">
        <v>74</v>
      </c>
      <c r="C648" t="s">
        <v>75</v>
      </c>
      <c r="D648">
        <v>2.7397260273972599E-3</v>
      </c>
    </row>
    <row r="649" spans="1:4" hidden="1" x14ac:dyDescent="0.3">
      <c r="A649">
        <v>647</v>
      </c>
      <c r="B649" t="s">
        <v>76</v>
      </c>
      <c r="C649" t="s">
        <v>77</v>
      </c>
      <c r="D649">
        <v>0</v>
      </c>
    </row>
    <row r="650" spans="1:4" hidden="1" x14ac:dyDescent="0.3">
      <c r="A650">
        <v>648</v>
      </c>
      <c r="B650" t="s">
        <v>78</v>
      </c>
      <c r="C650" t="s">
        <v>79</v>
      </c>
      <c r="D650">
        <v>0</v>
      </c>
    </row>
    <row r="651" spans="1:4" hidden="1" x14ac:dyDescent="0.3">
      <c r="A651">
        <v>649</v>
      </c>
      <c r="B651" s="1" t="s">
        <v>922</v>
      </c>
      <c r="C651" t="s">
        <v>81</v>
      </c>
      <c r="D651" s="1" t="s">
        <v>923</v>
      </c>
    </row>
    <row r="652" spans="1:4" hidden="1" x14ac:dyDescent="0.3">
      <c r="A652">
        <v>650</v>
      </c>
      <c r="B652" t="s">
        <v>924</v>
      </c>
      <c r="C652" t="s">
        <v>84</v>
      </c>
      <c r="D652">
        <v>0.99989490818886795</v>
      </c>
    </row>
    <row r="653" spans="1:4" hidden="1" x14ac:dyDescent="0.3">
      <c r="A653">
        <v>651</v>
      </c>
      <c r="B653" s="1" t="s">
        <v>925</v>
      </c>
      <c r="C653" t="s">
        <v>86</v>
      </c>
      <c r="D653" s="1" t="s">
        <v>926</v>
      </c>
    </row>
    <row r="654" spans="1:4" hidden="1" x14ac:dyDescent="0.3">
      <c r="A654">
        <v>652</v>
      </c>
      <c r="B654" t="s">
        <v>927</v>
      </c>
      <c r="C654" t="s">
        <v>89</v>
      </c>
      <c r="D654">
        <v>102960786.12775899</v>
      </c>
    </row>
    <row r="655" spans="1:4" hidden="1" x14ac:dyDescent="0.3">
      <c r="A655">
        <v>653</v>
      </c>
      <c r="B655" s="1" t="s">
        <v>928</v>
      </c>
      <c r="C655" t="s">
        <v>91</v>
      </c>
      <c r="D655" s="1" t="s">
        <v>862</v>
      </c>
    </row>
    <row r="656" spans="1:4" hidden="1" x14ac:dyDescent="0.3">
      <c r="A656">
        <v>654</v>
      </c>
      <c r="B656" t="s">
        <v>929</v>
      </c>
      <c r="C656" t="s">
        <v>94</v>
      </c>
      <c r="D656">
        <v>75778328.977314293</v>
      </c>
    </row>
    <row r="657" spans="1:4" hidden="1" x14ac:dyDescent="0.3">
      <c r="A657">
        <v>655</v>
      </c>
      <c r="B657" t="s">
        <v>930</v>
      </c>
      <c r="C657" t="s">
        <v>96</v>
      </c>
      <c r="D657">
        <v>35064587.988255002</v>
      </c>
    </row>
    <row r="658" spans="1:4" hidden="1" x14ac:dyDescent="0.3">
      <c r="A658">
        <v>656</v>
      </c>
      <c r="B658" t="s">
        <v>931</v>
      </c>
      <c r="C658" t="s">
        <v>98</v>
      </c>
      <c r="D658">
        <v>39312398.540333897</v>
      </c>
    </row>
    <row r="659" spans="1:4" hidden="1" x14ac:dyDescent="0.3">
      <c r="A659">
        <v>657</v>
      </c>
      <c r="B659" s="1" t="s">
        <v>932</v>
      </c>
      <c r="C659" t="s">
        <v>100</v>
      </c>
      <c r="D659" s="1" t="s">
        <v>933</v>
      </c>
    </row>
    <row r="660" spans="1:4" hidden="1" x14ac:dyDescent="0.3">
      <c r="A660">
        <v>658</v>
      </c>
      <c r="B660" t="s">
        <v>934</v>
      </c>
      <c r="C660" t="s">
        <v>103</v>
      </c>
      <c r="D660">
        <v>1.03199798795553E-2</v>
      </c>
    </row>
    <row r="661" spans="1:4" hidden="1" x14ac:dyDescent="0.3">
      <c r="A661">
        <v>659</v>
      </c>
      <c r="B661" t="s">
        <v>935</v>
      </c>
      <c r="C661" t="s">
        <v>105</v>
      </c>
      <c r="D661">
        <v>3.2765184838228498E-3</v>
      </c>
    </row>
    <row r="662" spans="1:4" hidden="1" x14ac:dyDescent="0.3">
      <c r="A662">
        <v>660</v>
      </c>
      <c r="B662" t="s">
        <v>936</v>
      </c>
      <c r="C662" t="s">
        <v>107</v>
      </c>
      <c r="D662">
        <v>1.22140811162344E-2</v>
      </c>
    </row>
    <row r="663" spans="1:4" hidden="1" x14ac:dyDescent="0.3">
      <c r="A663">
        <v>661</v>
      </c>
      <c r="B663" s="1" t="s">
        <v>937</v>
      </c>
      <c r="C663" t="s">
        <v>109</v>
      </c>
      <c r="D663" s="1" t="s">
        <v>938</v>
      </c>
    </row>
    <row r="664" spans="1:4" hidden="1" x14ac:dyDescent="0.3">
      <c r="A664">
        <v>662</v>
      </c>
      <c r="B664" t="s">
        <v>939</v>
      </c>
      <c r="C664" t="s">
        <v>208</v>
      </c>
      <c r="D664">
        <v>150156046.57581401</v>
      </c>
    </row>
    <row r="665" spans="1:4" hidden="1" x14ac:dyDescent="0.3">
      <c r="A665">
        <v>663</v>
      </c>
      <c r="B665" t="s">
        <v>940</v>
      </c>
      <c r="C665" t="s">
        <v>210</v>
      </c>
      <c r="D665">
        <v>-1573.40648067964</v>
      </c>
    </row>
    <row r="666" spans="1:4" hidden="1" x14ac:dyDescent="0.3">
      <c r="A666">
        <v>664</v>
      </c>
      <c r="B666" t="s">
        <v>941</v>
      </c>
      <c r="C666" t="s">
        <v>212</v>
      </c>
      <c r="D666">
        <v>-728.05263644974798</v>
      </c>
    </row>
    <row r="667" spans="1:4" hidden="1" x14ac:dyDescent="0.3">
      <c r="A667">
        <v>665</v>
      </c>
      <c r="B667" s="1" t="s">
        <v>942</v>
      </c>
      <c r="C667" t="s">
        <v>214</v>
      </c>
      <c r="D667" s="1" t="s">
        <v>943</v>
      </c>
    </row>
    <row r="668" spans="1:4" hidden="1" x14ac:dyDescent="0.3">
      <c r="A668">
        <v>666</v>
      </c>
      <c r="B668" t="s">
        <v>944</v>
      </c>
      <c r="C668" t="s">
        <v>217</v>
      </c>
      <c r="D668">
        <v>75780404.454380095</v>
      </c>
    </row>
    <row r="669" spans="1:4" hidden="1" x14ac:dyDescent="0.3">
      <c r="A669">
        <v>667</v>
      </c>
      <c r="B669" t="s">
        <v>945</v>
      </c>
      <c r="C669" t="s">
        <v>219</v>
      </c>
      <c r="D669">
        <v>35065397.233147003</v>
      </c>
    </row>
    <row r="670" spans="1:4" hidden="1" x14ac:dyDescent="0.3">
      <c r="A670">
        <v>668</v>
      </c>
      <c r="B670" t="s">
        <v>946</v>
      </c>
      <c r="C670" t="s">
        <v>221</v>
      </c>
      <c r="D670">
        <v>39313362.599308997</v>
      </c>
    </row>
    <row r="671" spans="1:4" hidden="1" x14ac:dyDescent="0.3">
      <c r="A671">
        <v>669</v>
      </c>
      <c r="B671" s="1" t="s">
        <v>947</v>
      </c>
      <c r="C671" t="s">
        <v>223</v>
      </c>
      <c r="D671" s="1" t="s">
        <v>948</v>
      </c>
    </row>
    <row r="672" spans="1:4" hidden="1" x14ac:dyDescent="0.3">
      <c r="A672">
        <v>670</v>
      </c>
      <c r="B672" t="s">
        <v>949</v>
      </c>
      <c r="C672" t="s">
        <v>226</v>
      </c>
      <c r="D672">
        <v>102962923.91698</v>
      </c>
    </row>
    <row r="673" spans="1:4" hidden="1" x14ac:dyDescent="0.3">
      <c r="A673">
        <v>671</v>
      </c>
      <c r="B673" t="s">
        <v>950</v>
      </c>
      <c r="C673" t="s">
        <v>228</v>
      </c>
      <c r="D673">
        <v>-2137.7892204076002</v>
      </c>
    </row>
    <row r="674" spans="1:4" hidden="1" x14ac:dyDescent="0.3">
      <c r="A674">
        <v>672</v>
      </c>
      <c r="B674" s="1" t="s">
        <v>951</v>
      </c>
      <c r="C674" t="s">
        <v>230</v>
      </c>
      <c r="D674" s="1" t="s">
        <v>952</v>
      </c>
    </row>
    <row r="675" spans="1:4" hidden="1" x14ac:dyDescent="0.3">
      <c r="A675">
        <v>673</v>
      </c>
      <c r="B675" t="s">
        <v>953</v>
      </c>
      <c r="C675" t="s">
        <v>112</v>
      </c>
      <c r="D675">
        <v>502.07058503121402</v>
      </c>
    </row>
    <row r="676" spans="1:4" hidden="1" x14ac:dyDescent="0.3">
      <c r="A676">
        <v>674</v>
      </c>
      <c r="B676" t="s">
        <v>954</v>
      </c>
      <c r="C676" t="s">
        <v>114</v>
      </c>
      <c r="D676">
        <v>81.192255557598202</v>
      </c>
    </row>
    <row r="677" spans="1:4" hidden="1" x14ac:dyDescent="0.3">
      <c r="A677">
        <v>675</v>
      </c>
      <c r="B677" s="1" t="s">
        <v>955</v>
      </c>
      <c r="C677" t="s">
        <v>116</v>
      </c>
      <c r="D677" s="1" t="s">
        <v>956</v>
      </c>
    </row>
    <row r="678" spans="1:4" hidden="1" x14ac:dyDescent="0.3">
      <c r="A678">
        <v>676</v>
      </c>
      <c r="B678" t="s">
        <v>957</v>
      </c>
      <c r="C678" t="s">
        <v>119</v>
      </c>
      <c r="D678">
        <v>75780404.454380095</v>
      </c>
    </row>
    <row r="679" spans="1:4" hidden="1" x14ac:dyDescent="0.3">
      <c r="A679">
        <v>677</v>
      </c>
      <c r="B679" t="s">
        <v>958</v>
      </c>
      <c r="C679" t="s">
        <v>121</v>
      </c>
      <c r="D679">
        <v>35065397.233147003</v>
      </c>
    </row>
    <row r="680" spans="1:4" hidden="1" x14ac:dyDescent="0.3">
      <c r="A680">
        <v>678</v>
      </c>
      <c r="B680" s="1" t="s">
        <v>959</v>
      </c>
      <c r="C680" t="s">
        <v>123</v>
      </c>
      <c r="D680" s="1" t="s">
        <v>960</v>
      </c>
    </row>
    <row r="681" spans="1:4" hidden="1" x14ac:dyDescent="0.3">
      <c r="A681">
        <v>679</v>
      </c>
      <c r="B681" t="s">
        <v>961</v>
      </c>
      <c r="C681" t="s">
        <v>126</v>
      </c>
      <c r="D681">
        <v>0.736074368405367</v>
      </c>
    </row>
    <row r="682" spans="1:4" hidden="1" x14ac:dyDescent="0.3">
      <c r="A682">
        <v>680</v>
      </c>
      <c r="B682" t="s">
        <v>962</v>
      </c>
      <c r="C682" t="s">
        <v>128</v>
      </c>
      <c r="D682">
        <v>0.34059913386725299</v>
      </c>
    </row>
    <row r="683" spans="1:4" hidden="1" x14ac:dyDescent="0.3">
      <c r="A683">
        <v>681</v>
      </c>
      <c r="B683" s="1" t="s">
        <v>963</v>
      </c>
      <c r="C683" t="s">
        <v>130</v>
      </c>
      <c r="D683" s="1" t="s">
        <v>964</v>
      </c>
    </row>
    <row r="684" spans="1:4" x14ac:dyDescent="0.3">
      <c r="A684">
        <v>682</v>
      </c>
      <c r="B684" s="1" t="s">
        <v>965</v>
      </c>
      <c r="C684" t="s">
        <v>4</v>
      </c>
      <c r="D684" t="s">
        <v>966</v>
      </c>
    </row>
    <row r="685" spans="1:4" hidden="1" x14ac:dyDescent="0.3">
      <c r="A685">
        <v>683</v>
      </c>
      <c r="B685" t="s">
        <v>967</v>
      </c>
      <c r="C685" t="s">
        <v>7</v>
      </c>
      <c r="D685">
        <v>1726</v>
      </c>
    </row>
    <row r="686" spans="1:4" hidden="1" x14ac:dyDescent="0.3">
      <c r="A686">
        <v>684</v>
      </c>
      <c r="B686" s="1" t="s">
        <v>968</v>
      </c>
      <c r="C686" t="s">
        <v>9</v>
      </c>
      <c r="D686" s="1" t="s">
        <v>969</v>
      </c>
    </row>
    <row r="687" spans="1:4" hidden="1" x14ac:dyDescent="0.3">
      <c r="A687">
        <v>685</v>
      </c>
      <c r="B687" t="s">
        <v>970</v>
      </c>
      <c r="C687" t="s">
        <v>14</v>
      </c>
      <c r="D687">
        <v>91.12109375</v>
      </c>
    </row>
    <row r="688" spans="1:4" hidden="1" x14ac:dyDescent="0.3">
      <c r="A688">
        <v>686</v>
      </c>
      <c r="B688" t="s">
        <v>971</v>
      </c>
      <c r="C688" t="s">
        <v>16</v>
      </c>
      <c r="D688">
        <v>4.2823754097895801</v>
      </c>
    </row>
    <row r="689" spans="1:4" hidden="1" x14ac:dyDescent="0.3">
      <c r="A689">
        <v>687</v>
      </c>
      <c r="B689" s="1" t="s">
        <v>972</v>
      </c>
      <c r="C689" t="s">
        <v>140</v>
      </c>
      <c r="D689" s="1" t="s">
        <v>973</v>
      </c>
    </row>
    <row r="690" spans="1:4" hidden="1" x14ac:dyDescent="0.3">
      <c r="A690">
        <v>688</v>
      </c>
      <c r="B690" t="s">
        <v>974</v>
      </c>
      <c r="C690" t="s">
        <v>22</v>
      </c>
      <c r="D690">
        <v>63.9</v>
      </c>
    </row>
    <row r="691" spans="1:4" hidden="1" x14ac:dyDescent="0.3">
      <c r="A691">
        <v>689</v>
      </c>
      <c r="B691" t="s">
        <v>975</v>
      </c>
      <c r="C691" t="s">
        <v>24</v>
      </c>
      <c r="D691">
        <v>5.4933466735391701</v>
      </c>
    </row>
    <row r="692" spans="1:4" hidden="1" x14ac:dyDescent="0.3">
      <c r="A692">
        <v>690</v>
      </c>
      <c r="B692" s="1" t="s">
        <v>976</v>
      </c>
      <c r="C692" t="s">
        <v>145</v>
      </c>
      <c r="D692" s="1" t="s">
        <v>977</v>
      </c>
    </row>
    <row r="693" spans="1:4" hidden="1" x14ac:dyDescent="0.3">
      <c r="A693">
        <v>691</v>
      </c>
      <c r="B693" t="s">
        <v>978</v>
      </c>
      <c r="C693" t="s">
        <v>35</v>
      </c>
      <c r="D693">
        <v>0.21228882858647899</v>
      </c>
    </row>
    <row r="694" spans="1:4" hidden="1" x14ac:dyDescent="0.3">
      <c r="A694">
        <v>692</v>
      </c>
      <c r="B694" t="s">
        <v>979</v>
      </c>
      <c r="C694" t="s">
        <v>149</v>
      </c>
      <c r="D694">
        <v>0.56801624070458601</v>
      </c>
    </row>
    <row r="695" spans="1:4" hidden="1" x14ac:dyDescent="0.3">
      <c r="A695">
        <v>693</v>
      </c>
      <c r="B695" s="1" t="s">
        <v>980</v>
      </c>
      <c r="C695" t="s">
        <v>151</v>
      </c>
      <c r="D695" s="1" t="s">
        <v>981</v>
      </c>
    </row>
    <row r="696" spans="1:4" hidden="1" x14ac:dyDescent="0.3">
      <c r="A696">
        <v>694</v>
      </c>
      <c r="B696" t="s">
        <v>982</v>
      </c>
      <c r="C696" t="s">
        <v>30</v>
      </c>
      <c r="D696">
        <v>0.337293737944101</v>
      </c>
    </row>
    <row r="697" spans="1:4" hidden="1" x14ac:dyDescent="0.3">
      <c r="A697">
        <v>695</v>
      </c>
      <c r="B697" t="s">
        <v>983</v>
      </c>
      <c r="C697" t="s">
        <v>32</v>
      </c>
      <c r="D697">
        <v>0.37193287287453902</v>
      </c>
    </row>
    <row r="698" spans="1:4" hidden="1" x14ac:dyDescent="0.3">
      <c r="A698">
        <v>696</v>
      </c>
      <c r="B698" s="1" t="s">
        <v>984</v>
      </c>
      <c r="C698" t="s">
        <v>155</v>
      </c>
      <c r="D698" s="1" t="s">
        <v>985</v>
      </c>
    </row>
    <row r="699" spans="1:4" hidden="1" x14ac:dyDescent="0.3">
      <c r="A699">
        <v>697</v>
      </c>
      <c r="B699" t="s">
        <v>986</v>
      </c>
      <c r="C699" t="s">
        <v>40</v>
      </c>
      <c r="D699">
        <v>0.45041743346941898</v>
      </c>
    </row>
    <row r="700" spans="1:4" hidden="1" x14ac:dyDescent="0.3">
      <c r="A700">
        <v>698</v>
      </c>
      <c r="B700" t="s">
        <v>987</v>
      </c>
      <c r="C700" t="s">
        <v>42</v>
      </c>
      <c r="D700">
        <v>0.38858016942785201</v>
      </c>
    </row>
    <row r="701" spans="1:4" hidden="1" x14ac:dyDescent="0.3">
      <c r="A701">
        <v>699</v>
      </c>
      <c r="B701" s="1" t="s">
        <v>988</v>
      </c>
      <c r="C701" t="s">
        <v>159</v>
      </c>
      <c r="D701" s="1" t="s">
        <v>989</v>
      </c>
    </row>
    <row r="702" spans="1:4" hidden="1" x14ac:dyDescent="0.3">
      <c r="A702">
        <v>700</v>
      </c>
      <c r="B702" t="s">
        <v>990</v>
      </c>
      <c r="C702" t="s">
        <v>161</v>
      </c>
      <c r="D702">
        <v>0.995409352003506</v>
      </c>
    </row>
    <row r="703" spans="1:4" hidden="1" x14ac:dyDescent="0.3">
      <c r="A703">
        <v>701</v>
      </c>
      <c r="B703" t="s">
        <v>991</v>
      </c>
      <c r="C703" t="s">
        <v>163</v>
      </c>
      <c r="D703">
        <v>1.0009635307023499</v>
      </c>
    </row>
    <row r="704" spans="1:4" hidden="1" x14ac:dyDescent="0.3">
      <c r="A704">
        <v>702</v>
      </c>
      <c r="B704" s="1" t="s">
        <v>992</v>
      </c>
      <c r="C704" t="s">
        <v>165</v>
      </c>
      <c r="D704" s="1" t="s">
        <v>993</v>
      </c>
    </row>
    <row r="705" spans="1:4" hidden="1" x14ac:dyDescent="0.3">
      <c r="A705">
        <v>703</v>
      </c>
      <c r="B705" t="s">
        <v>994</v>
      </c>
      <c r="C705" t="s">
        <v>168</v>
      </c>
      <c r="D705">
        <v>0.99986703947371802</v>
      </c>
    </row>
    <row r="706" spans="1:4" hidden="1" x14ac:dyDescent="0.3">
      <c r="A706">
        <v>704</v>
      </c>
      <c r="B706" t="s">
        <v>995</v>
      </c>
      <c r="C706" t="s">
        <v>170</v>
      </c>
      <c r="D706">
        <v>1.0006778205369</v>
      </c>
    </row>
    <row r="707" spans="1:4" hidden="1" x14ac:dyDescent="0.3">
      <c r="A707">
        <v>705</v>
      </c>
      <c r="B707" s="1" t="s">
        <v>996</v>
      </c>
      <c r="C707" t="s">
        <v>172</v>
      </c>
      <c r="D707" s="1" t="s">
        <v>997</v>
      </c>
    </row>
    <row r="708" spans="1:4" hidden="1" x14ac:dyDescent="0.3">
      <c r="A708">
        <v>706</v>
      </c>
      <c r="B708" s="1" t="s">
        <v>998</v>
      </c>
      <c r="C708" t="s">
        <v>55</v>
      </c>
      <c r="D708" s="1" t="s">
        <v>999</v>
      </c>
    </row>
    <row r="709" spans="1:4" hidden="1" x14ac:dyDescent="0.3">
      <c r="A709">
        <v>707</v>
      </c>
      <c r="B709" s="1" t="s">
        <v>1000</v>
      </c>
      <c r="C709" t="s">
        <v>52</v>
      </c>
      <c r="D709" s="1" t="s">
        <v>1001</v>
      </c>
    </row>
    <row r="710" spans="1:4" hidden="1" x14ac:dyDescent="0.3">
      <c r="A710">
        <v>708</v>
      </c>
      <c r="B710" s="1" t="s">
        <v>1002</v>
      </c>
      <c r="C710" t="s">
        <v>58</v>
      </c>
      <c r="D710" s="1" t="s">
        <v>1003</v>
      </c>
    </row>
    <row r="711" spans="1:4" hidden="1" x14ac:dyDescent="0.3">
      <c r="A711">
        <v>709</v>
      </c>
      <c r="B711" t="s">
        <v>1004</v>
      </c>
      <c r="C711" t="s">
        <v>61</v>
      </c>
      <c r="D711">
        <v>149724641.29706699</v>
      </c>
    </row>
    <row r="712" spans="1:4" hidden="1" x14ac:dyDescent="0.3">
      <c r="A712">
        <v>710</v>
      </c>
      <c r="B712" t="s">
        <v>1005</v>
      </c>
      <c r="C712" t="s">
        <v>63</v>
      </c>
      <c r="D712">
        <v>75432523.292498097</v>
      </c>
    </row>
    <row r="713" spans="1:4" hidden="1" x14ac:dyDescent="0.3">
      <c r="A713">
        <v>711</v>
      </c>
      <c r="B713" t="s">
        <v>1006</v>
      </c>
      <c r="C713" t="s">
        <v>65</v>
      </c>
      <c r="D713">
        <v>35099183.819971301</v>
      </c>
    </row>
    <row r="714" spans="1:4" hidden="1" x14ac:dyDescent="0.3">
      <c r="A714">
        <v>712</v>
      </c>
      <c r="B714" s="1" t="s">
        <v>1007</v>
      </c>
      <c r="C714" t="s">
        <v>67</v>
      </c>
      <c r="D714" s="1" t="s">
        <v>1008</v>
      </c>
    </row>
    <row r="715" spans="1:4" hidden="1" x14ac:dyDescent="0.3">
      <c r="A715">
        <v>713</v>
      </c>
      <c r="B715" s="1" t="s">
        <v>1009</v>
      </c>
      <c r="C715" t="s">
        <v>70</v>
      </c>
      <c r="D715" s="1" t="s">
        <v>1010</v>
      </c>
    </row>
    <row r="716" spans="1:4" hidden="1" x14ac:dyDescent="0.3">
      <c r="A716">
        <v>714</v>
      </c>
      <c r="B716" t="s">
        <v>1011</v>
      </c>
      <c r="C716" t="s">
        <v>73</v>
      </c>
      <c r="D716">
        <v>0.99989490818886795</v>
      </c>
    </row>
    <row r="717" spans="1:4" hidden="1" x14ac:dyDescent="0.3">
      <c r="A717">
        <v>715</v>
      </c>
      <c r="B717" t="s">
        <v>74</v>
      </c>
      <c r="C717" t="s">
        <v>75</v>
      </c>
      <c r="D717">
        <v>2.7397260273972599E-3</v>
      </c>
    </row>
    <row r="718" spans="1:4" hidden="1" x14ac:dyDescent="0.3">
      <c r="A718">
        <v>716</v>
      </c>
      <c r="B718" t="s">
        <v>76</v>
      </c>
      <c r="C718" t="s">
        <v>77</v>
      </c>
      <c r="D718">
        <v>0</v>
      </c>
    </row>
    <row r="719" spans="1:4" hidden="1" x14ac:dyDescent="0.3">
      <c r="A719">
        <v>717</v>
      </c>
      <c r="B719" t="s">
        <v>188</v>
      </c>
      <c r="C719" t="s">
        <v>79</v>
      </c>
      <c r="D719" s="2">
        <v>-2.2204460492503101E-16</v>
      </c>
    </row>
    <row r="720" spans="1:4" hidden="1" x14ac:dyDescent="0.3">
      <c r="A720">
        <v>718</v>
      </c>
      <c r="B720" s="1" t="s">
        <v>1012</v>
      </c>
      <c r="C720" t="s">
        <v>81</v>
      </c>
      <c r="D720" s="1" t="s">
        <v>1013</v>
      </c>
    </row>
    <row r="721" spans="1:4" hidden="1" x14ac:dyDescent="0.3">
      <c r="A721">
        <v>719</v>
      </c>
      <c r="B721" t="s">
        <v>1014</v>
      </c>
      <c r="C721" t="s">
        <v>84</v>
      </c>
      <c r="D721">
        <v>0.99992218275589095</v>
      </c>
    </row>
    <row r="722" spans="1:4" hidden="1" x14ac:dyDescent="0.3">
      <c r="A722">
        <v>720</v>
      </c>
      <c r="B722" s="1" t="s">
        <v>1015</v>
      </c>
      <c r="C722" t="s">
        <v>86</v>
      </c>
      <c r="D722" s="1" t="s">
        <v>1016</v>
      </c>
    </row>
    <row r="723" spans="1:4" hidden="1" x14ac:dyDescent="0.3">
      <c r="A723">
        <v>721</v>
      </c>
      <c r="B723" t="s">
        <v>1017</v>
      </c>
      <c r="C723" t="s">
        <v>89</v>
      </c>
      <c r="D723">
        <v>102957977.69835301</v>
      </c>
    </row>
    <row r="724" spans="1:4" hidden="1" x14ac:dyDescent="0.3">
      <c r="A724">
        <v>722</v>
      </c>
      <c r="B724" s="1" t="s">
        <v>1018</v>
      </c>
      <c r="C724" t="s">
        <v>91</v>
      </c>
      <c r="D724" s="1" t="s">
        <v>952</v>
      </c>
    </row>
    <row r="725" spans="1:4" hidden="1" x14ac:dyDescent="0.3">
      <c r="A725">
        <v>723</v>
      </c>
      <c r="B725" t="s">
        <v>1019</v>
      </c>
      <c r="C725" t="s">
        <v>94</v>
      </c>
      <c r="D725">
        <v>75432523.292498097</v>
      </c>
    </row>
    <row r="726" spans="1:4" hidden="1" x14ac:dyDescent="0.3">
      <c r="A726">
        <v>724</v>
      </c>
      <c r="B726" t="s">
        <v>1020</v>
      </c>
      <c r="C726" t="s">
        <v>96</v>
      </c>
      <c r="D726">
        <v>35099183.819971301</v>
      </c>
    </row>
    <row r="727" spans="1:4" hidden="1" x14ac:dyDescent="0.3">
      <c r="A727">
        <v>725</v>
      </c>
      <c r="B727" t="s">
        <v>1021</v>
      </c>
      <c r="C727" t="s">
        <v>98</v>
      </c>
      <c r="D727">
        <v>39192934.184597902</v>
      </c>
    </row>
    <row r="728" spans="1:4" hidden="1" x14ac:dyDescent="0.3">
      <c r="A728">
        <v>726</v>
      </c>
      <c r="B728" s="1" t="s">
        <v>1022</v>
      </c>
      <c r="C728" t="s">
        <v>100</v>
      </c>
      <c r="D728" s="1" t="s">
        <v>1023</v>
      </c>
    </row>
    <row r="729" spans="1:4" hidden="1" x14ac:dyDescent="0.3">
      <c r="A729">
        <v>727</v>
      </c>
      <c r="B729" t="s">
        <v>1024</v>
      </c>
      <c r="C729" t="s">
        <v>103</v>
      </c>
      <c r="D729">
        <v>1.03239891324778E-2</v>
      </c>
    </row>
    <row r="730" spans="1:4" hidden="1" x14ac:dyDescent="0.3">
      <c r="A730">
        <v>728</v>
      </c>
      <c r="B730" t="s">
        <v>1025</v>
      </c>
      <c r="C730" t="s">
        <v>105</v>
      </c>
      <c r="D730">
        <v>3.27605526234697E-3</v>
      </c>
    </row>
    <row r="731" spans="1:4" hidden="1" x14ac:dyDescent="0.3">
      <c r="A731">
        <v>729</v>
      </c>
      <c r="B731" t="s">
        <v>1026</v>
      </c>
      <c r="C731" t="s">
        <v>107</v>
      </c>
      <c r="D731">
        <v>1.2193215796447301E-2</v>
      </c>
    </row>
    <row r="732" spans="1:4" hidden="1" x14ac:dyDescent="0.3">
      <c r="A732">
        <v>730</v>
      </c>
      <c r="B732" s="1" t="s">
        <v>1027</v>
      </c>
      <c r="C732" t="s">
        <v>109</v>
      </c>
      <c r="D732" s="1" t="s">
        <v>1028</v>
      </c>
    </row>
    <row r="733" spans="1:4" hidden="1" x14ac:dyDescent="0.3">
      <c r="A733">
        <v>731</v>
      </c>
      <c r="B733" t="s">
        <v>1029</v>
      </c>
      <c r="C733" t="s">
        <v>208</v>
      </c>
      <c r="D733">
        <v>149725600.690516</v>
      </c>
    </row>
    <row r="734" spans="1:4" hidden="1" x14ac:dyDescent="0.3">
      <c r="A734">
        <v>732</v>
      </c>
      <c r="B734" t="s">
        <v>1030</v>
      </c>
      <c r="C734" t="s">
        <v>210</v>
      </c>
      <c r="D734">
        <v>-2057.6249453391601</v>
      </c>
    </row>
    <row r="735" spans="1:4" hidden="1" x14ac:dyDescent="0.3">
      <c r="A735">
        <v>733</v>
      </c>
      <c r="B735" t="s">
        <v>1031</v>
      </c>
      <c r="C735" t="s">
        <v>212</v>
      </c>
      <c r="D735">
        <v>-957.41859580262201</v>
      </c>
    </row>
    <row r="736" spans="1:4" hidden="1" x14ac:dyDescent="0.3">
      <c r="A736">
        <v>734</v>
      </c>
      <c r="B736" s="1" t="s">
        <v>1032</v>
      </c>
      <c r="C736" t="s">
        <v>214</v>
      </c>
      <c r="D736" s="1" t="s">
        <v>1033</v>
      </c>
    </row>
    <row r="737" spans="1:4" hidden="1" x14ac:dyDescent="0.3">
      <c r="A737">
        <v>735</v>
      </c>
      <c r="B737" t="s">
        <v>1034</v>
      </c>
      <c r="C737" t="s">
        <v>217</v>
      </c>
      <c r="D737">
        <v>75435288.298177093</v>
      </c>
    </row>
    <row r="738" spans="1:4" hidden="1" x14ac:dyDescent="0.3">
      <c r="A738">
        <v>736</v>
      </c>
      <c r="B738" t="s">
        <v>1035</v>
      </c>
      <c r="C738" t="s">
        <v>219</v>
      </c>
      <c r="D738">
        <v>35100248.935066298</v>
      </c>
    </row>
    <row r="739" spans="1:4" hidden="1" x14ac:dyDescent="0.3">
      <c r="A739">
        <v>737</v>
      </c>
      <c r="B739" t="s">
        <v>1036</v>
      </c>
      <c r="C739" t="s">
        <v>221</v>
      </c>
      <c r="D739">
        <v>39194147.587412298</v>
      </c>
    </row>
    <row r="740" spans="1:4" hidden="1" x14ac:dyDescent="0.3">
      <c r="A740">
        <v>738</v>
      </c>
      <c r="B740" s="1" t="s">
        <v>1037</v>
      </c>
      <c r="C740" t="s">
        <v>223</v>
      </c>
      <c r="D740" s="1" t="s">
        <v>1038</v>
      </c>
    </row>
    <row r="741" spans="1:4" hidden="1" x14ac:dyDescent="0.3">
      <c r="A741">
        <v>739</v>
      </c>
      <c r="B741" t="s">
        <v>1039</v>
      </c>
      <c r="C741" t="s">
        <v>226</v>
      </c>
      <c r="D741">
        <v>102960786.12775899</v>
      </c>
    </row>
    <row r="742" spans="1:4" hidden="1" x14ac:dyDescent="0.3">
      <c r="A742">
        <v>740</v>
      </c>
      <c r="B742" t="s">
        <v>1040</v>
      </c>
      <c r="C742" t="s">
        <v>228</v>
      </c>
      <c r="D742">
        <v>-2808.42940628528</v>
      </c>
    </row>
    <row r="743" spans="1:4" hidden="1" x14ac:dyDescent="0.3">
      <c r="A743">
        <v>741</v>
      </c>
      <c r="B743" s="1" t="s">
        <v>1041</v>
      </c>
      <c r="C743" t="s">
        <v>230</v>
      </c>
      <c r="D743" s="1" t="s">
        <v>1042</v>
      </c>
    </row>
    <row r="744" spans="1:4" hidden="1" x14ac:dyDescent="0.3">
      <c r="A744">
        <v>742</v>
      </c>
      <c r="B744" t="s">
        <v>1043</v>
      </c>
      <c r="C744" t="s">
        <v>112</v>
      </c>
      <c r="D744">
        <v>707.38073370261202</v>
      </c>
    </row>
    <row r="745" spans="1:4" hidden="1" x14ac:dyDescent="0.3">
      <c r="A745">
        <v>743</v>
      </c>
      <c r="B745" t="s">
        <v>1044</v>
      </c>
      <c r="C745" t="s">
        <v>114</v>
      </c>
      <c r="D745">
        <v>107.696499166645</v>
      </c>
    </row>
    <row r="746" spans="1:4" hidden="1" x14ac:dyDescent="0.3">
      <c r="A746">
        <v>744</v>
      </c>
      <c r="B746" s="1" t="s">
        <v>1045</v>
      </c>
      <c r="C746" t="s">
        <v>116</v>
      </c>
      <c r="D746" s="1" t="s">
        <v>1046</v>
      </c>
    </row>
    <row r="747" spans="1:4" hidden="1" x14ac:dyDescent="0.3">
      <c r="A747">
        <v>745</v>
      </c>
      <c r="B747" t="s">
        <v>1047</v>
      </c>
      <c r="C747" t="s">
        <v>119</v>
      </c>
      <c r="D747">
        <v>75435288.298177093</v>
      </c>
    </row>
    <row r="748" spans="1:4" hidden="1" x14ac:dyDescent="0.3">
      <c r="A748">
        <v>746</v>
      </c>
      <c r="B748" t="s">
        <v>1048</v>
      </c>
      <c r="C748" t="s">
        <v>121</v>
      </c>
      <c r="D748">
        <v>35100248.935066298</v>
      </c>
    </row>
    <row r="749" spans="1:4" hidden="1" x14ac:dyDescent="0.3">
      <c r="A749">
        <v>747</v>
      </c>
      <c r="B749" s="1" t="s">
        <v>1049</v>
      </c>
      <c r="C749" t="s">
        <v>123</v>
      </c>
      <c r="D749" s="1" t="s">
        <v>1050</v>
      </c>
    </row>
    <row r="750" spans="1:4" hidden="1" x14ac:dyDescent="0.3">
      <c r="A750">
        <v>748</v>
      </c>
      <c r="B750" t="s">
        <v>1051</v>
      </c>
      <c r="C750" t="s">
        <v>126</v>
      </c>
      <c r="D750">
        <v>0.73271739424798898</v>
      </c>
    </row>
    <row r="751" spans="1:4" hidden="1" x14ac:dyDescent="0.3">
      <c r="A751">
        <v>749</v>
      </c>
      <c r="B751" t="s">
        <v>1052</v>
      </c>
      <c r="C751" t="s">
        <v>128</v>
      </c>
      <c r="D751">
        <v>0.340935436416685</v>
      </c>
    </row>
    <row r="752" spans="1:4" hidden="1" x14ac:dyDescent="0.3">
      <c r="A752">
        <v>750</v>
      </c>
      <c r="B752" s="1" t="s">
        <v>1053</v>
      </c>
      <c r="C752" t="s">
        <v>130</v>
      </c>
      <c r="D752" s="1" t="s">
        <v>1054</v>
      </c>
    </row>
    <row r="753" spans="1:4" x14ac:dyDescent="0.3">
      <c r="A753">
        <v>751</v>
      </c>
      <c r="B753" s="1" t="s">
        <v>1055</v>
      </c>
      <c r="C753" t="s">
        <v>4</v>
      </c>
      <c r="D753" t="s">
        <v>1056</v>
      </c>
    </row>
    <row r="754" spans="1:4" hidden="1" x14ac:dyDescent="0.3">
      <c r="A754">
        <v>752</v>
      </c>
      <c r="B754" t="s">
        <v>1057</v>
      </c>
      <c r="C754" t="s">
        <v>7</v>
      </c>
      <c r="D754">
        <v>1735.51</v>
      </c>
    </row>
    <row r="755" spans="1:4" hidden="1" x14ac:dyDescent="0.3">
      <c r="A755">
        <v>753</v>
      </c>
      <c r="B755" s="1" t="s">
        <v>1058</v>
      </c>
      <c r="C755" t="s">
        <v>9</v>
      </c>
      <c r="D755" s="1" t="s">
        <v>1059</v>
      </c>
    </row>
    <row r="756" spans="1:4" hidden="1" x14ac:dyDescent="0.3">
      <c r="A756">
        <v>754</v>
      </c>
      <c r="B756" t="s">
        <v>1060</v>
      </c>
      <c r="C756" t="s">
        <v>14</v>
      </c>
      <c r="D756">
        <v>90.984375</v>
      </c>
    </row>
    <row r="757" spans="1:4" hidden="1" x14ac:dyDescent="0.3">
      <c r="A757">
        <v>755</v>
      </c>
      <c r="B757" t="s">
        <v>1061</v>
      </c>
      <c r="C757" t="s">
        <v>16</v>
      </c>
      <c r="D757">
        <v>4.2863762339663296</v>
      </c>
    </row>
    <row r="758" spans="1:4" hidden="1" x14ac:dyDescent="0.3">
      <c r="A758">
        <v>756</v>
      </c>
      <c r="B758" s="1" t="s">
        <v>1062</v>
      </c>
      <c r="C758" t="s">
        <v>140</v>
      </c>
      <c r="D758" s="1" t="s">
        <v>1063</v>
      </c>
    </row>
    <row r="759" spans="1:4" hidden="1" x14ac:dyDescent="0.3">
      <c r="A759">
        <v>757</v>
      </c>
      <c r="B759" t="s">
        <v>142</v>
      </c>
      <c r="C759" t="s">
        <v>22</v>
      </c>
      <c r="D759">
        <v>64.8</v>
      </c>
    </row>
    <row r="760" spans="1:4" hidden="1" x14ac:dyDescent="0.3">
      <c r="A760">
        <v>758</v>
      </c>
      <c r="B760" t="s">
        <v>1064</v>
      </c>
      <c r="C760" t="s">
        <v>24</v>
      </c>
      <c r="D760">
        <v>5.4712580212109101</v>
      </c>
    </row>
    <row r="761" spans="1:4" hidden="1" x14ac:dyDescent="0.3">
      <c r="A761">
        <v>759</v>
      </c>
      <c r="B761" s="1" t="s">
        <v>1065</v>
      </c>
      <c r="C761" t="s">
        <v>145</v>
      </c>
      <c r="D761" s="1" t="s">
        <v>1066</v>
      </c>
    </row>
    <row r="762" spans="1:4" hidden="1" x14ac:dyDescent="0.3">
      <c r="A762">
        <v>760</v>
      </c>
      <c r="B762" t="s">
        <v>1067</v>
      </c>
      <c r="C762" t="s">
        <v>35</v>
      </c>
      <c r="D762">
        <v>0.183862142896279</v>
      </c>
    </row>
    <row r="763" spans="1:4" hidden="1" x14ac:dyDescent="0.3">
      <c r="A763">
        <v>761</v>
      </c>
      <c r="B763" t="s">
        <v>1068</v>
      </c>
      <c r="C763" t="s">
        <v>149</v>
      </c>
      <c r="D763">
        <v>0.56533192281951195</v>
      </c>
    </row>
    <row r="764" spans="1:4" hidden="1" x14ac:dyDescent="0.3">
      <c r="A764">
        <v>762</v>
      </c>
      <c r="B764" s="1" t="s">
        <v>1069</v>
      </c>
      <c r="C764" t="s">
        <v>151</v>
      </c>
      <c r="D764" s="1" t="s">
        <v>1070</v>
      </c>
    </row>
    <row r="765" spans="1:4" hidden="1" x14ac:dyDescent="0.3">
      <c r="A765">
        <v>763</v>
      </c>
      <c r="B765" t="s">
        <v>1071</v>
      </c>
      <c r="C765" t="s">
        <v>30</v>
      </c>
      <c r="D765">
        <v>0.35330016552858101</v>
      </c>
    </row>
    <row r="766" spans="1:4" hidden="1" x14ac:dyDescent="0.3">
      <c r="A766">
        <v>764</v>
      </c>
      <c r="B766" t="s">
        <v>1072</v>
      </c>
      <c r="C766" t="s">
        <v>32</v>
      </c>
      <c r="D766">
        <v>0.37315038385244698</v>
      </c>
    </row>
    <row r="767" spans="1:4" hidden="1" x14ac:dyDescent="0.3">
      <c r="A767">
        <v>765</v>
      </c>
      <c r="B767" s="1" t="s">
        <v>1073</v>
      </c>
      <c r="C767" t="s">
        <v>155</v>
      </c>
      <c r="D767" s="1" t="s">
        <v>1074</v>
      </c>
    </row>
    <row r="768" spans="1:4" hidden="1" x14ac:dyDescent="0.3">
      <c r="A768">
        <v>766</v>
      </c>
      <c r="B768" t="s">
        <v>1075</v>
      </c>
      <c r="C768" t="s">
        <v>40</v>
      </c>
      <c r="D768">
        <v>0.46283769157513899</v>
      </c>
    </row>
    <row r="769" spans="1:4" hidden="1" x14ac:dyDescent="0.3">
      <c r="A769">
        <v>767</v>
      </c>
      <c r="B769" t="s">
        <v>1076</v>
      </c>
      <c r="C769" t="s">
        <v>42</v>
      </c>
      <c r="D769">
        <v>0.39572195403471999</v>
      </c>
    </row>
    <row r="770" spans="1:4" hidden="1" x14ac:dyDescent="0.3">
      <c r="A770">
        <v>768</v>
      </c>
      <c r="B770" s="1" t="s">
        <v>1077</v>
      </c>
      <c r="C770" t="s">
        <v>159</v>
      </c>
      <c r="D770" s="1" t="s">
        <v>1078</v>
      </c>
    </row>
    <row r="771" spans="1:4" hidden="1" x14ac:dyDescent="0.3">
      <c r="A771">
        <v>769</v>
      </c>
      <c r="B771" t="s">
        <v>1079</v>
      </c>
      <c r="C771" t="s">
        <v>161</v>
      </c>
      <c r="D771">
        <v>1.00550984936268</v>
      </c>
    </row>
    <row r="772" spans="1:4" hidden="1" x14ac:dyDescent="0.3">
      <c r="A772">
        <v>770</v>
      </c>
      <c r="B772" t="s">
        <v>1080</v>
      </c>
      <c r="C772" t="s">
        <v>163</v>
      </c>
      <c r="D772">
        <v>0.99860887736062298</v>
      </c>
    </row>
    <row r="773" spans="1:4" hidden="1" x14ac:dyDescent="0.3">
      <c r="A773">
        <v>771</v>
      </c>
      <c r="B773" s="1" t="s">
        <v>1081</v>
      </c>
      <c r="C773" t="s">
        <v>165</v>
      </c>
      <c r="D773" s="1" t="s">
        <v>1082</v>
      </c>
    </row>
    <row r="774" spans="1:4" hidden="1" x14ac:dyDescent="0.3">
      <c r="A774">
        <v>772</v>
      </c>
      <c r="B774" t="s">
        <v>1083</v>
      </c>
      <c r="C774" t="s">
        <v>168</v>
      </c>
      <c r="D774">
        <v>0.99828808030465999</v>
      </c>
    </row>
    <row r="775" spans="1:4" hidden="1" x14ac:dyDescent="0.3">
      <c r="A775">
        <v>773</v>
      </c>
      <c r="B775" t="s">
        <v>1084</v>
      </c>
      <c r="C775" t="s">
        <v>170</v>
      </c>
      <c r="D775">
        <v>1.0008874420913501</v>
      </c>
    </row>
    <row r="776" spans="1:4" hidden="1" x14ac:dyDescent="0.3">
      <c r="A776">
        <v>774</v>
      </c>
      <c r="B776" s="1" t="s">
        <v>1085</v>
      </c>
      <c r="C776" t="s">
        <v>172</v>
      </c>
      <c r="D776" s="1" t="s">
        <v>1086</v>
      </c>
    </row>
    <row r="777" spans="1:4" hidden="1" x14ac:dyDescent="0.3">
      <c r="A777">
        <v>775</v>
      </c>
      <c r="B777" s="1" t="s">
        <v>1087</v>
      </c>
      <c r="C777" t="s">
        <v>55</v>
      </c>
      <c r="D777" s="1" t="s">
        <v>1088</v>
      </c>
    </row>
    <row r="778" spans="1:4" hidden="1" x14ac:dyDescent="0.3">
      <c r="A778">
        <v>776</v>
      </c>
      <c r="B778" s="1" t="s">
        <v>1089</v>
      </c>
      <c r="C778" t="s">
        <v>52</v>
      </c>
      <c r="D778" s="1" t="s">
        <v>1090</v>
      </c>
    </row>
    <row r="779" spans="1:4" hidden="1" x14ac:dyDescent="0.3">
      <c r="A779">
        <v>777</v>
      </c>
      <c r="B779" s="1" t="s">
        <v>1091</v>
      </c>
      <c r="C779" t="s">
        <v>58</v>
      </c>
      <c r="D779" s="1" t="s">
        <v>1092</v>
      </c>
    </row>
    <row r="780" spans="1:4" hidden="1" x14ac:dyDescent="0.3">
      <c r="A780">
        <v>778</v>
      </c>
      <c r="B780" t="s">
        <v>1093</v>
      </c>
      <c r="C780" t="s">
        <v>61</v>
      </c>
      <c r="D780">
        <v>150592347.41013601</v>
      </c>
    </row>
    <row r="781" spans="1:4" hidden="1" x14ac:dyDescent="0.3">
      <c r="A781">
        <v>779</v>
      </c>
      <c r="B781" t="s">
        <v>1094</v>
      </c>
      <c r="C781" t="s">
        <v>63</v>
      </c>
      <c r="D781">
        <v>75850925.3733311</v>
      </c>
    </row>
    <row r="782" spans="1:4" hidden="1" x14ac:dyDescent="0.3">
      <c r="A782">
        <v>780</v>
      </c>
      <c r="B782" t="s">
        <v>1095</v>
      </c>
      <c r="C782" t="s">
        <v>65</v>
      </c>
      <c r="D782">
        <v>35051420.184124999</v>
      </c>
    </row>
    <row r="783" spans="1:4" hidden="1" x14ac:dyDescent="0.3">
      <c r="A783">
        <v>781</v>
      </c>
      <c r="B783" s="1" t="s">
        <v>1096</v>
      </c>
      <c r="C783" t="s">
        <v>67</v>
      </c>
      <c r="D783" s="1" t="s">
        <v>1097</v>
      </c>
    </row>
    <row r="784" spans="1:4" hidden="1" x14ac:dyDescent="0.3">
      <c r="A784">
        <v>782</v>
      </c>
      <c r="B784" s="1" t="s">
        <v>1098</v>
      </c>
      <c r="C784" t="s">
        <v>70</v>
      </c>
      <c r="D784" s="1" t="s">
        <v>1099</v>
      </c>
    </row>
    <row r="785" spans="1:4" hidden="1" x14ac:dyDescent="0.3">
      <c r="A785">
        <v>783</v>
      </c>
      <c r="B785" t="s">
        <v>1100</v>
      </c>
      <c r="C785" t="s">
        <v>73</v>
      </c>
      <c r="D785">
        <v>0.99992218275589095</v>
      </c>
    </row>
    <row r="786" spans="1:4" hidden="1" x14ac:dyDescent="0.3">
      <c r="A786">
        <v>784</v>
      </c>
      <c r="B786" t="s">
        <v>74</v>
      </c>
      <c r="C786" t="s">
        <v>75</v>
      </c>
      <c r="D786">
        <v>2.7397260273972599E-3</v>
      </c>
    </row>
    <row r="787" spans="1:4" hidden="1" x14ac:dyDescent="0.3">
      <c r="A787">
        <v>785</v>
      </c>
      <c r="B787" t="s">
        <v>76</v>
      </c>
      <c r="C787" t="s">
        <v>77</v>
      </c>
      <c r="D787">
        <v>0</v>
      </c>
    </row>
    <row r="788" spans="1:4" hidden="1" x14ac:dyDescent="0.3">
      <c r="A788">
        <v>786</v>
      </c>
      <c r="B788" t="s">
        <v>78</v>
      </c>
      <c r="C788" t="s">
        <v>79</v>
      </c>
      <c r="D788">
        <v>0</v>
      </c>
    </row>
    <row r="789" spans="1:4" hidden="1" x14ac:dyDescent="0.3">
      <c r="A789">
        <v>787</v>
      </c>
      <c r="B789" s="1" t="s">
        <v>1101</v>
      </c>
      <c r="C789" t="s">
        <v>81</v>
      </c>
      <c r="D789" s="1" t="s">
        <v>1102</v>
      </c>
    </row>
    <row r="790" spans="1:4" hidden="1" x14ac:dyDescent="0.3">
      <c r="A790">
        <v>788</v>
      </c>
      <c r="B790" t="s">
        <v>1103</v>
      </c>
      <c r="C790" t="s">
        <v>84</v>
      </c>
      <c r="D790">
        <v>0.999914789327634</v>
      </c>
    </row>
    <row r="791" spans="1:4" hidden="1" x14ac:dyDescent="0.3">
      <c r="A791">
        <v>789</v>
      </c>
      <c r="B791" s="1" t="s">
        <v>1104</v>
      </c>
      <c r="C791" t="s">
        <v>86</v>
      </c>
      <c r="D791" s="1" t="s">
        <v>1105</v>
      </c>
    </row>
    <row r="792" spans="1:4" hidden="1" x14ac:dyDescent="0.3">
      <c r="A792">
        <v>790</v>
      </c>
      <c r="B792" t="s">
        <v>1106</v>
      </c>
      <c r="C792" t="s">
        <v>89</v>
      </c>
      <c r="D792">
        <v>102958738.97564401</v>
      </c>
    </row>
    <row r="793" spans="1:4" hidden="1" x14ac:dyDescent="0.3">
      <c r="A793">
        <v>791</v>
      </c>
      <c r="B793" s="1" t="s">
        <v>1107</v>
      </c>
      <c r="C793" t="s">
        <v>91</v>
      </c>
      <c r="D793" s="1" t="s">
        <v>1042</v>
      </c>
    </row>
    <row r="794" spans="1:4" hidden="1" x14ac:dyDescent="0.3">
      <c r="A794">
        <v>792</v>
      </c>
      <c r="B794" t="s">
        <v>1108</v>
      </c>
      <c r="C794" t="s">
        <v>94</v>
      </c>
      <c r="D794">
        <v>75850925.3733311</v>
      </c>
    </row>
    <row r="795" spans="1:4" hidden="1" x14ac:dyDescent="0.3">
      <c r="A795">
        <v>793</v>
      </c>
      <c r="B795" t="s">
        <v>1109</v>
      </c>
      <c r="C795" t="s">
        <v>96</v>
      </c>
      <c r="D795">
        <v>35051420.184124999</v>
      </c>
    </row>
    <row r="796" spans="1:4" hidden="1" x14ac:dyDescent="0.3">
      <c r="A796">
        <v>794</v>
      </c>
      <c r="B796" t="s">
        <v>1110</v>
      </c>
      <c r="C796" t="s">
        <v>98</v>
      </c>
      <c r="D796">
        <v>39690001.852680497</v>
      </c>
    </row>
    <row r="797" spans="1:4" hidden="1" x14ac:dyDescent="0.3">
      <c r="A797">
        <v>795</v>
      </c>
      <c r="B797" s="1" t="s">
        <v>1111</v>
      </c>
      <c r="C797" t="s">
        <v>100</v>
      </c>
      <c r="D797" s="1" t="s">
        <v>1112</v>
      </c>
    </row>
    <row r="798" spans="1:4" hidden="1" x14ac:dyDescent="0.3">
      <c r="A798">
        <v>796</v>
      </c>
      <c r="B798" t="s">
        <v>1113</v>
      </c>
      <c r="C798" t="s">
        <v>103</v>
      </c>
      <c r="D798">
        <v>1.03217628404394E-2</v>
      </c>
    </row>
    <row r="799" spans="1:4" hidden="1" x14ac:dyDescent="0.3">
      <c r="A799">
        <v>797</v>
      </c>
      <c r="B799" t="s">
        <v>1114</v>
      </c>
      <c r="C799" t="s">
        <v>105</v>
      </c>
      <c r="D799">
        <v>3.2777927866037399E-3</v>
      </c>
    </row>
    <row r="800" spans="1:4" hidden="1" x14ac:dyDescent="0.3">
      <c r="A800">
        <v>798</v>
      </c>
      <c r="B800" t="s">
        <v>1115</v>
      </c>
      <c r="C800" t="s">
        <v>107</v>
      </c>
      <c r="D800">
        <v>1.22448276543465E-2</v>
      </c>
    </row>
    <row r="801" spans="1:4" hidden="1" x14ac:dyDescent="0.3">
      <c r="A801">
        <v>799</v>
      </c>
      <c r="B801" s="1" t="s">
        <v>1116</v>
      </c>
      <c r="C801" t="s">
        <v>109</v>
      </c>
      <c r="D801" s="1" t="s">
        <v>1117</v>
      </c>
    </row>
    <row r="802" spans="1:4" hidden="1" x14ac:dyDescent="0.3">
      <c r="A802">
        <v>800</v>
      </c>
      <c r="B802" t="s">
        <v>1118</v>
      </c>
      <c r="C802" t="s">
        <v>208</v>
      </c>
      <c r="D802">
        <v>150592087.78710699</v>
      </c>
    </row>
    <row r="803" spans="1:4" hidden="1" x14ac:dyDescent="0.3">
      <c r="A803">
        <v>801</v>
      </c>
      <c r="B803" t="s">
        <v>1119</v>
      </c>
      <c r="C803" t="s">
        <v>210</v>
      </c>
      <c r="D803">
        <v>560.840698412086</v>
      </c>
    </row>
    <row r="804" spans="1:4" hidden="1" x14ac:dyDescent="0.3">
      <c r="A804">
        <v>802</v>
      </c>
      <c r="B804" t="s">
        <v>1120</v>
      </c>
      <c r="C804" t="s">
        <v>212</v>
      </c>
      <c r="D804">
        <v>259.17011658026701</v>
      </c>
    </row>
    <row r="805" spans="1:4" hidden="1" x14ac:dyDescent="0.3">
      <c r="A805">
        <v>803</v>
      </c>
      <c r="B805" s="1" t="s">
        <v>1121</v>
      </c>
      <c r="C805" t="s">
        <v>214</v>
      </c>
      <c r="D805" s="1" t="s">
        <v>1122</v>
      </c>
    </row>
    <row r="806" spans="1:4" hidden="1" x14ac:dyDescent="0.3">
      <c r="A806">
        <v>804</v>
      </c>
      <c r="B806" t="s">
        <v>1123</v>
      </c>
      <c r="C806" t="s">
        <v>217</v>
      </c>
      <c r="D806">
        <v>75850186.046883196</v>
      </c>
    </row>
    <row r="807" spans="1:4" hidden="1" x14ac:dyDescent="0.3">
      <c r="A807">
        <v>805</v>
      </c>
      <c r="B807" t="s">
        <v>1124</v>
      </c>
      <c r="C807" t="s">
        <v>219</v>
      </c>
      <c r="D807">
        <v>35051132.373352803</v>
      </c>
    </row>
    <row r="808" spans="1:4" hidden="1" x14ac:dyDescent="0.3">
      <c r="A808">
        <v>806</v>
      </c>
      <c r="B808" t="s">
        <v>1125</v>
      </c>
      <c r="C808" t="s">
        <v>221</v>
      </c>
      <c r="D808">
        <v>39689655.888426498</v>
      </c>
    </row>
    <row r="809" spans="1:4" hidden="1" x14ac:dyDescent="0.3">
      <c r="A809">
        <v>807</v>
      </c>
      <c r="B809" s="1" t="s">
        <v>1126</v>
      </c>
      <c r="C809" t="s">
        <v>223</v>
      </c>
      <c r="D809" s="1" t="s">
        <v>1127</v>
      </c>
    </row>
    <row r="810" spans="1:4" hidden="1" x14ac:dyDescent="0.3">
      <c r="A810">
        <v>808</v>
      </c>
      <c r="B810" t="s">
        <v>1128</v>
      </c>
      <c r="C810" t="s">
        <v>226</v>
      </c>
      <c r="D810">
        <v>102957977.69835301</v>
      </c>
    </row>
    <row r="811" spans="1:4" hidden="1" x14ac:dyDescent="0.3">
      <c r="A811">
        <v>809</v>
      </c>
      <c r="B811" t="s">
        <v>1129</v>
      </c>
      <c r="C811" t="s">
        <v>228</v>
      </c>
      <c r="D811">
        <v>761.27729052305199</v>
      </c>
    </row>
    <row r="812" spans="1:4" hidden="1" x14ac:dyDescent="0.3">
      <c r="A812">
        <v>810</v>
      </c>
      <c r="B812" s="1" t="s">
        <v>1130</v>
      </c>
      <c r="C812" t="s">
        <v>230</v>
      </c>
      <c r="D812" s="1" t="s">
        <v>1131</v>
      </c>
    </row>
    <row r="813" spans="1:4" hidden="1" x14ac:dyDescent="0.3">
      <c r="A813">
        <v>811</v>
      </c>
      <c r="B813" t="s">
        <v>1132</v>
      </c>
      <c r="C813" t="s">
        <v>112</v>
      </c>
      <c r="D813">
        <v>-178.48574948995699</v>
      </c>
    </row>
    <row r="814" spans="1:4" hidden="1" x14ac:dyDescent="0.3">
      <c r="A814">
        <v>812</v>
      </c>
      <c r="B814" t="s">
        <v>1133</v>
      </c>
      <c r="C814" t="s">
        <v>114</v>
      </c>
      <c r="D814">
        <v>-28.640655553773001</v>
      </c>
    </row>
    <row r="815" spans="1:4" hidden="1" x14ac:dyDescent="0.3">
      <c r="A815">
        <v>813</v>
      </c>
      <c r="B815" s="1" t="s">
        <v>1134</v>
      </c>
      <c r="C815" t="s">
        <v>116</v>
      </c>
      <c r="D815" s="1" t="s">
        <v>1135</v>
      </c>
    </row>
    <row r="816" spans="1:4" hidden="1" x14ac:dyDescent="0.3">
      <c r="A816">
        <v>814</v>
      </c>
      <c r="B816" t="s">
        <v>1136</v>
      </c>
      <c r="C816" t="s">
        <v>119</v>
      </c>
      <c r="D816">
        <v>75850186.046883196</v>
      </c>
    </row>
    <row r="817" spans="1:4" hidden="1" x14ac:dyDescent="0.3">
      <c r="A817">
        <v>815</v>
      </c>
      <c r="B817" t="s">
        <v>1137</v>
      </c>
      <c r="C817" t="s">
        <v>121</v>
      </c>
      <c r="D817">
        <v>35051132.373352803</v>
      </c>
    </row>
    <row r="818" spans="1:4" hidden="1" x14ac:dyDescent="0.3">
      <c r="A818">
        <v>816</v>
      </c>
      <c r="B818" s="1" t="s">
        <v>1138</v>
      </c>
      <c r="C818" t="s">
        <v>123</v>
      </c>
      <c r="D818" s="1" t="s">
        <v>1139</v>
      </c>
    </row>
    <row r="819" spans="1:4" hidden="1" x14ac:dyDescent="0.3">
      <c r="A819">
        <v>817</v>
      </c>
      <c r="B819" t="s">
        <v>1140</v>
      </c>
      <c r="C819" t="s">
        <v>126</v>
      </c>
      <c r="D819">
        <v>0.73677291977572201</v>
      </c>
    </row>
    <row r="820" spans="1:4" hidden="1" x14ac:dyDescent="0.3">
      <c r="A820">
        <v>818</v>
      </c>
      <c r="B820" t="s">
        <v>1141</v>
      </c>
      <c r="C820" t="s">
        <v>128</v>
      </c>
      <c r="D820">
        <v>0.34047016211928799</v>
      </c>
    </row>
    <row r="821" spans="1:4" hidden="1" x14ac:dyDescent="0.3">
      <c r="A821">
        <v>819</v>
      </c>
      <c r="B821" s="1" t="s">
        <v>1142</v>
      </c>
      <c r="C821" t="s">
        <v>130</v>
      </c>
      <c r="D821" s="1" t="s">
        <v>1143</v>
      </c>
    </row>
    <row r="822" spans="1:4" x14ac:dyDescent="0.3">
      <c r="A822">
        <v>820</v>
      </c>
      <c r="B822" s="1" t="s">
        <v>1144</v>
      </c>
      <c r="C822" t="s">
        <v>4</v>
      </c>
      <c r="D822" t="s">
        <v>1145</v>
      </c>
    </row>
    <row r="823" spans="1:4" hidden="1" x14ac:dyDescent="0.3">
      <c r="A823">
        <v>821</v>
      </c>
      <c r="B823" t="s">
        <v>1146</v>
      </c>
      <c r="C823" t="s">
        <v>7</v>
      </c>
      <c r="D823">
        <v>1709.94</v>
      </c>
    </row>
    <row r="824" spans="1:4" hidden="1" x14ac:dyDescent="0.3">
      <c r="A824">
        <v>822</v>
      </c>
      <c r="B824" s="1" t="s">
        <v>1147</v>
      </c>
      <c r="C824" t="s">
        <v>9</v>
      </c>
      <c r="D824" s="1" t="s">
        <v>1148</v>
      </c>
    </row>
    <row r="825" spans="1:4" hidden="1" x14ac:dyDescent="0.3">
      <c r="A825">
        <v>823</v>
      </c>
      <c r="B825" t="s">
        <v>1149</v>
      </c>
      <c r="C825" t="s">
        <v>14</v>
      </c>
      <c r="D825">
        <v>90.9453125</v>
      </c>
    </row>
    <row r="826" spans="1:4" hidden="1" x14ac:dyDescent="0.3">
      <c r="A826">
        <v>824</v>
      </c>
      <c r="B826" t="s">
        <v>1150</v>
      </c>
      <c r="C826" t="s">
        <v>16</v>
      </c>
      <c r="D826">
        <v>4.2827944868006904</v>
      </c>
    </row>
    <row r="827" spans="1:4" hidden="1" x14ac:dyDescent="0.3">
      <c r="A827">
        <v>825</v>
      </c>
      <c r="B827" s="1" t="s">
        <v>1151</v>
      </c>
      <c r="C827" t="s">
        <v>140</v>
      </c>
      <c r="D827" s="1" t="s">
        <v>1152</v>
      </c>
    </row>
    <row r="828" spans="1:4" hidden="1" x14ac:dyDescent="0.3">
      <c r="A828">
        <v>826</v>
      </c>
      <c r="B828" t="s">
        <v>1153</v>
      </c>
      <c r="C828" t="s">
        <v>22</v>
      </c>
      <c r="D828">
        <v>64.3</v>
      </c>
    </row>
    <row r="829" spans="1:4" hidden="1" x14ac:dyDescent="0.3">
      <c r="A829">
        <v>827</v>
      </c>
      <c r="B829" t="s">
        <v>1154</v>
      </c>
      <c r="C829" t="s">
        <v>24</v>
      </c>
      <c r="D829">
        <v>5.4625561530458802</v>
      </c>
    </row>
    <row r="830" spans="1:4" hidden="1" x14ac:dyDescent="0.3">
      <c r="A830">
        <v>828</v>
      </c>
      <c r="B830" s="1" t="s">
        <v>1155</v>
      </c>
      <c r="C830" t="s">
        <v>145</v>
      </c>
      <c r="D830" s="1" t="s">
        <v>1156</v>
      </c>
    </row>
    <row r="831" spans="1:4" hidden="1" x14ac:dyDescent="0.3">
      <c r="A831">
        <v>829</v>
      </c>
      <c r="B831" t="s">
        <v>1157</v>
      </c>
      <c r="C831" t="s">
        <v>35</v>
      </c>
      <c r="D831">
        <v>0.43081177894568801</v>
      </c>
    </row>
    <row r="832" spans="1:4" hidden="1" x14ac:dyDescent="0.3">
      <c r="A832">
        <v>830</v>
      </c>
      <c r="B832" t="s">
        <v>1158</v>
      </c>
      <c r="C832" t="s">
        <v>149</v>
      </c>
      <c r="D832">
        <v>0.57063810248612201</v>
      </c>
    </row>
    <row r="833" spans="1:4" hidden="1" x14ac:dyDescent="0.3">
      <c r="A833">
        <v>831</v>
      </c>
      <c r="B833" s="1" t="s">
        <v>1159</v>
      </c>
      <c r="C833" t="s">
        <v>151</v>
      </c>
      <c r="D833" s="1" t="s">
        <v>1160</v>
      </c>
    </row>
    <row r="834" spans="1:4" hidden="1" x14ac:dyDescent="0.3">
      <c r="A834">
        <v>832</v>
      </c>
      <c r="B834" t="s">
        <v>1161</v>
      </c>
      <c r="C834" t="s">
        <v>30</v>
      </c>
      <c r="D834">
        <v>0.24508659530048599</v>
      </c>
    </row>
    <row r="835" spans="1:4" hidden="1" x14ac:dyDescent="0.3">
      <c r="A835">
        <v>833</v>
      </c>
      <c r="B835" t="s">
        <v>1162</v>
      </c>
      <c r="C835" t="s">
        <v>32</v>
      </c>
      <c r="D835">
        <v>0.36599914984043802</v>
      </c>
    </row>
    <row r="836" spans="1:4" hidden="1" x14ac:dyDescent="0.3">
      <c r="A836">
        <v>834</v>
      </c>
      <c r="B836" s="1" t="s">
        <v>1163</v>
      </c>
      <c r="C836" t="s">
        <v>155</v>
      </c>
      <c r="D836" s="1" t="s">
        <v>1164</v>
      </c>
    </row>
    <row r="837" spans="1:4" hidden="1" x14ac:dyDescent="0.3">
      <c r="A837">
        <v>835</v>
      </c>
      <c r="B837" t="s">
        <v>1165</v>
      </c>
      <c r="C837" t="s">
        <v>40</v>
      </c>
      <c r="D837">
        <v>0.32410162575382501</v>
      </c>
    </row>
    <row r="838" spans="1:4" hidden="1" x14ac:dyDescent="0.3">
      <c r="A838">
        <v>836</v>
      </c>
      <c r="B838" t="s">
        <v>1166</v>
      </c>
      <c r="C838" t="s">
        <v>42</v>
      </c>
      <c r="D838">
        <v>0.38642501469266599</v>
      </c>
    </row>
    <row r="839" spans="1:4" hidden="1" x14ac:dyDescent="0.3">
      <c r="A839">
        <v>837</v>
      </c>
      <c r="B839" s="1" t="s">
        <v>1167</v>
      </c>
      <c r="C839" t="s">
        <v>159</v>
      </c>
      <c r="D839" s="1" t="s">
        <v>1168</v>
      </c>
    </row>
    <row r="840" spans="1:4" hidden="1" x14ac:dyDescent="0.3">
      <c r="A840">
        <v>838</v>
      </c>
      <c r="B840" t="s">
        <v>1169</v>
      </c>
      <c r="C840" t="s">
        <v>161</v>
      </c>
      <c r="D840">
        <v>0.98526657870020895</v>
      </c>
    </row>
    <row r="841" spans="1:4" hidden="1" x14ac:dyDescent="0.3">
      <c r="A841">
        <v>839</v>
      </c>
      <c r="B841" t="s">
        <v>1170</v>
      </c>
      <c r="C841" t="s">
        <v>163</v>
      </c>
      <c r="D841">
        <v>0.99955238888522102</v>
      </c>
    </row>
    <row r="842" spans="1:4" hidden="1" x14ac:dyDescent="0.3">
      <c r="A842">
        <v>840</v>
      </c>
      <c r="B842" s="1" t="s">
        <v>1171</v>
      </c>
      <c r="C842" t="s">
        <v>165</v>
      </c>
      <c r="D842" s="1" t="s">
        <v>1172</v>
      </c>
    </row>
    <row r="843" spans="1:4" hidden="1" x14ac:dyDescent="0.3">
      <c r="A843">
        <v>841</v>
      </c>
      <c r="B843" t="s">
        <v>1173</v>
      </c>
      <c r="C843" t="s">
        <v>168</v>
      </c>
      <c r="D843">
        <v>1.00338981118908</v>
      </c>
    </row>
    <row r="844" spans="1:4" hidden="1" x14ac:dyDescent="0.3">
      <c r="A844">
        <v>842</v>
      </c>
      <c r="B844" t="s">
        <v>1174</v>
      </c>
      <c r="C844" t="s">
        <v>170</v>
      </c>
      <c r="D844">
        <v>0.99479209699381399</v>
      </c>
    </row>
    <row r="845" spans="1:4" hidden="1" x14ac:dyDescent="0.3">
      <c r="A845">
        <v>843</v>
      </c>
      <c r="B845" s="1" t="s">
        <v>1175</v>
      </c>
      <c r="C845" t="s">
        <v>172</v>
      </c>
      <c r="D845" s="1" t="s">
        <v>1176</v>
      </c>
    </row>
    <row r="846" spans="1:4" hidden="1" x14ac:dyDescent="0.3">
      <c r="A846">
        <v>844</v>
      </c>
      <c r="B846" s="1" t="s">
        <v>1177</v>
      </c>
      <c r="C846" t="s">
        <v>55</v>
      </c>
      <c r="D846" s="1" t="s">
        <v>1178</v>
      </c>
    </row>
    <row r="847" spans="1:4" hidden="1" x14ac:dyDescent="0.3">
      <c r="A847">
        <v>845</v>
      </c>
      <c r="B847" s="1" t="s">
        <v>1179</v>
      </c>
      <c r="C847" t="s">
        <v>52</v>
      </c>
      <c r="D847" s="1" t="s">
        <v>1180</v>
      </c>
    </row>
    <row r="848" spans="1:4" hidden="1" x14ac:dyDescent="0.3">
      <c r="A848">
        <v>846</v>
      </c>
      <c r="B848" s="1" t="s">
        <v>1181</v>
      </c>
      <c r="C848" t="s">
        <v>58</v>
      </c>
      <c r="D848" s="1" t="s">
        <v>1182</v>
      </c>
    </row>
    <row r="849" spans="1:4" hidden="1" x14ac:dyDescent="0.3">
      <c r="A849">
        <v>847</v>
      </c>
      <c r="B849" t="s">
        <v>1183</v>
      </c>
      <c r="C849" t="s">
        <v>61</v>
      </c>
      <c r="D849">
        <v>149170434.217435</v>
      </c>
    </row>
    <row r="850" spans="1:4" hidden="1" x14ac:dyDescent="0.3">
      <c r="A850">
        <v>848</v>
      </c>
      <c r="B850" t="s">
        <v>1184</v>
      </c>
      <c r="C850" t="s">
        <v>63</v>
      </c>
      <c r="D850">
        <v>74732653.300186902</v>
      </c>
    </row>
    <row r="851" spans="1:4" hidden="1" x14ac:dyDescent="0.3">
      <c r="A851">
        <v>849</v>
      </c>
      <c r="B851" t="s">
        <v>1185</v>
      </c>
      <c r="C851" t="s">
        <v>65</v>
      </c>
      <c r="D851">
        <v>35035443.096916899</v>
      </c>
    </row>
    <row r="852" spans="1:4" hidden="1" x14ac:dyDescent="0.3">
      <c r="A852">
        <v>850</v>
      </c>
      <c r="B852" s="1" t="s">
        <v>1186</v>
      </c>
      <c r="C852" t="s">
        <v>67</v>
      </c>
      <c r="D852" s="1" t="s">
        <v>1187</v>
      </c>
    </row>
    <row r="853" spans="1:4" hidden="1" x14ac:dyDescent="0.3">
      <c r="A853">
        <v>851</v>
      </c>
      <c r="B853" s="1" t="s">
        <v>1188</v>
      </c>
      <c r="C853" t="s">
        <v>70</v>
      </c>
      <c r="D853" s="1" t="s">
        <v>1189</v>
      </c>
    </row>
    <row r="854" spans="1:4" hidden="1" x14ac:dyDescent="0.3">
      <c r="A854">
        <v>852</v>
      </c>
      <c r="B854" t="s">
        <v>1190</v>
      </c>
      <c r="C854" t="s">
        <v>73</v>
      </c>
      <c r="D854">
        <v>0.999914789327634</v>
      </c>
    </row>
    <row r="855" spans="1:4" hidden="1" x14ac:dyDescent="0.3">
      <c r="A855">
        <v>853</v>
      </c>
      <c r="B855" t="s">
        <v>74</v>
      </c>
      <c r="C855" t="s">
        <v>75</v>
      </c>
      <c r="D855">
        <v>2.7397260273972599E-3</v>
      </c>
    </row>
    <row r="856" spans="1:4" hidden="1" x14ac:dyDescent="0.3">
      <c r="A856">
        <v>854</v>
      </c>
      <c r="B856" t="s">
        <v>76</v>
      </c>
      <c r="C856" t="s">
        <v>77</v>
      </c>
      <c r="D856">
        <v>0</v>
      </c>
    </row>
    <row r="857" spans="1:4" hidden="1" x14ac:dyDescent="0.3">
      <c r="A857">
        <v>855</v>
      </c>
      <c r="B857" t="s">
        <v>831</v>
      </c>
      <c r="C857" t="s">
        <v>79</v>
      </c>
      <c r="D857" s="2">
        <v>2.2204460492503101E-16</v>
      </c>
    </row>
    <row r="858" spans="1:4" hidden="1" x14ac:dyDescent="0.3">
      <c r="A858">
        <v>856</v>
      </c>
      <c r="B858" s="1" t="s">
        <v>1191</v>
      </c>
      <c r="C858" t="s">
        <v>81</v>
      </c>
      <c r="D858" s="1" t="s">
        <v>1192</v>
      </c>
    </row>
    <row r="859" spans="1:4" hidden="1" x14ac:dyDescent="0.3">
      <c r="A859">
        <v>857</v>
      </c>
      <c r="B859" t="s">
        <v>1193</v>
      </c>
      <c r="C859" t="s">
        <v>84</v>
      </c>
      <c r="D859">
        <v>0.99990376127376601</v>
      </c>
    </row>
    <row r="860" spans="1:4" hidden="1" x14ac:dyDescent="0.3">
      <c r="A860">
        <v>858</v>
      </c>
      <c r="B860" s="1" t="s">
        <v>1194</v>
      </c>
      <c r="C860" t="s">
        <v>86</v>
      </c>
      <c r="D860" s="1" t="s">
        <v>1195</v>
      </c>
    </row>
    <row r="861" spans="1:4" hidden="1" x14ac:dyDescent="0.3">
      <c r="A861">
        <v>859</v>
      </c>
      <c r="B861" t="s">
        <v>1196</v>
      </c>
      <c r="C861" t="s">
        <v>89</v>
      </c>
      <c r="D861">
        <v>102959874.519447</v>
      </c>
    </row>
    <row r="862" spans="1:4" hidden="1" x14ac:dyDescent="0.3">
      <c r="A862">
        <v>860</v>
      </c>
      <c r="B862" s="1" t="s">
        <v>1197</v>
      </c>
      <c r="C862" t="s">
        <v>91</v>
      </c>
      <c r="D862" s="1" t="s">
        <v>1131</v>
      </c>
    </row>
    <row r="863" spans="1:4" hidden="1" x14ac:dyDescent="0.3">
      <c r="A863">
        <v>861</v>
      </c>
      <c r="B863" t="s">
        <v>1198</v>
      </c>
      <c r="C863" t="s">
        <v>94</v>
      </c>
      <c r="D863">
        <v>74732653.300186902</v>
      </c>
    </row>
    <row r="864" spans="1:4" hidden="1" x14ac:dyDescent="0.3">
      <c r="A864">
        <v>862</v>
      </c>
      <c r="B864" t="s">
        <v>1199</v>
      </c>
      <c r="C864" t="s">
        <v>96</v>
      </c>
      <c r="D864">
        <v>35035443.096916899</v>
      </c>
    </row>
    <row r="865" spans="1:4" hidden="1" x14ac:dyDescent="0.3">
      <c r="A865">
        <v>863</v>
      </c>
      <c r="B865" t="s">
        <v>1200</v>
      </c>
      <c r="C865" t="s">
        <v>98</v>
      </c>
      <c r="D865">
        <v>39402337.820331402</v>
      </c>
    </row>
    <row r="866" spans="1:4" hidden="1" x14ac:dyDescent="0.3">
      <c r="A866">
        <v>864</v>
      </c>
      <c r="B866" s="1" t="s">
        <v>1201</v>
      </c>
      <c r="C866" t="s">
        <v>100</v>
      </c>
      <c r="D866" s="1" t="s">
        <v>1202</v>
      </c>
    </row>
    <row r="867" spans="1:4" hidden="1" x14ac:dyDescent="0.3">
      <c r="A867">
        <v>865</v>
      </c>
      <c r="B867" t="s">
        <v>1203</v>
      </c>
      <c r="C867" t="s">
        <v>103</v>
      </c>
      <c r="D867">
        <v>1.0335148924002601E-2</v>
      </c>
    </row>
    <row r="868" spans="1:4" hidden="1" x14ac:dyDescent="0.3">
      <c r="A868">
        <v>866</v>
      </c>
      <c r="B868" t="s">
        <v>1204</v>
      </c>
      <c r="C868" t="s">
        <v>105</v>
      </c>
      <c r="D868">
        <v>3.22262910360205E-3</v>
      </c>
    </row>
    <row r="869" spans="1:4" hidden="1" x14ac:dyDescent="0.3">
      <c r="A869">
        <v>867</v>
      </c>
      <c r="B869" t="s">
        <v>1205</v>
      </c>
      <c r="C869" t="s">
        <v>107</v>
      </c>
      <c r="D869">
        <v>1.2260120235467201E-2</v>
      </c>
    </row>
    <row r="870" spans="1:4" hidden="1" x14ac:dyDescent="0.3">
      <c r="A870">
        <v>868</v>
      </c>
      <c r="B870" s="1" t="s">
        <v>1206</v>
      </c>
      <c r="C870" t="s">
        <v>109</v>
      </c>
      <c r="D870" s="1" t="s">
        <v>1207</v>
      </c>
    </row>
    <row r="871" spans="1:4" hidden="1" x14ac:dyDescent="0.3">
      <c r="A871">
        <v>869</v>
      </c>
      <c r="B871" t="s">
        <v>1208</v>
      </c>
      <c r="C871" t="s">
        <v>208</v>
      </c>
      <c r="D871">
        <v>149170048.06161901</v>
      </c>
    </row>
    <row r="872" spans="1:4" hidden="1" x14ac:dyDescent="0.3">
      <c r="A872">
        <v>870</v>
      </c>
      <c r="B872" t="s">
        <v>1209</v>
      </c>
      <c r="C872" t="s">
        <v>210</v>
      </c>
      <c r="D872">
        <v>824.22323452250805</v>
      </c>
    </row>
    <row r="873" spans="1:4" hidden="1" x14ac:dyDescent="0.3">
      <c r="A873">
        <v>871</v>
      </c>
      <c r="B873" t="s">
        <v>1210</v>
      </c>
      <c r="C873" t="s">
        <v>212</v>
      </c>
      <c r="D873">
        <v>386.40498104091</v>
      </c>
    </row>
    <row r="874" spans="1:4" hidden="1" x14ac:dyDescent="0.3">
      <c r="A874">
        <v>872</v>
      </c>
      <c r="B874" s="1" t="s">
        <v>1211</v>
      </c>
      <c r="C874" t="s">
        <v>214</v>
      </c>
      <c r="D874" s="1" t="s">
        <v>1212</v>
      </c>
    </row>
    <row r="875" spans="1:4" hidden="1" x14ac:dyDescent="0.3">
      <c r="A875">
        <v>873</v>
      </c>
      <c r="B875" t="s">
        <v>1213</v>
      </c>
      <c r="C875" t="s">
        <v>217</v>
      </c>
      <c r="D875">
        <v>74731582.029071704</v>
      </c>
    </row>
    <row r="876" spans="1:4" hidden="1" x14ac:dyDescent="0.3">
      <c r="A876">
        <v>874</v>
      </c>
      <c r="B876" t="s">
        <v>1214</v>
      </c>
      <c r="C876" t="s">
        <v>219</v>
      </c>
      <c r="D876">
        <v>35034993.345982999</v>
      </c>
    </row>
    <row r="877" spans="1:4" hidden="1" x14ac:dyDescent="0.3">
      <c r="A877">
        <v>875</v>
      </c>
      <c r="B877" t="s">
        <v>1215</v>
      </c>
      <c r="C877" t="s">
        <v>221</v>
      </c>
      <c r="D877">
        <v>39401827.491050698</v>
      </c>
    </row>
    <row r="878" spans="1:4" hidden="1" x14ac:dyDescent="0.3">
      <c r="A878">
        <v>876</v>
      </c>
      <c r="B878" s="1" t="s">
        <v>1216</v>
      </c>
      <c r="C878" t="s">
        <v>223</v>
      </c>
      <c r="D878" s="1" t="s">
        <v>1217</v>
      </c>
    </row>
    <row r="879" spans="1:4" hidden="1" x14ac:dyDescent="0.3">
      <c r="A879">
        <v>877</v>
      </c>
      <c r="B879" t="s">
        <v>1218</v>
      </c>
      <c r="C879" t="s">
        <v>226</v>
      </c>
      <c r="D879">
        <v>102958738.97564401</v>
      </c>
    </row>
    <row r="880" spans="1:4" hidden="1" x14ac:dyDescent="0.3">
      <c r="A880">
        <v>878</v>
      </c>
      <c r="B880" t="s">
        <v>1219</v>
      </c>
      <c r="C880" t="s">
        <v>228</v>
      </c>
      <c r="D880">
        <v>1135.5438029914999</v>
      </c>
    </row>
    <row r="881" spans="1:4" hidden="1" x14ac:dyDescent="0.3">
      <c r="A881">
        <v>879</v>
      </c>
      <c r="B881" s="1" t="s">
        <v>1220</v>
      </c>
      <c r="C881" t="s">
        <v>230</v>
      </c>
      <c r="D881" s="1" t="s">
        <v>1221</v>
      </c>
    </row>
    <row r="882" spans="1:4" hidden="1" x14ac:dyDescent="0.3">
      <c r="A882">
        <v>880</v>
      </c>
      <c r="B882" t="s">
        <v>1222</v>
      </c>
      <c r="C882" t="s">
        <v>112</v>
      </c>
      <c r="D882">
        <v>-247.047880661981</v>
      </c>
    </row>
    <row r="883" spans="1:4" hidden="1" x14ac:dyDescent="0.3">
      <c r="A883">
        <v>881</v>
      </c>
      <c r="B883" t="s">
        <v>1223</v>
      </c>
      <c r="C883" t="s">
        <v>114</v>
      </c>
      <c r="D883">
        <v>-63.345952878936501</v>
      </c>
    </row>
    <row r="884" spans="1:4" hidden="1" x14ac:dyDescent="0.3">
      <c r="A884">
        <v>882</v>
      </c>
      <c r="B884" s="1" t="s">
        <v>1224</v>
      </c>
      <c r="C884" t="s">
        <v>116</v>
      </c>
      <c r="D884" s="1" t="s">
        <v>1225</v>
      </c>
    </row>
    <row r="885" spans="1:4" hidden="1" x14ac:dyDescent="0.3">
      <c r="A885">
        <v>883</v>
      </c>
      <c r="B885" t="s">
        <v>1226</v>
      </c>
      <c r="C885" t="s">
        <v>119</v>
      </c>
      <c r="D885">
        <v>74731582.029071704</v>
      </c>
    </row>
    <row r="886" spans="1:4" hidden="1" x14ac:dyDescent="0.3">
      <c r="A886">
        <v>884</v>
      </c>
      <c r="B886" t="s">
        <v>1227</v>
      </c>
      <c r="C886" t="s">
        <v>121</v>
      </c>
      <c r="D886">
        <v>35034993.345982999</v>
      </c>
    </row>
    <row r="887" spans="1:4" hidden="1" x14ac:dyDescent="0.3">
      <c r="A887">
        <v>885</v>
      </c>
      <c r="B887" s="1" t="s">
        <v>1228</v>
      </c>
      <c r="C887" t="s">
        <v>123</v>
      </c>
      <c r="D887" s="1" t="s">
        <v>1229</v>
      </c>
    </row>
    <row r="888" spans="1:4" hidden="1" x14ac:dyDescent="0.3">
      <c r="A888">
        <v>886</v>
      </c>
      <c r="B888" t="s">
        <v>1230</v>
      </c>
      <c r="C888" t="s">
        <v>126</v>
      </c>
      <c r="D888">
        <v>0.72590996681921605</v>
      </c>
    </row>
    <row r="889" spans="1:4" hidden="1" x14ac:dyDescent="0.3">
      <c r="A889">
        <v>887</v>
      </c>
      <c r="B889" t="s">
        <v>1231</v>
      </c>
      <c r="C889" t="s">
        <v>128</v>
      </c>
      <c r="D889">
        <v>0.34031463227154002</v>
      </c>
    </row>
    <row r="890" spans="1:4" hidden="1" x14ac:dyDescent="0.3">
      <c r="A890">
        <v>888</v>
      </c>
      <c r="B890" s="1" t="s">
        <v>1232</v>
      </c>
      <c r="C890" t="s">
        <v>130</v>
      </c>
      <c r="D890" s="1" t="s">
        <v>1233</v>
      </c>
    </row>
    <row r="891" spans="1:4" x14ac:dyDescent="0.3">
      <c r="A891">
        <v>889</v>
      </c>
      <c r="B891" s="1" t="s">
        <v>1234</v>
      </c>
      <c r="C891" t="s">
        <v>4</v>
      </c>
      <c r="D891" t="s">
        <v>1235</v>
      </c>
    </row>
    <row r="892" spans="1:4" hidden="1" x14ac:dyDescent="0.3">
      <c r="A892">
        <v>890</v>
      </c>
      <c r="B892" t="s">
        <v>1236</v>
      </c>
      <c r="C892" t="s">
        <v>7</v>
      </c>
      <c r="D892">
        <v>1708.17</v>
      </c>
    </row>
    <row r="893" spans="1:4" hidden="1" x14ac:dyDescent="0.3">
      <c r="A893">
        <v>891</v>
      </c>
      <c r="B893" s="1" t="s">
        <v>1237</v>
      </c>
      <c r="C893" t="s">
        <v>9</v>
      </c>
      <c r="D893" s="1" t="s">
        <v>1238</v>
      </c>
    </row>
    <row r="894" spans="1:4" hidden="1" x14ac:dyDescent="0.3">
      <c r="A894">
        <v>892</v>
      </c>
      <c r="B894" t="s">
        <v>1239</v>
      </c>
      <c r="C894" t="s">
        <v>14</v>
      </c>
      <c r="D894">
        <v>91.05859375</v>
      </c>
    </row>
    <row r="895" spans="1:4" hidden="1" x14ac:dyDescent="0.3">
      <c r="A895">
        <v>893</v>
      </c>
      <c r="B895" t="s">
        <v>1240</v>
      </c>
      <c r="C895" t="s">
        <v>16</v>
      </c>
      <c r="D895">
        <v>4.2847311533508003</v>
      </c>
    </row>
    <row r="896" spans="1:4" hidden="1" x14ac:dyDescent="0.3">
      <c r="A896">
        <v>894</v>
      </c>
      <c r="B896" s="1" t="s">
        <v>1241</v>
      </c>
      <c r="C896" t="s">
        <v>140</v>
      </c>
      <c r="D896" s="1" t="s">
        <v>1242</v>
      </c>
    </row>
    <row r="897" spans="1:4" hidden="1" x14ac:dyDescent="0.3">
      <c r="A897">
        <v>895</v>
      </c>
      <c r="B897" t="s">
        <v>433</v>
      </c>
      <c r="C897" t="s">
        <v>22</v>
      </c>
      <c r="D897">
        <v>64</v>
      </c>
    </row>
    <row r="898" spans="1:4" hidden="1" x14ac:dyDescent="0.3">
      <c r="A898">
        <v>896</v>
      </c>
      <c r="B898" t="s">
        <v>1243</v>
      </c>
      <c r="C898" t="s">
        <v>24</v>
      </c>
      <c r="D898">
        <v>5.5144747206089804</v>
      </c>
    </row>
    <row r="899" spans="1:4" hidden="1" x14ac:dyDescent="0.3">
      <c r="A899">
        <v>897</v>
      </c>
      <c r="B899" s="1" t="s">
        <v>1244</v>
      </c>
      <c r="C899" t="s">
        <v>145</v>
      </c>
      <c r="D899" s="1" t="s">
        <v>1245</v>
      </c>
    </row>
    <row r="900" spans="1:4" hidden="1" x14ac:dyDescent="0.3">
      <c r="A900">
        <v>898</v>
      </c>
      <c r="B900" t="s">
        <v>1246</v>
      </c>
      <c r="C900" t="s">
        <v>35</v>
      </c>
      <c r="D900">
        <v>0.15478843152802901</v>
      </c>
    </row>
    <row r="901" spans="1:4" hidden="1" x14ac:dyDescent="0.3">
      <c r="A901">
        <v>899</v>
      </c>
      <c r="B901" t="s">
        <v>1247</v>
      </c>
      <c r="C901" t="s">
        <v>149</v>
      </c>
      <c r="D901">
        <v>0.57249556171645999</v>
      </c>
    </row>
    <row r="902" spans="1:4" hidden="1" x14ac:dyDescent="0.3">
      <c r="A902">
        <v>900</v>
      </c>
      <c r="B902" s="1" t="s">
        <v>1248</v>
      </c>
      <c r="C902" t="s">
        <v>151</v>
      </c>
      <c r="D902" s="1" t="s">
        <v>1249</v>
      </c>
    </row>
    <row r="903" spans="1:4" hidden="1" x14ac:dyDescent="0.3">
      <c r="A903">
        <v>901</v>
      </c>
      <c r="B903" t="s">
        <v>1250</v>
      </c>
      <c r="C903" t="s">
        <v>30</v>
      </c>
      <c r="D903">
        <v>0.35965998998918203</v>
      </c>
    </row>
    <row r="904" spans="1:4" hidden="1" x14ac:dyDescent="0.3">
      <c r="A904">
        <v>902</v>
      </c>
      <c r="B904" t="s">
        <v>1251</v>
      </c>
      <c r="C904" t="s">
        <v>32</v>
      </c>
      <c r="D904">
        <v>0.365912847338489</v>
      </c>
    </row>
    <row r="905" spans="1:4" hidden="1" x14ac:dyDescent="0.3">
      <c r="A905">
        <v>903</v>
      </c>
      <c r="B905" s="1" t="s">
        <v>1252</v>
      </c>
      <c r="C905" t="s">
        <v>155</v>
      </c>
      <c r="D905" s="1" t="s">
        <v>1253</v>
      </c>
    </row>
    <row r="906" spans="1:4" hidden="1" x14ac:dyDescent="0.3">
      <c r="A906">
        <v>904</v>
      </c>
      <c r="B906" t="s">
        <v>1254</v>
      </c>
      <c r="C906" t="s">
        <v>40</v>
      </c>
      <c r="D906">
        <v>0.48555157848278802</v>
      </c>
    </row>
    <row r="907" spans="1:4" hidden="1" x14ac:dyDescent="0.3">
      <c r="A907">
        <v>905</v>
      </c>
      <c r="B907" t="s">
        <v>1255</v>
      </c>
      <c r="C907" t="s">
        <v>42</v>
      </c>
      <c r="D907">
        <v>0.38082558501161101</v>
      </c>
    </row>
    <row r="908" spans="1:4" hidden="1" x14ac:dyDescent="0.3">
      <c r="A908">
        <v>906</v>
      </c>
      <c r="B908" s="1" t="s">
        <v>1256</v>
      </c>
      <c r="C908" t="s">
        <v>159</v>
      </c>
      <c r="D908" s="1" t="s">
        <v>1257</v>
      </c>
    </row>
    <row r="909" spans="1:4" hidden="1" x14ac:dyDescent="0.3">
      <c r="A909">
        <v>907</v>
      </c>
      <c r="B909" t="s">
        <v>1258</v>
      </c>
      <c r="C909" t="s">
        <v>161</v>
      </c>
      <c r="D909">
        <v>0.99896487596056005</v>
      </c>
    </row>
    <row r="910" spans="1:4" hidden="1" x14ac:dyDescent="0.3">
      <c r="A910">
        <v>908</v>
      </c>
      <c r="B910" t="s">
        <v>1259</v>
      </c>
      <c r="C910" t="s">
        <v>163</v>
      </c>
      <c r="D910">
        <v>1.00120991501559</v>
      </c>
    </row>
    <row r="911" spans="1:4" hidden="1" x14ac:dyDescent="0.3">
      <c r="A911">
        <v>909</v>
      </c>
      <c r="B911" s="1" t="s">
        <v>1260</v>
      </c>
      <c r="C911" t="s">
        <v>165</v>
      </c>
      <c r="D911" s="1" t="s">
        <v>1261</v>
      </c>
    </row>
    <row r="912" spans="1:4" hidden="1" x14ac:dyDescent="0.3">
      <c r="A912">
        <v>910</v>
      </c>
      <c r="B912" t="s">
        <v>1262</v>
      </c>
      <c r="C912" t="s">
        <v>168</v>
      </c>
      <c r="D912">
        <v>1.0011826143956299</v>
      </c>
    </row>
    <row r="913" spans="1:4" hidden="1" x14ac:dyDescent="0.3">
      <c r="A913">
        <v>911</v>
      </c>
      <c r="B913" t="s">
        <v>1263</v>
      </c>
      <c r="C913" t="s">
        <v>170</v>
      </c>
      <c r="D913">
        <v>0.99993682096950098</v>
      </c>
    </row>
    <row r="914" spans="1:4" hidden="1" x14ac:dyDescent="0.3">
      <c r="A914">
        <v>912</v>
      </c>
      <c r="B914" s="1" t="s">
        <v>1264</v>
      </c>
      <c r="C914" t="s">
        <v>172</v>
      </c>
      <c r="D914" s="1" t="s">
        <v>1265</v>
      </c>
    </row>
    <row r="915" spans="1:4" hidden="1" x14ac:dyDescent="0.3">
      <c r="A915">
        <v>913</v>
      </c>
      <c r="B915" s="1" t="s">
        <v>1266</v>
      </c>
      <c r="C915" t="s">
        <v>55</v>
      </c>
      <c r="D915" s="1" t="s">
        <v>1267</v>
      </c>
    </row>
    <row r="916" spans="1:4" hidden="1" x14ac:dyDescent="0.3">
      <c r="A916">
        <v>914</v>
      </c>
      <c r="B916" s="1" t="s">
        <v>1268</v>
      </c>
      <c r="C916" t="s">
        <v>52</v>
      </c>
      <c r="D916" s="1" t="s">
        <v>1269</v>
      </c>
    </row>
    <row r="917" spans="1:4" hidden="1" x14ac:dyDescent="0.3">
      <c r="A917">
        <v>915</v>
      </c>
      <c r="B917" s="1" t="s">
        <v>1270</v>
      </c>
      <c r="C917" t="s">
        <v>58</v>
      </c>
      <c r="D917" s="1" t="s">
        <v>1271</v>
      </c>
    </row>
    <row r="918" spans="1:4" hidden="1" x14ac:dyDescent="0.3">
      <c r="A918">
        <v>916</v>
      </c>
      <c r="B918" t="s">
        <v>1272</v>
      </c>
      <c r="C918" t="s">
        <v>61</v>
      </c>
      <c r="D918">
        <v>148993319.608908</v>
      </c>
    </row>
    <row r="919" spans="1:4" hidden="1" x14ac:dyDescent="0.3">
      <c r="A919">
        <v>917</v>
      </c>
      <c r="B919" t="s">
        <v>1273</v>
      </c>
      <c r="C919" t="s">
        <v>63</v>
      </c>
      <c r="D919">
        <v>74654225.572008103</v>
      </c>
    </row>
    <row r="920" spans="1:4" hidden="1" x14ac:dyDescent="0.3">
      <c r="A920">
        <v>918</v>
      </c>
      <c r="B920" t="s">
        <v>1274</v>
      </c>
      <c r="C920" t="s">
        <v>65</v>
      </c>
      <c r="D920">
        <v>35077382.710503601</v>
      </c>
    </row>
    <row r="921" spans="1:4" hidden="1" x14ac:dyDescent="0.3">
      <c r="A921">
        <v>919</v>
      </c>
      <c r="B921" s="1" t="s">
        <v>1275</v>
      </c>
      <c r="C921" t="s">
        <v>67</v>
      </c>
      <c r="D921" s="1" t="s">
        <v>1276</v>
      </c>
    </row>
    <row r="922" spans="1:4" hidden="1" x14ac:dyDescent="0.3">
      <c r="A922">
        <v>920</v>
      </c>
      <c r="B922" s="1" t="s">
        <v>1277</v>
      </c>
      <c r="C922" t="s">
        <v>70</v>
      </c>
      <c r="D922" s="1" t="s">
        <v>1278</v>
      </c>
    </row>
    <row r="923" spans="1:4" hidden="1" x14ac:dyDescent="0.3">
      <c r="A923">
        <v>921</v>
      </c>
      <c r="B923" t="s">
        <v>1279</v>
      </c>
      <c r="C923" t="s">
        <v>73</v>
      </c>
      <c r="D923">
        <v>0.99990376127376601</v>
      </c>
    </row>
    <row r="924" spans="1:4" hidden="1" x14ac:dyDescent="0.3">
      <c r="A924">
        <v>922</v>
      </c>
      <c r="B924" t="s">
        <v>74</v>
      </c>
      <c r="C924" t="s">
        <v>75</v>
      </c>
      <c r="D924">
        <v>2.7397260273972599E-3</v>
      </c>
    </row>
    <row r="925" spans="1:4" hidden="1" x14ac:dyDescent="0.3">
      <c r="A925">
        <v>923</v>
      </c>
      <c r="B925" t="s">
        <v>76</v>
      </c>
      <c r="C925" t="s">
        <v>77</v>
      </c>
      <c r="D925">
        <v>0</v>
      </c>
    </row>
    <row r="926" spans="1:4" hidden="1" x14ac:dyDescent="0.3">
      <c r="A926">
        <v>924</v>
      </c>
      <c r="B926" t="s">
        <v>78</v>
      </c>
      <c r="C926" t="s">
        <v>79</v>
      </c>
      <c r="D926">
        <v>0</v>
      </c>
    </row>
    <row r="927" spans="1:4" hidden="1" x14ac:dyDescent="0.3">
      <c r="A927">
        <v>925</v>
      </c>
      <c r="B927" s="1" t="s">
        <v>1280</v>
      </c>
      <c r="C927" t="s">
        <v>81</v>
      </c>
      <c r="D927" s="1" t="s">
        <v>1281</v>
      </c>
    </row>
    <row r="928" spans="1:4" hidden="1" x14ac:dyDescent="0.3">
      <c r="A928">
        <v>926</v>
      </c>
      <c r="B928" t="s">
        <v>1282</v>
      </c>
      <c r="C928" t="s">
        <v>84</v>
      </c>
      <c r="D928">
        <v>0.99990147350538605</v>
      </c>
    </row>
    <row r="929" spans="1:4" hidden="1" x14ac:dyDescent="0.3">
      <c r="A929">
        <v>927</v>
      </c>
      <c r="B929" s="1" t="s">
        <v>1283</v>
      </c>
      <c r="C929" t="s">
        <v>86</v>
      </c>
      <c r="D929" s="1" t="s">
        <v>1284</v>
      </c>
    </row>
    <row r="930" spans="1:4" hidden="1" x14ac:dyDescent="0.3">
      <c r="A930">
        <v>928</v>
      </c>
      <c r="B930" t="s">
        <v>1285</v>
      </c>
      <c r="C930" t="s">
        <v>89</v>
      </c>
      <c r="D930">
        <v>102960110.091002</v>
      </c>
    </row>
    <row r="931" spans="1:4" hidden="1" x14ac:dyDescent="0.3">
      <c r="A931">
        <v>929</v>
      </c>
      <c r="B931" s="1" t="s">
        <v>1286</v>
      </c>
      <c r="C931" t="s">
        <v>91</v>
      </c>
      <c r="D931" s="1" t="s">
        <v>1221</v>
      </c>
    </row>
    <row r="932" spans="1:4" hidden="1" x14ac:dyDescent="0.3">
      <c r="A932">
        <v>930</v>
      </c>
      <c r="B932" t="s">
        <v>1287</v>
      </c>
      <c r="C932" t="s">
        <v>94</v>
      </c>
      <c r="D932">
        <v>74654225.572008103</v>
      </c>
    </row>
    <row r="933" spans="1:4" hidden="1" x14ac:dyDescent="0.3">
      <c r="A933">
        <v>931</v>
      </c>
      <c r="B933" t="s">
        <v>1288</v>
      </c>
      <c r="C933" t="s">
        <v>96</v>
      </c>
      <c r="D933">
        <v>35077382.710503601</v>
      </c>
    </row>
    <row r="934" spans="1:4" hidden="1" x14ac:dyDescent="0.3">
      <c r="A934">
        <v>932</v>
      </c>
      <c r="B934" t="s">
        <v>1289</v>
      </c>
      <c r="C934" t="s">
        <v>98</v>
      </c>
      <c r="D934">
        <v>39261711.326396897</v>
      </c>
    </row>
    <row r="935" spans="1:4" hidden="1" x14ac:dyDescent="0.3">
      <c r="A935">
        <v>933</v>
      </c>
      <c r="B935" s="1" t="s">
        <v>1290</v>
      </c>
      <c r="C935" t="s">
        <v>100</v>
      </c>
      <c r="D935" s="1" t="s">
        <v>1291</v>
      </c>
    </row>
    <row r="936" spans="1:4" hidden="1" x14ac:dyDescent="0.3">
      <c r="A936">
        <v>934</v>
      </c>
      <c r="B936" t="s">
        <v>1292</v>
      </c>
      <c r="C936" t="s">
        <v>103</v>
      </c>
      <c r="D936">
        <v>1.02713403031191E-2</v>
      </c>
    </row>
    <row r="937" spans="1:4" hidden="1" x14ac:dyDescent="0.3">
      <c r="A937">
        <v>935</v>
      </c>
      <c r="B937" t="s">
        <v>1293</v>
      </c>
      <c r="C937" t="s">
        <v>105</v>
      </c>
      <c r="D937">
        <v>3.2029348660593099E-3</v>
      </c>
    </row>
    <row r="938" spans="1:4" hidden="1" x14ac:dyDescent="0.3">
      <c r="A938">
        <v>936</v>
      </c>
      <c r="B938" t="s">
        <v>1294</v>
      </c>
      <c r="C938" t="s">
        <v>107</v>
      </c>
      <c r="D938">
        <v>1.21447955342697E-2</v>
      </c>
    </row>
    <row r="939" spans="1:4" hidden="1" x14ac:dyDescent="0.3">
      <c r="A939">
        <v>937</v>
      </c>
      <c r="B939" s="1" t="s">
        <v>1295</v>
      </c>
      <c r="C939" t="s">
        <v>109</v>
      </c>
      <c r="D939" s="1" t="s">
        <v>1296</v>
      </c>
    </row>
    <row r="940" spans="1:4" hidden="1" x14ac:dyDescent="0.3">
      <c r="A940">
        <v>938</v>
      </c>
      <c r="B940" t="s">
        <v>1297</v>
      </c>
      <c r="C940" t="s">
        <v>208</v>
      </c>
      <c r="D940">
        <v>148993239.18906501</v>
      </c>
    </row>
    <row r="941" spans="1:4" hidden="1" x14ac:dyDescent="0.3">
      <c r="A941">
        <v>939</v>
      </c>
      <c r="B941" t="s">
        <v>1298</v>
      </c>
      <c r="C941" t="s">
        <v>210</v>
      </c>
      <c r="D941">
        <v>170.80788748798599</v>
      </c>
    </row>
    <row r="942" spans="1:4" hidden="1" x14ac:dyDescent="0.3">
      <c r="A942">
        <v>940</v>
      </c>
      <c r="B942" t="s">
        <v>1299</v>
      </c>
      <c r="C942" t="s">
        <v>212</v>
      </c>
      <c r="D942">
        <v>80.256620927501004</v>
      </c>
    </row>
    <row r="943" spans="1:4" hidden="1" x14ac:dyDescent="0.3">
      <c r="A943">
        <v>941</v>
      </c>
      <c r="B943" s="1" t="s">
        <v>1300</v>
      </c>
      <c r="C943" t="s">
        <v>214</v>
      </c>
      <c r="D943" s="1" t="s">
        <v>1301</v>
      </c>
    </row>
    <row r="944" spans="1:4" hidden="1" x14ac:dyDescent="0.3">
      <c r="A944">
        <v>942</v>
      </c>
      <c r="B944" t="s">
        <v>1302</v>
      </c>
      <c r="C944" t="s">
        <v>217</v>
      </c>
      <c r="D944">
        <v>74653999.027846798</v>
      </c>
    </row>
    <row r="945" spans="1:4" hidden="1" x14ac:dyDescent="0.3">
      <c r="A945">
        <v>943</v>
      </c>
      <c r="B945" t="s">
        <v>1303</v>
      </c>
      <c r="C945" t="s">
        <v>219</v>
      </c>
      <c r="D945">
        <v>35077289.396962598</v>
      </c>
    </row>
    <row r="946" spans="1:4" hidden="1" x14ac:dyDescent="0.3">
      <c r="A946">
        <v>944</v>
      </c>
      <c r="B946" t="s">
        <v>1304</v>
      </c>
      <c r="C946" t="s">
        <v>221</v>
      </c>
      <c r="D946">
        <v>39261609.869427502</v>
      </c>
    </row>
    <row r="947" spans="1:4" hidden="1" x14ac:dyDescent="0.3">
      <c r="A947">
        <v>945</v>
      </c>
      <c r="B947" s="1" t="s">
        <v>1305</v>
      </c>
      <c r="C947" t="s">
        <v>223</v>
      </c>
      <c r="D947" s="1" t="s">
        <v>1306</v>
      </c>
    </row>
    <row r="948" spans="1:4" hidden="1" x14ac:dyDescent="0.3">
      <c r="A948">
        <v>946</v>
      </c>
      <c r="B948" t="s">
        <v>1307</v>
      </c>
      <c r="C948" t="s">
        <v>226</v>
      </c>
      <c r="D948">
        <v>102959874.519447</v>
      </c>
    </row>
    <row r="949" spans="1:4" hidden="1" x14ac:dyDescent="0.3">
      <c r="A949">
        <v>947</v>
      </c>
      <c r="B949" t="s">
        <v>1308</v>
      </c>
      <c r="C949" t="s">
        <v>228</v>
      </c>
      <c r="D949">
        <v>235.571555331349</v>
      </c>
    </row>
    <row r="950" spans="1:4" hidden="1" x14ac:dyDescent="0.3">
      <c r="A950">
        <v>948</v>
      </c>
      <c r="B950" s="1" t="s">
        <v>1309</v>
      </c>
      <c r="C950" t="s">
        <v>230</v>
      </c>
      <c r="D950" s="1" t="s">
        <v>1310</v>
      </c>
    </row>
    <row r="951" spans="1:4" hidden="1" x14ac:dyDescent="0.3">
      <c r="A951">
        <v>949</v>
      </c>
      <c r="B951" t="s">
        <v>1311</v>
      </c>
      <c r="C951" t="s">
        <v>112</v>
      </c>
      <c r="D951">
        <v>-55.736273798454803</v>
      </c>
    </row>
    <row r="952" spans="1:4" hidden="1" x14ac:dyDescent="0.3">
      <c r="A952">
        <v>950</v>
      </c>
      <c r="B952" t="s">
        <v>1312</v>
      </c>
      <c r="C952" t="s">
        <v>114</v>
      </c>
      <c r="D952">
        <v>-13.0569200663386</v>
      </c>
    </row>
    <row r="953" spans="1:4" hidden="1" x14ac:dyDescent="0.3">
      <c r="A953">
        <v>951</v>
      </c>
      <c r="B953" s="1" t="s">
        <v>1313</v>
      </c>
      <c r="C953" t="s">
        <v>116</v>
      </c>
      <c r="D953" s="1" t="s">
        <v>1314</v>
      </c>
    </row>
    <row r="954" spans="1:4" hidden="1" x14ac:dyDescent="0.3">
      <c r="A954">
        <v>952</v>
      </c>
      <c r="B954" t="s">
        <v>1315</v>
      </c>
      <c r="C954" t="s">
        <v>119</v>
      </c>
      <c r="D954">
        <v>74653999.027846798</v>
      </c>
    </row>
    <row r="955" spans="1:4" hidden="1" x14ac:dyDescent="0.3">
      <c r="A955">
        <v>953</v>
      </c>
      <c r="B955" t="s">
        <v>1316</v>
      </c>
      <c r="C955" t="s">
        <v>121</v>
      </c>
      <c r="D955">
        <v>35077289.396962598</v>
      </c>
    </row>
    <row r="956" spans="1:4" hidden="1" x14ac:dyDescent="0.3">
      <c r="A956">
        <v>954</v>
      </c>
      <c r="B956" s="1" t="s">
        <v>1317</v>
      </c>
      <c r="C956" t="s">
        <v>123</v>
      </c>
      <c r="D956" s="1" t="s">
        <v>1318</v>
      </c>
    </row>
    <row r="957" spans="1:4" hidden="1" x14ac:dyDescent="0.3">
      <c r="A957">
        <v>955</v>
      </c>
      <c r="B957" t="s">
        <v>1319</v>
      </c>
      <c r="C957" t="s">
        <v>126</v>
      </c>
      <c r="D957">
        <v>0.72515002080107105</v>
      </c>
    </row>
    <row r="958" spans="1:4" hidden="1" x14ac:dyDescent="0.3">
      <c r="A958">
        <v>956</v>
      </c>
      <c r="B958" t="s">
        <v>1320</v>
      </c>
      <c r="C958" t="s">
        <v>128</v>
      </c>
      <c r="D958">
        <v>0.34072249935820098</v>
      </c>
    </row>
    <row r="959" spans="1:4" hidden="1" x14ac:dyDescent="0.3">
      <c r="A959">
        <v>957</v>
      </c>
      <c r="B959" s="1" t="s">
        <v>1321</v>
      </c>
      <c r="C959" t="s">
        <v>130</v>
      </c>
      <c r="D959" s="1" t="s">
        <v>1322</v>
      </c>
    </row>
    <row r="960" spans="1:4" x14ac:dyDescent="0.3">
      <c r="A960">
        <v>958</v>
      </c>
      <c r="B960" s="1" t="s">
        <v>1323</v>
      </c>
      <c r="C960" t="s">
        <v>4</v>
      </c>
      <c r="D960" t="s">
        <v>1324</v>
      </c>
    </row>
    <row r="961" spans="1:4" hidden="1" x14ac:dyDescent="0.3">
      <c r="A961">
        <v>959</v>
      </c>
      <c r="B961" t="s">
        <v>1325</v>
      </c>
      <c r="C961" t="s">
        <v>7</v>
      </c>
      <c r="D961">
        <v>1709.22</v>
      </c>
    </row>
    <row r="962" spans="1:4" hidden="1" x14ac:dyDescent="0.3">
      <c r="A962">
        <v>960</v>
      </c>
      <c r="B962" s="1" t="s">
        <v>1326</v>
      </c>
      <c r="C962" t="s">
        <v>9</v>
      </c>
      <c r="D962" s="1" t="s">
        <v>1327</v>
      </c>
    </row>
    <row r="963" spans="1:4" hidden="1" x14ac:dyDescent="0.3">
      <c r="A963">
        <v>961</v>
      </c>
      <c r="B963" t="s">
        <v>1328</v>
      </c>
      <c r="C963" t="s">
        <v>14</v>
      </c>
      <c r="D963">
        <v>90.890625</v>
      </c>
    </row>
    <row r="964" spans="1:4" hidden="1" x14ac:dyDescent="0.3">
      <c r="A964">
        <v>962</v>
      </c>
      <c r="B964" t="s">
        <v>1329</v>
      </c>
      <c r="C964" t="s">
        <v>16</v>
      </c>
      <c r="D964">
        <v>4.2829248663152599</v>
      </c>
    </row>
    <row r="965" spans="1:4" hidden="1" x14ac:dyDescent="0.3">
      <c r="A965">
        <v>963</v>
      </c>
      <c r="B965" s="1" t="s">
        <v>1330</v>
      </c>
      <c r="C965" t="s">
        <v>140</v>
      </c>
      <c r="D965" s="1" t="s">
        <v>1331</v>
      </c>
    </row>
    <row r="966" spans="1:4" hidden="1" x14ac:dyDescent="0.3">
      <c r="A966">
        <v>964</v>
      </c>
      <c r="B966" t="s">
        <v>793</v>
      </c>
      <c r="C966" t="s">
        <v>22</v>
      </c>
      <c r="D966">
        <v>64.849999999999994</v>
      </c>
    </row>
    <row r="967" spans="1:4" hidden="1" x14ac:dyDescent="0.3">
      <c r="A967">
        <v>965</v>
      </c>
      <c r="B967" t="s">
        <v>1332</v>
      </c>
      <c r="C967" t="s">
        <v>24</v>
      </c>
      <c r="D967">
        <v>5.4385047310928396</v>
      </c>
    </row>
    <row r="968" spans="1:4" hidden="1" x14ac:dyDescent="0.3">
      <c r="A968">
        <v>966</v>
      </c>
      <c r="B968" s="1" t="s">
        <v>1333</v>
      </c>
      <c r="C968" t="s">
        <v>145</v>
      </c>
      <c r="D968" s="1" t="s">
        <v>1334</v>
      </c>
    </row>
    <row r="969" spans="1:4" hidden="1" x14ac:dyDescent="0.3">
      <c r="A969">
        <v>967</v>
      </c>
      <c r="B969" t="s">
        <v>1335</v>
      </c>
      <c r="C969" t="s">
        <v>35</v>
      </c>
      <c r="D969">
        <v>-2.3168064139800699</v>
      </c>
    </row>
    <row r="970" spans="1:4" hidden="1" x14ac:dyDescent="0.3">
      <c r="A970">
        <v>968</v>
      </c>
      <c r="B970" t="s">
        <v>1336</v>
      </c>
      <c r="C970" t="s">
        <v>149</v>
      </c>
      <c r="D970">
        <v>0.57062660601526305</v>
      </c>
    </row>
    <row r="971" spans="1:4" hidden="1" x14ac:dyDescent="0.3">
      <c r="A971">
        <v>969</v>
      </c>
      <c r="B971" s="1" t="s">
        <v>1337</v>
      </c>
      <c r="C971" t="s">
        <v>151</v>
      </c>
      <c r="D971" s="1" t="s">
        <v>1338</v>
      </c>
    </row>
    <row r="972" spans="1:4" hidden="1" x14ac:dyDescent="0.3">
      <c r="A972">
        <v>970</v>
      </c>
      <c r="B972" t="s">
        <v>1339</v>
      </c>
      <c r="C972" t="s">
        <v>30</v>
      </c>
      <c r="D972">
        <v>1.41742558904399</v>
      </c>
    </row>
    <row r="973" spans="1:4" hidden="1" x14ac:dyDescent="0.3">
      <c r="A973">
        <v>971</v>
      </c>
      <c r="B973" t="s">
        <v>1340</v>
      </c>
      <c r="C973" t="s">
        <v>32</v>
      </c>
      <c r="D973">
        <v>0.36535627301738299</v>
      </c>
    </row>
    <row r="974" spans="1:4" hidden="1" x14ac:dyDescent="0.3">
      <c r="A974">
        <v>972</v>
      </c>
      <c r="B974" s="1" t="s">
        <v>1341</v>
      </c>
      <c r="C974" t="s">
        <v>155</v>
      </c>
      <c r="D974" s="1" t="s">
        <v>1342</v>
      </c>
    </row>
    <row r="975" spans="1:4" hidden="1" x14ac:dyDescent="0.3">
      <c r="A975">
        <v>973</v>
      </c>
      <c r="B975" t="s">
        <v>1343</v>
      </c>
      <c r="C975" t="s">
        <v>40</v>
      </c>
      <c r="D975">
        <v>1.89938082493608</v>
      </c>
    </row>
    <row r="976" spans="1:4" hidden="1" x14ac:dyDescent="0.3">
      <c r="A976">
        <v>974</v>
      </c>
      <c r="B976" t="s">
        <v>1344</v>
      </c>
      <c r="C976" t="s">
        <v>42</v>
      </c>
      <c r="D976">
        <v>0.38710319777927099</v>
      </c>
    </row>
    <row r="977" spans="1:4" hidden="1" x14ac:dyDescent="0.3">
      <c r="A977">
        <v>975</v>
      </c>
      <c r="B977" s="1" t="s">
        <v>1345</v>
      </c>
      <c r="C977" t="s">
        <v>159</v>
      </c>
      <c r="D977" s="1" t="s">
        <v>1346</v>
      </c>
    </row>
    <row r="978" spans="1:4" hidden="1" x14ac:dyDescent="0.3">
      <c r="A978">
        <v>976</v>
      </c>
      <c r="B978" t="s">
        <v>1347</v>
      </c>
      <c r="C978" t="s">
        <v>161</v>
      </c>
      <c r="D978">
        <v>1.0006146929169799</v>
      </c>
    </row>
    <row r="979" spans="1:4" hidden="1" x14ac:dyDescent="0.3">
      <c r="A979">
        <v>977</v>
      </c>
      <c r="B979" t="s">
        <v>1348</v>
      </c>
      <c r="C979" t="s">
        <v>163</v>
      </c>
      <c r="D979">
        <v>0.99821932959430903</v>
      </c>
    </row>
    <row r="980" spans="1:4" hidden="1" x14ac:dyDescent="0.3">
      <c r="A980">
        <v>978</v>
      </c>
      <c r="B980" s="1" t="s">
        <v>1349</v>
      </c>
      <c r="C980" t="s">
        <v>165</v>
      </c>
      <c r="D980" s="1" t="s">
        <v>1350</v>
      </c>
    </row>
    <row r="981" spans="1:4" hidden="1" x14ac:dyDescent="0.3">
      <c r="A981">
        <v>979</v>
      </c>
      <c r="B981" t="s">
        <v>1351</v>
      </c>
      <c r="C981" t="s">
        <v>168</v>
      </c>
      <c r="D981">
        <v>0.99881147155725103</v>
      </c>
    </row>
    <row r="982" spans="1:4" hidden="1" x14ac:dyDescent="0.3">
      <c r="A982">
        <v>980</v>
      </c>
      <c r="B982" t="s">
        <v>1352</v>
      </c>
      <c r="C982" t="s">
        <v>170</v>
      </c>
      <c r="D982">
        <v>0.99959252574408997</v>
      </c>
    </row>
    <row r="983" spans="1:4" hidden="1" x14ac:dyDescent="0.3">
      <c r="A983">
        <v>981</v>
      </c>
      <c r="B983" s="1" t="s">
        <v>1353</v>
      </c>
      <c r="C983" t="s">
        <v>172</v>
      </c>
      <c r="D983" s="1" t="s">
        <v>1354</v>
      </c>
    </row>
    <row r="984" spans="1:4" hidden="1" x14ac:dyDescent="0.3">
      <c r="A984">
        <v>982</v>
      </c>
      <c r="B984" s="1" t="s">
        <v>1355</v>
      </c>
      <c r="C984" t="s">
        <v>55</v>
      </c>
      <c r="D984" s="1" t="s">
        <v>1356</v>
      </c>
    </row>
    <row r="985" spans="1:4" hidden="1" x14ac:dyDescent="0.3">
      <c r="A985">
        <v>983</v>
      </c>
      <c r="B985" s="1" t="s">
        <v>1357</v>
      </c>
      <c r="C985" t="s">
        <v>52</v>
      </c>
      <c r="D985" s="1" t="s">
        <v>1358</v>
      </c>
    </row>
    <row r="986" spans="1:4" hidden="1" x14ac:dyDescent="0.3">
      <c r="A986">
        <v>984</v>
      </c>
      <c r="B986" s="1" t="s">
        <v>1359</v>
      </c>
      <c r="C986" t="s">
        <v>58</v>
      </c>
      <c r="D986" s="1" t="s">
        <v>1360</v>
      </c>
    </row>
    <row r="987" spans="1:4" hidden="1" x14ac:dyDescent="0.3">
      <c r="A987">
        <v>985</v>
      </c>
      <c r="B987" t="s">
        <v>1361</v>
      </c>
      <c r="C987" t="s">
        <v>61</v>
      </c>
      <c r="D987">
        <v>149413496.79516</v>
      </c>
    </row>
    <row r="988" spans="1:4" hidden="1" x14ac:dyDescent="0.3">
      <c r="A988">
        <v>986</v>
      </c>
      <c r="B988" t="s">
        <v>1362</v>
      </c>
      <c r="C988" t="s">
        <v>63</v>
      </c>
      <c r="D988">
        <v>74699888.312273502</v>
      </c>
    </row>
    <row r="989" spans="1:4" hidden="1" x14ac:dyDescent="0.3">
      <c r="A989">
        <v>987</v>
      </c>
      <c r="B989" t="s">
        <v>1363</v>
      </c>
      <c r="C989" t="s">
        <v>65</v>
      </c>
      <c r="D989">
        <v>35014828.305821598</v>
      </c>
    </row>
    <row r="990" spans="1:4" hidden="1" x14ac:dyDescent="0.3">
      <c r="A990">
        <v>988</v>
      </c>
      <c r="B990" s="1" t="s">
        <v>1364</v>
      </c>
      <c r="C990" t="s">
        <v>67</v>
      </c>
      <c r="D990" s="1" t="s">
        <v>1365</v>
      </c>
    </row>
    <row r="991" spans="1:4" hidden="1" x14ac:dyDescent="0.3">
      <c r="A991">
        <v>989</v>
      </c>
      <c r="B991" s="1" t="s">
        <v>1366</v>
      </c>
      <c r="C991" t="s">
        <v>70</v>
      </c>
      <c r="D991" s="1" t="s">
        <v>1367</v>
      </c>
    </row>
    <row r="992" spans="1:4" hidden="1" x14ac:dyDescent="0.3">
      <c r="A992">
        <v>990</v>
      </c>
      <c r="B992" t="s">
        <v>1368</v>
      </c>
      <c r="C992" t="s">
        <v>73</v>
      </c>
      <c r="D992">
        <v>0.99990147350538605</v>
      </c>
    </row>
    <row r="993" spans="1:4" hidden="1" x14ac:dyDescent="0.3">
      <c r="A993">
        <v>991</v>
      </c>
      <c r="B993" t="s">
        <v>74</v>
      </c>
      <c r="C993" t="s">
        <v>75</v>
      </c>
      <c r="D993">
        <v>2.7397260273972599E-3</v>
      </c>
    </row>
    <row r="994" spans="1:4" hidden="1" x14ac:dyDescent="0.3">
      <c r="A994">
        <v>992</v>
      </c>
      <c r="B994" t="s">
        <v>76</v>
      </c>
      <c r="C994" t="s">
        <v>77</v>
      </c>
      <c r="D994">
        <v>0</v>
      </c>
    </row>
    <row r="995" spans="1:4" hidden="1" x14ac:dyDescent="0.3">
      <c r="A995">
        <v>993</v>
      </c>
      <c r="B995" t="s">
        <v>78</v>
      </c>
      <c r="C995" t="s">
        <v>79</v>
      </c>
      <c r="D995">
        <v>0</v>
      </c>
    </row>
    <row r="996" spans="1:4" hidden="1" x14ac:dyDescent="0.3">
      <c r="A996">
        <v>994</v>
      </c>
      <c r="B996" s="1" t="s">
        <v>1369</v>
      </c>
      <c r="C996" t="s">
        <v>81</v>
      </c>
      <c r="D996" s="1" t="s">
        <v>1370</v>
      </c>
    </row>
    <row r="997" spans="1:4" hidden="1" x14ac:dyDescent="0.3">
      <c r="A997">
        <v>995</v>
      </c>
      <c r="B997" t="s">
        <v>1371</v>
      </c>
      <c r="C997" t="s">
        <v>84</v>
      </c>
      <c r="D997">
        <v>0.99991972992162903</v>
      </c>
    </row>
    <row r="998" spans="1:4" hidden="1" x14ac:dyDescent="0.3">
      <c r="A998">
        <v>996</v>
      </c>
      <c r="B998" s="1" t="s">
        <v>1372</v>
      </c>
      <c r="C998" t="s">
        <v>86</v>
      </c>
      <c r="D998" s="1" t="s">
        <v>1373</v>
      </c>
    </row>
    <row r="999" spans="1:4" hidden="1" x14ac:dyDescent="0.3">
      <c r="A999">
        <v>997</v>
      </c>
      <c r="B999" t="s">
        <v>1374</v>
      </c>
      <c r="C999" t="s">
        <v>89</v>
      </c>
      <c r="D999">
        <v>102958230.25748099</v>
      </c>
    </row>
    <row r="1000" spans="1:4" hidden="1" x14ac:dyDescent="0.3">
      <c r="A1000">
        <v>998</v>
      </c>
      <c r="B1000" s="1" t="s">
        <v>1375</v>
      </c>
      <c r="C1000" t="s">
        <v>91</v>
      </c>
      <c r="D1000" s="1" t="s">
        <v>1310</v>
      </c>
    </row>
    <row r="1001" spans="1:4" hidden="1" x14ac:dyDescent="0.3">
      <c r="A1001">
        <v>999</v>
      </c>
      <c r="B1001" t="s">
        <v>1376</v>
      </c>
      <c r="C1001" t="s">
        <v>94</v>
      </c>
      <c r="D1001">
        <v>74699888.312273502</v>
      </c>
    </row>
    <row r="1002" spans="1:4" hidden="1" x14ac:dyDescent="0.3">
      <c r="A1002">
        <v>1000</v>
      </c>
      <c r="B1002" t="s">
        <v>1377</v>
      </c>
      <c r="C1002" t="s">
        <v>96</v>
      </c>
      <c r="D1002">
        <v>35014828.305821598</v>
      </c>
    </row>
    <row r="1003" spans="1:4" hidden="1" x14ac:dyDescent="0.3">
      <c r="A1003">
        <v>1001</v>
      </c>
      <c r="B1003" t="s">
        <v>1378</v>
      </c>
      <c r="C1003" t="s">
        <v>98</v>
      </c>
      <c r="D1003">
        <v>39698780.177064702</v>
      </c>
    </row>
    <row r="1004" spans="1:4" hidden="1" x14ac:dyDescent="0.3">
      <c r="A1004">
        <v>1002</v>
      </c>
      <c r="B1004" s="1" t="s">
        <v>1379</v>
      </c>
      <c r="C1004" t="s">
        <v>100</v>
      </c>
      <c r="D1004" s="1" t="s">
        <v>1380</v>
      </c>
    </row>
    <row r="1005" spans="1:4" hidden="1" x14ac:dyDescent="0.3">
      <c r="A1005">
        <v>1003</v>
      </c>
      <c r="B1005" t="s">
        <v>1381</v>
      </c>
      <c r="C1005" t="s">
        <v>103</v>
      </c>
      <c r="D1005">
        <v>1.02432350275246E-2</v>
      </c>
    </row>
    <row r="1006" spans="1:4" hidden="1" x14ac:dyDescent="0.3">
      <c r="A1006">
        <v>1004</v>
      </c>
      <c r="B1006" t="s">
        <v>1382</v>
      </c>
      <c r="C1006" t="s">
        <v>105</v>
      </c>
      <c r="D1006">
        <v>3.1982189946273701E-3</v>
      </c>
    </row>
    <row r="1007" spans="1:4" hidden="1" x14ac:dyDescent="0.3">
      <c r="A1007">
        <v>1005</v>
      </c>
      <c r="B1007" t="s">
        <v>1383</v>
      </c>
      <c r="C1007" t="s">
        <v>107</v>
      </c>
      <c r="D1007">
        <v>1.22135431380497E-2</v>
      </c>
    </row>
    <row r="1008" spans="1:4" hidden="1" x14ac:dyDescent="0.3">
      <c r="A1008">
        <v>1006</v>
      </c>
      <c r="B1008" s="1" t="s">
        <v>1384</v>
      </c>
      <c r="C1008" t="s">
        <v>109</v>
      </c>
      <c r="D1008" s="1" t="s">
        <v>1385</v>
      </c>
    </row>
    <row r="1009" spans="1:4" hidden="1" x14ac:dyDescent="0.3">
      <c r="A1009">
        <v>1007</v>
      </c>
      <c r="B1009" t="s">
        <v>1386</v>
      </c>
      <c r="C1009" t="s">
        <v>208</v>
      </c>
      <c r="D1009">
        <v>149414137.78337201</v>
      </c>
    </row>
    <row r="1010" spans="1:4" hidden="1" x14ac:dyDescent="0.3">
      <c r="A1010">
        <v>1008</v>
      </c>
      <c r="B1010" t="s">
        <v>1387</v>
      </c>
      <c r="C1010" t="s">
        <v>210</v>
      </c>
      <c r="D1010">
        <v>-1363.8947408476499</v>
      </c>
    </row>
    <row r="1011" spans="1:4" hidden="1" x14ac:dyDescent="0.3">
      <c r="A1011">
        <v>1009</v>
      </c>
      <c r="B1011" t="s">
        <v>1388</v>
      </c>
      <c r="C1011" t="s">
        <v>212</v>
      </c>
      <c r="D1011">
        <v>-639.31015496550106</v>
      </c>
    </row>
    <row r="1012" spans="1:4" hidden="1" x14ac:dyDescent="0.3">
      <c r="A1012">
        <v>1010</v>
      </c>
      <c r="B1012" s="1" t="s">
        <v>1389</v>
      </c>
      <c r="C1012" t="s">
        <v>214</v>
      </c>
      <c r="D1012" s="1" t="s">
        <v>1390</v>
      </c>
    </row>
    <row r="1013" spans="1:4" hidden="1" x14ac:dyDescent="0.3">
      <c r="A1013">
        <v>1011</v>
      </c>
      <c r="B1013" t="s">
        <v>1391</v>
      </c>
      <c r="C1013" t="s">
        <v>217</v>
      </c>
      <c r="D1013">
        <v>74701696.255311593</v>
      </c>
    </row>
    <row r="1014" spans="1:4" hidden="1" x14ac:dyDescent="0.3">
      <c r="A1014">
        <v>1012</v>
      </c>
      <c r="B1014" t="s">
        <v>1392</v>
      </c>
      <c r="C1014" t="s">
        <v>219</v>
      </c>
      <c r="D1014">
        <v>35015570.9079777</v>
      </c>
    </row>
    <row r="1015" spans="1:4" hidden="1" x14ac:dyDescent="0.3">
      <c r="A1015">
        <v>1013</v>
      </c>
      <c r="B1015" t="s">
        <v>1393</v>
      </c>
      <c r="C1015" t="s">
        <v>221</v>
      </c>
      <c r="D1015">
        <v>39699598.655558497</v>
      </c>
    </row>
    <row r="1016" spans="1:4" hidden="1" x14ac:dyDescent="0.3">
      <c r="A1016">
        <v>1014</v>
      </c>
      <c r="B1016" s="1" t="s">
        <v>1394</v>
      </c>
      <c r="C1016" t="s">
        <v>223</v>
      </c>
      <c r="D1016" s="1" t="s">
        <v>1395</v>
      </c>
    </row>
    <row r="1017" spans="1:4" hidden="1" x14ac:dyDescent="0.3">
      <c r="A1017">
        <v>1015</v>
      </c>
      <c r="B1017" t="s">
        <v>1396</v>
      </c>
      <c r="C1017" t="s">
        <v>226</v>
      </c>
      <c r="D1017">
        <v>102960110.091002</v>
      </c>
    </row>
    <row r="1018" spans="1:4" hidden="1" x14ac:dyDescent="0.3">
      <c r="A1018">
        <v>1016</v>
      </c>
      <c r="B1018" t="s">
        <v>1397</v>
      </c>
      <c r="C1018" t="s">
        <v>228</v>
      </c>
      <c r="D1018">
        <v>-1879.83352065086</v>
      </c>
    </row>
    <row r="1019" spans="1:4" hidden="1" x14ac:dyDescent="0.3">
      <c r="A1019">
        <v>1017</v>
      </c>
      <c r="B1019" s="1" t="s">
        <v>1398</v>
      </c>
      <c r="C1019" t="s">
        <v>230</v>
      </c>
      <c r="D1019" s="1" t="s">
        <v>1399</v>
      </c>
    </row>
    <row r="1020" spans="1:4" hidden="1" x14ac:dyDescent="0.3">
      <c r="A1020">
        <v>1018</v>
      </c>
      <c r="B1020" t="s">
        <v>1400</v>
      </c>
      <c r="C1020" t="s">
        <v>112</v>
      </c>
      <c r="D1020">
        <v>444.04829721124798</v>
      </c>
    </row>
    <row r="1021" spans="1:4" hidden="1" x14ac:dyDescent="0.3">
      <c r="A1021">
        <v>1019</v>
      </c>
      <c r="B1021" t="s">
        <v>1401</v>
      </c>
      <c r="C1021" t="s">
        <v>114</v>
      </c>
      <c r="D1021">
        <v>103.29200117371199</v>
      </c>
    </row>
    <row r="1022" spans="1:4" hidden="1" x14ac:dyDescent="0.3">
      <c r="A1022">
        <v>1020</v>
      </c>
      <c r="B1022" s="1" t="s">
        <v>1402</v>
      </c>
      <c r="C1022" t="s">
        <v>116</v>
      </c>
      <c r="D1022" s="1" t="s">
        <v>1403</v>
      </c>
    </row>
    <row r="1023" spans="1:4" hidden="1" x14ac:dyDescent="0.3">
      <c r="A1023">
        <v>1021</v>
      </c>
      <c r="B1023" t="s">
        <v>1404</v>
      </c>
      <c r="C1023" t="s">
        <v>119</v>
      </c>
      <c r="D1023">
        <v>74701696.255311593</v>
      </c>
    </row>
    <row r="1024" spans="1:4" hidden="1" x14ac:dyDescent="0.3">
      <c r="A1024">
        <v>1022</v>
      </c>
      <c r="B1024" t="s">
        <v>1405</v>
      </c>
      <c r="C1024" t="s">
        <v>121</v>
      </c>
      <c r="D1024">
        <v>35015570.9079777</v>
      </c>
    </row>
    <row r="1025" spans="1:4" hidden="1" x14ac:dyDescent="0.3">
      <c r="A1025">
        <v>1023</v>
      </c>
      <c r="B1025" s="1" t="s">
        <v>1406</v>
      </c>
      <c r="C1025" t="s">
        <v>123</v>
      </c>
      <c r="D1025" s="1" t="s">
        <v>1407</v>
      </c>
    </row>
    <row r="1026" spans="1:4" hidden="1" x14ac:dyDescent="0.3">
      <c r="A1026">
        <v>1024</v>
      </c>
      <c r="B1026" t="s">
        <v>1408</v>
      </c>
      <c r="C1026" t="s">
        <v>126</v>
      </c>
      <c r="D1026">
        <v>0.72559841847154305</v>
      </c>
    </row>
    <row r="1027" spans="1:4" hidden="1" x14ac:dyDescent="0.3">
      <c r="A1027">
        <v>1025</v>
      </c>
      <c r="B1027" t="s">
        <v>1409</v>
      </c>
      <c r="C1027" t="s">
        <v>128</v>
      </c>
      <c r="D1027">
        <v>0.34011601002835701</v>
      </c>
    </row>
    <row r="1028" spans="1:4" hidden="1" x14ac:dyDescent="0.3">
      <c r="A1028">
        <v>1026</v>
      </c>
      <c r="B1028" s="1" t="s">
        <v>1410</v>
      </c>
      <c r="C1028" t="s">
        <v>130</v>
      </c>
      <c r="D1028" s="1" t="s">
        <v>1411</v>
      </c>
    </row>
    <row r="1029" spans="1:4" x14ac:dyDescent="0.3">
      <c r="A1029">
        <v>1027</v>
      </c>
      <c r="B1029" s="1" t="s">
        <v>1412</v>
      </c>
      <c r="C1029" t="s">
        <v>4</v>
      </c>
      <c r="D1029" t="s">
        <v>1413</v>
      </c>
    </row>
    <row r="1030" spans="1:4" hidden="1" x14ac:dyDescent="0.3">
      <c r="A1030">
        <v>1028</v>
      </c>
      <c r="B1030" t="s">
        <v>1414</v>
      </c>
      <c r="C1030" t="s">
        <v>7</v>
      </c>
      <c r="D1030">
        <v>1711.67</v>
      </c>
    </row>
    <row r="1031" spans="1:4" hidden="1" x14ac:dyDescent="0.3">
      <c r="A1031">
        <v>1029</v>
      </c>
      <c r="B1031" s="1" t="s">
        <v>1415</v>
      </c>
      <c r="C1031" t="s">
        <v>9</v>
      </c>
      <c r="D1031" s="1" t="s">
        <v>1416</v>
      </c>
    </row>
    <row r="1032" spans="1:4" hidden="1" x14ac:dyDescent="0.3">
      <c r="A1032">
        <v>1030</v>
      </c>
      <c r="B1032" t="s">
        <v>1417</v>
      </c>
      <c r="C1032" t="s">
        <v>14</v>
      </c>
      <c r="D1032">
        <v>90.71875</v>
      </c>
    </row>
    <row r="1033" spans="1:4" hidden="1" x14ac:dyDescent="0.3">
      <c r="A1033">
        <v>1031</v>
      </c>
      <c r="B1033" t="s">
        <v>1418</v>
      </c>
      <c r="C1033" t="s">
        <v>16</v>
      </c>
      <c r="D1033">
        <v>4.27967031768158</v>
      </c>
    </row>
    <row r="1034" spans="1:4" hidden="1" x14ac:dyDescent="0.3">
      <c r="A1034">
        <v>1032</v>
      </c>
      <c r="B1034" s="1" t="s">
        <v>1419</v>
      </c>
      <c r="C1034" t="s">
        <v>140</v>
      </c>
      <c r="D1034" s="1" t="s">
        <v>1420</v>
      </c>
    </row>
    <row r="1035" spans="1:4" hidden="1" x14ac:dyDescent="0.3">
      <c r="A1035">
        <v>1033</v>
      </c>
      <c r="B1035" t="s">
        <v>1421</v>
      </c>
      <c r="C1035" t="s">
        <v>22</v>
      </c>
      <c r="D1035">
        <v>64.349999999999994</v>
      </c>
    </row>
    <row r="1036" spans="1:4" hidden="1" x14ac:dyDescent="0.3">
      <c r="A1036">
        <v>1034</v>
      </c>
      <c r="B1036" t="s">
        <v>1422</v>
      </c>
      <c r="C1036" t="s">
        <v>24</v>
      </c>
      <c r="D1036">
        <v>5.42894868173647</v>
      </c>
    </row>
    <row r="1037" spans="1:4" hidden="1" x14ac:dyDescent="0.3">
      <c r="A1037">
        <v>1035</v>
      </c>
      <c r="B1037" s="1" t="s">
        <v>1423</v>
      </c>
      <c r="C1037" t="s">
        <v>145</v>
      </c>
      <c r="D1037" s="1" t="s">
        <v>1424</v>
      </c>
    </row>
    <row r="1038" spans="1:4" hidden="1" x14ac:dyDescent="0.3">
      <c r="A1038">
        <v>1036</v>
      </c>
      <c r="B1038" t="s">
        <v>1425</v>
      </c>
      <c r="C1038" t="s">
        <v>35</v>
      </c>
      <c r="D1038">
        <v>0.25481899997510399</v>
      </c>
    </row>
    <row r="1039" spans="1:4" hidden="1" x14ac:dyDescent="0.3">
      <c r="A1039">
        <v>1037</v>
      </c>
      <c r="B1039" t="s">
        <v>1426</v>
      </c>
      <c r="C1039" t="s">
        <v>149</v>
      </c>
      <c r="D1039">
        <v>0.57117210448795397</v>
      </c>
    </row>
    <row r="1040" spans="1:4" hidden="1" x14ac:dyDescent="0.3">
      <c r="A1040">
        <v>1038</v>
      </c>
      <c r="B1040" s="1" t="s">
        <v>1427</v>
      </c>
      <c r="C1040" t="s">
        <v>151</v>
      </c>
      <c r="D1040" s="1" t="s">
        <v>1428</v>
      </c>
    </row>
    <row r="1041" spans="1:4" hidden="1" x14ac:dyDescent="0.3">
      <c r="A1041">
        <v>1039</v>
      </c>
      <c r="B1041" t="s">
        <v>1429</v>
      </c>
      <c r="C1041" t="s">
        <v>30</v>
      </c>
      <c r="D1041">
        <v>0.31775417596146699</v>
      </c>
    </row>
    <row r="1042" spans="1:4" hidden="1" x14ac:dyDescent="0.3">
      <c r="A1042">
        <v>1040</v>
      </c>
      <c r="B1042" t="s">
        <v>1430</v>
      </c>
      <c r="C1042" t="s">
        <v>32</v>
      </c>
      <c r="D1042">
        <v>0.364787484071045</v>
      </c>
    </row>
    <row r="1043" spans="1:4" hidden="1" x14ac:dyDescent="0.3">
      <c r="A1043">
        <v>1041</v>
      </c>
      <c r="B1043" s="1" t="s">
        <v>1431</v>
      </c>
      <c r="C1043" t="s">
        <v>155</v>
      </c>
      <c r="D1043" s="1" t="s">
        <v>1432</v>
      </c>
    </row>
    <row r="1044" spans="1:4" hidden="1" x14ac:dyDescent="0.3">
      <c r="A1044">
        <v>1042</v>
      </c>
      <c r="B1044" t="s">
        <v>1433</v>
      </c>
      <c r="C1044" t="s">
        <v>40</v>
      </c>
      <c r="D1044">
        <v>0.42742682406342702</v>
      </c>
    </row>
    <row r="1045" spans="1:4" hidden="1" x14ac:dyDescent="0.3">
      <c r="A1045">
        <v>1043</v>
      </c>
      <c r="B1045" t="s">
        <v>1434</v>
      </c>
      <c r="C1045" t="s">
        <v>42</v>
      </c>
      <c r="D1045">
        <v>0.38599829860733398</v>
      </c>
    </row>
    <row r="1046" spans="1:4" hidden="1" x14ac:dyDescent="0.3">
      <c r="A1046">
        <v>1044</v>
      </c>
      <c r="B1046" s="1" t="s">
        <v>1435</v>
      </c>
      <c r="C1046" t="s">
        <v>159</v>
      </c>
      <c r="D1046" s="1" t="s">
        <v>1436</v>
      </c>
    </row>
    <row r="1047" spans="1:4" hidden="1" x14ac:dyDescent="0.3">
      <c r="A1047">
        <v>1045</v>
      </c>
      <c r="B1047" t="s">
        <v>1437</v>
      </c>
      <c r="C1047" t="s">
        <v>161</v>
      </c>
      <c r="D1047">
        <v>1.0014334023706699</v>
      </c>
    </row>
    <row r="1048" spans="1:4" hidden="1" x14ac:dyDescent="0.3">
      <c r="A1048">
        <v>1046</v>
      </c>
      <c r="B1048" t="s">
        <v>1438</v>
      </c>
      <c r="C1048" t="s">
        <v>163</v>
      </c>
      <c r="D1048">
        <v>0.99815989265000904</v>
      </c>
    </row>
    <row r="1049" spans="1:4" hidden="1" x14ac:dyDescent="0.3">
      <c r="A1049">
        <v>1047</v>
      </c>
      <c r="B1049" s="1" t="s">
        <v>1439</v>
      </c>
      <c r="C1049" t="s">
        <v>165</v>
      </c>
      <c r="D1049" s="1" t="s">
        <v>1440</v>
      </c>
    </row>
    <row r="1050" spans="1:4" hidden="1" x14ac:dyDescent="0.3">
      <c r="A1050">
        <v>1048</v>
      </c>
      <c r="B1050" t="s">
        <v>1441</v>
      </c>
      <c r="C1050" t="s">
        <v>168</v>
      </c>
      <c r="D1050">
        <v>1.0003473126397999</v>
      </c>
    </row>
    <row r="1051" spans="1:4" hidden="1" x14ac:dyDescent="0.3">
      <c r="A1051">
        <v>1049</v>
      </c>
      <c r="B1051" t="s">
        <v>1442</v>
      </c>
      <c r="C1051" t="s">
        <v>170</v>
      </c>
      <c r="D1051">
        <v>0.99958341353273195</v>
      </c>
    </row>
    <row r="1052" spans="1:4" hidden="1" x14ac:dyDescent="0.3">
      <c r="A1052">
        <v>1050</v>
      </c>
      <c r="B1052" s="1" t="s">
        <v>1443</v>
      </c>
      <c r="C1052" t="s">
        <v>172</v>
      </c>
      <c r="D1052" s="1" t="s">
        <v>1444</v>
      </c>
    </row>
    <row r="1053" spans="1:4" hidden="1" x14ac:dyDescent="0.3">
      <c r="A1053">
        <v>1051</v>
      </c>
      <c r="B1053" s="1" t="s">
        <v>1445</v>
      </c>
      <c r="C1053" t="s">
        <v>55</v>
      </c>
      <c r="D1053" s="1" t="s">
        <v>1446</v>
      </c>
    </row>
    <row r="1054" spans="1:4" hidden="1" x14ac:dyDescent="0.3">
      <c r="A1054">
        <v>1052</v>
      </c>
      <c r="B1054" s="1" t="s">
        <v>1447</v>
      </c>
      <c r="C1054" t="s">
        <v>52</v>
      </c>
      <c r="D1054" s="1" t="s">
        <v>1448</v>
      </c>
    </row>
    <row r="1055" spans="1:4" hidden="1" x14ac:dyDescent="0.3">
      <c r="A1055">
        <v>1053</v>
      </c>
      <c r="B1055" s="1" t="s">
        <v>1449</v>
      </c>
      <c r="C1055" t="s">
        <v>58</v>
      </c>
      <c r="D1055" s="1" t="s">
        <v>1450</v>
      </c>
    </row>
    <row r="1056" spans="1:4" hidden="1" x14ac:dyDescent="0.3">
      <c r="A1056">
        <v>1054</v>
      </c>
      <c r="B1056" t="s">
        <v>1451</v>
      </c>
      <c r="C1056" t="s">
        <v>61</v>
      </c>
      <c r="D1056">
        <v>149171709.02053499</v>
      </c>
    </row>
    <row r="1057" spans="1:4" hidden="1" x14ac:dyDescent="0.3">
      <c r="A1057">
        <v>1055</v>
      </c>
      <c r="B1057" t="s">
        <v>1452</v>
      </c>
      <c r="C1057" t="s">
        <v>63</v>
      </c>
      <c r="D1057">
        <v>74808773.843817204</v>
      </c>
    </row>
    <row r="1058" spans="1:4" hidden="1" x14ac:dyDescent="0.3">
      <c r="A1058">
        <v>1056</v>
      </c>
      <c r="B1058" t="s">
        <v>1453</v>
      </c>
      <c r="C1058" t="s">
        <v>65</v>
      </c>
      <c r="D1058">
        <v>34951138.498585902</v>
      </c>
    </row>
    <row r="1059" spans="1:4" hidden="1" x14ac:dyDescent="0.3">
      <c r="A1059">
        <v>1057</v>
      </c>
      <c r="B1059" s="1" t="s">
        <v>1454</v>
      </c>
      <c r="C1059" t="s">
        <v>67</v>
      </c>
      <c r="D1059" s="1" t="s">
        <v>1455</v>
      </c>
    </row>
    <row r="1060" spans="1:4" hidden="1" x14ac:dyDescent="0.3">
      <c r="A1060">
        <v>1058</v>
      </c>
      <c r="B1060" s="1" t="s">
        <v>1456</v>
      </c>
      <c r="C1060" t="s">
        <v>70</v>
      </c>
      <c r="D1060" s="1" t="s">
        <v>1457</v>
      </c>
    </row>
    <row r="1061" spans="1:4" hidden="1" x14ac:dyDescent="0.3">
      <c r="A1061">
        <v>1059</v>
      </c>
      <c r="B1061" t="s">
        <v>1458</v>
      </c>
      <c r="C1061" t="s">
        <v>73</v>
      </c>
      <c r="D1061">
        <v>0.99991972992162903</v>
      </c>
    </row>
    <row r="1062" spans="1:4" hidden="1" x14ac:dyDescent="0.3">
      <c r="A1062">
        <v>1060</v>
      </c>
      <c r="B1062" t="s">
        <v>74</v>
      </c>
      <c r="C1062" t="s">
        <v>75</v>
      </c>
      <c r="D1062">
        <v>2.7397260273972599E-3</v>
      </c>
    </row>
    <row r="1063" spans="1:4" hidden="1" x14ac:dyDescent="0.3">
      <c r="A1063">
        <v>1061</v>
      </c>
      <c r="B1063" t="s">
        <v>76</v>
      </c>
      <c r="C1063" t="s">
        <v>77</v>
      </c>
      <c r="D1063">
        <v>0</v>
      </c>
    </row>
    <row r="1064" spans="1:4" hidden="1" x14ac:dyDescent="0.3">
      <c r="A1064">
        <v>1062</v>
      </c>
      <c r="B1064" t="s">
        <v>78</v>
      </c>
      <c r="C1064" t="s">
        <v>79</v>
      </c>
      <c r="D1064">
        <v>0</v>
      </c>
    </row>
    <row r="1065" spans="1:4" hidden="1" x14ac:dyDescent="0.3">
      <c r="A1065">
        <v>1063</v>
      </c>
      <c r="B1065" s="1" t="s">
        <v>1459</v>
      </c>
      <c r="C1065" t="s">
        <v>81</v>
      </c>
      <c r="D1065" s="1" t="s">
        <v>1460</v>
      </c>
    </row>
    <row r="1066" spans="1:4" hidden="1" x14ac:dyDescent="0.3">
      <c r="A1066">
        <v>1064</v>
      </c>
      <c r="B1066" t="s">
        <v>1461</v>
      </c>
      <c r="C1066" t="s">
        <v>84</v>
      </c>
      <c r="D1066">
        <v>0.99995047793234904</v>
      </c>
    </row>
    <row r="1067" spans="1:4" hidden="1" x14ac:dyDescent="0.3">
      <c r="A1067">
        <v>1065</v>
      </c>
      <c r="B1067" s="1" t="s">
        <v>1462</v>
      </c>
      <c r="C1067" t="s">
        <v>86</v>
      </c>
      <c r="D1067" s="1" t="s">
        <v>1463</v>
      </c>
    </row>
    <row r="1068" spans="1:4" hidden="1" x14ac:dyDescent="0.3">
      <c r="A1068">
        <v>1066</v>
      </c>
      <c r="B1068" t="s">
        <v>1464</v>
      </c>
      <c r="C1068" t="s">
        <v>89</v>
      </c>
      <c r="D1068">
        <v>102955064.339931</v>
      </c>
    </row>
    <row r="1069" spans="1:4" hidden="1" x14ac:dyDescent="0.3">
      <c r="A1069">
        <v>1067</v>
      </c>
      <c r="B1069" s="1" t="s">
        <v>1465</v>
      </c>
      <c r="C1069" t="s">
        <v>91</v>
      </c>
      <c r="D1069" s="1" t="s">
        <v>1399</v>
      </c>
    </row>
    <row r="1070" spans="1:4" hidden="1" x14ac:dyDescent="0.3">
      <c r="A1070">
        <v>1068</v>
      </c>
      <c r="B1070" t="s">
        <v>1466</v>
      </c>
      <c r="C1070" t="s">
        <v>94</v>
      </c>
      <c r="D1070">
        <v>74808773.843817204</v>
      </c>
    </row>
    <row r="1071" spans="1:4" hidden="1" x14ac:dyDescent="0.3">
      <c r="A1071">
        <v>1069</v>
      </c>
      <c r="B1071" t="s">
        <v>1467</v>
      </c>
      <c r="C1071" t="s">
        <v>96</v>
      </c>
      <c r="D1071">
        <v>34951138.498585902</v>
      </c>
    </row>
    <row r="1072" spans="1:4" hidden="1" x14ac:dyDescent="0.3">
      <c r="A1072">
        <v>1070</v>
      </c>
      <c r="B1072" t="s">
        <v>1468</v>
      </c>
      <c r="C1072" t="s">
        <v>98</v>
      </c>
      <c r="D1072">
        <v>39411796.678131998</v>
      </c>
    </row>
    <row r="1073" spans="1:4" hidden="1" x14ac:dyDescent="0.3">
      <c r="A1073">
        <v>1071</v>
      </c>
      <c r="B1073" s="1" t="s">
        <v>1469</v>
      </c>
      <c r="C1073" t="s">
        <v>100</v>
      </c>
      <c r="D1073" s="1" t="s">
        <v>1470</v>
      </c>
    </row>
    <row r="1074" spans="1:4" hidden="1" x14ac:dyDescent="0.3">
      <c r="A1074">
        <v>1072</v>
      </c>
      <c r="B1074" t="s">
        <v>1471</v>
      </c>
      <c r="C1074" t="s">
        <v>103</v>
      </c>
      <c r="D1074">
        <v>1.0207677402413099E-2</v>
      </c>
    </row>
    <row r="1075" spans="1:4" hidden="1" x14ac:dyDescent="0.3">
      <c r="A1075">
        <v>1073</v>
      </c>
      <c r="B1075" t="s">
        <v>1472</v>
      </c>
      <c r="C1075" t="s">
        <v>105</v>
      </c>
      <c r="D1075">
        <v>3.2013950488825899E-3</v>
      </c>
    </row>
    <row r="1076" spans="1:4" hidden="1" x14ac:dyDescent="0.3">
      <c r="A1076">
        <v>1074</v>
      </c>
      <c r="B1076" t="s">
        <v>1473</v>
      </c>
      <c r="C1076" t="s">
        <v>107</v>
      </c>
      <c r="D1076">
        <v>1.2236711822599999E-2</v>
      </c>
    </row>
    <row r="1077" spans="1:4" hidden="1" x14ac:dyDescent="0.3">
      <c r="A1077">
        <v>1075</v>
      </c>
      <c r="B1077" s="1" t="s">
        <v>1474</v>
      </c>
      <c r="C1077" t="s">
        <v>109</v>
      </c>
      <c r="D1077" s="1" t="s">
        <v>1475</v>
      </c>
    </row>
    <row r="1078" spans="1:4" hidden="1" x14ac:dyDescent="0.3">
      <c r="A1078">
        <v>1076</v>
      </c>
      <c r="B1078" t="s">
        <v>1476</v>
      </c>
      <c r="C1078" t="s">
        <v>208</v>
      </c>
      <c r="D1078">
        <v>149172789.427286</v>
      </c>
    </row>
    <row r="1079" spans="1:4" hidden="1" x14ac:dyDescent="0.3">
      <c r="A1079">
        <v>1077</v>
      </c>
      <c r="B1079" t="s">
        <v>1477</v>
      </c>
      <c r="C1079" t="s">
        <v>210</v>
      </c>
      <c r="D1079">
        <v>-2300.4270932774898</v>
      </c>
    </row>
    <row r="1080" spans="1:4" hidden="1" x14ac:dyDescent="0.3">
      <c r="A1080">
        <v>1078</v>
      </c>
      <c r="B1080" t="s">
        <v>1478</v>
      </c>
      <c r="C1080" t="s">
        <v>212</v>
      </c>
      <c r="D1080">
        <v>-1074.76922144588</v>
      </c>
    </row>
    <row r="1081" spans="1:4" hidden="1" x14ac:dyDescent="0.3">
      <c r="A1081">
        <v>1079</v>
      </c>
      <c r="B1081" s="1" t="s">
        <v>1479</v>
      </c>
      <c r="C1081" t="s">
        <v>214</v>
      </c>
      <c r="D1081" s="1" t="s">
        <v>1480</v>
      </c>
    </row>
    <row r="1082" spans="1:4" hidden="1" x14ac:dyDescent="0.3">
      <c r="A1082">
        <v>1080</v>
      </c>
      <c r="B1082" t="s">
        <v>1481</v>
      </c>
      <c r="C1082" t="s">
        <v>217</v>
      </c>
      <c r="D1082">
        <v>74811772.129156306</v>
      </c>
    </row>
    <row r="1083" spans="1:4" hidden="1" x14ac:dyDescent="0.3">
      <c r="A1083">
        <v>1081</v>
      </c>
      <c r="B1083" t="s">
        <v>1482</v>
      </c>
      <c r="C1083" t="s">
        <v>219</v>
      </c>
      <c r="D1083">
        <v>34952374.853003599</v>
      </c>
    </row>
    <row r="1084" spans="1:4" hidden="1" x14ac:dyDescent="0.3">
      <c r="A1084">
        <v>1082</v>
      </c>
      <c r="B1084" t="s">
        <v>1483</v>
      </c>
      <c r="C1084" t="s">
        <v>221</v>
      </c>
      <c r="D1084">
        <v>39413229.579864502</v>
      </c>
    </row>
    <row r="1085" spans="1:4" hidden="1" x14ac:dyDescent="0.3">
      <c r="A1085">
        <v>1083</v>
      </c>
      <c r="B1085" s="1" t="s">
        <v>1484</v>
      </c>
      <c r="C1085" t="s">
        <v>223</v>
      </c>
      <c r="D1085" s="1" t="s">
        <v>1485</v>
      </c>
    </row>
    <row r="1086" spans="1:4" hidden="1" x14ac:dyDescent="0.3">
      <c r="A1086">
        <v>1084</v>
      </c>
      <c r="B1086" t="s">
        <v>1486</v>
      </c>
      <c r="C1086" t="s">
        <v>226</v>
      </c>
      <c r="D1086">
        <v>102958230.25748099</v>
      </c>
    </row>
    <row r="1087" spans="1:4" hidden="1" x14ac:dyDescent="0.3">
      <c r="A1087">
        <v>1085</v>
      </c>
      <c r="B1087" t="s">
        <v>1487</v>
      </c>
      <c r="C1087" t="s">
        <v>228</v>
      </c>
      <c r="D1087">
        <v>-3165.9175503998899</v>
      </c>
    </row>
    <row r="1088" spans="1:4" hidden="1" x14ac:dyDescent="0.3">
      <c r="A1088">
        <v>1086</v>
      </c>
      <c r="B1088" s="1" t="s">
        <v>1488</v>
      </c>
      <c r="C1088" t="s">
        <v>230</v>
      </c>
      <c r="D1088" s="1" t="s">
        <v>1489</v>
      </c>
    </row>
    <row r="1089" spans="1:4" hidden="1" x14ac:dyDescent="0.3">
      <c r="A1089">
        <v>1087</v>
      </c>
      <c r="B1089" t="s">
        <v>1490</v>
      </c>
      <c r="C1089" t="s">
        <v>112</v>
      </c>
      <c r="D1089">
        <v>697.85824585025</v>
      </c>
    </row>
    <row r="1090" spans="1:4" hidden="1" x14ac:dyDescent="0.3">
      <c r="A1090">
        <v>1088</v>
      </c>
      <c r="B1090" t="s">
        <v>1491</v>
      </c>
      <c r="C1090" t="s">
        <v>114</v>
      </c>
      <c r="D1090">
        <v>161.58519624067699</v>
      </c>
    </row>
    <row r="1091" spans="1:4" hidden="1" x14ac:dyDescent="0.3">
      <c r="A1091">
        <v>1089</v>
      </c>
      <c r="B1091" s="1" t="s">
        <v>1492</v>
      </c>
      <c r="C1091" t="s">
        <v>116</v>
      </c>
      <c r="D1091" s="1" t="s">
        <v>1493</v>
      </c>
    </row>
    <row r="1092" spans="1:4" hidden="1" x14ac:dyDescent="0.3">
      <c r="A1092">
        <v>1090</v>
      </c>
      <c r="B1092" t="s">
        <v>1494</v>
      </c>
      <c r="C1092" t="s">
        <v>119</v>
      </c>
      <c r="D1092">
        <v>74811772.129156306</v>
      </c>
    </row>
    <row r="1093" spans="1:4" hidden="1" x14ac:dyDescent="0.3">
      <c r="A1093">
        <v>1091</v>
      </c>
      <c r="B1093" t="s">
        <v>1495</v>
      </c>
      <c r="C1093" t="s">
        <v>121</v>
      </c>
      <c r="D1093">
        <v>34952374.853003599</v>
      </c>
    </row>
    <row r="1094" spans="1:4" hidden="1" x14ac:dyDescent="0.3">
      <c r="A1094">
        <v>1092</v>
      </c>
      <c r="B1094" s="1" t="s">
        <v>1496</v>
      </c>
      <c r="C1094" t="s">
        <v>123</v>
      </c>
      <c r="D1094" s="1" t="s">
        <v>1497</v>
      </c>
    </row>
    <row r="1095" spans="1:4" hidden="1" x14ac:dyDescent="0.3">
      <c r="A1095">
        <v>1093</v>
      </c>
      <c r="B1095" t="s">
        <v>1498</v>
      </c>
      <c r="C1095" t="s">
        <v>126</v>
      </c>
      <c r="D1095">
        <v>0.72665853870230201</v>
      </c>
    </row>
    <row r="1096" spans="1:4" hidden="1" x14ac:dyDescent="0.3">
      <c r="A1096">
        <v>1094</v>
      </c>
      <c r="B1096" t="s">
        <v>1499</v>
      </c>
      <c r="C1096" t="s">
        <v>128</v>
      </c>
      <c r="D1096">
        <v>0.33949792809359403</v>
      </c>
    </row>
    <row r="1097" spans="1:4" hidden="1" x14ac:dyDescent="0.3">
      <c r="A1097">
        <v>1095</v>
      </c>
      <c r="B1097" s="1" t="s">
        <v>1500</v>
      </c>
      <c r="C1097" t="s">
        <v>130</v>
      </c>
      <c r="D1097" s="1" t="s">
        <v>1501</v>
      </c>
    </row>
    <row r="1098" spans="1:4" x14ac:dyDescent="0.3">
      <c r="A1098">
        <v>1096</v>
      </c>
      <c r="B1098" s="1" t="s">
        <v>1502</v>
      </c>
      <c r="C1098" t="s">
        <v>4</v>
      </c>
      <c r="D1098" t="s">
        <v>1503</v>
      </c>
    </row>
    <row r="1099" spans="1:4" hidden="1" x14ac:dyDescent="0.3">
      <c r="A1099">
        <v>1097</v>
      </c>
      <c r="B1099" t="s">
        <v>1504</v>
      </c>
      <c r="C1099" t="s">
        <v>7</v>
      </c>
      <c r="D1099">
        <v>1696.58</v>
      </c>
    </row>
    <row r="1100" spans="1:4" hidden="1" x14ac:dyDescent="0.3">
      <c r="A1100">
        <v>1098</v>
      </c>
      <c r="B1100" s="1" t="s">
        <v>1505</v>
      </c>
      <c r="C1100" t="s">
        <v>9</v>
      </c>
      <c r="D1100" s="1" t="s">
        <v>1506</v>
      </c>
    </row>
    <row r="1101" spans="1:4" hidden="1" x14ac:dyDescent="0.3">
      <c r="A1101">
        <v>1099</v>
      </c>
      <c r="B1101" t="s">
        <v>1507</v>
      </c>
      <c r="C1101" t="s">
        <v>14</v>
      </c>
      <c r="D1101">
        <v>90.7421875</v>
      </c>
    </row>
    <row r="1102" spans="1:4" hidden="1" x14ac:dyDescent="0.3">
      <c r="A1102">
        <v>1100</v>
      </c>
      <c r="B1102" t="s">
        <v>1508</v>
      </c>
      <c r="C1102" t="s">
        <v>16</v>
      </c>
      <c r="D1102">
        <v>4.2774142703990101</v>
      </c>
    </row>
    <row r="1103" spans="1:4" hidden="1" x14ac:dyDescent="0.3">
      <c r="A1103">
        <v>1101</v>
      </c>
      <c r="B1103" s="1" t="s">
        <v>1509</v>
      </c>
      <c r="C1103" t="s">
        <v>140</v>
      </c>
      <c r="D1103" s="1" t="s">
        <v>1510</v>
      </c>
    </row>
    <row r="1104" spans="1:4" hidden="1" x14ac:dyDescent="0.3">
      <c r="A1104">
        <v>1102</v>
      </c>
      <c r="B1104" t="s">
        <v>1153</v>
      </c>
      <c r="C1104" t="s">
        <v>22</v>
      </c>
      <c r="D1104">
        <v>64.3</v>
      </c>
    </row>
    <row r="1105" spans="1:4" hidden="1" x14ac:dyDescent="0.3">
      <c r="A1105">
        <v>1103</v>
      </c>
      <c r="B1105" t="s">
        <v>1511</v>
      </c>
      <c r="C1105" t="s">
        <v>24</v>
      </c>
      <c r="D1105">
        <v>5.4114019524571804</v>
      </c>
    </row>
    <row r="1106" spans="1:4" hidden="1" x14ac:dyDescent="0.3">
      <c r="A1106">
        <v>1104</v>
      </c>
      <c r="B1106" s="1" t="s">
        <v>1512</v>
      </c>
      <c r="C1106" t="s">
        <v>145</v>
      </c>
      <c r="D1106" s="1" t="s">
        <v>1513</v>
      </c>
    </row>
    <row r="1107" spans="1:4" hidden="1" x14ac:dyDescent="0.3">
      <c r="A1107">
        <v>1105</v>
      </c>
      <c r="B1107" t="s">
        <v>1514</v>
      </c>
      <c r="C1107" t="s">
        <v>35</v>
      </c>
      <c r="D1107">
        <v>6.3173023824112301E-2</v>
      </c>
    </row>
    <row r="1108" spans="1:4" hidden="1" x14ac:dyDescent="0.3">
      <c r="A1108">
        <v>1106</v>
      </c>
      <c r="B1108" t="s">
        <v>1515</v>
      </c>
      <c r="C1108" t="s">
        <v>149</v>
      </c>
      <c r="D1108">
        <v>0.57018005921610604</v>
      </c>
    </row>
    <row r="1109" spans="1:4" hidden="1" x14ac:dyDescent="0.3">
      <c r="A1109">
        <v>1107</v>
      </c>
      <c r="B1109" s="1" t="s">
        <v>1516</v>
      </c>
      <c r="C1109" t="s">
        <v>151</v>
      </c>
      <c r="D1109" s="1" t="s">
        <v>1517</v>
      </c>
    </row>
    <row r="1110" spans="1:4" hidden="1" x14ac:dyDescent="0.3">
      <c r="A1110">
        <v>1108</v>
      </c>
      <c r="B1110" t="s">
        <v>1518</v>
      </c>
      <c r="C1110" t="s">
        <v>30</v>
      </c>
      <c r="D1110">
        <v>0.40422905665523301</v>
      </c>
    </row>
    <row r="1111" spans="1:4" hidden="1" x14ac:dyDescent="0.3">
      <c r="A1111">
        <v>1109</v>
      </c>
      <c r="B1111" t="s">
        <v>1519</v>
      </c>
      <c r="C1111" t="s">
        <v>32</v>
      </c>
      <c r="D1111">
        <v>0.36509629704966301</v>
      </c>
    </row>
    <row r="1112" spans="1:4" hidden="1" x14ac:dyDescent="0.3">
      <c r="A1112">
        <v>1110</v>
      </c>
      <c r="B1112" s="1" t="s">
        <v>1520</v>
      </c>
      <c r="C1112" t="s">
        <v>155</v>
      </c>
      <c r="D1112" s="1" t="s">
        <v>1521</v>
      </c>
    </row>
    <row r="1113" spans="1:4" hidden="1" x14ac:dyDescent="0.3">
      <c r="A1113">
        <v>1111</v>
      </c>
      <c r="B1113" t="s">
        <v>1522</v>
      </c>
      <c r="C1113" t="s">
        <v>40</v>
      </c>
      <c r="D1113">
        <v>0.53259791952065405</v>
      </c>
    </row>
    <row r="1114" spans="1:4" hidden="1" x14ac:dyDescent="0.3">
      <c r="A1114">
        <v>1112</v>
      </c>
      <c r="B1114" t="s">
        <v>1523</v>
      </c>
      <c r="C1114" t="s">
        <v>42</v>
      </c>
      <c r="D1114">
        <v>0.38873564399509603</v>
      </c>
    </row>
    <row r="1115" spans="1:4" hidden="1" x14ac:dyDescent="0.3">
      <c r="A1115">
        <v>1113</v>
      </c>
      <c r="B1115" s="1" t="s">
        <v>1524</v>
      </c>
      <c r="C1115" t="s">
        <v>159</v>
      </c>
      <c r="D1115" s="1" t="s">
        <v>1525</v>
      </c>
    </row>
    <row r="1116" spans="1:4" hidden="1" x14ac:dyDescent="0.3">
      <c r="A1116">
        <v>1114</v>
      </c>
      <c r="B1116" t="s">
        <v>1526</v>
      </c>
      <c r="C1116" t="s">
        <v>161</v>
      </c>
      <c r="D1116">
        <v>0.99118404832707196</v>
      </c>
    </row>
    <row r="1117" spans="1:4" hidden="1" x14ac:dyDescent="0.3">
      <c r="A1117">
        <v>1115</v>
      </c>
      <c r="B1117" t="s">
        <v>1527</v>
      </c>
      <c r="C1117" t="s">
        <v>163</v>
      </c>
      <c r="D1117">
        <v>1.00022296636772</v>
      </c>
    </row>
    <row r="1118" spans="1:4" hidden="1" x14ac:dyDescent="0.3">
      <c r="A1118">
        <v>1116</v>
      </c>
      <c r="B1118" s="1" t="s">
        <v>1528</v>
      </c>
      <c r="C1118" t="s">
        <v>165</v>
      </c>
      <c r="D1118" s="1" t="s">
        <v>1529</v>
      </c>
    </row>
    <row r="1119" spans="1:4" hidden="1" x14ac:dyDescent="0.3">
      <c r="A1119">
        <v>1117</v>
      </c>
      <c r="B1119" t="s">
        <v>1530</v>
      </c>
      <c r="C1119" t="s">
        <v>168</v>
      </c>
      <c r="D1119">
        <v>0.99936859541420398</v>
      </c>
    </row>
    <row r="1120" spans="1:4" hidden="1" x14ac:dyDescent="0.3">
      <c r="A1120">
        <v>1118</v>
      </c>
      <c r="B1120" t="s">
        <v>1531</v>
      </c>
      <c r="C1120" t="s">
        <v>170</v>
      </c>
      <c r="D1120">
        <v>1.0002262718424799</v>
      </c>
    </row>
    <row r="1121" spans="1:4" hidden="1" x14ac:dyDescent="0.3">
      <c r="A1121">
        <v>1119</v>
      </c>
      <c r="B1121" s="1" t="s">
        <v>1532</v>
      </c>
      <c r="C1121" t="s">
        <v>172</v>
      </c>
      <c r="D1121" s="1" t="s">
        <v>1533</v>
      </c>
    </row>
    <row r="1122" spans="1:4" hidden="1" x14ac:dyDescent="0.3">
      <c r="A1122">
        <v>1120</v>
      </c>
      <c r="B1122" s="1" t="s">
        <v>1534</v>
      </c>
      <c r="C1122" t="s">
        <v>55</v>
      </c>
      <c r="D1122" s="1" t="s">
        <v>1535</v>
      </c>
    </row>
    <row r="1123" spans="1:4" hidden="1" x14ac:dyDescent="0.3">
      <c r="A1123">
        <v>1121</v>
      </c>
      <c r="B1123" s="1" t="s">
        <v>1536</v>
      </c>
      <c r="C1123" t="s">
        <v>52</v>
      </c>
      <c r="D1123" s="1" t="s">
        <v>1537</v>
      </c>
    </row>
    <row r="1124" spans="1:4" hidden="1" x14ac:dyDescent="0.3">
      <c r="A1124">
        <v>1122</v>
      </c>
      <c r="B1124" s="1" t="s">
        <v>1538</v>
      </c>
      <c r="C1124" t="s">
        <v>58</v>
      </c>
      <c r="D1124" s="1" t="s">
        <v>1539</v>
      </c>
    </row>
    <row r="1125" spans="1:4" hidden="1" x14ac:dyDescent="0.3">
      <c r="A1125">
        <v>1123</v>
      </c>
      <c r="B1125" t="s">
        <v>1540</v>
      </c>
      <c r="C1125" t="s">
        <v>61</v>
      </c>
      <c r="D1125">
        <v>148487480.39288899</v>
      </c>
    </row>
    <row r="1126" spans="1:4" hidden="1" x14ac:dyDescent="0.3">
      <c r="A1126">
        <v>1124</v>
      </c>
      <c r="B1126" t="s">
        <v>1541</v>
      </c>
      <c r="C1126" t="s">
        <v>63</v>
      </c>
      <c r="D1126">
        <v>74152235.161499605</v>
      </c>
    </row>
    <row r="1127" spans="1:4" hidden="1" x14ac:dyDescent="0.3">
      <c r="A1127">
        <v>1125</v>
      </c>
      <c r="B1127" t="s">
        <v>1542</v>
      </c>
      <c r="C1127" t="s">
        <v>65</v>
      </c>
      <c r="D1127">
        <v>34960168.0570677</v>
      </c>
    </row>
    <row r="1128" spans="1:4" hidden="1" x14ac:dyDescent="0.3">
      <c r="A1128">
        <v>1126</v>
      </c>
      <c r="B1128" s="1" t="s">
        <v>1543</v>
      </c>
      <c r="C1128" t="s">
        <v>67</v>
      </c>
      <c r="D1128" s="1" t="s">
        <v>1544</v>
      </c>
    </row>
    <row r="1129" spans="1:4" hidden="1" x14ac:dyDescent="0.3">
      <c r="A1129">
        <v>1127</v>
      </c>
      <c r="B1129" s="1" t="s">
        <v>1545</v>
      </c>
      <c r="C1129" t="s">
        <v>70</v>
      </c>
      <c r="D1129" s="1" t="s">
        <v>1546</v>
      </c>
    </row>
    <row r="1130" spans="1:4" hidden="1" x14ac:dyDescent="0.3">
      <c r="A1130">
        <v>1128</v>
      </c>
      <c r="B1130" t="s">
        <v>1547</v>
      </c>
      <c r="C1130" t="s">
        <v>73</v>
      </c>
      <c r="D1130">
        <v>0.99995047793234904</v>
      </c>
    </row>
    <row r="1131" spans="1:4" hidden="1" x14ac:dyDescent="0.3">
      <c r="A1131">
        <v>1129</v>
      </c>
      <c r="B1131" t="s">
        <v>74</v>
      </c>
      <c r="C1131" t="s">
        <v>75</v>
      </c>
      <c r="D1131">
        <v>2.7397260273972599E-3</v>
      </c>
    </row>
    <row r="1132" spans="1:4" hidden="1" x14ac:dyDescent="0.3">
      <c r="A1132">
        <v>1130</v>
      </c>
      <c r="B1132" t="s">
        <v>76</v>
      </c>
      <c r="C1132" t="s">
        <v>77</v>
      </c>
      <c r="D1132">
        <v>0</v>
      </c>
    </row>
    <row r="1133" spans="1:4" hidden="1" x14ac:dyDescent="0.3">
      <c r="A1133">
        <v>1131</v>
      </c>
      <c r="B1133" t="s">
        <v>78</v>
      </c>
      <c r="C1133" t="s">
        <v>79</v>
      </c>
      <c r="D1133">
        <v>0</v>
      </c>
    </row>
    <row r="1134" spans="1:4" hidden="1" x14ac:dyDescent="0.3">
      <c r="A1134">
        <v>1132</v>
      </c>
      <c r="B1134" s="1" t="s">
        <v>1548</v>
      </c>
      <c r="C1134" t="s">
        <v>81</v>
      </c>
      <c r="D1134" s="1" t="s">
        <v>1549</v>
      </c>
    </row>
    <row r="1135" spans="1:4" hidden="1" x14ac:dyDescent="0.3">
      <c r="A1135">
        <v>1133</v>
      </c>
      <c r="B1135" t="s">
        <v>1550</v>
      </c>
      <c r="C1135" t="s">
        <v>84</v>
      </c>
      <c r="D1135">
        <v>0.99994273519146704</v>
      </c>
    </row>
    <row r="1136" spans="1:4" hidden="1" x14ac:dyDescent="0.3">
      <c r="A1136">
        <v>1134</v>
      </c>
      <c r="B1136" s="1" t="s">
        <v>1551</v>
      </c>
      <c r="C1136" t="s">
        <v>86</v>
      </c>
      <c r="D1136" s="1" t="s">
        <v>1552</v>
      </c>
    </row>
    <row r="1137" spans="1:4" hidden="1" x14ac:dyDescent="0.3">
      <c r="A1137">
        <v>1135</v>
      </c>
      <c r="B1137" t="s">
        <v>1553</v>
      </c>
      <c r="C1137" t="s">
        <v>89</v>
      </c>
      <c r="D1137">
        <v>102955861.539968</v>
      </c>
    </row>
    <row r="1138" spans="1:4" hidden="1" x14ac:dyDescent="0.3">
      <c r="A1138">
        <v>1136</v>
      </c>
      <c r="B1138" s="1" t="s">
        <v>1554</v>
      </c>
      <c r="C1138" t="s">
        <v>91</v>
      </c>
      <c r="D1138" s="1" t="s">
        <v>1489</v>
      </c>
    </row>
    <row r="1139" spans="1:4" hidden="1" x14ac:dyDescent="0.3">
      <c r="A1139">
        <v>1137</v>
      </c>
      <c r="B1139" t="s">
        <v>1555</v>
      </c>
      <c r="C1139" t="s">
        <v>94</v>
      </c>
      <c r="D1139">
        <v>74152235.161499605</v>
      </c>
    </row>
    <row r="1140" spans="1:4" hidden="1" x14ac:dyDescent="0.3">
      <c r="A1140">
        <v>1138</v>
      </c>
      <c r="B1140" t="s">
        <v>1556</v>
      </c>
      <c r="C1140" t="s">
        <v>96</v>
      </c>
      <c r="D1140">
        <v>34960168.0570677</v>
      </c>
    </row>
    <row r="1141" spans="1:4" hidden="1" x14ac:dyDescent="0.3">
      <c r="A1141">
        <v>1139</v>
      </c>
      <c r="B1141" t="s">
        <v>1557</v>
      </c>
      <c r="C1141" t="s">
        <v>98</v>
      </c>
      <c r="D1141">
        <v>39375077.174321704</v>
      </c>
    </row>
    <row r="1142" spans="1:4" hidden="1" x14ac:dyDescent="0.3">
      <c r="A1142">
        <v>1140</v>
      </c>
      <c r="B1142" s="1" t="s">
        <v>1558</v>
      </c>
      <c r="C1142" t="s">
        <v>100</v>
      </c>
      <c r="D1142" s="1" t="s">
        <v>1559</v>
      </c>
    </row>
    <row r="1143" spans="1:4" hidden="1" x14ac:dyDescent="0.3">
      <c r="A1143">
        <v>1141</v>
      </c>
      <c r="B1143" t="s">
        <v>1560</v>
      </c>
      <c r="C1143" t="s">
        <v>103</v>
      </c>
      <c r="D1143">
        <v>1.0164555333937E-2</v>
      </c>
    </row>
    <row r="1144" spans="1:4" hidden="1" x14ac:dyDescent="0.3">
      <c r="A1144">
        <v>1142</v>
      </c>
      <c r="B1144" t="s">
        <v>1561</v>
      </c>
      <c r="C1144" t="s">
        <v>105</v>
      </c>
      <c r="D1144">
        <v>3.1962333548282399E-3</v>
      </c>
    </row>
    <row r="1145" spans="1:4" hidden="1" x14ac:dyDescent="0.3">
      <c r="A1145">
        <v>1143</v>
      </c>
      <c r="B1145" t="s">
        <v>1562</v>
      </c>
      <c r="C1145" t="s">
        <v>107</v>
      </c>
      <c r="D1145">
        <v>1.22363934521614E-2</v>
      </c>
    </row>
    <row r="1146" spans="1:4" hidden="1" x14ac:dyDescent="0.3">
      <c r="A1146">
        <v>1144</v>
      </c>
      <c r="B1146" s="1" t="s">
        <v>1563</v>
      </c>
      <c r="C1146" t="s">
        <v>109</v>
      </c>
      <c r="D1146" s="1" t="s">
        <v>1564</v>
      </c>
    </row>
    <row r="1147" spans="1:4" hidden="1" x14ac:dyDescent="0.3">
      <c r="A1147">
        <v>1145</v>
      </c>
      <c r="B1147" t="s">
        <v>1565</v>
      </c>
      <c r="C1147" t="s">
        <v>208</v>
      </c>
      <c r="D1147">
        <v>148487209.05459201</v>
      </c>
    </row>
    <row r="1148" spans="1:4" hidden="1" x14ac:dyDescent="0.3">
      <c r="A1148">
        <v>1146</v>
      </c>
      <c r="B1148" t="s">
        <v>1566</v>
      </c>
      <c r="C1148" t="s">
        <v>210</v>
      </c>
      <c r="D1148">
        <v>574.16863037626501</v>
      </c>
    </row>
    <row r="1149" spans="1:4" hidden="1" x14ac:dyDescent="0.3">
      <c r="A1149">
        <v>1147</v>
      </c>
      <c r="B1149" t="s">
        <v>1567</v>
      </c>
      <c r="C1149" t="s">
        <v>212</v>
      </c>
      <c r="D1149">
        <v>270.70058442026999</v>
      </c>
    </row>
    <row r="1150" spans="1:4" hidden="1" x14ac:dyDescent="0.3">
      <c r="A1150">
        <v>1148</v>
      </c>
      <c r="B1150" s="1" t="s">
        <v>1568</v>
      </c>
      <c r="C1150" t="s">
        <v>214</v>
      </c>
      <c r="D1150" s="1" t="s">
        <v>1569</v>
      </c>
    </row>
    <row r="1151" spans="1:4" hidden="1" x14ac:dyDescent="0.3">
      <c r="A1151">
        <v>1149</v>
      </c>
      <c r="B1151" t="s">
        <v>1570</v>
      </c>
      <c r="C1151" t="s">
        <v>217</v>
      </c>
      <c r="D1151">
        <v>74151487.1170647</v>
      </c>
    </row>
    <row r="1152" spans="1:4" hidden="1" x14ac:dyDescent="0.3">
      <c r="A1152">
        <v>1150</v>
      </c>
      <c r="B1152" t="s">
        <v>1571</v>
      </c>
      <c r="C1152" t="s">
        <v>219</v>
      </c>
      <c r="D1152">
        <v>34959852.970489502</v>
      </c>
    </row>
    <row r="1153" spans="1:4" hidden="1" x14ac:dyDescent="0.3">
      <c r="A1153">
        <v>1151</v>
      </c>
      <c r="B1153" t="s">
        <v>1572</v>
      </c>
      <c r="C1153" t="s">
        <v>221</v>
      </c>
      <c r="D1153">
        <v>39374719.212115496</v>
      </c>
    </row>
    <row r="1154" spans="1:4" hidden="1" x14ac:dyDescent="0.3">
      <c r="A1154">
        <v>1152</v>
      </c>
      <c r="B1154" s="1" t="s">
        <v>1573</v>
      </c>
      <c r="C1154" t="s">
        <v>223</v>
      </c>
      <c r="D1154" s="1" t="s">
        <v>1574</v>
      </c>
    </row>
    <row r="1155" spans="1:4" hidden="1" x14ac:dyDescent="0.3">
      <c r="A1155">
        <v>1153</v>
      </c>
      <c r="B1155" t="s">
        <v>1575</v>
      </c>
      <c r="C1155" t="s">
        <v>226</v>
      </c>
      <c r="D1155">
        <v>102955064.339931</v>
      </c>
    </row>
    <row r="1156" spans="1:4" hidden="1" x14ac:dyDescent="0.3">
      <c r="A1156">
        <v>1154</v>
      </c>
      <c r="B1156" t="s">
        <v>1576</v>
      </c>
      <c r="C1156" t="s">
        <v>228</v>
      </c>
      <c r="D1156">
        <v>797.20003712177197</v>
      </c>
    </row>
    <row r="1157" spans="1:4" hidden="1" x14ac:dyDescent="0.3">
      <c r="A1157">
        <v>1155</v>
      </c>
      <c r="B1157" s="1" t="s">
        <v>1577</v>
      </c>
      <c r="C1157" t="s">
        <v>230</v>
      </c>
      <c r="D1157" s="1" t="s">
        <v>1578</v>
      </c>
    </row>
    <row r="1158" spans="1:4" hidden="1" x14ac:dyDescent="0.3">
      <c r="A1158">
        <v>1156</v>
      </c>
      <c r="B1158" t="s">
        <v>1579</v>
      </c>
      <c r="C1158" t="s">
        <v>112</v>
      </c>
      <c r="D1158">
        <v>-173.87580448711401</v>
      </c>
    </row>
    <row r="1159" spans="1:4" hidden="1" x14ac:dyDescent="0.3">
      <c r="A1159">
        <v>1157</v>
      </c>
      <c r="B1159" t="s">
        <v>1580</v>
      </c>
      <c r="C1159" t="s">
        <v>114</v>
      </c>
      <c r="D1159">
        <v>-44.385993835407099</v>
      </c>
    </row>
    <row r="1160" spans="1:4" hidden="1" x14ac:dyDescent="0.3">
      <c r="A1160">
        <v>1158</v>
      </c>
      <c r="B1160" s="1" t="s">
        <v>1581</v>
      </c>
      <c r="C1160" t="s">
        <v>116</v>
      </c>
      <c r="D1160" s="1" t="s">
        <v>1582</v>
      </c>
    </row>
    <row r="1161" spans="1:4" hidden="1" x14ac:dyDescent="0.3">
      <c r="A1161">
        <v>1159</v>
      </c>
      <c r="B1161" t="s">
        <v>1583</v>
      </c>
      <c r="C1161" t="s">
        <v>119</v>
      </c>
      <c r="D1161">
        <v>74151487.1170647</v>
      </c>
    </row>
    <row r="1162" spans="1:4" hidden="1" x14ac:dyDescent="0.3">
      <c r="A1162">
        <v>1160</v>
      </c>
      <c r="B1162" t="s">
        <v>1584</v>
      </c>
      <c r="C1162" t="s">
        <v>121</v>
      </c>
      <c r="D1162">
        <v>34959852.970489502</v>
      </c>
    </row>
    <row r="1163" spans="1:4" hidden="1" x14ac:dyDescent="0.3">
      <c r="A1163">
        <v>1161</v>
      </c>
      <c r="B1163" s="1" t="s">
        <v>1585</v>
      </c>
      <c r="C1163" t="s">
        <v>123</v>
      </c>
      <c r="D1163" s="1" t="s">
        <v>1586</v>
      </c>
    </row>
    <row r="1164" spans="1:4" hidden="1" x14ac:dyDescent="0.3">
      <c r="A1164">
        <v>1162</v>
      </c>
      <c r="B1164" t="s">
        <v>1587</v>
      </c>
      <c r="C1164" t="s">
        <v>126</v>
      </c>
      <c r="D1164">
        <v>0.72027281131221799</v>
      </c>
    </row>
    <row r="1165" spans="1:4" hidden="1" x14ac:dyDescent="0.3">
      <c r="A1165">
        <v>1163</v>
      </c>
      <c r="B1165" t="s">
        <v>1588</v>
      </c>
      <c r="C1165" t="s">
        <v>128</v>
      </c>
      <c r="D1165">
        <v>0.33958363562369298</v>
      </c>
    </row>
    <row r="1166" spans="1:4" hidden="1" x14ac:dyDescent="0.3">
      <c r="A1166">
        <v>1164</v>
      </c>
      <c r="B1166" s="1" t="s">
        <v>1589</v>
      </c>
      <c r="C1166" t="s">
        <v>130</v>
      </c>
      <c r="D1166" s="1" t="s">
        <v>1590</v>
      </c>
    </row>
    <row r="1167" spans="1:4" x14ac:dyDescent="0.3">
      <c r="A1167">
        <v>1165</v>
      </c>
      <c r="B1167" s="1" t="s">
        <v>1591</v>
      </c>
      <c r="C1167" t="s">
        <v>4</v>
      </c>
      <c r="D1167" t="s">
        <v>1592</v>
      </c>
    </row>
    <row r="1168" spans="1:4" hidden="1" x14ac:dyDescent="0.3">
      <c r="A1168">
        <v>1166</v>
      </c>
      <c r="B1168" t="s">
        <v>1593</v>
      </c>
      <c r="C1168" t="s">
        <v>7</v>
      </c>
      <c r="D1168">
        <v>1718.81</v>
      </c>
    </row>
    <row r="1169" spans="1:4" hidden="1" x14ac:dyDescent="0.3">
      <c r="A1169">
        <v>1167</v>
      </c>
      <c r="B1169" s="1" t="s">
        <v>1594</v>
      </c>
      <c r="C1169" t="s">
        <v>9</v>
      </c>
      <c r="D1169" s="1" t="s">
        <v>1595</v>
      </c>
    </row>
    <row r="1170" spans="1:4" hidden="1" x14ac:dyDescent="0.3">
      <c r="A1170">
        <v>1168</v>
      </c>
      <c r="B1170" t="s">
        <v>1596</v>
      </c>
      <c r="C1170" t="s">
        <v>14</v>
      </c>
      <c r="D1170">
        <v>91.26953125</v>
      </c>
    </row>
    <row r="1171" spans="1:4" hidden="1" x14ac:dyDescent="0.3">
      <c r="A1171">
        <v>1169</v>
      </c>
      <c r="B1171" t="s">
        <v>1597</v>
      </c>
      <c r="C1171" t="s">
        <v>16</v>
      </c>
      <c r="D1171">
        <v>4.2857078950899403</v>
      </c>
    </row>
    <row r="1172" spans="1:4" hidden="1" x14ac:dyDescent="0.3">
      <c r="A1172">
        <v>1170</v>
      </c>
      <c r="B1172" s="1" t="s">
        <v>1598</v>
      </c>
      <c r="C1172" t="s">
        <v>140</v>
      </c>
      <c r="D1172" s="1" t="s">
        <v>1599</v>
      </c>
    </row>
    <row r="1173" spans="1:4" hidden="1" x14ac:dyDescent="0.3">
      <c r="A1173">
        <v>1171</v>
      </c>
      <c r="B1173" t="s">
        <v>1600</v>
      </c>
      <c r="C1173" t="s">
        <v>22</v>
      </c>
      <c r="D1173">
        <v>63.3</v>
      </c>
    </row>
    <row r="1174" spans="1:4" hidden="1" x14ac:dyDescent="0.3">
      <c r="A1174">
        <v>1172</v>
      </c>
      <c r="B1174" t="s">
        <v>1601</v>
      </c>
      <c r="C1174" t="s">
        <v>24</v>
      </c>
      <c r="D1174">
        <v>5.5509381748481097</v>
      </c>
    </row>
    <row r="1175" spans="1:4" hidden="1" x14ac:dyDescent="0.3">
      <c r="A1175">
        <v>1173</v>
      </c>
      <c r="B1175" s="1" t="s">
        <v>1602</v>
      </c>
      <c r="C1175" t="s">
        <v>145</v>
      </c>
      <c r="D1175" s="1" t="s">
        <v>1603</v>
      </c>
    </row>
    <row r="1176" spans="1:4" hidden="1" x14ac:dyDescent="0.3">
      <c r="A1176">
        <v>1174</v>
      </c>
      <c r="B1176" t="s">
        <v>1604</v>
      </c>
      <c r="C1176" t="s">
        <v>35</v>
      </c>
      <c r="D1176">
        <v>0.38480656546925501</v>
      </c>
    </row>
    <row r="1177" spans="1:4" hidden="1" x14ac:dyDescent="0.3">
      <c r="A1177">
        <v>1175</v>
      </c>
      <c r="B1177" t="s">
        <v>1605</v>
      </c>
      <c r="C1177" t="s">
        <v>149</v>
      </c>
      <c r="D1177">
        <v>0.56843914800536299</v>
      </c>
    </row>
    <row r="1178" spans="1:4" hidden="1" x14ac:dyDescent="0.3">
      <c r="A1178">
        <v>1176</v>
      </c>
      <c r="B1178" s="1" t="s">
        <v>1606</v>
      </c>
      <c r="C1178" t="s">
        <v>151</v>
      </c>
      <c r="D1178" s="1" t="s">
        <v>1607</v>
      </c>
    </row>
    <row r="1179" spans="1:4" hidden="1" x14ac:dyDescent="0.3">
      <c r="A1179">
        <v>1177</v>
      </c>
      <c r="B1179" t="s">
        <v>1608</v>
      </c>
      <c r="C1179" t="s">
        <v>30</v>
      </c>
      <c r="D1179">
        <v>0.26124524389111298</v>
      </c>
    </row>
    <row r="1180" spans="1:4" hidden="1" x14ac:dyDescent="0.3">
      <c r="A1180">
        <v>1178</v>
      </c>
      <c r="B1180" t="s">
        <v>1609</v>
      </c>
      <c r="C1180" t="s">
        <v>32</v>
      </c>
      <c r="D1180">
        <v>0.37412765287252903</v>
      </c>
    </row>
    <row r="1181" spans="1:4" hidden="1" x14ac:dyDescent="0.3">
      <c r="A1181">
        <v>1179</v>
      </c>
      <c r="B1181" s="1" t="s">
        <v>1610</v>
      </c>
      <c r="C1181" t="s">
        <v>155</v>
      </c>
      <c r="D1181" s="1" t="s">
        <v>1611</v>
      </c>
    </row>
    <row r="1182" spans="1:4" hidden="1" x14ac:dyDescent="0.3">
      <c r="A1182">
        <v>1180</v>
      </c>
      <c r="B1182" t="s">
        <v>1612</v>
      </c>
      <c r="C1182" t="s">
        <v>40</v>
      </c>
      <c r="D1182">
        <v>0.35394819063963101</v>
      </c>
    </row>
    <row r="1183" spans="1:4" hidden="1" x14ac:dyDescent="0.3">
      <c r="A1183">
        <v>1181</v>
      </c>
      <c r="B1183" t="s">
        <v>1613</v>
      </c>
      <c r="C1183" t="s">
        <v>42</v>
      </c>
      <c r="D1183">
        <v>0.385075603111809</v>
      </c>
    </row>
    <row r="1184" spans="1:4" hidden="1" x14ac:dyDescent="0.3">
      <c r="A1184">
        <v>1182</v>
      </c>
      <c r="B1184" s="1" t="s">
        <v>1614</v>
      </c>
      <c r="C1184" t="s">
        <v>159</v>
      </c>
      <c r="D1184" s="1" t="s">
        <v>1615</v>
      </c>
    </row>
    <row r="1185" spans="1:4" hidden="1" x14ac:dyDescent="0.3">
      <c r="A1185">
        <v>1183</v>
      </c>
      <c r="B1185" t="s">
        <v>1616</v>
      </c>
      <c r="C1185" t="s">
        <v>161</v>
      </c>
      <c r="D1185">
        <v>1.0131028303999801</v>
      </c>
    </row>
    <row r="1186" spans="1:4" hidden="1" x14ac:dyDescent="0.3">
      <c r="A1186">
        <v>1184</v>
      </c>
      <c r="B1186" t="s">
        <v>1617</v>
      </c>
      <c r="C1186" t="s">
        <v>163</v>
      </c>
      <c r="D1186">
        <v>1.00563712502169</v>
      </c>
    </row>
    <row r="1187" spans="1:4" hidden="1" x14ac:dyDescent="0.3">
      <c r="A1187">
        <v>1185</v>
      </c>
      <c r="B1187" s="1" t="s">
        <v>1618</v>
      </c>
      <c r="C1187" t="s">
        <v>165</v>
      </c>
      <c r="D1187" s="1" t="s">
        <v>1619</v>
      </c>
    </row>
    <row r="1188" spans="1:4" hidden="1" x14ac:dyDescent="0.3">
      <c r="A1188">
        <v>1186</v>
      </c>
      <c r="B1188" t="s">
        <v>1620</v>
      </c>
      <c r="C1188" t="s">
        <v>168</v>
      </c>
      <c r="D1188">
        <v>0.99889126651397397</v>
      </c>
    </row>
    <row r="1189" spans="1:4" hidden="1" x14ac:dyDescent="0.3">
      <c r="A1189">
        <v>1187</v>
      </c>
      <c r="B1189" t="s">
        <v>1621</v>
      </c>
      <c r="C1189" t="s">
        <v>170</v>
      </c>
      <c r="D1189">
        <v>1.0066159111576101</v>
      </c>
    </row>
    <row r="1190" spans="1:4" hidden="1" x14ac:dyDescent="0.3">
      <c r="A1190">
        <v>1188</v>
      </c>
      <c r="B1190" s="1" t="s">
        <v>1622</v>
      </c>
      <c r="C1190" t="s">
        <v>172</v>
      </c>
      <c r="D1190" s="1" t="s">
        <v>1623</v>
      </c>
    </row>
    <row r="1191" spans="1:4" hidden="1" x14ac:dyDescent="0.3">
      <c r="A1191">
        <v>1189</v>
      </c>
      <c r="B1191" s="1" t="s">
        <v>1624</v>
      </c>
      <c r="C1191" t="s">
        <v>55</v>
      </c>
      <c r="D1191" s="1" t="s">
        <v>1625</v>
      </c>
    </row>
    <row r="1192" spans="1:4" hidden="1" x14ac:dyDescent="0.3">
      <c r="A1192">
        <v>1190</v>
      </c>
      <c r="B1192" s="1" t="s">
        <v>1626</v>
      </c>
      <c r="C1192" t="s">
        <v>52</v>
      </c>
      <c r="D1192" s="1" t="s">
        <v>1627</v>
      </c>
    </row>
    <row r="1193" spans="1:4" hidden="1" x14ac:dyDescent="0.3">
      <c r="A1193">
        <v>1191</v>
      </c>
      <c r="B1193" s="1" t="s">
        <v>1628</v>
      </c>
      <c r="C1193" t="s">
        <v>58</v>
      </c>
      <c r="D1193" s="1" t="s">
        <v>1629</v>
      </c>
    </row>
    <row r="1194" spans="1:4" hidden="1" x14ac:dyDescent="0.3">
      <c r="A1194">
        <v>1192</v>
      </c>
      <c r="B1194" t="s">
        <v>1630</v>
      </c>
      <c r="C1194" t="s">
        <v>61</v>
      </c>
      <c r="D1194">
        <v>149168715.556795</v>
      </c>
    </row>
    <row r="1195" spans="1:4" hidden="1" x14ac:dyDescent="0.3">
      <c r="A1195">
        <v>1193</v>
      </c>
      <c r="B1195" t="s">
        <v>1631</v>
      </c>
      <c r="C1195" t="s">
        <v>63</v>
      </c>
      <c r="D1195">
        <v>75123081.476666003</v>
      </c>
    </row>
    <row r="1196" spans="1:4" hidden="1" x14ac:dyDescent="0.3">
      <c r="A1196">
        <v>1194</v>
      </c>
      <c r="B1196" t="s">
        <v>1632</v>
      </c>
      <c r="C1196" t="s">
        <v>65</v>
      </c>
      <c r="D1196">
        <v>35156926.032424003</v>
      </c>
    </row>
    <row r="1197" spans="1:4" hidden="1" x14ac:dyDescent="0.3">
      <c r="A1197">
        <v>1195</v>
      </c>
      <c r="B1197" s="1" t="s">
        <v>1633</v>
      </c>
      <c r="C1197" t="s">
        <v>67</v>
      </c>
      <c r="D1197" s="1" t="s">
        <v>1634</v>
      </c>
    </row>
    <row r="1198" spans="1:4" hidden="1" x14ac:dyDescent="0.3">
      <c r="A1198">
        <v>1196</v>
      </c>
      <c r="B1198" s="1" t="s">
        <v>1635</v>
      </c>
      <c r="C1198" t="s">
        <v>70</v>
      </c>
      <c r="D1198" s="1" t="s">
        <v>1636</v>
      </c>
    </row>
    <row r="1199" spans="1:4" hidden="1" x14ac:dyDescent="0.3">
      <c r="A1199">
        <v>1197</v>
      </c>
      <c r="B1199" t="s">
        <v>1637</v>
      </c>
      <c r="C1199" t="s">
        <v>73</v>
      </c>
      <c r="D1199">
        <v>0.99994273519146704</v>
      </c>
    </row>
    <row r="1200" spans="1:4" hidden="1" x14ac:dyDescent="0.3">
      <c r="A1200">
        <v>1198</v>
      </c>
      <c r="B1200" t="s">
        <v>74</v>
      </c>
      <c r="C1200" t="s">
        <v>75</v>
      </c>
      <c r="D1200">
        <v>2.7397260273972599E-3</v>
      </c>
    </row>
    <row r="1201" spans="1:4" hidden="1" x14ac:dyDescent="0.3">
      <c r="A1201">
        <v>1199</v>
      </c>
      <c r="B1201" t="s">
        <v>76</v>
      </c>
      <c r="C1201" t="s">
        <v>77</v>
      </c>
      <c r="D1201">
        <v>0</v>
      </c>
    </row>
    <row r="1202" spans="1:4" hidden="1" x14ac:dyDescent="0.3">
      <c r="A1202">
        <v>1200</v>
      </c>
      <c r="B1202" t="s">
        <v>188</v>
      </c>
      <c r="C1202" t="s">
        <v>79</v>
      </c>
      <c r="D1202" s="2">
        <v>-2.2204460492503101E-16</v>
      </c>
    </row>
    <row r="1203" spans="1:4" hidden="1" x14ac:dyDescent="0.3">
      <c r="A1203">
        <v>1201</v>
      </c>
      <c r="B1203" s="1" t="s">
        <v>1638</v>
      </c>
      <c r="C1203" t="s">
        <v>81</v>
      </c>
      <c r="D1203" s="1" t="s">
        <v>1639</v>
      </c>
    </row>
    <row r="1204" spans="1:4" hidden="1" x14ac:dyDescent="0.3">
      <c r="A1204">
        <v>1202</v>
      </c>
      <c r="B1204" t="s">
        <v>1640</v>
      </c>
      <c r="C1204" t="s">
        <v>84</v>
      </c>
      <c r="D1204">
        <v>0.99992316333325804</v>
      </c>
    </row>
    <row r="1205" spans="1:4" hidden="1" x14ac:dyDescent="0.3">
      <c r="A1205">
        <v>1203</v>
      </c>
      <c r="B1205" s="1" t="s">
        <v>1641</v>
      </c>
      <c r="C1205" t="s">
        <v>86</v>
      </c>
      <c r="D1205" s="1" t="s">
        <v>1642</v>
      </c>
    </row>
    <row r="1206" spans="1:4" hidden="1" x14ac:dyDescent="0.3">
      <c r="A1206">
        <v>1204</v>
      </c>
      <c r="B1206" t="s">
        <v>1643</v>
      </c>
      <c r="C1206" t="s">
        <v>89</v>
      </c>
      <c r="D1206">
        <v>102957876.732333</v>
      </c>
    </row>
    <row r="1207" spans="1:4" hidden="1" x14ac:dyDescent="0.3">
      <c r="A1207">
        <v>1205</v>
      </c>
      <c r="B1207" s="1" t="s">
        <v>1644</v>
      </c>
      <c r="C1207" t="s">
        <v>91</v>
      </c>
      <c r="D1207" s="1" t="s">
        <v>1578</v>
      </c>
    </row>
    <row r="1208" spans="1:4" hidden="1" x14ac:dyDescent="0.3">
      <c r="A1208">
        <v>1206</v>
      </c>
      <c r="B1208" t="s">
        <v>1645</v>
      </c>
      <c r="C1208" t="s">
        <v>94</v>
      </c>
      <c r="D1208">
        <v>75123081.476666003</v>
      </c>
    </row>
    <row r="1209" spans="1:4" hidden="1" x14ac:dyDescent="0.3">
      <c r="A1209">
        <v>1207</v>
      </c>
      <c r="B1209" t="s">
        <v>1646</v>
      </c>
      <c r="C1209" t="s">
        <v>96</v>
      </c>
      <c r="D1209">
        <v>35156926.032424003</v>
      </c>
    </row>
    <row r="1210" spans="1:4" hidden="1" x14ac:dyDescent="0.3">
      <c r="A1210">
        <v>1208</v>
      </c>
      <c r="B1210" t="s">
        <v>1647</v>
      </c>
      <c r="C1210" t="s">
        <v>98</v>
      </c>
      <c r="D1210">
        <v>38888708.047705702</v>
      </c>
    </row>
    <row r="1211" spans="1:4" hidden="1" x14ac:dyDescent="0.3">
      <c r="A1211">
        <v>1209</v>
      </c>
      <c r="B1211" s="1" t="s">
        <v>1648</v>
      </c>
      <c r="C1211" t="s">
        <v>100</v>
      </c>
      <c r="D1211" s="1" t="s">
        <v>1649</v>
      </c>
    </row>
    <row r="1212" spans="1:4" hidden="1" x14ac:dyDescent="0.3">
      <c r="A1212">
        <v>1210</v>
      </c>
      <c r="B1212" t="s">
        <v>1650</v>
      </c>
      <c r="C1212" t="s">
        <v>103</v>
      </c>
      <c r="D1212">
        <v>1.00618108453396E-2</v>
      </c>
    </row>
    <row r="1213" spans="1:4" hidden="1" x14ac:dyDescent="0.3">
      <c r="A1213">
        <v>1211</v>
      </c>
      <c r="B1213" t="s">
        <v>1651</v>
      </c>
      <c r="C1213" t="s">
        <v>105</v>
      </c>
      <c r="D1213">
        <v>3.2411591319926399E-3</v>
      </c>
    </row>
    <row r="1214" spans="1:4" hidden="1" x14ac:dyDescent="0.3">
      <c r="A1214">
        <v>1212</v>
      </c>
      <c r="B1214" t="s">
        <v>1652</v>
      </c>
      <c r="C1214" t="s">
        <v>107</v>
      </c>
      <c r="D1214">
        <v>1.2260239650866899E-2</v>
      </c>
    </row>
    <row r="1215" spans="1:4" hidden="1" x14ac:dyDescent="0.3">
      <c r="A1215">
        <v>1213</v>
      </c>
      <c r="B1215" s="1" t="s">
        <v>1653</v>
      </c>
      <c r="C1215" t="s">
        <v>109</v>
      </c>
      <c r="D1215" s="1" t="s">
        <v>1654</v>
      </c>
    </row>
    <row r="1216" spans="1:4" hidden="1" x14ac:dyDescent="0.3">
      <c r="A1216">
        <v>1214</v>
      </c>
      <c r="B1216" t="s">
        <v>1655</v>
      </c>
      <c r="C1216" t="s">
        <v>208</v>
      </c>
      <c r="D1216">
        <v>149168028.97437701</v>
      </c>
    </row>
    <row r="1217" spans="1:4" hidden="1" x14ac:dyDescent="0.3">
      <c r="A1217">
        <v>1215</v>
      </c>
      <c r="B1217" t="s">
        <v>1656</v>
      </c>
      <c r="C1217" t="s">
        <v>210</v>
      </c>
      <c r="D1217">
        <v>1470.3725685632501</v>
      </c>
    </row>
    <row r="1218" spans="1:4" hidden="1" x14ac:dyDescent="0.3">
      <c r="A1218">
        <v>1216</v>
      </c>
      <c r="B1218" t="s">
        <v>1657</v>
      </c>
      <c r="C1218" t="s">
        <v>212</v>
      </c>
      <c r="D1218">
        <v>688.124158544495</v>
      </c>
    </row>
    <row r="1219" spans="1:4" hidden="1" x14ac:dyDescent="0.3">
      <c r="A1219">
        <v>1217</v>
      </c>
      <c r="B1219" s="1" t="s">
        <v>1658</v>
      </c>
      <c r="C1219" t="s">
        <v>214</v>
      </c>
      <c r="D1219" s="1" t="s">
        <v>1659</v>
      </c>
    </row>
    <row r="1220" spans="1:4" hidden="1" x14ac:dyDescent="0.3">
      <c r="A1220">
        <v>1218</v>
      </c>
      <c r="B1220" t="s">
        <v>1660</v>
      </c>
      <c r="C1220" t="s">
        <v>217</v>
      </c>
      <c r="D1220">
        <v>75121103.696125001</v>
      </c>
    </row>
    <row r="1221" spans="1:4" hidden="1" x14ac:dyDescent="0.3">
      <c r="A1221">
        <v>1219</v>
      </c>
      <c r="B1221" t="s">
        <v>1661</v>
      </c>
      <c r="C1221" t="s">
        <v>219</v>
      </c>
      <c r="D1221">
        <v>35156155.232370801</v>
      </c>
    </row>
    <row r="1222" spans="1:4" hidden="1" x14ac:dyDescent="0.3">
      <c r="A1222">
        <v>1220</v>
      </c>
      <c r="B1222" t="s">
        <v>1662</v>
      </c>
      <c r="C1222" t="s">
        <v>221</v>
      </c>
      <c r="D1222">
        <v>38887850.383175001</v>
      </c>
    </row>
    <row r="1223" spans="1:4" hidden="1" x14ac:dyDescent="0.3">
      <c r="A1223">
        <v>1221</v>
      </c>
      <c r="B1223" s="1" t="s">
        <v>1663</v>
      </c>
      <c r="C1223" t="s">
        <v>223</v>
      </c>
      <c r="D1223" s="1" t="s">
        <v>1664</v>
      </c>
    </row>
    <row r="1224" spans="1:4" hidden="1" x14ac:dyDescent="0.3">
      <c r="A1224">
        <v>1222</v>
      </c>
      <c r="B1224" t="s">
        <v>1665</v>
      </c>
      <c r="C1224" t="s">
        <v>226</v>
      </c>
      <c r="D1224">
        <v>102955861.539968</v>
      </c>
    </row>
    <row r="1225" spans="1:4" hidden="1" x14ac:dyDescent="0.3">
      <c r="A1225">
        <v>1223</v>
      </c>
      <c r="B1225" t="s">
        <v>1666</v>
      </c>
      <c r="C1225" t="s">
        <v>228</v>
      </c>
      <c r="D1225">
        <v>2015.1923644989699</v>
      </c>
    </row>
    <row r="1226" spans="1:4" hidden="1" x14ac:dyDescent="0.3">
      <c r="A1226">
        <v>1224</v>
      </c>
      <c r="B1226" s="1" t="s">
        <v>1667</v>
      </c>
      <c r="C1226" t="s">
        <v>230</v>
      </c>
      <c r="D1226" s="1" t="s">
        <v>1668</v>
      </c>
    </row>
    <row r="1227" spans="1:4" hidden="1" x14ac:dyDescent="0.3">
      <c r="A1227">
        <v>1225</v>
      </c>
      <c r="B1227" t="s">
        <v>1669</v>
      </c>
      <c r="C1227" t="s">
        <v>112</v>
      </c>
      <c r="D1227">
        <v>-507.40797241605799</v>
      </c>
    </row>
    <row r="1228" spans="1:4" hidden="1" x14ac:dyDescent="0.3">
      <c r="A1228">
        <v>1226</v>
      </c>
      <c r="B1228" t="s">
        <v>1670</v>
      </c>
      <c r="C1228" t="s">
        <v>114</v>
      </c>
      <c r="D1228">
        <v>-82.675894638260402</v>
      </c>
    </row>
    <row r="1229" spans="1:4" hidden="1" x14ac:dyDescent="0.3">
      <c r="A1229">
        <v>1227</v>
      </c>
      <c r="B1229" s="1" t="s">
        <v>1671</v>
      </c>
      <c r="C1229" t="s">
        <v>116</v>
      </c>
      <c r="D1229" s="1" t="s">
        <v>1672</v>
      </c>
    </row>
    <row r="1230" spans="1:4" hidden="1" x14ac:dyDescent="0.3">
      <c r="A1230">
        <v>1228</v>
      </c>
      <c r="B1230" t="s">
        <v>1673</v>
      </c>
      <c r="C1230" t="s">
        <v>119</v>
      </c>
      <c r="D1230">
        <v>75121103.696125001</v>
      </c>
    </row>
    <row r="1231" spans="1:4" hidden="1" x14ac:dyDescent="0.3">
      <c r="A1231">
        <v>1229</v>
      </c>
      <c r="B1231" t="s">
        <v>1674</v>
      </c>
      <c r="C1231" t="s">
        <v>121</v>
      </c>
      <c r="D1231">
        <v>35156155.232370801</v>
      </c>
    </row>
    <row r="1232" spans="1:4" hidden="1" x14ac:dyDescent="0.3">
      <c r="A1232">
        <v>1230</v>
      </c>
      <c r="B1232" s="1" t="s">
        <v>1675</v>
      </c>
      <c r="C1232" t="s">
        <v>123</v>
      </c>
      <c r="D1232" s="1" t="s">
        <v>1676</v>
      </c>
    </row>
    <row r="1233" spans="1:4" hidden="1" x14ac:dyDescent="0.3">
      <c r="A1233">
        <v>1231</v>
      </c>
      <c r="B1233" t="s">
        <v>1677</v>
      </c>
      <c r="C1233" t="s">
        <v>126</v>
      </c>
      <c r="D1233">
        <v>0.72969984487682105</v>
      </c>
    </row>
    <row r="1234" spans="1:4" hidden="1" x14ac:dyDescent="0.3">
      <c r="A1234">
        <v>1232</v>
      </c>
      <c r="B1234" t="s">
        <v>1678</v>
      </c>
      <c r="C1234" t="s">
        <v>128</v>
      </c>
      <c r="D1234">
        <v>0.34149446370354303</v>
      </c>
    </row>
    <row r="1235" spans="1:4" hidden="1" x14ac:dyDescent="0.3">
      <c r="A1235">
        <v>1233</v>
      </c>
      <c r="B1235" s="1" t="s">
        <v>1679</v>
      </c>
      <c r="C1235" t="s">
        <v>130</v>
      </c>
      <c r="D1235" s="1" t="s">
        <v>1680</v>
      </c>
    </row>
    <row r="1236" spans="1:4" x14ac:dyDescent="0.3">
      <c r="A1236">
        <v>1234</v>
      </c>
      <c r="B1236" s="1" t="s">
        <v>1681</v>
      </c>
      <c r="C1236" t="s">
        <v>4</v>
      </c>
      <c r="D1236" t="s">
        <v>1682</v>
      </c>
    </row>
    <row r="1237" spans="1:4" hidden="1" x14ac:dyDescent="0.3">
      <c r="A1237">
        <v>1235</v>
      </c>
      <c r="B1237" t="s">
        <v>1683</v>
      </c>
      <c r="C1237" t="s">
        <v>7</v>
      </c>
      <c r="D1237">
        <v>1727.64</v>
      </c>
    </row>
    <row r="1238" spans="1:4" hidden="1" x14ac:dyDescent="0.3">
      <c r="A1238">
        <v>1236</v>
      </c>
      <c r="B1238" s="1" t="s">
        <v>1684</v>
      </c>
      <c r="C1238" t="s">
        <v>9</v>
      </c>
      <c r="D1238" s="1" t="s">
        <v>1685</v>
      </c>
    </row>
    <row r="1239" spans="1:4" hidden="1" x14ac:dyDescent="0.3">
      <c r="A1239">
        <v>1237</v>
      </c>
      <c r="B1239" t="s">
        <v>1686</v>
      </c>
      <c r="C1239" t="s">
        <v>14</v>
      </c>
      <c r="D1239">
        <v>91.72265625</v>
      </c>
    </row>
    <row r="1240" spans="1:4" hidden="1" x14ac:dyDescent="0.3">
      <c r="A1240">
        <v>1238</v>
      </c>
      <c r="B1240" t="s">
        <v>1687</v>
      </c>
      <c r="C1240" t="s">
        <v>16</v>
      </c>
      <c r="D1240">
        <v>4.2950180835224296</v>
      </c>
    </row>
    <row r="1241" spans="1:4" hidden="1" x14ac:dyDescent="0.3">
      <c r="A1241">
        <v>1239</v>
      </c>
      <c r="B1241" s="1" t="s">
        <v>1688</v>
      </c>
      <c r="C1241" t="s">
        <v>140</v>
      </c>
      <c r="D1241" s="1" t="s">
        <v>1689</v>
      </c>
    </row>
    <row r="1242" spans="1:4" hidden="1" x14ac:dyDescent="0.3">
      <c r="A1242">
        <v>1240</v>
      </c>
      <c r="B1242" t="s">
        <v>1690</v>
      </c>
      <c r="C1242" t="s">
        <v>22</v>
      </c>
      <c r="D1242">
        <v>63.85</v>
      </c>
    </row>
    <row r="1243" spans="1:4" hidden="1" x14ac:dyDescent="0.3">
      <c r="A1243">
        <v>1241</v>
      </c>
      <c r="B1243" t="s">
        <v>1691</v>
      </c>
      <c r="C1243" t="s">
        <v>24</v>
      </c>
      <c r="D1243">
        <v>5.6121004404164898</v>
      </c>
    </row>
    <row r="1244" spans="1:4" hidden="1" x14ac:dyDescent="0.3">
      <c r="A1244">
        <v>1242</v>
      </c>
      <c r="B1244" s="1" t="s">
        <v>1692</v>
      </c>
      <c r="C1244" t="s">
        <v>145</v>
      </c>
      <c r="D1244" s="1" t="s">
        <v>1693</v>
      </c>
    </row>
    <row r="1245" spans="1:4" hidden="1" x14ac:dyDescent="0.3">
      <c r="A1245">
        <v>1243</v>
      </c>
      <c r="B1245" t="s">
        <v>1694</v>
      </c>
      <c r="C1245" t="s">
        <v>35</v>
      </c>
      <c r="D1245">
        <v>3.16585408624438</v>
      </c>
    </row>
    <row r="1246" spans="1:4" hidden="1" x14ac:dyDescent="0.3">
      <c r="A1246">
        <v>1244</v>
      </c>
      <c r="B1246" t="s">
        <v>1695</v>
      </c>
      <c r="C1246" t="s">
        <v>149</v>
      </c>
      <c r="D1246">
        <v>0.56782165648314198</v>
      </c>
    </row>
    <row r="1247" spans="1:4" hidden="1" x14ac:dyDescent="0.3">
      <c r="A1247">
        <v>1245</v>
      </c>
      <c r="B1247" s="1" t="s">
        <v>1696</v>
      </c>
      <c r="C1247" t="s">
        <v>151</v>
      </c>
      <c r="D1247" s="1" t="s">
        <v>1697</v>
      </c>
    </row>
    <row r="1248" spans="1:4" hidden="1" x14ac:dyDescent="0.3">
      <c r="A1248">
        <v>1246</v>
      </c>
      <c r="B1248" t="s">
        <v>1698</v>
      </c>
      <c r="C1248" t="s">
        <v>30</v>
      </c>
      <c r="D1248">
        <v>-0.91681871709557905</v>
      </c>
    </row>
    <row r="1249" spans="1:4" hidden="1" x14ac:dyDescent="0.3">
      <c r="A1249">
        <v>1247</v>
      </c>
      <c r="B1249" t="s">
        <v>1699</v>
      </c>
      <c r="C1249" t="s">
        <v>32</v>
      </c>
      <c r="D1249">
        <v>0.37670049872702899</v>
      </c>
    </row>
    <row r="1250" spans="1:4" hidden="1" x14ac:dyDescent="0.3">
      <c r="A1250">
        <v>1248</v>
      </c>
      <c r="B1250" s="1" t="s">
        <v>1700</v>
      </c>
      <c r="C1250" t="s">
        <v>155</v>
      </c>
      <c r="D1250" s="1" t="s">
        <v>1701</v>
      </c>
    </row>
    <row r="1251" spans="1:4" hidden="1" x14ac:dyDescent="0.3">
      <c r="A1251">
        <v>1249</v>
      </c>
      <c r="B1251" t="s">
        <v>1702</v>
      </c>
      <c r="C1251" t="s">
        <v>40</v>
      </c>
      <c r="D1251">
        <v>-1.2490353691488001</v>
      </c>
    </row>
    <row r="1252" spans="1:4" hidden="1" x14ac:dyDescent="0.3">
      <c r="A1252">
        <v>1250</v>
      </c>
      <c r="B1252" t="s">
        <v>1703</v>
      </c>
      <c r="C1252" t="s">
        <v>42</v>
      </c>
      <c r="D1252">
        <v>0.38441584578436999</v>
      </c>
    </row>
    <row r="1253" spans="1:4" hidden="1" x14ac:dyDescent="0.3">
      <c r="A1253">
        <v>1251</v>
      </c>
      <c r="B1253" s="1" t="s">
        <v>1704</v>
      </c>
      <c r="C1253" t="s">
        <v>159</v>
      </c>
      <c r="D1253" s="1" t="s">
        <v>1705</v>
      </c>
    </row>
    <row r="1254" spans="1:4" hidden="1" x14ac:dyDescent="0.3">
      <c r="A1254">
        <v>1252</v>
      </c>
      <c r="B1254" t="s">
        <v>1706</v>
      </c>
      <c r="C1254" t="s">
        <v>161</v>
      </c>
      <c r="D1254">
        <v>1.00513727520784</v>
      </c>
    </row>
    <row r="1255" spans="1:4" hidden="1" x14ac:dyDescent="0.3">
      <c r="A1255">
        <v>1253</v>
      </c>
      <c r="B1255" t="s">
        <v>1707</v>
      </c>
      <c r="C1255" t="s">
        <v>163</v>
      </c>
      <c r="D1255">
        <v>1.0048394540432199</v>
      </c>
    </row>
    <row r="1256" spans="1:4" hidden="1" x14ac:dyDescent="0.3">
      <c r="A1256">
        <v>1254</v>
      </c>
      <c r="B1256" s="1" t="s">
        <v>1708</v>
      </c>
      <c r="C1256" t="s">
        <v>165</v>
      </c>
      <c r="D1256" s="1" t="s">
        <v>1709</v>
      </c>
    </row>
    <row r="1257" spans="1:4" hidden="1" x14ac:dyDescent="0.3">
      <c r="A1257">
        <v>1255</v>
      </c>
      <c r="B1257" t="s">
        <v>1710</v>
      </c>
      <c r="C1257" t="s">
        <v>168</v>
      </c>
      <c r="D1257">
        <v>0.99960630189382405</v>
      </c>
    </row>
    <row r="1258" spans="1:4" hidden="1" x14ac:dyDescent="0.3">
      <c r="A1258">
        <v>1256</v>
      </c>
      <c r="B1258" t="s">
        <v>1711</v>
      </c>
      <c r="C1258" t="s">
        <v>170</v>
      </c>
      <c r="D1258">
        <v>1.0018723485035099</v>
      </c>
    </row>
    <row r="1259" spans="1:4" hidden="1" x14ac:dyDescent="0.3">
      <c r="A1259">
        <v>1257</v>
      </c>
      <c r="B1259" s="1" t="s">
        <v>1712</v>
      </c>
      <c r="C1259" t="s">
        <v>172</v>
      </c>
      <c r="D1259" s="1" t="s">
        <v>1713</v>
      </c>
    </row>
    <row r="1260" spans="1:4" hidden="1" x14ac:dyDescent="0.3">
      <c r="A1260">
        <v>1258</v>
      </c>
      <c r="B1260" s="1" t="s">
        <v>1714</v>
      </c>
      <c r="C1260" t="s">
        <v>55</v>
      </c>
      <c r="D1260" s="1" t="s">
        <v>1715</v>
      </c>
    </row>
    <row r="1261" spans="1:4" hidden="1" x14ac:dyDescent="0.3">
      <c r="A1261">
        <v>1259</v>
      </c>
      <c r="B1261" s="1" t="s">
        <v>1716</v>
      </c>
      <c r="C1261" t="s">
        <v>52</v>
      </c>
      <c r="D1261" s="1" t="s">
        <v>1717</v>
      </c>
    </row>
    <row r="1262" spans="1:4" hidden="1" x14ac:dyDescent="0.3">
      <c r="A1262">
        <v>1260</v>
      </c>
      <c r="B1262" s="1" t="s">
        <v>1718</v>
      </c>
      <c r="C1262" t="s">
        <v>58</v>
      </c>
      <c r="D1262" s="1" t="s">
        <v>1719</v>
      </c>
    </row>
    <row r="1263" spans="1:4" hidden="1" x14ac:dyDescent="0.3">
      <c r="A1263">
        <v>1261</v>
      </c>
      <c r="B1263" t="s">
        <v>1720</v>
      </c>
      <c r="C1263" t="s">
        <v>61</v>
      </c>
      <c r="D1263">
        <v>150066355.60125199</v>
      </c>
    </row>
    <row r="1264" spans="1:4" hidden="1" x14ac:dyDescent="0.3">
      <c r="A1264">
        <v>1262</v>
      </c>
      <c r="B1264" t="s">
        <v>1721</v>
      </c>
      <c r="C1264" t="s">
        <v>63</v>
      </c>
      <c r="D1264">
        <v>75507021.479729295</v>
      </c>
    </row>
    <row r="1265" spans="1:4" hidden="1" x14ac:dyDescent="0.3">
      <c r="A1265">
        <v>1263</v>
      </c>
      <c r="B1265" t="s">
        <v>1722</v>
      </c>
      <c r="C1265" t="s">
        <v>65</v>
      </c>
      <c r="D1265">
        <v>35326291.829954602</v>
      </c>
    </row>
    <row r="1266" spans="1:4" hidden="1" x14ac:dyDescent="0.3">
      <c r="A1266">
        <v>1264</v>
      </c>
      <c r="B1266" s="1" t="s">
        <v>1723</v>
      </c>
      <c r="C1266" t="s">
        <v>67</v>
      </c>
      <c r="D1266" s="1" t="s">
        <v>1724</v>
      </c>
    </row>
    <row r="1267" spans="1:4" hidden="1" x14ac:dyDescent="0.3">
      <c r="A1267">
        <v>1265</v>
      </c>
      <c r="B1267" s="1" t="s">
        <v>1725</v>
      </c>
      <c r="C1267" t="s">
        <v>70</v>
      </c>
      <c r="D1267" s="1" t="s">
        <v>1726</v>
      </c>
    </row>
    <row r="1268" spans="1:4" hidden="1" x14ac:dyDescent="0.3">
      <c r="A1268">
        <v>1266</v>
      </c>
      <c r="B1268" t="s">
        <v>1727</v>
      </c>
      <c r="C1268" t="s">
        <v>73</v>
      </c>
      <c r="D1268">
        <v>0.99992316333325804</v>
      </c>
    </row>
    <row r="1269" spans="1:4" hidden="1" x14ac:dyDescent="0.3">
      <c r="A1269">
        <v>1267</v>
      </c>
      <c r="B1269" t="s">
        <v>74</v>
      </c>
      <c r="C1269" t="s">
        <v>75</v>
      </c>
      <c r="D1269">
        <v>2.7397260273972599E-3</v>
      </c>
    </row>
    <row r="1270" spans="1:4" hidden="1" x14ac:dyDescent="0.3">
      <c r="A1270">
        <v>1268</v>
      </c>
      <c r="B1270" t="s">
        <v>76</v>
      </c>
      <c r="C1270" t="s">
        <v>77</v>
      </c>
      <c r="D1270">
        <v>0</v>
      </c>
    </row>
    <row r="1271" spans="1:4" hidden="1" x14ac:dyDescent="0.3">
      <c r="A1271">
        <v>1269</v>
      </c>
      <c r="B1271" t="s">
        <v>78</v>
      </c>
      <c r="C1271" t="s">
        <v>79</v>
      </c>
      <c r="D1271">
        <v>0</v>
      </c>
    </row>
    <row r="1272" spans="1:4" hidden="1" x14ac:dyDescent="0.3">
      <c r="A1272">
        <v>1270</v>
      </c>
      <c r="B1272" s="1" t="s">
        <v>1728</v>
      </c>
      <c r="C1272" t="s">
        <v>81</v>
      </c>
      <c r="D1272" s="1" t="s">
        <v>1729</v>
      </c>
    </row>
    <row r="1273" spans="1:4" hidden="1" x14ac:dyDescent="0.3">
      <c r="A1273">
        <v>1271</v>
      </c>
      <c r="B1273" t="s">
        <v>1730</v>
      </c>
      <c r="C1273" t="s">
        <v>84</v>
      </c>
      <c r="D1273">
        <v>0.99991456184096705</v>
      </c>
    </row>
    <row r="1274" spans="1:4" hidden="1" x14ac:dyDescent="0.3">
      <c r="A1274">
        <v>1272</v>
      </c>
      <c r="B1274" s="1" t="s">
        <v>1731</v>
      </c>
      <c r="C1274" t="s">
        <v>86</v>
      </c>
      <c r="D1274" s="1" t="s">
        <v>1732</v>
      </c>
    </row>
    <row r="1275" spans="1:4" hidden="1" x14ac:dyDescent="0.3">
      <c r="A1275">
        <v>1273</v>
      </c>
      <c r="B1275" t="s">
        <v>1733</v>
      </c>
      <c r="C1275" t="s">
        <v>89</v>
      </c>
      <c r="D1275">
        <v>102958762.39938501</v>
      </c>
    </row>
    <row r="1276" spans="1:4" hidden="1" x14ac:dyDescent="0.3">
      <c r="A1276">
        <v>1274</v>
      </c>
      <c r="B1276" s="1" t="s">
        <v>1734</v>
      </c>
      <c r="C1276" t="s">
        <v>91</v>
      </c>
      <c r="D1276" s="1" t="s">
        <v>1668</v>
      </c>
    </row>
    <row r="1277" spans="1:4" hidden="1" x14ac:dyDescent="0.3">
      <c r="A1277">
        <v>1275</v>
      </c>
      <c r="B1277" t="s">
        <v>1735</v>
      </c>
      <c r="C1277" t="s">
        <v>94</v>
      </c>
      <c r="D1277">
        <v>75507021.479729295</v>
      </c>
    </row>
    <row r="1278" spans="1:4" hidden="1" x14ac:dyDescent="0.3">
      <c r="A1278">
        <v>1276</v>
      </c>
      <c r="B1278" t="s">
        <v>1736</v>
      </c>
      <c r="C1278" t="s">
        <v>96</v>
      </c>
      <c r="D1278">
        <v>35326291.829954602</v>
      </c>
    </row>
    <row r="1279" spans="1:4" hidden="1" x14ac:dyDescent="0.3">
      <c r="A1279">
        <v>1277</v>
      </c>
      <c r="B1279" t="s">
        <v>1737</v>
      </c>
      <c r="C1279" t="s">
        <v>98</v>
      </c>
      <c r="D1279">
        <v>39233042.2915686</v>
      </c>
    </row>
    <row r="1280" spans="1:4" hidden="1" x14ac:dyDescent="0.3">
      <c r="A1280">
        <v>1278</v>
      </c>
      <c r="B1280" s="1" t="s">
        <v>1738</v>
      </c>
      <c r="C1280" t="s">
        <v>100</v>
      </c>
      <c r="D1280" s="1" t="s">
        <v>1739</v>
      </c>
    </row>
    <row r="1281" spans="1:4" hidden="1" x14ac:dyDescent="0.3">
      <c r="A1281">
        <v>1279</v>
      </c>
      <c r="B1281" t="s">
        <v>1740</v>
      </c>
      <c r="C1281" t="s">
        <v>103</v>
      </c>
      <c r="D1281">
        <v>1.0162037606269001E-2</v>
      </c>
    </row>
    <row r="1282" spans="1:4" hidden="1" x14ac:dyDescent="0.3">
      <c r="A1282">
        <v>1280</v>
      </c>
      <c r="B1282" t="s">
        <v>1741</v>
      </c>
      <c r="C1282" t="s">
        <v>105</v>
      </c>
      <c r="D1282">
        <v>3.2823260587360702E-3</v>
      </c>
    </row>
    <row r="1283" spans="1:4" hidden="1" x14ac:dyDescent="0.3">
      <c r="A1283">
        <v>1281</v>
      </c>
      <c r="B1283" t="s">
        <v>1742</v>
      </c>
      <c r="C1283" t="s">
        <v>107</v>
      </c>
      <c r="D1283">
        <v>1.22836385213365E-2</v>
      </c>
    </row>
    <row r="1284" spans="1:4" hidden="1" x14ac:dyDescent="0.3">
      <c r="A1284">
        <v>1282</v>
      </c>
      <c r="B1284" s="1" t="s">
        <v>1743</v>
      </c>
      <c r="C1284" t="s">
        <v>109</v>
      </c>
      <c r="D1284" s="1" t="s">
        <v>1744</v>
      </c>
    </row>
    <row r="1285" spans="1:4" hidden="1" x14ac:dyDescent="0.3">
      <c r="A1285">
        <v>1283</v>
      </c>
      <c r="B1285" t="s">
        <v>1745</v>
      </c>
      <c r="C1285" t="s">
        <v>208</v>
      </c>
      <c r="D1285">
        <v>150066053.51526901</v>
      </c>
    </row>
    <row r="1286" spans="1:4" hidden="1" x14ac:dyDescent="0.3">
      <c r="A1286">
        <v>1284</v>
      </c>
      <c r="B1286" t="s">
        <v>1746</v>
      </c>
      <c r="C1286" t="s">
        <v>210</v>
      </c>
      <c r="D1286">
        <v>649.52118455996094</v>
      </c>
    </row>
    <row r="1287" spans="1:4" hidden="1" x14ac:dyDescent="0.3">
      <c r="A1287">
        <v>1285</v>
      </c>
      <c r="B1287" t="s">
        <v>1747</v>
      </c>
      <c r="C1287" t="s">
        <v>212</v>
      </c>
      <c r="D1287">
        <v>303.88188301938698</v>
      </c>
    </row>
    <row r="1288" spans="1:4" hidden="1" x14ac:dyDescent="0.3">
      <c r="A1288">
        <v>1286</v>
      </c>
      <c r="B1288" s="1" t="s">
        <v>1748</v>
      </c>
      <c r="C1288" t="s">
        <v>214</v>
      </c>
      <c r="D1288" s="1" t="s">
        <v>1749</v>
      </c>
    </row>
    <row r="1289" spans="1:4" hidden="1" x14ac:dyDescent="0.3">
      <c r="A1289">
        <v>1287</v>
      </c>
      <c r="B1289" t="s">
        <v>1750</v>
      </c>
      <c r="C1289" t="s">
        <v>217</v>
      </c>
      <c r="D1289">
        <v>75506164.358560905</v>
      </c>
    </row>
    <row r="1290" spans="1:4" hidden="1" x14ac:dyDescent="0.3">
      <c r="A1290">
        <v>1288</v>
      </c>
      <c r="B1290" t="s">
        <v>1751</v>
      </c>
      <c r="C1290" t="s">
        <v>219</v>
      </c>
      <c r="D1290">
        <v>35325953.872306101</v>
      </c>
    </row>
    <row r="1291" spans="1:4" hidden="1" x14ac:dyDescent="0.3">
      <c r="A1291">
        <v>1289</v>
      </c>
      <c r="B1291" t="s">
        <v>1752</v>
      </c>
      <c r="C1291" t="s">
        <v>221</v>
      </c>
      <c r="D1291">
        <v>39232644.393212304</v>
      </c>
    </row>
    <row r="1292" spans="1:4" hidden="1" x14ac:dyDescent="0.3">
      <c r="A1292">
        <v>1290</v>
      </c>
      <c r="B1292" s="1" t="s">
        <v>1753</v>
      </c>
      <c r="C1292" t="s">
        <v>223</v>
      </c>
      <c r="D1292" s="1" t="s">
        <v>1754</v>
      </c>
    </row>
    <row r="1293" spans="1:4" hidden="1" x14ac:dyDescent="0.3">
      <c r="A1293">
        <v>1291</v>
      </c>
      <c r="B1293" t="s">
        <v>1755</v>
      </c>
      <c r="C1293" t="s">
        <v>226</v>
      </c>
      <c r="D1293">
        <v>102957876.732333</v>
      </c>
    </row>
    <row r="1294" spans="1:4" hidden="1" x14ac:dyDescent="0.3">
      <c r="A1294">
        <v>1292</v>
      </c>
      <c r="B1294" t="s">
        <v>1756</v>
      </c>
      <c r="C1294" t="s">
        <v>228</v>
      </c>
      <c r="D1294">
        <v>885.66705279052201</v>
      </c>
    </row>
    <row r="1295" spans="1:4" hidden="1" x14ac:dyDescent="0.3">
      <c r="A1295">
        <v>1293</v>
      </c>
      <c r="B1295" s="1" t="s">
        <v>1757</v>
      </c>
      <c r="C1295" t="s">
        <v>230</v>
      </c>
      <c r="D1295" s="1" t="s">
        <v>1758</v>
      </c>
    </row>
    <row r="1296" spans="1:4" hidden="1" x14ac:dyDescent="0.3">
      <c r="A1296">
        <v>1294</v>
      </c>
      <c r="B1296" t="s">
        <v>1759</v>
      </c>
      <c r="C1296" t="s">
        <v>112</v>
      </c>
      <c r="D1296">
        <v>-207.59998383550601</v>
      </c>
    </row>
    <row r="1297" spans="1:4" hidden="1" x14ac:dyDescent="0.3">
      <c r="A1297">
        <v>1295</v>
      </c>
      <c r="B1297" t="s">
        <v>1760</v>
      </c>
      <c r="C1297" t="s">
        <v>114</v>
      </c>
      <c r="D1297">
        <v>-34.075765446177599</v>
      </c>
    </row>
    <row r="1298" spans="1:4" hidden="1" x14ac:dyDescent="0.3">
      <c r="A1298">
        <v>1296</v>
      </c>
      <c r="B1298" s="1" t="s">
        <v>1761</v>
      </c>
      <c r="C1298" t="s">
        <v>116</v>
      </c>
      <c r="D1298" s="1" t="s">
        <v>1762</v>
      </c>
    </row>
    <row r="1299" spans="1:4" hidden="1" x14ac:dyDescent="0.3">
      <c r="A1299">
        <v>1297</v>
      </c>
      <c r="B1299" t="s">
        <v>1763</v>
      </c>
      <c r="C1299" t="s">
        <v>119</v>
      </c>
      <c r="D1299">
        <v>75506164.358560905</v>
      </c>
    </row>
    <row r="1300" spans="1:4" hidden="1" x14ac:dyDescent="0.3">
      <c r="A1300">
        <v>1298</v>
      </c>
      <c r="B1300" t="s">
        <v>1764</v>
      </c>
      <c r="C1300" t="s">
        <v>121</v>
      </c>
      <c r="D1300">
        <v>35325953.872306101</v>
      </c>
    </row>
    <row r="1301" spans="1:4" hidden="1" x14ac:dyDescent="0.3">
      <c r="A1301">
        <v>1299</v>
      </c>
      <c r="B1301" s="1" t="s">
        <v>1765</v>
      </c>
      <c r="C1301" t="s">
        <v>123</v>
      </c>
      <c r="D1301" s="1" t="s">
        <v>1766</v>
      </c>
    </row>
    <row r="1302" spans="1:4" hidden="1" x14ac:dyDescent="0.3">
      <c r="A1302">
        <v>1300</v>
      </c>
      <c r="B1302" t="s">
        <v>1767</v>
      </c>
      <c r="C1302" t="s">
        <v>126</v>
      </c>
      <c r="D1302">
        <v>0.73343214151329805</v>
      </c>
    </row>
    <row r="1303" spans="1:4" hidden="1" x14ac:dyDescent="0.3">
      <c r="A1303">
        <v>1301</v>
      </c>
      <c r="B1303" t="s">
        <v>1768</v>
      </c>
      <c r="C1303" t="s">
        <v>128</v>
      </c>
      <c r="D1303">
        <v>0.34314006306198802</v>
      </c>
    </row>
    <row r="1304" spans="1:4" hidden="1" x14ac:dyDescent="0.3">
      <c r="A1304">
        <v>1302</v>
      </c>
      <c r="B1304" s="1" t="s">
        <v>1769</v>
      </c>
      <c r="C1304" t="s">
        <v>130</v>
      </c>
      <c r="D1304" s="1" t="s">
        <v>1770</v>
      </c>
    </row>
    <row r="1305" spans="1:4" x14ac:dyDescent="0.3">
      <c r="A1305">
        <v>1303</v>
      </c>
      <c r="B1305" s="1" t="s">
        <v>1771</v>
      </c>
      <c r="C1305" t="s">
        <v>4</v>
      </c>
      <c r="D1305" t="s">
        <v>1772</v>
      </c>
    </row>
    <row r="1306" spans="1:4" hidden="1" x14ac:dyDescent="0.3">
      <c r="A1306">
        <v>1304</v>
      </c>
      <c r="B1306" t="s">
        <v>1773</v>
      </c>
      <c r="C1306" t="s">
        <v>7</v>
      </c>
      <c r="D1306">
        <v>1719.78</v>
      </c>
    </row>
    <row r="1307" spans="1:4" hidden="1" x14ac:dyDescent="0.3">
      <c r="A1307">
        <v>1305</v>
      </c>
      <c r="B1307" s="1" t="s">
        <v>1774</v>
      </c>
      <c r="C1307" t="s">
        <v>9</v>
      </c>
      <c r="D1307" s="1" t="s">
        <v>1775</v>
      </c>
    </row>
    <row r="1308" spans="1:4" hidden="1" x14ac:dyDescent="0.3">
      <c r="A1308">
        <v>1306</v>
      </c>
      <c r="B1308" t="s">
        <v>1776</v>
      </c>
      <c r="C1308" t="s">
        <v>14</v>
      </c>
      <c r="D1308">
        <v>91.59375</v>
      </c>
    </row>
    <row r="1309" spans="1:4" hidden="1" x14ac:dyDescent="0.3">
      <c r="A1309">
        <v>1307</v>
      </c>
      <c r="B1309" t="s">
        <v>1777</v>
      </c>
      <c r="C1309" t="s">
        <v>16</v>
      </c>
      <c r="D1309">
        <v>4.2923464466969001</v>
      </c>
    </row>
    <row r="1310" spans="1:4" hidden="1" x14ac:dyDescent="0.3">
      <c r="A1310">
        <v>1308</v>
      </c>
      <c r="B1310" s="1" t="s">
        <v>1778</v>
      </c>
      <c r="C1310" t="s">
        <v>140</v>
      </c>
      <c r="D1310" s="1" t="s">
        <v>1779</v>
      </c>
    </row>
    <row r="1311" spans="1:4" hidden="1" x14ac:dyDescent="0.3">
      <c r="A1311">
        <v>1309</v>
      </c>
      <c r="B1311" t="s">
        <v>613</v>
      </c>
      <c r="C1311" t="s">
        <v>22</v>
      </c>
      <c r="D1311">
        <v>64.400000000000006</v>
      </c>
    </row>
    <row r="1312" spans="1:4" hidden="1" x14ac:dyDescent="0.3">
      <c r="A1312">
        <v>1310</v>
      </c>
      <c r="B1312" t="s">
        <v>1780</v>
      </c>
      <c r="C1312" t="s">
        <v>24</v>
      </c>
      <c r="D1312">
        <v>5.5694601221019102</v>
      </c>
    </row>
    <row r="1313" spans="1:4" hidden="1" x14ac:dyDescent="0.3">
      <c r="A1313">
        <v>1311</v>
      </c>
      <c r="B1313" s="1" t="s">
        <v>1781</v>
      </c>
      <c r="C1313" t="s">
        <v>145</v>
      </c>
      <c r="D1313" s="1" t="s">
        <v>1782</v>
      </c>
    </row>
    <row r="1314" spans="1:4" hidden="1" x14ac:dyDescent="0.3">
      <c r="A1314">
        <v>1312</v>
      </c>
      <c r="B1314" t="s">
        <v>1783</v>
      </c>
      <c r="C1314" t="s">
        <v>35</v>
      </c>
      <c r="D1314">
        <v>0.194973741583849</v>
      </c>
    </row>
    <row r="1315" spans="1:4" hidden="1" x14ac:dyDescent="0.3">
      <c r="A1315">
        <v>1313</v>
      </c>
      <c r="B1315" t="s">
        <v>1784</v>
      </c>
      <c r="C1315" t="s">
        <v>149</v>
      </c>
      <c r="D1315">
        <v>0.56691241930712799</v>
      </c>
    </row>
    <row r="1316" spans="1:4" hidden="1" x14ac:dyDescent="0.3">
      <c r="A1316">
        <v>1314</v>
      </c>
      <c r="B1316" s="1" t="s">
        <v>1785</v>
      </c>
      <c r="C1316" t="s">
        <v>151</v>
      </c>
      <c r="D1316" s="1" t="s">
        <v>1786</v>
      </c>
    </row>
    <row r="1317" spans="1:4" hidden="1" x14ac:dyDescent="0.3">
      <c r="A1317">
        <v>1315</v>
      </c>
      <c r="B1317" t="s">
        <v>1787</v>
      </c>
      <c r="C1317" t="s">
        <v>30</v>
      </c>
      <c r="D1317">
        <v>0.34219764686625498</v>
      </c>
    </row>
    <row r="1318" spans="1:4" hidden="1" x14ac:dyDescent="0.3">
      <c r="A1318">
        <v>1316</v>
      </c>
      <c r="B1318" t="s">
        <v>1788</v>
      </c>
      <c r="C1318" t="s">
        <v>32</v>
      </c>
      <c r="D1318">
        <v>0.376009646198806</v>
      </c>
    </row>
    <row r="1319" spans="1:4" hidden="1" x14ac:dyDescent="0.3">
      <c r="A1319">
        <v>1317</v>
      </c>
      <c r="B1319" s="1" t="s">
        <v>1789</v>
      </c>
      <c r="C1319" t="s">
        <v>155</v>
      </c>
      <c r="D1319" s="1" t="s">
        <v>1790</v>
      </c>
    </row>
    <row r="1320" spans="1:4" hidden="1" x14ac:dyDescent="0.3">
      <c r="A1320">
        <v>1318</v>
      </c>
      <c r="B1320" t="s">
        <v>1791</v>
      </c>
      <c r="C1320" t="s">
        <v>40</v>
      </c>
      <c r="D1320">
        <v>0.46282861154989502</v>
      </c>
    </row>
    <row r="1321" spans="1:4" hidden="1" x14ac:dyDescent="0.3">
      <c r="A1321">
        <v>1319</v>
      </c>
      <c r="B1321" t="s">
        <v>1792</v>
      </c>
      <c r="C1321" t="s">
        <v>42</v>
      </c>
      <c r="D1321">
        <v>0.387931248273366</v>
      </c>
    </row>
    <row r="1322" spans="1:4" hidden="1" x14ac:dyDescent="0.3">
      <c r="A1322">
        <v>1320</v>
      </c>
      <c r="B1322" s="1" t="s">
        <v>1793</v>
      </c>
      <c r="C1322" t="s">
        <v>159</v>
      </c>
      <c r="D1322" s="1" t="s">
        <v>1794</v>
      </c>
    </row>
    <row r="1323" spans="1:4" hidden="1" x14ac:dyDescent="0.3">
      <c r="A1323">
        <v>1321</v>
      </c>
      <c r="B1323" t="s">
        <v>1795</v>
      </c>
      <c r="C1323" t="s">
        <v>161</v>
      </c>
      <c r="D1323">
        <v>0.99545044106410996</v>
      </c>
    </row>
    <row r="1324" spans="1:4" hidden="1" x14ac:dyDescent="0.3">
      <c r="A1324">
        <v>1322</v>
      </c>
      <c r="B1324" t="s">
        <v>1796</v>
      </c>
      <c r="C1324" t="s">
        <v>163</v>
      </c>
      <c r="D1324">
        <v>0.99862964930426701</v>
      </c>
    </row>
    <row r="1325" spans="1:4" hidden="1" x14ac:dyDescent="0.3">
      <c r="A1325">
        <v>1323</v>
      </c>
      <c r="B1325" s="1" t="s">
        <v>1797</v>
      </c>
      <c r="C1325" t="s">
        <v>165</v>
      </c>
      <c r="D1325" s="1" t="s">
        <v>1798</v>
      </c>
    </row>
    <row r="1326" spans="1:4" hidden="1" x14ac:dyDescent="0.3">
      <c r="A1326">
        <v>1324</v>
      </c>
      <c r="B1326" t="s">
        <v>1799</v>
      </c>
      <c r="C1326" t="s">
        <v>168</v>
      </c>
      <c r="D1326">
        <v>0.99942006339033895</v>
      </c>
    </row>
    <row r="1327" spans="1:4" hidden="1" x14ac:dyDescent="0.3">
      <c r="A1327">
        <v>1325</v>
      </c>
      <c r="B1327" t="s">
        <v>1800</v>
      </c>
      <c r="C1327" t="s">
        <v>170</v>
      </c>
      <c r="D1327">
        <v>0.99949818240869204</v>
      </c>
    </row>
    <row r="1328" spans="1:4" hidden="1" x14ac:dyDescent="0.3">
      <c r="A1328">
        <v>1326</v>
      </c>
      <c r="B1328" s="1" t="s">
        <v>1801</v>
      </c>
      <c r="C1328" t="s">
        <v>172</v>
      </c>
      <c r="D1328" s="1" t="s">
        <v>1802</v>
      </c>
    </row>
    <row r="1329" spans="1:4" hidden="1" x14ac:dyDescent="0.3">
      <c r="A1329">
        <v>1327</v>
      </c>
      <c r="B1329" s="1" t="s">
        <v>1803</v>
      </c>
      <c r="C1329" t="s">
        <v>55</v>
      </c>
      <c r="D1329" s="1" t="s">
        <v>1804</v>
      </c>
    </row>
    <row r="1330" spans="1:4" hidden="1" x14ac:dyDescent="0.3">
      <c r="A1330">
        <v>1328</v>
      </c>
      <c r="B1330" s="1" t="s">
        <v>1805</v>
      </c>
      <c r="C1330" t="s">
        <v>52</v>
      </c>
      <c r="D1330" s="1" t="s">
        <v>1806</v>
      </c>
    </row>
    <row r="1331" spans="1:4" hidden="1" x14ac:dyDescent="0.3">
      <c r="A1331">
        <v>1329</v>
      </c>
      <c r="B1331" s="1" t="s">
        <v>1807</v>
      </c>
      <c r="C1331" t="s">
        <v>58</v>
      </c>
      <c r="D1331" s="1" t="s">
        <v>1808</v>
      </c>
    </row>
    <row r="1332" spans="1:4" hidden="1" x14ac:dyDescent="0.3">
      <c r="A1332">
        <v>1330</v>
      </c>
      <c r="B1332" t="s">
        <v>1809</v>
      </c>
      <c r="C1332" t="s">
        <v>61</v>
      </c>
      <c r="D1332">
        <v>149959393.96938199</v>
      </c>
    </row>
    <row r="1333" spans="1:4" hidden="1" x14ac:dyDescent="0.3">
      <c r="A1333">
        <v>1331</v>
      </c>
      <c r="B1333" t="s">
        <v>1810</v>
      </c>
      <c r="C1333" t="s">
        <v>63</v>
      </c>
      <c r="D1333">
        <v>75162644.613788694</v>
      </c>
    </row>
    <row r="1334" spans="1:4" hidden="1" x14ac:dyDescent="0.3">
      <c r="A1334">
        <v>1332</v>
      </c>
      <c r="B1334" t="s">
        <v>1811</v>
      </c>
      <c r="C1334" t="s">
        <v>65</v>
      </c>
      <c r="D1334">
        <v>35277544.926839799</v>
      </c>
    </row>
    <row r="1335" spans="1:4" hidden="1" x14ac:dyDescent="0.3">
      <c r="A1335">
        <v>1333</v>
      </c>
      <c r="B1335" s="1" t="s">
        <v>1812</v>
      </c>
      <c r="C1335" t="s">
        <v>67</v>
      </c>
      <c r="D1335" s="1" t="s">
        <v>1813</v>
      </c>
    </row>
    <row r="1336" spans="1:4" hidden="1" x14ac:dyDescent="0.3">
      <c r="A1336">
        <v>1334</v>
      </c>
      <c r="B1336" s="1" t="s">
        <v>1814</v>
      </c>
      <c r="C1336" t="s">
        <v>70</v>
      </c>
      <c r="D1336" s="1" t="s">
        <v>1815</v>
      </c>
    </row>
    <row r="1337" spans="1:4" hidden="1" x14ac:dyDescent="0.3">
      <c r="A1337">
        <v>1335</v>
      </c>
      <c r="B1337" t="s">
        <v>1816</v>
      </c>
      <c r="C1337" t="s">
        <v>73</v>
      </c>
      <c r="D1337">
        <v>0.99991456184096705</v>
      </c>
    </row>
    <row r="1338" spans="1:4" hidden="1" x14ac:dyDescent="0.3">
      <c r="A1338">
        <v>1336</v>
      </c>
      <c r="B1338" t="s">
        <v>74</v>
      </c>
      <c r="C1338" t="s">
        <v>75</v>
      </c>
      <c r="D1338">
        <v>2.7397260273972599E-3</v>
      </c>
    </row>
    <row r="1339" spans="1:4" hidden="1" x14ac:dyDescent="0.3">
      <c r="A1339">
        <v>1337</v>
      </c>
      <c r="B1339" t="s">
        <v>76</v>
      </c>
      <c r="C1339" t="s">
        <v>77</v>
      </c>
      <c r="D1339">
        <v>0</v>
      </c>
    </row>
    <row r="1340" spans="1:4" hidden="1" x14ac:dyDescent="0.3">
      <c r="A1340">
        <v>1338</v>
      </c>
      <c r="B1340" t="s">
        <v>831</v>
      </c>
      <c r="C1340" t="s">
        <v>79</v>
      </c>
      <c r="D1340" s="2">
        <v>2.2204460492503101E-16</v>
      </c>
    </row>
    <row r="1341" spans="1:4" hidden="1" x14ac:dyDescent="0.3">
      <c r="A1341">
        <v>1339</v>
      </c>
      <c r="B1341" s="1" t="s">
        <v>1817</v>
      </c>
      <c r="C1341" t="s">
        <v>81</v>
      </c>
      <c r="D1341" s="1" t="s">
        <v>1818</v>
      </c>
    </row>
    <row r="1342" spans="1:4" hidden="1" x14ac:dyDescent="0.3">
      <c r="A1342">
        <v>1340</v>
      </c>
      <c r="B1342" t="s">
        <v>1819</v>
      </c>
      <c r="C1342" t="s">
        <v>84</v>
      </c>
      <c r="D1342">
        <v>0.99991295881023301</v>
      </c>
    </row>
    <row r="1343" spans="1:4" hidden="1" x14ac:dyDescent="0.3">
      <c r="A1343">
        <v>1341</v>
      </c>
      <c r="B1343" s="1" t="s">
        <v>1820</v>
      </c>
      <c r="C1343" t="s">
        <v>86</v>
      </c>
      <c r="D1343" s="1" t="s">
        <v>1821</v>
      </c>
    </row>
    <row r="1344" spans="1:4" hidden="1" x14ac:dyDescent="0.3">
      <c r="A1344">
        <v>1342</v>
      </c>
      <c r="B1344" t="s">
        <v>1822</v>
      </c>
      <c r="C1344" t="s">
        <v>89</v>
      </c>
      <c r="D1344">
        <v>102958927.459813</v>
      </c>
    </row>
    <row r="1345" spans="1:4" hidden="1" x14ac:dyDescent="0.3">
      <c r="A1345">
        <v>1343</v>
      </c>
      <c r="B1345" s="1" t="s">
        <v>1823</v>
      </c>
      <c r="C1345" t="s">
        <v>91</v>
      </c>
      <c r="D1345" s="1" t="s">
        <v>1758</v>
      </c>
    </row>
    <row r="1346" spans="1:4" hidden="1" x14ac:dyDescent="0.3">
      <c r="A1346">
        <v>1344</v>
      </c>
      <c r="B1346" t="s">
        <v>1824</v>
      </c>
      <c r="C1346" t="s">
        <v>94</v>
      </c>
      <c r="D1346">
        <v>75162644.613788694</v>
      </c>
    </row>
    <row r="1347" spans="1:4" hidden="1" x14ac:dyDescent="0.3">
      <c r="A1347">
        <v>1345</v>
      </c>
      <c r="B1347" t="s">
        <v>1825</v>
      </c>
      <c r="C1347" t="s">
        <v>96</v>
      </c>
      <c r="D1347">
        <v>35277544.926839799</v>
      </c>
    </row>
    <row r="1348" spans="1:4" hidden="1" x14ac:dyDescent="0.3">
      <c r="A1348">
        <v>1346</v>
      </c>
      <c r="B1348" t="s">
        <v>1826</v>
      </c>
      <c r="C1348" t="s">
        <v>98</v>
      </c>
      <c r="D1348">
        <v>39519204.428754203</v>
      </c>
    </row>
    <row r="1349" spans="1:4" hidden="1" x14ac:dyDescent="0.3">
      <c r="A1349">
        <v>1347</v>
      </c>
      <c r="B1349" s="1" t="s">
        <v>1827</v>
      </c>
      <c r="C1349" t="s">
        <v>100</v>
      </c>
      <c r="D1349" s="1" t="s">
        <v>1828</v>
      </c>
    </row>
    <row r="1350" spans="1:4" hidden="1" x14ac:dyDescent="0.3">
      <c r="A1350">
        <v>1348</v>
      </c>
      <c r="B1350" t="s">
        <v>1829</v>
      </c>
      <c r="C1350" t="s">
        <v>103</v>
      </c>
      <c r="D1350">
        <v>1.0179991670270601E-2</v>
      </c>
    </row>
    <row r="1351" spans="1:4" hidden="1" x14ac:dyDescent="0.3">
      <c r="A1351">
        <v>1349</v>
      </c>
      <c r="B1351" t="s">
        <v>1830</v>
      </c>
      <c r="C1351" t="s">
        <v>105</v>
      </c>
      <c r="D1351">
        <v>3.2796818644091302E-3</v>
      </c>
    </row>
    <row r="1352" spans="1:4" hidden="1" x14ac:dyDescent="0.3">
      <c r="A1352">
        <v>1350</v>
      </c>
      <c r="B1352" t="s">
        <v>1831</v>
      </c>
      <c r="C1352" t="s">
        <v>107</v>
      </c>
      <c r="D1352">
        <v>1.2180142361751699E-2</v>
      </c>
    </row>
    <row r="1353" spans="1:4" hidden="1" x14ac:dyDescent="0.3">
      <c r="A1353">
        <v>1351</v>
      </c>
      <c r="B1353" s="1" t="s">
        <v>1832</v>
      </c>
      <c r="C1353" t="s">
        <v>109</v>
      </c>
      <c r="D1353" s="1" t="s">
        <v>1833</v>
      </c>
    </row>
    <row r="1354" spans="1:4" hidden="1" x14ac:dyDescent="0.3">
      <c r="A1354">
        <v>1352</v>
      </c>
      <c r="B1354" t="s">
        <v>1834</v>
      </c>
      <c r="C1354" t="s">
        <v>208</v>
      </c>
      <c r="D1354">
        <v>149959337.62837601</v>
      </c>
    </row>
    <row r="1355" spans="1:4" hidden="1" x14ac:dyDescent="0.3">
      <c r="A1355">
        <v>1353</v>
      </c>
      <c r="B1355" t="s">
        <v>1835</v>
      </c>
      <c r="C1355" t="s">
        <v>210</v>
      </c>
      <c r="D1355">
        <v>120.498266293851</v>
      </c>
    </row>
    <row r="1356" spans="1:4" hidden="1" x14ac:dyDescent="0.3">
      <c r="A1356">
        <v>1354</v>
      </c>
      <c r="B1356" t="s">
        <v>1836</v>
      </c>
      <c r="C1356" t="s">
        <v>212</v>
      </c>
      <c r="D1356">
        <v>56.555807120755297</v>
      </c>
    </row>
    <row r="1357" spans="1:4" hidden="1" x14ac:dyDescent="0.3">
      <c r="A1357">
        <v>1355</v>
      </c>
      <c r="B1357" s="1" t="s">
        <v>1837</v>
      </c>
      <c r="C1357" t="s">
        <v>214</v>
      </c>
      <c r="D1357" s="1" t="s">
        <v>1838</v>
      </c>
    </row>
    <row r="1358" spans="1:4" hidden="1" x14ac:dyDescent="0.3">
      <c r="A1358">
        <v>1356</v>
      </c>
      <c r="B1358" t="s">
        <v>1839</v>
      </c>
      <c r="C1358" t="s">
        <v>217</v>
      </c>
      <c r="D1358">
        <v>75162487.762437001</v>
      </c>
    </row>
    <row r="1359" spans="1:4" hidden="1" x14ac:dyDescent="0.3">
      <c r="A1359">
        <v>1357</v>
      </c>
      <c r="B1359" t="s">
        <v>1840</v>
      </c>
      <c r="C1359" t="s">
        <v>219</v>
      </c>
      <c r="D1359">
        <v>35277479.845578797</v>
      </c>
    </row>
    <row r="1360" spans="1:4" hidden="1" x14ac:dyDescent="0.3">
      <c r="A1360">
        <v>1358</v>
      </c>
      <c r="B1360" t="s">
        <v>1841</v>
      </c>
      <c r="C1360" t="s">
        <v>221</v>
      </c>
      <c r="D1360">
        <v>39519129.610393398</v>
      </c>
    </row>
    <row r="1361" spans="1:4" hidden="1" x14ac:dyDescent="0.3">
      <c r="A1361">
        <v>1359</v>
      </c>
      <c r="B1361" s="1" t="s">
        <v>1842</v>
      </c>
      <c r="C1361" t="s">
        <v>223</v>
      </c>
      <c r="D1361" s="1" t="s">
        <v>1843</v>
      </c>
    </row>
    <row r="1362" spans="1:4" hidden="1" x14ac:dyDescent="0.3">
      <c r="A1362">
        <v>1360</v>
      </c>
      <c r="B1362" t="s">
        <v>1844</v>
      </c>
      <c r="C1362" t="s">
        <v>226</v>
      </c>
      <c r="D1362">
        <v>102958762.39938501</v>
      </c>
    </row>
    <row r="1363" spans="1:4" hidden="1" x14ac:dyDescent="0.3">
      <c r="A1363">
        <v>1361</v>
      </c>
      <c r="B1363" t="s">
        <v>1845</v>
      </c>
      <c r="C1363" t="s">
        <v>228</v>
      </c>
      <c r="D1363">
        <v>165.06042759120399</v>
      </c>
    </row>
    <row r="1364" spans="1:4" hidden="1" x14ac:dyDescent="0.3">
      <c r="A1364">
        <v>1362</v>
      </c>
      <c r="B1364" s="1" t="s">
        <v>1846</v>
      </c>
      <c r="C1364" t="s">
        <v>230</v>
      </c>
      <c r="D1364" s="1" t="s">
        <v>1847</v>
      </c>
    </row>
    <row r="1365" spans="1:4" hidden="1" x14ac:dyDescent="0.3">
      <c r="A1365">
        <v>1363</v>
      </c>
      <c r="B1365" t="s">
        <v>1848</v>
      </c>
      <c r="C1365" t="s">
        <v>112</v>
      </c>
      <c r="D1365">
        <v>-36.353085358990597</v>
      </c>
    </row>
    <row r="1366" spans="1:4" hidden="1" x14ac:dyDescent="0.3">
      <c r="A1366">
        <v>1364</v>
      </c>
      <c r="B1366" t="s">
        <v>1849</v>
      </c>
      <c r="C1366" t="s">
        <v>114</v>
      </c>
      <c r="D1366">
        <v>-8.5254538927414192</v>
      </c>
    </row>
    <row r="1367" spans="1:4" hidden="1" x14ac:dyDescent="0.3">
      <c r="A1367">
        <v>1365</v>
      </c>
      <c r="B1367" s="1" t="s">
        <v>1850</v>
      </c>
      <c r="C1367" t="s">
        <v>116</v>
      </c>
      <c r="D1367" s="1" t="s">
        <v>1851</v>
      </c>
    </row>
    <row r="1368" spans="1:4" hidden="1" x14ac:dyDescent="0.3">
      <c r="A1368">
        <v>1366</v>
      </c>
      <c r="B1368" t="s">
        <v>1852</v>
      </c>
      <c r="C1368" t="s">
        <v>119</v>
      </c>
      <c r="D1368">
        <v>75162487.762437001</v>
      </c>
    </row>
    <row r="1369" spans="1:4" hidden="1" x14ac:dyDescent="0.3">
      <c r="A1369">
        <v>1367</v>
      </c>
      <c r="B1369" t="s">
        <v>1853</v>
      </c>
      <c r="C1369" t="s">
        <v>121</v>
      </c>
      <c r="D1369">
        <v>35277479.845578797</v>
      </c>
    </row>
    <row r="1370" spans="1:4" hidden="1" x14ac:dyDescent="0.3">
      <c r="A1370">
        <v>1368</v>
      </c>
      <c r="B1370" s="1" t="s">
        <v>1854</v>
      </c>
      <c r="C1370" t="s">
        <v>123</v>
      </c>
      <c r="D1370" s="1" t="s">
        <v>1855</v>
      </c>
    </row>
    <row r="1371" spans="1:4" hidden="1" x14ac:dyDescent="0.3">
      <c r="A1371">
        <v>1369</v>
      </c>
      <c r="B1371" t="s">
        <v>1856</v>
      </c>
      <c r="C1371" t="s">
        <v>126</v>
      </c>
      <c r="D1371">
        <v>0.73008871525382002</v>
      </c>
    </row>
    <row r="1372" spans="1:4" hidden="1" x14ac:dyDescent="0.3">
      <c r="A1372">
        <v>1370</v>
      </c>
      <c r="B1372" t="s">
        <v>1857</v>
      </c>
      <c r="C1372" t="s">
        <v>128</v>
      </c>
      <c r="D1372">
        <v>0.342666810327727</v>
      </c>
    </row>
    <row r="1373" spans="1:4" hidden="1" x14ac:dyDescent="0.3">
      <c r="A1373">
        <v>1371</v>
      </c>
      <c r="B1373" s="1" t="s">
        <v>1858</v>
      </c>
      <c r="C1373" t="s">
        <v>130</v>
      </c>
      <c r="D1373" s="1" t="s">
        <v>1859</v>
      </c>
    </row>
    <row r="1374" spans="1:4" x14ac:dyDescent="0.3">
      <c r="A1374">
        <v>1372</v>
      </c>
      <c r="B1374" s="1" t="s">
        <v>1860</v>
      </c>
      <c r="C1374" t="s">
        <v>4</v>
      </c>
      <c r="D1374" t="s">
        <v>1861</v>
      </c>
    </row>
    <row r="1375" spans="1:4" hidden="1" x14ac:dyDescent="0.3">
      <c r="A1375">
        <v>1373</v>
      </c>
      <c r="B1375" t="s">
        <v>1862</v>
      </c>
      <c r="C1375" t="s">
        <v>7</v>
      </c>
      <c r="D1375">
        <v>1717.32</v>
      </c>
    </row>
    <row r="1376" spans="1:4" hidden="1" x14ac:dyDescent="0.3">
      <c r="A1376">
        <v>1374</v>
      </c>
      <c r="B1376" s="1" t="s">
        <v>1863</v>
      </c>
      <c r="C1376" t="s">
        <v>9</v>
      </c>
      <c r="D1376" s="1" t="s">
        <v>1864</v>
      </c>
    </row>
    <row r="1377" spans="1:4" hidden="1" x14ac:dyDescent="0.3">
      <c r="A1377">
        <v>1375</v>
      </c>
      <c r="B1377" t="s">
        <v>1865</v>
      </c>
      <c r="C1377" t="s">
        <v>14</v>
      </c>
      <c r="D1377">
        <v>91.4921875</v>
      </c>
    </row>
    <row r="1378" spans="1:4" hidden="1" x14ac:dyDescent="0.3">
      <c r="A1378">
        <v>1376</v>
      </c>
      <c r="B1378" t="s">
        <v>1866</v>
      </c>
      <c r="C1378" t="s">
        <v>16</v>
      </c>
      <c r="D1378">
        <v>4.2925762959343796</v>
      </c>
    </row>
    <row r="1379" spans="1:4" hidden="1" x14ac:dyDescent="0.3">
      <c r="A1379">
        <v>1377</v>
      </c>
      <c r="B1379" s="1" t="s">
        <v>1867</v>
      </c>
      <c r="C1379" t="s">
        <v>140</v>
      </c>
      <c r="D1379" s="1" t="s">
        <v>1868</v>
      </c>
    </row>
    <row r="1380" spans="1:4" hidden="1" x14ac:dyDescent="0.3">
      <c r="A1380">
        <v>1378</v>
      </c>
      <c r="B1380" t="s">
        <v>142</v>
      </c>
      <c r="C1380" t="s">
        <v>22</v>
      </c>
      <c r="D1380">
        <v>64.8</v>
      </c>
    </row>
    <row r="1381" spans="1:4" hidden="1" x14ac:dyDescent="0.3">
      <c r="A1381">
        <v>1379</v>
      </c>
      <c r="B1381" t="s">
        <v>1869</v>
      </c>
      <c r="C1381" t="s">
        <v>24</v>
      </c>
      <c r="D1381">
        <v>5.5468561492385602</v>
      </c>
    </row>
    <row r="1382" spans="1:4" hidden="1" x14ac:dyDescent="0.3">
      <c r="A1382">
        <v>1380</v>
      </c>
      <c r="B1382" s="1" t="s">
        <v>1870</v>
      </c>
      <c r="C1382" t="s">
        <v>145</v>
      </c>
      <c r="D1382" s="1" t="s">
        <v>1871</v>
      </c>
    </row>
    <row r="1383" spans="1:4" hidden="1" x14ac:dyDescent="0.3">
      <c r="A1383">
        <v>1381</v>
      </c>
      <c r="B1383" t="s">
        <v>1872</v>
      </c>
      <c r="C1383" t="s">
        <v>35</v>
      </c>
      <c r="D1383">
        <v>0.18243939933716599</v>
      </c>
    </row>
    <row r="1384" spans="1:4" hidden="1" x14ac:dyDescent="0.3">
      <c r="A1384">
        <v>1382</v>
      </c>
      <c r="B1384" t="s">
        <v>1873</v>
      </c>
      <c r="C1384" t="s">
        <v>149</v>
      </c>
      <c r="D1384">
        <v>0.56535638596345705</v>
      </c>
    </row>
    <row r="1385" spans="1:4" hidden="1" x14ac:dyDescent="0.3">
      <c r="A1385">
        <v>1383</v>
      </c>
      <c r="B1385" s="1" t="s">
        <v>1874</v>
      </c>
      <c r="C1385" t="s">
        <v>151</v>
      </c>
      <c r="D1385" s="1" t="s">
        <v>1875</v>
      </c>
    </row>
    <row r="1386" spans="1:4" hidden="1" x14ac:dyDescent="0.3">
      <c r="A1386">
        <v>1384</v>
      </c>
      <c r="B1386" t="s">
        <v>1876</v>
      </c>
      <c r="C1386" t="s">
        <v>30</v>
      </c>
      <c r="D1386">
        <v>0.34689621382507801</v>
      </c>
    </row>
    <row r="1387" spans="1:4" hidden="1" x14ac:dyDescent="0.3">
      <c r="A1387">
        <v>1385</v>
      </c>
      <c r="B1387" t="s">
        <v>1877</v>
      </c>
      <c r="C1387" t="s">
        <v>32</v>
      </c>
      <c r="D1387">
        <v>0.37732138839894902</v>
      </c>
    </row>
    <row r="1388" spans="1:4" hidden="1" x14ac:dyDescent="0.3">
      <c r="A1388">
        <v>1386</v>
      </c>
      <c r="B1388" s="1" t="s">
        <v>1878</v>
      </c>
      <c r="C1388" t="s">
        <v>155</v>
      </c>
      <c r="D1388" s="1" t="s">
        <v>1879</v>
      </c>
    </row>
    <row r="1389" spans="1:4" hidden="1" x14ac:dyDescent="0.3">
      <c r="A1389">
        <v>1387</v>
      </c>
      <c r="B1389" t="s">
        <v>1880</v>
      </c>
      <c r="C1389" t="s">
        <v>40</v>
      </c>
      <c r="D1389">
        <v>0.47066438683775502</v>
      </c>
    </row>
    <row r="1390" spans="1:4" hidden="1" x14ac:dyDescent="0.3">
      <c r="A1390">
        <v>1388</v>
      </c>
      <c r="B1390" t="s">
        <v>1881</v>
      </c>
      <c r="C1390" t="s">
        <v>42</v>
      </c>
      <c r="D1390">
        <v>0.39147440984049098</v>
      </c>
    </row>
    <row r="1391" spans="1:4" hidden="1" x14ac:dyDescent="0.3">
      <c r="A1391">
        <v>1389</v>
      </c>
      <c r="B1391" s="1" t="s">
        <v>1882</v>
      </c>
      <c r="C1391" t="s">
        <v>159</v>
      </c>
      <c r="D1391" s="1" t="s">
        <v>1883</v>
      </c>
    </row>
    <row r="1392" spans="1:4" hidden="1" x14ac:dyDescent="0.3">
      <c r="A1392">
        <v>1390</v>
      </c>
      <c r="B1392" t="s">
        <v>1884</v>
      </c>
      <c r="C1392" t="s">
        <v>161</v>
      </c>
      <c r="D1392">
        <v>0.99856958448173605</v>
      </c>
    </row>
    <row r="1393" spans="1:4" hidden="1" x14ac:dyDescent="0.3">
      <c r="A1393">
        <v>1391</v>
      </c>
      <c r="B1393" t="s">
        <v>1885</v>
      </c>
      <c r="C1393" t="s">
        <v>163</v>
      </c>
      <c r="D1393">
        <v>0.99894319766350204</v>
      </c>
    </row>
    <row r="1394" spans="1:4" hidden="1" x14ac:dyDescent="0.3">
      <c r="A1394">
        <v>1392</v>
      </c>
      <c r="B1394" s="1" t="s">
        <v>1886</v>
      </c>
      <c r="C1394" t="s">
        <v>165</v>
      </c>
      <c r="D1394" s="1" t="s">
        <v>1887</v>
      </c>
    </row>
    <row r="1395" spans="1:4" hidden="1" x14ac:dyDescent="0.3">
      <c r="A1395">
        <v>1393</v>
      </c>
      <c r="B1395" t="s">
        <v>1888</v>
      </c>
      <c r="C1395" t="s">
        <v>168</v>
      </c>
      <c r="D1395">
        <v>0.99900694300172899</v>
      </c>
    </row>
    <row r="1396" spans="1:4" hidden="1" x14ac:dyDescent="0.3">
      <c r="A1396">
        <v>1394</v>
      </c>
      <c r="B1396" t="s">
        <v>1889</v>
      </c>
      <c r="C1396" t="s">
        <v>170</v>
      </c>
      <c r="D1396">
        <v>1.00095329433464</v>
      </c>
    </row>
    <row r="1397" spans="1:4" hidden="1" x14ac:dyDescent="0.3">
      <c r="A1397">
        <v>1395</v>
      </c>
      <c r="B1397" s="1" t="s">
        <v>1890</v>
      </c>
      <c r="C1397" t="s">
        <v>172</v>
      </c>
      <c r="D1397" s="1" t="s">
        <v>1891</v>
      </c>
    </row>
    <row r="1398" spans="1:4" hidden="1" x14ac:dyDescent="0.3">
      <c r="A1398">
        <v>1396</v>
      </c>
      <c r="B1398" s="1" t="s">
        <v>1892</v>
      </c>
      <c r="C1398" t="s">
        <v>55</v>
      </c>
      <c r="D1398" s="1" t="s">
        <v>1893</v>
      </c>
    </row>
    <row r="1399" spans="1:4" hidden="1" x14ac:dyDescent="0.3">
      <c r="A1399">
        <v>1397</v>
      </c>
      <c r="B1399" s="1" t="s">
        <v>1894</v>
      </c>
      <c r="C1399" t="s">
        <v>52</v>
      </c>
      <c r="D1399" s="1" t="s">
        <v>1895</v>
      </c>
    </row>
    <row r="1400" spans="1:4" hidden="1" x14ac:dyDescent="0.3">
      <c r="A1400">
        <v>1398</v>
      </c>
      <c r="B1400" s="1" t="s">
        <v>1896</v>
      </c>
      <c r="C1400" t="s">
        <v>58</v>
      </c>
      <c r="D1400" s="1" t="s">
        <v>1897</v>
      </c>
    </row>
    <row r="1401" spans="1:4" hidden="1" x14ac:dyDescent="0.3">
      <c r="A1401">
        <v>1399</v>
      </c>
      <c r="B1401" t="s">
        <v>1898</v>
      </c>
      <c r="C1401" t="s">
        <v>61</v>
      </c>
      <c r="D1401">
        <v>150027457.624228</v>
      </c>
    </row>
    <row r="1402" spans="1:4" hidden="1" x14ac:dyDescent="0.3">
      <c r="A1402">
        <v>1400</v>
      </c>
      <c r="B1402" t="s">
        <v>1899</v>
      </c>
      <c r="C1402" t="s">
        <v>63</v>
      </c>
      <c r="D1402">
        <v>75054974.173550293</v>
      </c>
    </row>
    <row r="1403" spans="1:4" hidden="1" x14ac:dyDescent="0.3">
      <c r="A1403">
        <v>1401</v>
      </c>
      <c r="B1403" t="s">
        <v>1900</v>
      </c>
      <c r="C1403" t="s">
        <v>65</v>
      </c>
      <c r="D1403">
        <v>35240198.522452198</v>
      </c>
    </row>
    <row r="1404" spans="1:4" hidden="1" x14ac:dyDescent="0.3">
      <c r="A1404">
        <v>1402</v>
      </c>
      <c r="B1404" s="1" t="s">
        <v>1901</v>
      </c>
      <c r="C1404" t="s">
        <v>67</v>
      </c>
      <c r="D1404" s="1" t="s">
        <v>1902</v>
      </c>
    </row>
    <row r="1405" spans="1:4" hidden="1" x14ac:dyDescent="0.3">
      <c r="A1405">
        <v>1403</v>
      </c>
      <c r="B1405" s="1" t="s">
        <v>1903</v>
      </c>
      <c r="C1405" t="s">
        <v>70</v>
      </c>
      <c r="D1405" s="1" t="s">
        <v>1904</v>
      </c>
    </row>
    <row r="1406" spans="1:4" hidden="1" x14ac:dyDescent="0.3">
      <c r="A1406">
        <v>1404</v>
      </c>
      <c r="B1406" t="s">
        <v>1905</v>
      </c>
      <c r="C1406" t="s">
        <v>73</v>
      </c>
      <c r="D1406">
        <v>0.99991295881023301</v>
      </c>
    </row>
    <row r="1407" spans="1:4" hidden="1" x14ac:dyDescent="0.3">
      <c r="A1407">
        <v>1405</v>
      </c>
      <c r="B1407" t="s">
        <v>74</v>
      </c>
      <c r="C1407" t="s">
        <v>75</v>
      </c>
      <c r="D1407">
        <v>2.7397260273972599E-3</v>
      </c>
    </row>
    <row r="1408" spans="1:4" hidden="1" x14ac:dyDescent="0.3">
      <c r="A1408">
        <v>1406</v>
      </c>
      <c r="B1408" t="s">
        <v>76</v>
      </c>
      <c r="C1408" t="s">
        <v>77</v>
      </c>
      <c r="D1408">
        <v>0</v>
      </c>
    </row>
    <row r="1409" spans="1:4" hidden="1" x14ac:dyDescent="0.3">
      <c r="A1409">
        <v>1407</v>
      </c>
      <c r="B1409" t="s">
        <v>78</v>
      </c>
      <c r="C1409" t="s">
        <v>79</v>
      </c>
      <c r="D1409">
        <v>0</v>
      </c>
    </row>
    <row r="1410" spans="1:4" hidden="1" x14ac:dyDescent="0.3">
      <c r="A1410">
        <v>1408</v>
      </c>
      <c r="B1410" s="1" t="s">
        <v>1906</v>
      </c>
      <c r="C1410" t="s">
        <v>81</v>
      </c>
      <c r="D1410" s="1" t="s">
        <v>1907</v>
      </c>
    </row>
    <row r="1411" spans="1:4" hidden="1" x14ac:dyDescent="0.3">
      <c r="A1411">
        <v>1409</v>
      </c>
      <c r="B1411" t="s">
        <v>1908</v>
      </c>
      <c r="C1411" t="s">
        <v>84</v>
      </c>
      <c r="D1411">
        <v>0.99992712979847898</v>
      </c>
    </row>
    <row r="1412" spans="1:4" hidden="1" x14ac:dyDescent="0.3">
      <c r="A1412">
        <v>1410</v>
      </c>
      <c r="B1412" s="1" t="s">
        <v>1909</v>
      </c>
      <c r="C1412" t="s">
        <v>86</v>
      </c>
      <c r="D1412" s="1" t="s">
        <v>1910</v>
      </c>
    </row>
    <row r="1413" spans="1:4" hidden="1" x14ac:dyDescent="0.3">
      <c r="A1413">
        <v>1411</v>
      </c>
      <c r="B1413" t="s">
        <v>1911</v>
      </c>
      <c r="C1413" t="s">
        <v>89</v>
      </c>
      <c r="D1413">
        <v>102957468.323735</v>
      </c>
    </row>
    <row r="1414" spans="1:4" hidden="1" x14ac:dyDescent="0.3">
      <c r="A1414">
        <v>1412</v>
      </c>
      <c r="B1414" s="1" t="s">
        <v>1912</v>
      </c>
      <c r="C1414" t="s">
        <v>91</v>
      </c>
      <c r="D1414" s="1" t="s">
        <v>1847</v>
      </c>
    </row>
    <row r="1415" spans="1:4" hidden="1" x14ac:dyDescent="0.3">
      <c r="A1415">
        <v>1413</v>
      </c>
      <c r="B1415" t="s">
        <v>1913</v>
      </c>
      <c r="C1415" t="s">
        <v>94</v>
      </c>
      <c r="D1415">
        <v>75054974.173550293</v>
      </c>
    </row>
    <row r="1416" spans="1:4" hidden="1" x14ac:dyDescent="0.3">
      <c r="A1416">
        <v>1414</v>
      </c>
      <c r="B1416" t="s">
        <v>1914</v>
      </c>
      <c r="C1416" t="s">
        <v>96</v>
      </c>
      <c r="D1416">
        <v>35240198.522452198</v>
      </c>
    </row>
    <row r="1417" spans="1:4" hidden="1" x14ac:dyDescent="0.3">
      <c r="A1417">
        <v>1415</v>
      </c>
      <c r="B1417" t="s">
        <v>1915</v>
      </c>
      <c r="C1417" t="s">
        <v>98</v>
      </c>
      <c r="D1417">
        <v>39732284.928225398</v>
      </c>
    </row>
    <row r="1418" spans="1:4" hidden="1" x14ac:dyDescent="0.3">
      <c r="A1418">
        <v>1416</v>
      </c>
      <c r="B1418" s="1" t="s">
        <v>1916</v>
      </c>
      <c r="C1418" t="s">
        <v>100</v>
      </c>
      <c r="D1418" s="1" t="s">
        <v>1917</v>
      </c>
    </row>
    <row r="1419" spans="1:4" hidden="1" x14ac:dyDescent="0.3">
      <c r="A1419">
        <v>1417</v>
      </c>
      <c r="B1419" t="s">
        <v>1918</v>
      </c>
      <c r="C1419" t="s">
        <v>103</v>
      </c>
      <c r="D1419">
        <v>1.0165753976825301E-2</v>
      </c>
    </row>
    <row r="1420" spans="1:4" hidden="1" x14ac:dyDescent="0.3">
      <c r="A1420">
        <v>1418</v>
      </c>
      <c r="B1420" t="s">
        <v>1919</v>
      </c>
      <c r="C1420" t="s">
        <v>105</v>
      </c>
      <c r="D1420">
        <v>3.2801817359715702E-3</v>
      </c>
    </row>
    <row r="1421" spans="1:4" hidden="1" x14ac:dyDescent="0.3">
      <c r="A1421">
        <v>1419</v>
      </c>
      <c r="B1421" t="s">
        <v>1920</v>
      </c>
      <c r="C1421" t="s">
        <v>107</v>
      </c>
      <c r="D1421">
        <v>1.21898929276286E-2</v>
      </c>
    </row>
    <row r="1422" spans="1:4" hidden="1" x14ac:dyDescent="0.3">
      <c r="A1422">
        <v>1420</v>
      </c>
      <c r="B1422" s="1" t="s">
        <v>1921</v>
      </c>
      <c r="C1422" t="s">
        <v>109</v>
      </c>
      <c r="D1422" s="1" t="s">
        <v>1922</v>
      </c>
    </row>
    <row r="1423" spans="1:4" hidden="1" x14ac:dyDescent="0.3">
      <c r="A1423">
        <v>1421</v>
      </c>
      <c r="B1423" t="s">
        <v>1923</v>
      </c>
      <c r="C1423" t="s">
        <v>208</v>
      </c>
      <c r="D1423">
        <v>150027955.34596601</v>
      </c>
    </row>
    <row r="1424" spans="1:4" hidden="1" x14ac:dyDescent="0.3">
      <c r="A1424">
        <v>1422</v>
      </c>
      <c r="B1424" t="s">
        <v>1924</v>
      </c>
      <c r="C1424" t="s">
        <v>210</v>
      </c>
      <c r="D1424">
        <v>-1063.7009143370101</v>
      </c>
    </row>
    <row r="1425" spans="1:4" hidden="1" x14ac:dyDescent="0.3">
      <c r="A1425">
        <v>1423</v>
      </c>
      <c r="B1425" t="s">
        <v>1925</v>
      </c>
      <c r="C1425" t="s">
        <v>212</v>
      </c>
      <c r="D1425">
        <v>-499.432765815582</v>
      </c>
    </row>
    <row r="1426" spans="1:4" hidden="1" x14ac:dyDescent="0.3">
      <c r="A1426">
        <v>1424</v>
      </c>
      <c r="B1426" s="1" t="s">
        <v>1926</v>
      </c>
      <c r="C1426" t="s">
        <v>214</v>
      </c>
      <c r="D1426" s="1" t="s">
        <v>1927</v>
      </c>
    </row>
    <row r="1427" spans="1:4" hidden="1" x14ac:dyDescent="0.3">
      <c r="A1427">
        <v>1425</v>
      </c>
      <c r="B1427" t="s">
        <v>1928</v>
      </c>
      <c r="C1427" t="s">
        <v>217</v>
      </c>
      <c r="D1427">
        <v>75056402.827287495</v>
      </c>
    </row>
    <row r="1428" spans="1:4" hidden="1" x14ac:dyDescent="0.3">
      <c r="A1428">
        <v>1426</v>
      </c>
      <c r="B1428" t="s">
        <v>1929</v>
      </c>
      <c r="C1428" t="s">
        <v>219</v>
      </c>
      <c r="D1428">
        <v>35240758.328730598</v>
      </c>
    </row>
    <row r="1429" spans="1:4" hidden="1" x14ac:dyDescent="0.3">
      <c r="A1429">
        <v>1427</v>
      </c>
      <c r="B1429" t="s">
        <v>1930</v>
      </c>
      <c r="C1429" t="s">
        <v>221</v>
      </c>
      <c r="D1429">
        <v>39732920.419409499</v>
      </c>
    </row>
    <row r="1430" spans="1:4" hidden="1" x14ac:dyDescent="0.3">
      <c r="A1430">
        <v>1428</v>
      </c>
      <c r="B1430" s="1" t="s">
        <v>1931</v>
      </c>
      <c r="C1430" t="s">
        <v>223</v>
      </c>
      <c r="D1430" s="1" t="s">
        <v>1932</v>
      </c>
    </row>
    <row r="1431" spans="1:4" hidden="1" x14ac:dyDescent="0.3">
      <c r="A1431">
        <v>1429</v>
      </c>
      <c r="B1431" t="s">
        <v>1933</v>
      </c>
      <c r="C1431" t="s">
        <v>226</v>
      </c>
      <c r="D1431">
        <v>102958927.459813</v>
      </c>
    </row>
    <row r="1432" spans="1:4" hidden="1" x14ac:dyDescent="0.3">
      <c r="A1432">
        <v>1430</v>
      </c>
      <c r="B1432" t="s">
        <v>1934</v>
      </c>
      <c r="C1432" t="s">
        <v>228</v>
      </c>
      <c r="D1432">
        <v>-1459.13607837259</v>
      </c>
    </row>
    <row r="1433" spans="1:4" hidden="1" x14ac:dyDescent="0.3">
      <c r="A1433">
        <v>1431</v>
      </c>
      <c r="B1433" s="1" t="s">
        <v>1935</v>
      </c>
      <c r="C1433" t="s">
        <v>230</v>
      </c>
      <c r="D1433" s="1" t="s">
        <v>1936</v>
      </c>
    </row>
    <row r="1434" spans="1:4" hidden="1" x14ac:dyDescent="0.3">
      <c r="A1434">
        <v>1432</v>
      </c>
      <c r="B1434" t="s">
        <v>1937</v>
      </c>
      <c r="C1434" t="s">
        <v>112</v>
      </c>
      <c r="D1434">
        <v>364.952822833688</v>
      </c>
    </row>
    <row r="1435" spans="1:4" hidden="1" x14ac:dyDescent="0.3">
      <c r="A1435">
        <v>1433</v>
      </c>
      <c r="B1435" t="s">
        <v>1938</v>
      </c>
      <c r="C1435" t="s">
        <v>114</v>
      </c>
      <c r="D1435">
        <v>60.373512582594699</v>
      </c>
    </row>
    <row r="1436" spans="1:4" hidden="1" x14ac:dyDescent="0.3">
      <c r="A1436">
        <v>1434</v>
      </c>
      <c r="B1436" s="1" t="s">
        <v>1939</v>
      </c>
      <c r="C1436" t="s">
        <v>116</v>
      </c>
      <c r="D1436" s="1" t="s">
        <v>1940</v>
      </c>
    </row>
    <row r="1437" spans="1:4" hidden="1" x14ac:dyDescent="0.3">
      <c r="A1437">
        <v>1435</v>
      </c>
      <c r="B1437" t="s">
        <v>1941</v>
      </c>
      <c r="C1437" t="s">
        <v>119</v>
      </c>
      <c r="D1437">
        <v>75056402.827287495</v>
      </c>
    </row>
    <row r="1438" spans="1:4" hidden="1" x14ac:dyDescent="0.3">
      <c r="A1438">
        <v>1436</v>
      </c>
      <c r="B1438" t="s">
        <v>1942</v>
      </c>
      <c r="C1438" t="s">
        <v>121</v>
      </c>
      <c r="D1438">
        <v>35240758.328730598</v>
      </c>
    </row>
    <row r="1439" spans="1:4" hidden="1" x14ac:dyDescent="0.3">
      <c r="A1439">
        <v>1437</v>
      </c>
      <c r="B1439" s="1" t="s">
        <v>1943</v>
      </c>
      <c r="C1439" t="s">
        <v>123</v>
      </c>
      <c r="D1439" s="1" t="s">
        <v>1944</v>
      </c>
    </row>
    <row r="1440" spans="1:4" hidden="1" x14ac:dyDescent="0.3">
      <c r="A1440">
        <v>1438</v>
      </c>
      <c r="B1440" t="s">
        <v>1945</v>
      </c>
      <c r="C1440" t="s">
        <v>126</v>
      </c>
      <c r="D1440">
        <v>0.72904676119871503</v>
      </c>
    </row>
    <row r="1441" spans="1:4" hidden="1" x14ac:dyDescent="0.3">
      <c r="A1441">
        <v>1439</v>
      </c>
      <c r="B1441" t="s">
        <v>1946</v>
      </c>
      <c r="C1441" t="s">
        <v>128</v>
      </c>
      <c r="D1441">
        <v>0.34230471690560499</v>
      </c>
    </row>
    <row r="1442" spans="1:4" hidden="1" x14ac:dyDescent="0.3">
      <c r="A1442">
        <v>1440</v>
      </c>
      <c r="B1442" s="1" t="s">
        <v>1947</v>
      </c>
      <c r="C1442" t="s">
        <v>130</v>
      </c>
      <c r="D1442" s="1" t="s">
        <v>1948</v>
      </c>
    </row>
    <row r="1443" spans="1:4" x14ac:dyDescent="0.3">
      <c r="A1443">
        <v>1441</v>
      </c>
      <c r="B1443" s="1" t="s">
        <v>1949</v>
      </c>
      <c r="C1443" t="s">
        <v>4</v>
      </c>
      <c r="D1443" t="s">
        <v>1950</v>
      </c>
    </row>
    <row r="1444" spans="1:4" hidden="1" x14ac:dyDescent="0.3">
      <c r="A1444">
        <v>1442</v>
      </c>
      <c r="B1444" t="s">
        <v>1951</v>
      </c>
      <c r="C1444" t="s">
        <v>7</v>
      </c>
      <c r="D1444">
        <v>1734.19</v>
      </c>
    </row>
    <row r="1445" spans="1:4" hidden="1" x14ac:dyDescent="0.3">
      <c r="A1445">
        <v>1443</v>
      </c>
      <c r="B1445" s="1" t="s">
        <v>1952</v>
      </c>
      <c r="C1445" t="s">
        <v>9</v>
      </c>
      <c r="D1445" s="1" t="s">
        <v>1953</v>
      </c>
    </row>
    <row r="1446" spans="1:4" hidden="1" x14ac:dyDescent="0.3">
      <c r="A1446">
        <v>1444</v>
      </c>
      <c r="B1446" t="s">
        <v>1954</v>
      </c>
      <c r="C1446" t="s">
        <v>14</v>
      </c>
      <c r="D1446">
        <v>91.6640625</v>
      </c>
    </row>
    <row r="1447" spans="1:4" hidden="1" x14ac:dyDescent="0.3">
      <c r="A1447">
        <v>1445</v>
      </c>
      <c r="B1447" t="s">
        <v>1955</v>
      </c>
      <c r="C1447" t="s">
        <v>16</v>
      </c>
      <c r="D1447">
        <v>4.2944084383388903</v>
      </c>
    </row>
    <row r="1448" spans="1:4" hidden="1" x14ac:dyDescent="0.3">
      <c r="A1448">
        <v>1446</v>
      </c>
      <c r="B1448" s="1" t="s">
        <v>1956</v>
      </c>
      <c r="C1448" t="s">
        <v>140</v>
      </c>
      <c r="D1448" s="1" t="s">
        <v>1957</v>
      </c>
    </row>
    <row r="1449" spans="1:4" hidden="1" x14ac:dyDescent="0.3">
      <c r="A1449">
        <v>1447</v>
      </c>
      <c r="B1449" t="s">
        <v>703</v>
      </c>
      <c r="C1449" t="s">
        <v>22</v>
      </c>
      <c r="D1449">
        <v>64.75</v>
      </c>
    </row>
    <row r="1450" spans="1:4" hidden="1" x14ac:dyDescent="0.3">
      <c r="A1450">
        <v>1448</v>
      </c>
      <c r="B1450" t="s">
        <v>1958</v>
      </c>
      <c r="C1450" t="s">
        <v>24</v>
      </c>
      <c r="D1450">
        <v>5.5890665422591699</v>
      </c>
    </row>
    <row r="1451" spans="1:4" hidden="1" x14ac:dyDescent="0.3">
      <c r="A1451">
        <v>1449</v>
      </c>
      <c r="B1451" s="1" t="s">
        <v>1959</v>
      </c>
      <c r="C1451" t="s">
        <v>145</v>
      </c>
      <c r="D1451" s="1" t="s">
        <v>1960</v>
      </c>
    </row>
    <row r="1452" spans="1:4" hidden="1" x14ac:dyDescent="0.3">
      <c r="A1452">
        <v>1450</v>
      </c>
      <c r="B1452" t="s">
        <v>1961</v>
      </c>
      <c r="C1452" t="s">
        <v>35</v>
      </c>
      <c r="D1452">
        <v>3.7699577083984297E-2</v>
      </c>
    </row>
    <row r="1453" spans="1:4" hidden="1" x14ac:dyDescent="0.3">
      <c r="A1453">
        <v>1451</v>
      </c>
      <c r="B1453" t="s">
        <v>1962</v>
      </c>
      <c r="C1453" t="s">
        <v>149</v>
      </c>
      <c r="D1453">
        <v>0.56647344735318295</v>
      </c>
    </row>
    <row r="1454" spans="1:4" hidden="1" x14ac:dyDescent="0.3">
      <c r="A1454">
        <v>1452</v>
      </c>
      <c r="B1454" s="1" t="s">
        <v>1963</v>
      </c>
      <c r="C1454" t="s">
        <v>151</v>
      </c>
      <c r="D1454" s="1" t="s">
        <v>1964</v>
      </c>
    </row>
    <row r="1455" spans="1:4" hidden="1" x14ac:dyDescent="0.3">
      <c r="A1455">
        <v>1453</v>
      </c>
      <c r="B1455" t="s">
        <v>1965</v>
      </c>
      <c r="C1455" t="s">
        <v>30</v>
      </c>
      <c r="D1455">
        <v>0.40833464608485598</v>
      </c>
    </row>
    <row r="1456" spans="1:4" hidden="1" x14ac:dyDescent="0.3">
      <c r="A1456">
        <v>1454</v>
      </c>
      <c r="B1456" t="s">
        <v>1966</v>
      </c>
      <c r="C1456" t="s">
        <v>32</v>
      </c>
      <c r="D1456">
        <v>0.37702250335354098</v>
      </c>
    </row>
    <row r="1457" spans="1:4" hidden="1" x14ac:dyDescent="0.3">
      <c r="A1457">
        <v>1455</v>
      </c>
      <c r="B1457" s="1" t="s">
        <v>1967</v>
      </c>
      <c r="C1457" t="s">
        <v>155</v>
      </c>
      <c r="D1457" s="1" t="s">
        <v>1968</v>
      </c>
    </row>
    <row r="1458" spans="1:4" hidden="1" x14ac:dyDescent="0.3">
      <c r="A1458">
        <v>1456</v>
      </c>
      <c r="B1458" t="s">
        <v>1969</v>
      </c>
      <c r="C1458" t="s">
        <v>40</v>
      </c>
      <c r="D1458">
        <v>0.553965776831158</v>
      </c>
    </row>
    <row r="1459" spans="1:4" hidden="1" x14ac:dyDescent="0.3">
      <c r="A1459">
        <v>1457</v>
      </c>
      <c r="B1459" t="s">
        <v>1970</v>
      </c>
      <c r="C1459" t="s">
        <v>42</v>
      </c>
      <c r="D1459">
        <v>0.38828530528681898</v>
      </c>
    </row>
    <row r="1460" spans="1:4" hidden="1" x14ac:dyDescent="0.3">
      <c r="A1460">
        <v>1458</v>
      </c>
      <c r="B1460" s="1" t="s">
        <v>1971</v>
      </c>
      <c r="C1460" t="s">
        <v>159</v>
      </c>
      <c r="D1460" s="1" t="s">
        <v>1972</v>
      </c>
    </row>
    <row r="1461" spans="1:4" hidden="1" x14ac:dyDescent="0.3">
      <c r="A1461">
        <v>1459</v>
      </c>
      <c r="B1461" t="s">
        <v>1973</v>
      </c>
      <c r="C1461" t="s">
        <v>161</v>
      </c>
      <c r="D1461">
        <v>1.0098234458341999</v>
      </c>
    </row>
    <row r="1462" spans="1:4" hidden="1" x14ac:dyDescent="0.3">
      <c r="A1462">
        <v>1460</v>
      </c>
      <c r="B1462" t="s">
        <v>1974</v>
      </c>
      <c r="C1462" t="s">
        <v>163</v>
      </c>
      <c r="D1462">
        <v>1.00181351538094</v>
      </c>
    </row>
    <row r="1463" spans="1:4" hidden="1" x14ac:dyDescent="0.3">
      <c r="A1463">
        <v>1461</v>
      </c>
      <c r="B1463" s="1" t="s">
        <v>1975</v>
      </c>
      <c r="C1463" t="s">
        <v>165</v>
      </c>
      <c r="D1463" s="1" t="s">
        <v>1976</v>
      </c>
    </row>
    <row r="1464" spans="1:4" hidden="1" x14ac:dyDescent="0.3">
      <c r="A1464">
        <v>1462</v>
      </c>
      <c r="B1464" t="s">
        <v>1977</v>
      </c>
      <c r="C1464" t="s">
        <v>168</v>
      </c>
      <c r="D1464">
        <v>1.0007136147395801</v>
      </c>
    </row>
    <row r="1465" spans="1:4" hidden="1" x14ac:dyDescent="0.3">
      <c r="A1465">
        <v>1463</v>
      </c>
      <c r="B1465" t="s">
        <v>1978</v>
      </c>
      <c r="C1465" t="s">
        <v>170</v>
      </c>
      <c r="D1465">
        <v>0.99978299542290805</v>
      </c>
    </row>
    <row r="1466" spans="1:4" hidden="1" x14ac:dyDescent="0.3">
      <c r="A1466">
        <v>1464</v>
      </c>
      <c r="B1466" s="1" t="s">
        <v>1979</v>
      </c>
      <c r="C1466" t="s">
        <v>172</v>
      </c>
      <c r="D1466" s="1" t="s">
        <v>1980</v>
      </c>
    </row>
    <row r="1467" spans="1:4" hidden="1" x14ac:dyDescent="0.3">
      <c r="A1467">
        <v>1465</v>
      </c>
      <c r="B1467" s="1" t="s">
        <v>1981</v>
      </c>
      <c r="C1467" t="s">
        <v>55</v>
      </c>
      <c r="D1467" s="1" t="s">
        <v>1982</v>
      </c>
    </row>
    <row r="1468" spans="1:4" hidden="1" x14ac:dyDescent="0.3">
      <c r="A1468">
        <v>1466</v>
      </c>
      <c r="B1468" s="1" t="s">
        <v>1983</v>
      </c>
      <c r="C1468" t="s">
        <v>52</v>
      </c>
      <c r="D1468" s="1" t="s">
        <v>1984</v>
      </c>
    </row>
    <row r="1469" spans="1:4" hidden="1" x14ac:dyDescent="0.3">
      <c r="A1469">
        <v>1467</v>
      </c>
      <c r="B1469" s="1" t="s">
        <v>1985</v>
      </c>
      <c r="C1469" t="s">
        <v>58</v>
      </c>
      <c r="D1469" s="1" t="s">
        <v>1986</v>
      </c>
    </row>
    <row r="1470" spans="1:4" hidden="1" x14ac:dyDescent="0.3">
      <c r="A1470">
        <v>1468</v>
      </c>
      <c r="B1470" t="s">
        <v>1987</v>
      </c>
      <c r="C1470" t="s">
        <v>61</v>
      </c>
      <c r="D1470">
        <v>150826904.05784401</v>
      </c>
    </row>
    <row r="1471" spans="1:4" hidden="1" x14ac:dyDescent="0.3">
      <c r="A1471">
        <v>1469</v>
      </c>
      <c r="B1471" t="s">
        <v>1988</v>
      </c>
      <c r="C1471" t="s">
        <v>63</v>
      </c>
      <c r="D1471">
        <v>75793715.334971696</v>
      </c>
    </row>
    <row r="1472" spans="1:4" hidden="1" x14ac:dyDescent="0.3">
      <c r="A1472">
        <v>1470</v>
      </c>
      <c r="B1472" t="s">
        <v>1989</v>
      </c>
      <c r="C1472" t="s">
        <v>65</v>
      </c>
      <c r="D1472">
        <v>35304667.985996097</v>
      </c>
    </row>
    <row r="1473" spans="1:4" hidden="1" x14ac:dyDescent="0.3">
      <c r="A1473">
        <v>1471</v>
      </c>
      <c r="B1473" s="1" t="s">
        <v>1990</v>
      </c>
      <c r="C1473" t="s">
        <v>67</v>
      </c>
      <c r="D1473" s="1" t="s">
        <v>1991</v>
      </c>
    </row>
    <row r="1474" spans="1:4" hidden="1" x14ac:dyDescent="0.3">
      <c r="A1474">
        <v>1472</v>
      </c>
      <c r="B1474" s="1" t="s">
        <v>1992</v>
      </c>
      <c r="C1474" t="s">
        <v>70</v>
      </c>
      <c r="D1474" s="1" t="s">
        <v>1993</v>
      </c>
    </row>
    <row r="1475" spans="1:4" hidden="1" x14ac:dyDescent="0.3">
      <c r="A1475">
        <v>1473</v>
      </c>
      <c r="B1475" t="s">
        <v>1994</v>
      </c>
      <c r="C1475" t="s">
        <v>73</v>
      </c>
      <c r="D1475">
        <v>0.99992712979847898</v>
      </c>
    </row>
    <row r="1476" spans="1:4" hidden="1" x14ac:dyDescent="0.3">
      <c r="A1476">
        <v>1474</v>
      </c>
      <c r="B1476" t="s">
        <v>74</v>
      </c>
      <c r="C1476" t="s">
        <v>75</v>
      </c>
      <c r="D1476">
        <v>2.7397260273972599E-3</v>
      </c>
    </row>
    <row r="1477" spans="1:4" hidden="1" x14ac:dyDescent="0.3">
      <c r="A1477">
        <v>1475</v>
      </c>
      <c r="B1477" t="s">
        <v>76</v>
      </c>
      <c r="C1477" t="s">
        <v>77</v>
      </c>
      <c r="D1477">
        <v>0</v>
      </c>
    </row>
    <row r="1478" spans="1:4" hidden="1" x14ac:dyDescent="0.3">
      <c r="A1478">
        <v>1476</v>
      </c>
      <c r="B1478" t="s">
        <v>78</v>
      </c>
      <c r="C1478" t="s">
        <v>79</v>
      </c>
      <c r="D1478">
        <v>0</v>
      </c>
    </row>
    <row r="1479" spans="1:4" hidden="1" x14ac:dyDescent="0.3">
      <c r="A1479">
        <v>1477</v>
      </c>
      <c r="B1479" s="1" t="s">
        <v>1995</v>
      </c>
      <c r="C1479" t="s">
        <v>81</v>
      </c>
      <c r="D1479" s="1" t="s">
        <v>1996</v>
      </c>
    </row>
    <row r="1480" spans="1:4" hidden="1" x14ac:dyDescent="0.3">
      <c r="A1480">
        <v>1478</v>
      </c>
      <c r="B1480" t="s">
        <v>1997</v>
      </c>
      <c r="C1480" t="s">
        <v>84</v>
      </c>
      <c r="D1480">
        <v>0.99992091772769198</v>
      </c>
    </row>
    <row r="1481" spans="1:4" hidden="1" x14ac:dyDescent="0.3">
      <c r="A1481">
        <v>1479</v>
      </c>
      <c r="B1481" s="1" t="s">
        <v>1998</v>
      </c>
      <c r="C1481" t="s">
        <v>86</v>
      </c>
      <c r="D1481" s="1" t="s">
        <v>1999</v>
      </c>
    </row>
    <row r="1482" spans="1:4" hidden="1" x14ac:dyDescent="0.3">
      <c r="A1482">
        <v>1480</v>
      </c>
      <c r="B1482" t="s">
        <v>2000</v>
      </c>
      <c r="C1482" t="s">
        <v>89</v>
      </c>
      <c r="D1482">
        <v>102958107.953399</v>
      </c>
    </row>
    <row r="1483" spans="1:4" hidden="1" x14ac:dyDescent="0.3">
      <c r="A1483">
        <v>1481</v>
      </c>
      <c r="B1483" s="1" t="s">
        <v>2001</v>
      </c>
      <c r="C1483" t="s">
        <v>91</v>
      </c>
      <c r="D1483" s="1" t="s">
        <v>1936</v>
      </c>
    </row>
    <row r="1484" spans="1:4" hidden="1" x14ac:dyDescent="0.3">
      <c r="A1484">
        <v>1482</v>
      </c>
      <c r="B1484" t="s">
        <v>2002</v>
      </c>
      <c r="C1484" t="s">
        <v>94</v>
      </c>
      <c r="D1484">
        <v>75793715.334971696</v>
      </c>
    </row>
    <row r="1485" spans="1:4" hidden="1" x14ac:dyDescent="0.3">
      <c r="A1485">
        <v>1483</v>
      </c>
      <c r="B1485" t="s">
        <v>2003</v>
      </c>
      <c r="C1485" t="s">
        <v>96</v>
      </c>
      <c r="D1485">
        <v>35304667.985996097</v>
      </c>
    </row>
    <row r="1486" spans="1:4" hidden="1" x14ac:dyDescent="0.3">
      <c r="A1486">
        <v>1484</v>
      </c>
      <c r="B1486" t="s">
        <v>2004</v>
      </c>
      <c r="C1486" t="s">
        <v>98</v>
      </c>
      <c r="D1486">
        <v>39728520.736877002</v>
      </c>
    </row>
    <row r="1487" spans="1:4" hidden="1" x14ac:dyDescent="0.3">
      <c r="A1487">
        <v>1485</v>
      </c>
      <c r="B1487" s="1" t="s">
        <v>2005</v>
      </c>
      <c r="C1487" t="s">
        <v>100</v>
      </c>
      <c r="D1487" s="1" t="s">
        <v>2006</v>
      </c>
    </row>
    <row r="1488" spans="1:4" hidden="1" x14ac:dyDescent="0.3">
      <c r="A1488">
        <v>1486</v>
      </c>
      <c r="B1488" t="s">
        <v>2007</v>
      </c>
      <c r="C1488" t="s">
        <v>103</v>
      </c>
      <c r="D1488">
        <v>1.0164434950300999E-2</v>
      </c>
    </row>
    <row r="1489" spans="1:4" hidden="1" x14ac:dyDescent="0.3">
      <c r="A1489">
        <v>1487</v>
      </c>
      <c r="B1489" t="s">
        <v>2008</v>
      </c>
      <c r="C1489" t="s">
        <v>105</v>
      </c>
      <c r="D1489">
        <v>3.2823469486344698E-3</v>
      </c>
    </row>
    <row r="1490" spans="1:4" hidden="1" x14ac:dyDescent="0.3">
      <c r="A1490">
        <v>1488</v>
      </c>
      <c r="B1490" t="s">
        <v>2009</v>
      </c>
      <c r="C1490" t="s">
        <v>107</v>
      </c>
      <c r="D1490">
        <v>1.2046138607795E-2</v>
      </c>
    </row>
    <row r="1491" spans="1:4" hidden="1" x14ac:dyDescent="0.3">
      <c r="A1491">
        <v>1489</v>
      </c>
      <c r="B1491" s="1" t="s">
        <v>2010</v>
      </c>
      <c r="C1491" t="s">
        <v>109</v>
      </c>
      <c r="D1491" s="1" t="s">
        <v>2011</v>
      </c>
    </row>
    <row r="1492" spans="1:4" hidden="1" x14ac:dyDescent="0.3">
      <c r="A1492">
        <v>1490</v>
      </c>
      <c r="B1492" t="s">
        <v>2012</v>
      </c>
      <c r="C1492" t="s">
        <v>208</v>
      </c>
      <c r="D1492">
        <v>150826685.92577299</v>
      </c>
    </row>
    <row r="1493" spans="1:4" hidden="1" x14ac:dyDescent="0.3">
      <c r="A1493">
        <v>1491</v>
      </c>
      <c r="B1493" t="s">
        <v>2013</v>
      </c>
      <c r="C1493" t="s">
        <v>210</v>
      </c>
      <c r="D1493">
        <v>470.86923887065501</v>
      </c>
    </row>
    <row r="1494" spans="1:4" hidden="1" x14ac:dyDescent="0.3">
      <c r="A1494">
        <v>1492</v>
      </c>
      <c r="B1494" t="s">
        <v>2014</v>
      </c>
      <c r="C1494" t="s">
        <v>212</v>
      </c>
      <c r="D1494">
        <v>219.33091712747699</v>
      </c>
    </row>
    <row r="1495" spans="1:4" hidden="1" x14ac:dyDescent="0.3">
      <c r="A1495">
        <v>1493</v>
      </c>
      <c r="B1495" s="1" t="s">
        <v>2015</v>
      </c>
      <c r="C1495" t="s">
        <v>214</v>
      </c>
      <c r="D1495" s="1" t="s">
        <v>2016</v>
      </c>
    </row>
    <row r="1496" spans="1:4" hidden="1" x14ac:dyDescent="0.3">
      <c r="A1496">
        <v>1494</v>
      </c>
      <c r="B1496" t="s">
        <v>2017</v>
      </c>
      <c r="C1496" t="s">
        <v>217</v>
      </c>
      <c r="D1496">
        <v>75793083.763713896</v>
      </c>
    </row>
    <row r="1497" spans="1:4" hidden="1" x14ac:dyDescent="0.3">
      <c r="A1497">
        <v>1495</v>
      </c>
      <c r="B1497" t="s">
        <v>2018</v>
      </c>
      <c r="C1497" t="s">
        <v>219</v>
      </c>
      <c r="D1497">
        <v>35304422.547724597</v>
      </c>
    </row>
    <row r="1498" spans="1:4" hidden="1" x14ac:dyDescent="0.3">
      <c r="A1498">
        <v>1496</v>
      </c>
      <c r="B1498" t="s">
        <v>2019</v>
      </c>
      <c r="C1498" t="s">
        <v>221</v>
      </c>
      <c r="D1498">
        <v>39728242.6000048</v>
      </c>
    </row>
    <row r="1499" spans="1:4" hidden="1" x14ac:dyDescent="0.3">
      <c r="A1499">
        <v>1497</v>
      </c>
      <c r="B1499" s="1" t="s">
        <v>2020</v>
      </c>
      <c r="C1499" t="s">
        <v>223</v>
      </c>
      <c r="D1499" s="1" t="s">
        <v>2021</v>
      </c>
    </row>
    <row r="1500" spans="1:4" hidden="1" x14ac:dyDescent="0.3">
      <c r="A1500">
        <v>1498</v>
      </c>
      <c r="B1500" t="s">
        <v>2022</v>
      </c>
      <c r="C1500" t="s">
        <v>226</v>
      </c>
      <c r="D1500">
        <v>102957468.323735</v>
      </c>
    </row>
    <row r="1501" spans="1:4" hidden="1" x14ac:dyDescent="0.3">
      <c r="A1501">
        <v>1499</v>
      </c>
      <c r="B1501" t="s">
        <v>2023</v>
      </c>
      <c r="C1501" t="s">
        <v>228</v>
      </c>
      <c r="D1501">
        <v>639.62966458499398</v>
      </c>
    </row>
    <row r="1502" spans="1:4" hidden="1" x14ac:dyDescent="0.3">
      <c r="A1502">
        <v>1500</v>
      </c>
      <c r="B1502" s="1" t="s">
        <v>2024</v>
      </c>
      <c r="C1502" t="s">
        <v>230</v>
      </c>
      <c r="D1502" s="1" t="s">
        <v>2025</v>
      </c>
    </row>
    <row r="1503" spans="1:4" hidden="1" x14ac:dyDescent="0.3">
      <c r="A1503">
        <v>1501</v>
      </c>
      <c r="B1503" t="s">
        <v>2026</v>
      </c>
      <c r="C1503" t="s">
        <v>112</v>
      </c>
      <c r="D1503">
        <v>-160.70201891230101</v>
      </c>
    </row>
    <row r="1504" spans="1:4" hidden="1" x14ac:dyDescent="0.3">
      <c r="A1504">
        <v>1502</v>
      </c>
      <c r="B1504" t="s">
        <v>2027</v>
      </c>
      <c r="C1504" t="s">
        <v>114</v>
      </c>
      <c r="D1504">
        <v>-26.1073543144993</v>
      </c>
    </row>
    <row r="1505" spans="1:4" hidden="1" x14ac:dyDescent="0.3">
      <c r="A1505">
        <v>1503</v>
      </c>
      <c r="B1505" s="1" t="s">
        <v>2028</v>
      </c>
      <c r="C1505" t="s">
        <v>116</v>
      </c>
      <c r="D1505" s="1" t="s">
        <v>2029</v>
      </c>
    </row>
    <row r="1506" spans="1:4" hidden="1" x14ac:dyDescent="0.3">
      <c r="A1506">
        <v>1504</v>
      </c>
      <c r="B1506" t="s">
        <v>2030</v>
      </c>
      <c r="C1506" t="s">
        <v>119</v>
      </c>
      <c r="D1506">
        <v>75793083.763713896</v>
      </c>
    </row>
    <row r="1507" spans="1:4" hidden="1" x14ac:dyDescent="0.3">
      <c r="A1507">
        <v>1505</v>
      </c>
      <c r="B1507" t="s">
        <v>2031</v>
      </c>
      <c r="C1507" t="s">
        <v>121</v>
      </c>
      <c r="D1507">
        <v>35304422.547724597</v>
      </c>
    </row>
    <row r="1508" spans="1:4" hidden="1" x14ac:dyDescent="0.3">
      <c r="A1508">
        <v>1506</v>
      </c>
      <c r="B1508" s="1" t="s">
        <v>2032</v>
      </c>
      <c r="C1508" t="s">
        <v>123</v>
      </c>
      <c r="D1508" s="1" t="s">
        <v>2033</v>
      </c>
    </row>
    <row r="1509" spans="1:4" hidden="1" x14ac:dyDescent="0.3">
      <c r="A1509">
        <v>1507</v>
      </c>
      <c r="B1509" t="s">
        <v>2034</v>
      </c>
      <c r="C1509" t="s">
        <v>126</v>
      </c>
      <c r="D1509">
        <v>0.73621738530624803</v>
      </c>
    </row>
    <row r="1510" spans="1:4" hidden="1" x14ac:dyDescent="0.3">
      <c r="A1510">
        <v>1508</v>
      </c>
      <c r="B1510" t="s">
        <v>2035</v>
      </c>
      <c r="C1510" t="s">
        <v>128</v>
      </c>
      <c r="D1510">
        <v>0.34293009819817299</v>
      </c>
    </row>
    <row r="1511" spans="1:4" hidden="1" x14ac:dyDescent="0.3">
      <c r="A1511">
        <v>1509</v>
      </c>
      <c r="B1511" s="1" t="s">
        <v>2036</v>
      </c>
      <c r="C1511" t="s">
        <v>130</v>
      </c>
      <c r="D1511" s="1" t="s">
        <v>2037</v>
      </c>
    </row>
    <row r="1512" spans="1:4" x14ac:dyDescent="0.3">
      <c r="A1512">
        <v>1510</v>
      </c>
      <c r="B1512" s="1" t="s">
        <v>2038</v>
      </c>
      <c r="C1512" t="s">
        <v>4</v>
      </c>
      <c r="D1512" t="s">
        <v>2039</v>
      </c>
    </row>
    <row r="1513" spans="1:4" hidden="1" x14ac:dyDescent="0.3">
      <c r="A1513">
        <v>1511</v>
      </c>
      <c r="B1513" t="s">
        <v>2040</v>
      </c>
      <c r="C1513" t="s">
        <v>7</v>
      </c>
      <c r="D1513">
        <v>1755.84</v>
      </c>
    </row>
    <row r="1514" spans="1:4" hidden="1" x14ac:dyDescent="0.3">
      <c r="A1514">
        <v>1512</v>
      </c>
      <c r="B1514" s="1" t="s">
        <v>2041</v>
      </c>
      <c r="C1514" t="s">
        <v>9</v>
      </c>
      <c r="D1514" s="1" t="s">
        <v>2042</v>
      </c>
    </row>
    <row r="1515" spans="1:4" hidden="1" x14ac:dyDescent="0.3">
      <c r="A1515">
        <v>1513</v>
      </c>
      <c r="B1515" t="s">
        <v>2043</v>
      </c>
      <c r="C1515" t="s">
        <v>14</v>
      </c>
      <c r="D1515">
        <v>92.13671875</v>
      </c>
    </row>
    <row r="1516" spans="1:4" hidden="1" x14ac:dyDescent="0.3">
      <c r="A1516">
        <v>1514</v>
      </c>
      <c r="B1516" t="s">
        <v>2044</v>
      </c>
      <c r="C1516" t="s">
        <v>16</v>
      </c>
      <c r="D1516">
        <v>4.3007916361862497</v>
      </c>
    </row>
    <row r="1517" spans="1:4" hidden="1" x14ac:dyDescent="0.3">
      <c r="A1517">
        <v>1515</v>
      </c>
      <c r="B1517" s="1" t="s">
        <v>2045</v>
      </c>
      <c r="C1517" t="s">
        <v>140</v>
      </c>
      <c r="D1517" s="1" t="s">
        <v>2046</v>
      </c>
    </row>
    <row r="1518" spans="1:4" hidden="1" x14ac:dyDescent="0.3">
      <c r="A1518">
        <v>1516</v>
      </c>
      <c r="B1518" t="s">
        <v>2047</v>
      </c>
      <c r="C1518" t="s">
        <v>22</v>
      </c>
      <c r="D1518">
        <v>65.150000000000006</v>
      </c>
    </row>
    <row r="1519" spans="1:4" hidden="1" x14ac:dyDescent="0.3">
      <c r="A1519">
        <v>1517</v>
      </c>
      <c r="B1519" t="s">
        <v>2048</v>
      </c>
      <c r="C1519" t="s">
        <v>24</v>
      </c>
      <c r="D1519">
        <v>5.6359817160245704</v>
      </c>
    </row>
    <row r="1520" spans="1:4" hidden="1" x14ac:dyDescent="0.3">
      <c r="A1520">
        <v>1518</v>
      </c>
      <c r="B1520" s="1" t="s">
        <v>2049</v>
      </c>
      <c r="C1520" t="s">
        <v>145</v>
      </c>
      <c r="D1520" s="1" t="s">
        <v>2050</v>
      </c>
    </row>
    <row r="1521" spans="1:4" hidden="1" x14ac:dyDescent="0.3">
      <c r="A1521">
        <v>1519</v>
      </c>
      <c r="B1521" t="s">
        <v>2051</v>
      </c>
      <c r="C1521" t="s">
        <v>35</v>
      </c>
      <c r="D1521">
        <v>-6.8136622248216996E-2</v>
      </c>
    </row>
    <row r="1522" spans="1:4" hidden="1" x14ac:dyDescent="0.3">
      <c r="A1522">
        <v>1520</v>
      </c>
      <c r="B1522" t="s">
        <v>2052</v>
      </c>
      <c r="C1522" t="s">
        <v>149</v>
      </c>
      <c r="D1522">
        <v>0.56568252797829499</v>
      </c>
    </row>
    <row r="1523" spans="1:4" hidden="1" x14ac:dyDescent="0.3">
      <c r="A1523">
        <v>1521</v>
      </c>
      <c r="B1523" s="1" t="s">
        <v>2053</v>
      </c>
      <c r="C1523" t="s">
        <v>151</v>
      </c>
      <c r="D1523" s="1" t="s">
        <v>2054</v>
      </c>
    </row>
    <row r="1524" spans="1:4" hidden="1" x14ac:dyDescent="0.3">
      <c r="A1524">
        <v>1522</v>
      </c>
      <c r="B1524" t="s">
        <v>2055</v>
      </c>
      <c r="C1524" t="s">
        <v>30</v>
      </c>
      <c r="D1524">
        <v>0.45120969349023698</v>
      </c>
    </row>
    <row r="1525" spans="1:4" hidden="1" x14ac:dyDescent="0.3">
      <c r="A1525">
        <v>1523</v>
      </c>
      <c r="B1525" t="s">
        <v>2056</v>
      </c>
      <c r="C1525" t="s">
        <v>32</v>
      </c>
      <c r="D1525">
        <v>0.37983184086704602</v>
      </c>
    </row>
    <row r="1526" spans="1:4" hidden="1" x14ac:dyDescent="0.3">
      <c r="A1526">
        <v>1524</v>
      </c>
      <c r="B1526" s="1" t="s">
        <v>2057</v>
      </c>
      <c r="C1526" t="s">
        <v>155</v>
      </c>
      <c r="D1526" s="1" t="s">
        <v>2058</v>
      </c>
    </row>
    <row r="1527" spans="1:4" hidden="1" x14ac:dyDescent="0.3">
      <c r="A1527">
        <v>1525</v>
      </c>
      <c r="B1527" t="s">
        <v>2059</v>
      </c>
      <c r="C1527" t="s">
        <v>40</v>
      </c>
      <c r="D1527">
        <v>0.61692692875797905</v>
      </c>
    </row>
    <row r="1528" spans="1:4" hidden="1" x14ac:dyDescent="0.3">
      <c r="A1528">
        <v>1526</v>
      </c>
      <c r="B1528" t="s">
        <v>2060</v>
      </c>
      <c r="C1528" t="s">
        <v>42</v>
      </c>
      <c r="D1528">
        <v>0.38794416517987901</v>
      </c>
    </row>
    <row r="1529" spans="1:4" hidden="1" x14ac:dyDescent="0.3">
      <c r="A1529">
        <v>1527</v>
      </c>
      <c r="B1529" s="1" t="s">
        <v>2061</v>
      </c>
      <c r="C1529" t="s">
        <v>159</v>
      </c>
      <c r="D1529" s="1" t="s">
        <v>2062</v>
      </c>
    </row>
    <row r="1530" spans="1:4" hidden="1" x14ac:dyDescent="0.3">
      <c r="A1530">
        <v>1528</v>
      </c>
      <c r="B1530" t="s">
        <v>2063</v>
      </c>
      <c r="C1530" t="s">
        <v>161</v>
      </c>
      <c r="D1530">
        <v>1.01248421453243</v>
      </c>
    </row>
    <row r="1531" spans="1:4" hidden="1" x14ac:dyDescent="0.3">
      <c r="A1531">
        <v>1529</v>
      </c>
      <c r="B1531" t="s">
        <v>2064</v>
      </c>
      <c r="C1531" t="s">
        <v>163</v>
      </c>
      <c r="D1531">
        <v>1.0049921538261599</v>
      </c>
    </row>
    <row r="1532" spans="1:4" hidden="1" x14ac:dyDescent="0.3">
      <c r="A1532">
        <v>1530</v>
      </c>
      <c r="B1532" s="1" t="s">
        <v>2065</v>
      </c>
      <c r="C1532" t="s">
        <v>165</v>
      </c>
      <c r="D1532" s="1" t="s">
        <v>2066</v>
      </c>
    </row>
    <row r="1533" spans="1:4" hidden="1" x14ac:dyDescent="0.3">
      <c r="A1533">
        <v>1531</v>
      </c>
      <c r="B1533" t="s">
        <v>2067</v>
      </c>
      <c r="C1533" t="s">
        <v>168</v>
      </c>
      <c r="D1533">
        <v>0.99949509557520699</v>
      </c>
    </row>
    <row r="1534" spans="1:4" hidden="1" x14ac:dyDescent="0.3">
      <c r="A1534">
        <v>1532</v>
      </c>
      <c r="B1534" t="s">
        <v>2068</v>
      </c>
      <c r="C1534" t="s">
        <v>170</v>
      </c>
      <c r="D1534">
        <v>1.0020401536697201</v>
      </c>
    </row>
    <row r="1535" spans="1:4" hidden="1" x14ac:dyDescent="0.3">
      <c r="A1535">
        <v>1533</v>
      </c>
      <c r="B1535" s="1" t="s">
        <v>2069</v>
      </c>
      <c r="C1535" t="s">
        <v>172</v>
      </c>
      <c r="D1535" s="1" t="s">
        <v>2070</v>
      </c>
    </row>
    <row r="1536" spans="1:4" hidden="1" x14ac:dyDescent="0.3">
      <c r="A1536">
        <v>1534</v>
      </c>
      <c r="B1536" s="1" t="s">
        <v>2071</v>
      </c>
      <c r="C1536" t="s">
        <v>55</v>
      </c>
      <c r="D1536" s="1" t="s">
        <v>2072</v>
      </c>
    </row>
    <row r="1537" spans="1:4" hidden="1" x14ac:dyDescent="0.3">
      <c r="A1537">
        <v>1535</v>
      </c>
      <c r="B1537" s="1" t="s">
        <v>2073</v>
      </c>
      <c r="C1537" t="s">
        <v>52</v>
      </c>
      <c r="D1537" s="1" t="s">
        <v>2074</v>
      </c>
    </row>
    <row r="1538" spans="1:4" hidden="1" x14ac:dyDescent="0.3">
      <c r="A1538">
        <v>1536</v>
      </c>
      <c r="B1538" s="1" t="s">
        <v>2075</v>
      </c>
      <c r="C1538" t="s">
        <v>58</v>
      </c>
      <c r="D1538" s="1" t="s">
        <v>2076</v>
      </c>
    </row>
    <row r="1539" spans="1:4" hidden="1" x14ac:dyDescent="0.3">
      <c r="A1539">
        <v>1537</v>
      </c>
      <c r="B1539" t="s">
        <v>2077</v>
      </c>
      <c r="C1539" t="s">
        <v>61</v>
      </c>
      <c r="D1539">
        <v>152200633.51535499</v>
      </c>
    </row>
    <row r="1540" spans="1:4" hidden="1" x14ac:dyDescent="0.3">
      <c r="A1540">
        <v>1538</v>
      </c>
      <c r="B1540" t="s">
        <v>2078</v>
      </c>
      <c r="C1540" t="s">
        <v>63</v>
      </c>
      <c r="D1540">
        <v>76739300.881494805</v>
      </c>
    </row>
    <row r="1541" spans="1:4" hidden="1" x14ac:dyDescent="0.3">
      <c r="A1541">
        <v>1539</v>
      </c>
      <c r="B1541" t="s">
        <v>2079</v>
      </c>
      <c r="C1541" t="s">
        <v>65</v>
      </c>
      <c r="D1541">
        <v>35480667.655826598</v>
      </c>
    </row>
    <row r="1542" spans="1:4" hidden="1" x14ac:dyDescent="0.3">
      <c r="A1542">
        <v>1540</v>
      </c>
      <c r="B1542" s="1" t="s">
        <v>2080</v>
      </c>
      <c r="C1542" t="s">
        <v>67</v>
      </c>
      <c r="D1542" s="1" t="s">
        <v>2081</v>
      </c>
    </row>
    <row r="1543" spans="1:4" hidden="1" x14ac:dyDescent="0.3">
      <c r="A1543">
        <v>1541</v>
      </c>
      <c r="B1543" s="1" t="s">
        <v>2082</v>
      </c>
      <c r="C1543" t="s">
        <v>70</v>
      </c>
      <c r="D1543" s="1" t="s">
        <v>2083</v>
      </c>
    </row>
    <row r="1544" spans="1:4" hidden="1" x14ac:dyDescent="0.3">
      <c r="A1544">
        <v>1542</v>
      </c>
      <c r="B1544" t="s">
        <v>2084</v>
      </c>
      <c r="C1544" t="s">
        <v>73</v>
      </c>
      <c r="D1544">
        <v>0.99992091772769198</v>
      </c>
    </row>
    <row r="1545" spans="1:4" hidden="1" x14ac:dyDescent="0.3">
      <c r="A1545">
        <v>1543</v>
      </c>
      <c r="B1545" t="s">
        <v>74</v>
      </c>
      <c r="C1545" t="s">
        <v>75</v>
      </c>
      <c r="D1545">
        <v>2.7397260273972599E-3</v>
      </c>
    </row>
    <row r="1546" spans="1:4" hidden="1" x14ac:dyDescent="0.3">
      <c r="A1546">
        <v>1544</v>
      </c>
      <c r="B1546" t="s">
        <v>76</v>
      </c>
      <c r="C1546" t="s">
        <v>77</v>
      </c>
      <c r="D1546">
        <v>0</v>
      </c>
    </row>
    <row r="1547" spans="1:4" hidden="1" x14ac:dyDescent="0.3">
      <c r="A1547">
        <v>1545</v>
      </c>
      <c r="B1547" t="s">
        <v>78</v>
      </c>
      <c r="C1547" t="s">
        <v>79</v>
      </c>
      <c r="D1547">
        <v>0</v>
      </c>
    </row>
    <row r="1548" spans="1:4" hidden="1" x14ac:dyDescent="0.3">
      <c r="A1548">
        <v>1546</v>
      </c>
      <c r="B1548" s="1" t="s">
        <v>2085</v>
      </c>
      <c r="C1548" t="s">
        <v>81</v>
      </c>
      <c r="D1548" s="1" t="s">
        <v>2086</v>
      </c>
    </row>
    <row r="1549" spans="1:4" hidden="1" x14ac:dyDescent="0.3">
      <c r="A1549">
        <v>1547</v>
      </c>
      <c r="B1549" t="s">
        <v>2087</v>
      </c>
      <c r="C1549" t="s">
        <v>84</v>
      </c>
      <c r="D1549">
        <v>0.99990339803584305</v>
      </c>
    </row>
    <row r="1550" spans="1:4" hidden="1" x14ac:dyDescent="0.3">
      <c r="A1550">
        <v>1548</v>
      </c>
      <c r="B1550" s="1" t="s">
        <v>2088</v>
      </c>
      <c r="C1550" t="s">
        <v>86</v>
      </c>
      <c r="D1550" s="1" t="s">
        <v>2089</v>
      </c>
    </row>
    <row r="1551" spans="1:4" hidden="1" x14ac:dyDescent="0.3">
      <c r="A1551">
        <v>1549</v>
      </c>
      <c r="B1551" t="s">
        <v>2090</v>
      </c>
      <c r="C1551" t="s">
        <v>89</v>
      </c>
      <c r="D1551">
        <v>102959911.92199101</v>
      </c>
    </row>
    <row r="1552" spans="1:4" hidden="1" x14ac:dyDescent="0.3">
      <c r="A1552">
        <v>1550</v>
      </c>
      <c r="B1552" s="1" t="s">
        <v>2091</v>
      </c>
      <c r="C1552" t="s">
        <v>91</v>
      </c>
      <c r="D1552" s="1" t="s">
        <v>2025</v>
      </c>
    </row>
    <row r="1553" spans="1:4" hidden="1" x14ac:dyDescent="0.3">
      <c r="A1553">
        <v>1551</v>
      </c>
      <c r="B1553" t="s">
        <v>2092</v>
      </c>
      <c r="C1553" t="s">
        <v>94</v>
      </c>
      <c r="D1553">
        <v>76739300.881494805</v>
      </c>
    </row>
    <row r="1554" spans="1:4" hidden="1" x14ac:dyDescent="0.3">
      <c r="A1554">
        <v>1552</v>
      </c>
      <c r="B1554" t="s">
        <v>2093</v>
      </c>
      <c r="C1554" t="s">
        <v>96</v>
      </c>
      <c r="D1554">
        <v>35480667.655826598</v>
      </c>
    </row>
    <row r="1555" spans="1:4" hidden="1" x14ac:dyDescent="0.3">
      <c r="A1555">
        <v>1553</v>
      </c>
      <c r="B1555" t="s">
        <v>2094</v>
      </c>
      <c r="C1555" t="s">
        <v>98</v>
      </c>
      <c r="D1555">
        <v>39980664.978034399</v>
      </c>
    </row>
    <row r="1556" spans="1:4" hidden="1" x14ac:dyDescent="0.3">
      <c r="A1556">
        <v>1554</v>
      </c>
      <c r="B1556" s="1" t="s">
        <v>2095</v>
      </c>
      <c r="C1556" t="s">
        <v>100</v>
      </c>
      <c r="D1556" s="1" t="s">
        <v>2096</v>
      </c>
    </row>
    <row r="1557" spans="1:4" hidden="1" x14ac:dyDescent="0.3">
      <c r="A1557">
        <v>1555</v>
      </c>
      <c r="B1557" t="s">
        <v>2097</v>
      </c>
      <c r="C1557" t="s">
        <v>103</v>
      </c>
      <c r="D1557">
        <v>1.0199468097901799E-2</v>
      </c>
    </row>
    <row r="1558" spans="1:4" hidden="1" x14ac:dyDescent="0.3">
      <c r="A1558">
        <v>1556</v>
      </c>
      <c r="B1558" t="s">
        <v>2098</v>
      </c>
      <c r="C1558" t="s">
        <v>105</v>
      </c>
      <c r="D1558">
        <v>3.3275798187443399E-3</v>
      </c>
    </row>
    <row r="1559" spans="1:4" hidden="1" x14ac:dyDescent="0.3">
      <c r="A1559">
        <v>1557</v>
      </c>
      <c r="B1559" t="s">
        <v>2099</v>
      </c>
      <c r="C1559" t="s">
        <v>107</v>
      </c>
      <c r="D1559">
        <v>1.20503431769515E-2</v>
      </c>
    </row>
    <row r="1560" spans="1:4" hidden="1" x14ac:dyDescent="0.3">
      <c r="A1560">
        <v>1558</v>
      </c>
      <c r="B1560" s="1" t="s">
        <v>2100</v>
      </c>
      <c r="C1560" t="s">
        <v>109</v>
      </c>
      <c r="D1560" s="1" t="s">
        <v>2101</v>
      </c>
    </row>
    <row r="1561" spans="1:4" hidden="1" x14ac:dyDescent="0.3">
      <c r="A1561">
        <v>1559</v>
      </c>
      <c r="B1561" t="s">
        <v>2102</v>
      </c>
      <c r="C1561" t="s">
        <v>208</v>
      </c>
      <c r="D1561">
        <v>152200018.497251</v>
      </c>
    </row>
    <row r="1562" spans="1:4" hidden="1" x14ac:dyDescent="0.3">
      <c r="A1562">
        <v>1560</v>
      </c>
      <c r="B1562" t="s">
        <v>2103</v>
      </c>
      <c r="C1562" t="s">
        <v>210</v>
      </c>
      <c r="D1562">
        <v>1344.54726703039</v>
      </c>
    </row>
    <row r="1563" spans="1:4" hidden="1" x14ac:dyDescent="0.3">
      <c r="A1563">
        <v>1561</v>
      </c>
      <c r="B1563" t="s">
        <v>2104</v>
      </c>
      <c r="C1563" t="s">
        <v>212</v>
      </c>
      <c r="D1563">
        <v>621.65833946255498</v>
      </c>
    </row>
    <row r="1564" spans="1:4" hidden="1" x14ac:dyDescent="0.3">
      <c r="A1564">
        <v>1562</v>
      </c>
      <c r="B1564" s="1" t="s">
        <v>2105</v>
      </c>
      <c r="C1564" t="s">
        <v>214</v>
      </c>
      <c r="D1564" s="1" t="s">
        <v>2106</v>
      </c>
    </row>
    <row r="1565" spans="1:4" hidden="1" x14ac:dyDescent="0.3">
      <c r="A1565">
        <v>1563</v>
      </c>
      <c r="B1565" t="s">
        <v>2107</v>
      </c>
      <c r="C1565" t="s">
        <v>217</v>
      </c>
      <c r="D1565">
        <v>76737501.591242999</v>
      </c>
    </row>
    <row r="1566" spans="1:4" hidden="1" x14ac:dyDescent="0.3">
      <c r="A1566">
        <v>1564</v>
      </c>
      <c r="B1566" t="s">
        <v>2108</v>
      </c>
      <c r="C1566" t="s">
        <v>219</v>
      </c>
      <c r="D1566">
        <v>35479978.267390102</v>
      </c>
    </row>
    <row r="1567" spans="1:4" hidden="1" x14ac:dyDescent="0.3">
      <c r="A1567">
        <v>1565</v>
      </c>
      <c r="B1567" t="s">
        <v>2109</v>
      </c>
      <c r="C1567" t="s">
        <v>221</v>
      </c>
      <c r="D1567">
        <v>39979871.930305503</v>
      </c>
    </row>
    <row r="1568" spans="1:4" hidden="1" x14ac:dyDescent="0.3">
      <c r="A1568">
        <v>1566</v>
      </c>
      <c r="B1568" s="1" t="s">
        <v>2110</v>
      </c>
      <c r="C1568" t="s">
        <v>223</v>
      </c>
      <c r="D1568" s="1" t="s">
        <v>2111</v>
      </c>
    </row>
    <row r="1569" spans="1:4" hidden="1" x14ac:dyDescent="0.3">
      <c r="A1569">
        <v>1567</v>
      </c>
      <c r="B1569" t="s">
        <v>2112</v>
      </c>
      <c r="C1569" t="s">
        <v>226</v>
      </c>
      <c r="D1569">
        <v>102958107.953399</v>
      </c>
    </row>
    <row r="1570" spans="1:4" hidden="1" x14ac:dyDescent="0.3">
      <c r="A1570">
        <v>1568</v>
      </c>
      <c r="B1570" t="s">
        <v>2113</v>
      </c>
      <c r="C1570" t="s">
        <v>228</v>
      </c>
      <c r="D1570">
        <v>1803.9685915857499</v>
      </c>
    </row>
    <row r="1571" spans="1:4" hidden="1" x14ac:dyDescent="0.3">
      <c r="A1571">
        <v>1569</v>
      </c>
      <c r="B1571" s="1" t="s">
        <v>2114</v>
      </c>
      <c r="C1571" t="s">
        <v>230</v>
      </c>
      <c r="D1571" s="1" t="s">
        <v>2115</v>
      </c>
    </row>
    <row r="1572" spans="1:4" hidden="1" x14ac:dyDescent="0.3">
      <c r="A1572">
        <v>1570</v>
      </c>
      <c r="B1572" t="s">
        <v>2116</v>
      </c>
      <c r="C1572" t="s">
        <v>112</v>
      </c>
      <c r="D1572">
        <v>-454.74298482076802</v>
      </c>
    </row>
    <row r="1573" spans="1:4" hidden="1" x14ac:dyDescent="0.3">
      <c r="A1573">
        <v>1571</v>
      </c>
      <c r="B1573" t="s">
        <v>2117</v>
      </c>
      <c r="C1573" t="s">
        <v>114</v>
      </c>
      <c r="D1573">
        <v>-67.730097101148601</v>
      </c>
    </row>
    <row r="1574" spans="1:4" hidden="1" x14ac:dyDescent="0.3">
      <c r="A1574">
        <v>1572</v>
      </c>
      <c r="B1574" s="1" t="s">
        <v>2118</v>
      </c>
      <c r="C1574" t="s">
        <v>116</v>
      </c>
      <c r="D1574" s="1" t="s">
        <v>2119</v>
      </c>
    </row>
    <row r="1575" spans="1:4" hidden="1" x14ac:dyDescent="0.3">
      <c r="A1575">
        <v>1573</v>
      </c>
      <c r="B1575" t="s">
        <v>2120</v>
      </c>
      <c r="C1575" t="s">
        <v>119</v>
      </c>
      <c r="D1575">
        <v>76737501.591242999</v>
      </c>
    </row>
    <row r="1576" spans="1:4" hidden="1" x14ac:dyDescent="0.3">
      <c r="A1576">
        <v>1574</v>
      </c>
      <c r="B1576" t="s">
        <v>2121</v>
      </c>
      <c r="C1576" t="s">
        <v>121</v>
      </c>
      <c r="D1576">
        <v>35479978.267390102</v>
      </c>
    </row>
    <row r="1577" spans="1:4" hidden="1" x14ac:dyDescent="0.3">
      <c r="A1577">
        <v>1575</v>
      </c>
      <c r="B1577" s="1" t="s">
        <v>2122</v>
      </c>
      <c r="C1577" t="s">
        <v>123</v>
      </c>
      <c r="D1577" s="1" t="s">
        <v>2123</v>
      </c>
    </row>
    <row r="1578" spans="1:4" hidden="1" x14ac:dyDescent="0.3">
      <c r="A1578">
        <v>1576</v>
      </c>
      <c r="B1578" t="s">
        <v>2124</v>
      </c>
      <c r="C1578" t="s">
        <v>126</v>
      </c>
      <c r="D1578">
        <v>0.74539943309307799</v>
      </c>
    </row>
    <row r="1579" spans="1:4" hidden="1" x14ac:dyDescent="0.3">
      <c r="A1579">
        <v>1577</v>
      </c>
      <c r="B1579" t="s">
        <v>2125</v>
      </c>
      <c r="C1579" t="s">
        <v>128</v>
      </c>
      <c r="D1579">
        <v>0.34463925900977399</v>
      </c>
    </row>
    <row r="1580" spans="1:4" hidden="1" x14ac:dyDescent="0.3">
      <c r="A1580">
        <v>1578</v>
      </c>
      <c r="B1580" s="1" t="s">
        <v>2126</v>
      </c>
      <c r="C1580" t="s">
        <v>130</v>
      </c>
      <c r="D1580" s="1" t="s">
        <v>2127</v>
      </c>
    </row>
    <row r="1581" spans="1:4" x14ac:dyDescent="0.3">
      <c r="A1581">
        <v>1579</v>
      </c>
      <c r="B1581" s="1" t="s">
        <v>2128</v>
      </c>
      <c r="C1581" t="s">
        <v>4</v>
      </c>
      <c r="D1581" t="s">
        <v>2129</v>
      </c>
    </row>
    <row r="1582" spans="1:4" hidden="1" x14ac:dyDescent="0.3">
      <c r="A1582">
        <v>1580</v>
      </c>
      <c r="B1582" t="s">
        <v>2130</v>
      </c>
      <c r="C1582" t="s">
        <v>7</v>
      </c>
      <c r="D1582">
        <v>1765.94</v>
      </c>
    </row>
    <row r="1583" spans="1:4" hidden="1" x14ac:dyDescent="0.3">
      <c r="A1583">
        <v>1581</v>
      </c>
      <c r="B1583" s="1" t="s">
        <v>2131</v>
      </c>
      <c r="C1583" t="s">
        <v>9</v>
      </c>
      <c r="D1583" s="1" t="s">
        <v>2132</v>
      </c>
    </row>
    <row r="1584" spans="1:4" hidden="1" x14ac:dyDescent="0.3">
      <c r="A1584">
        <v>1582</v>
      </c>
      <c r="B1584" t="s">
        <v>2133</v>
      </c>
      <c r="C1584" t="s">
        <v>14</v>
      </c>
      <c r="D1584">
        <v>92.1796875</v>
      </c>
    </row>
    <row r="1585" spans="1:4" hidden="1" x14ac:dyDescent="0.3">
      <c r="A1585">
        <v>1583</v>
      </c>
      <c r="B1585" t="s">
        <v>2134</v>
      </c>
      <c r="C1585" t="s">
        <v>16</v>
      </c>
      <c r="D1585">
        <v>4.3014433543057997</v>
      </c>
    </row>
    <row r="1586" spans="1:4" hidden="1" x14ac:dyDescent="0.3">
      <c r="A1586">
        <v>1584</v>
      </c>
      <c r="B1586" s="1" t="s">
        <v>2135</v>
      </c>
      <c r="C1586" t="s">
        <v>140</v>
      </c>
      <c r="D1586" s="1" t="s">
        <v>2136</v>
      </c>
    </row>
    <row r="1587" spans="1:4" hidden="1" x14ac:dyDescent="0.3">
      <c r="A1587">
        <v>1585</v>
      </c>
      <c r="B1587" t="s">
        <v>2137</v>
      </c>
      <c r="C1587" t="s">
        <v>22</v>
      </c>
      <c r="D1587">
        <v>65.7</v>
      </c>
    </row>
    <row r="1588" spans="1:4" hidden="1" x14ac:dyDescent="0.3">
      <c r="A1588">
        <v>1586</v>
      </c>
      <c r="B1588" t="s">
        <v>2138</v>
      </c>
      <c r="C1588" t="s">
        <v>24</v>
      </c>
      <c r="D1588">
        <v>5.6133854703848698</v>
      </c>
    </row>
    <row r="1589" spans="1:4" hidden="1" x14ac:dyDescent="0.3">
      <c r="A1589">
        <v>1587</v>
      </c>
      <c r="B1589" s="1" t="s">
        <v>2139</v>
      </c>
      <c r="C1589" t="s">
        <v>145</v>
      </c>
      <c r="D1589" s="1" t="s">
        <v>2140</v>
      </c>
    </row>
    <row r="1590" spans="1:4" hidden="1" x14ac:dyDescent="0.3">
      <c r="A1590">
        <v>1588</v>
      </c>
      <c r="B1590" t="s">
        <v>2141</v>
      </c>
      <c r="C1590" t="s">
        <v>35</v>
      </c>
      <c r="D1590">
        <v>-0.36226336870389603</v>
      </c>
    </row>
    <row r="1591" spans="1:4" hidden="1" x14ac:dyDescent="0.3">
      <c r="A1591">
        <v>1589</v>
      </c>
      <c r="B1591" t="s">
        <v>2142</v>
      </c>
      <c r="C1591" t="s">
        <v>149</v>
      </c>
      <c r="D1591">
        <v>0.56913492090609596</v>
      </c>
    </row>
    <row r="1592" spans="1:4" hidden="1" x14ac:dyDescent="0.3">
      <c r="A1592">
        <v>1590</v>
      </c>
      <c r="B1592" s="1" t="s">
        <v>2143</v>
      </c>
      <c r="C1592" t="s">
        <v>151</v>
      </c>
      <c r="D1592" s="1" t="s">
        <v>2144</v>
      </c>
    </row>
    <row r="1593" spans="1:4" hidden="1" x14ac:dyDescent="0.3">
      <c r="A1593">
        <v>1591</v>
      </c>
      <c r="B1593" t="s">
        <v>2145</v>
      </c>
      <c r="C1593" t="s">
        <v>30</v>
      </c>
      <c r="D1593">
        <v>0.57461775899084599</v>
      </c>
    </row>
    <row r="1594" spans="1:4" hidden="1" x14ac:dyDescent="0.3">
      <c r="A1594">
        <v>1592</v>
      </c>
      <c r="B1594" t="s">
        <v>2146</v>
      </c>
      <c r="C1594" t="s">
        <v>32</v>
      </c>
      <c r="D1594">
        <v>0.37347664201924702</v>
      </c>
    </row>
    <row r="1595" spans="1:4" hidden="1" x14ac:dyDescent="0.3">
      <c r="A1595">
        <v>1593</v>
      </c>
      <c r="B1595" s="1" t="s">
        <v>2147</v>
      </c>
      <c r="C1595" t="s">
        <v>155</v>
      </c>
      <c r="D1595" s="1" t="s">
        <v>2148</v>
      </c>
    </row>
    <row r="1596" spans="1:4" hidden="1" x14ac:dyDescent="0.3">
      <c r="A1596">
        <v>1594</v>
      </c>
      <c r="B1596" t="s">
        <v>2149</v>
      </c>
      <c r="C1596" t="s">
        <v>40</v>
      </c>
      <c r="D1596">
        <v>0.78764560971304998</v>
      </c>
    </row>
    <row r="1597" spans="1:4" hidden="1" x14ac:dyDescent="0.3">
      <c r="A1597">
        <v>1595</v>
      </c>
      <c r="B1597" t="s">
        <v>2150</v>
      </c>
      <c r="C1597" t="s">
        <v>42</v>
      </c>
      <c r="D1597">
        <v>0.383575971107953</v>
      </c>
    </row>
    <row r="1598" spans="1:4" hidden="1" x14ac:dyDescent="0.3">
      <c r="A1598">
        <v>1596</v>
      </c>
      <c r="B1598" s="1" t="s">
        <v>2151</v>
      </c>
      <c r="C1598" t="s">
        <v>159</v>
      </c>
      <c r="D1598" s="1" t="s">
        <v>2152</v>
      </c>
    </row>
    <row r="1599" spans="1:4" hidden="1" x14ac:dyDescent="0.3">
      <c r="A1599">
        <v>1597</v>
      </c>
      <c r="B1599" t="s">
        <v>2153</v>
      </c>
      <c r="C1599" t="s">
        <v>161</v>
      </c>
      <c r="D1599">
        <v>1.00575223254966</v>
      </c>
    </row>
    <row r="1600" spans="1:4" hidden="1" x14ac:dyDescent="0.3">
      <c r="A1600">
        <v>1598</v>
      </c>
      <c r="B1600" t="s">
        <v>2154</v>
      </c>
      <c r="C1600" t="s">
        <v>163</v>
      </c>
      <c r="D1600">
        <v>1.00045231848006</v>
      </c>
    </row>
    <row r="1601" spans="1:4" hidden="1" x14ac:dyDescent="0.3">
      <c r="A1601">
        <v>1599</v>
      </c>
      <c r="B1601" s="1" t="s">
        <v>2155</v>
      </c>
      <c r="C1601" t="s">
        <v>165</v>
      </c>
      <c r="D1601" s="1" t="s">
        <v>2156</v>
      </c>
    </row>
    <row r="1602" spans="1:4" hidden="1" x14ac:dyDescent="0.3">
      <c r="A1602">
        <v>1600</v>
      </c>
      <c r="B1602" t="s">
        <v>2157</v>
      </c>
      <c r="C1602" t="s">
        <v>168</v>
      </c>
      <c r="D1602">
        <v>1.0022050402084099</v>
      </c>
    </row>
    <row r="1603" spans="1:4" hidden="1" x14ac:dyDescent="0.3">
      <c r="A1603">
        <v>1601</v>
      </c>
      <c r="B1603" t="s">
        <v>2158</v>
      </c>
      <c r="C1603" t="s">
        <v>170</v>
      </c>
      <c r="D1603">
        <v>0.99539422220913099</v>
      </c>
    </row>
    <row r="1604" spans="1:4" hidden="1" x14ac:dyDescent="0.3">
      <c r="A1604">
        <v>1602</v>
      </c>
      <c r="B1604" s="1" t="s">
        <v>2159</v>
      </c>
      <c r="C1604" t="s">
        <v>172</v>
      </c>
      <c r="D1604" s="1" t="s">
        <v>2160</v>
      </c>
    </row>
    <row r="1605" spans="1:4" hidden="1" x14ac:dyDescent="0.3">
      <c r="A1605">
        <v>1603</v>
      </c>
      <c r="B1605" s="1" t="s">
        <v>2161</v>
      </c>
      <c r="C1605" t="s">
        <v>55</v>
      </c>
      <c r="D1605" s="1" t="s">
        <v>2162</v>
      </c>
    </row>
    <row r="1606" spans="1:4" hidden="1" x14ac:dyDescent="0.3">
      <c r="A1606">
        <v>1604</v>
      </c>
      <c r="B1606" s="1" t="s">
        <v>2163</v>
      </c>
      <c r="C1606" t="s">
        <v>52</v>
      </c>
      <c r="D1606" s="1" t="s">
        <v>2164</v>
      </c>
    </row>
    <row r="1607" spans="1:4" hidden="1" x14ac:dyDescent="0.3">
      <c r="A1607">
        <v>1605</v>
      </c>
      <c r="B1607" s="1" t="s">
        <v>2165</v>
      </c>
      <c r="C1607" t="s">
        <v>58</v>
      </c>
      <c r="D1607" s="1" t="s">
        <v>2166</v>
      </c>
    </row>
    <row r="1608" spans="1:4" hidden="1" x14ac:dyDescent="0.3">
      <c r="A1608">
        <v>1606</v>
      </c>
      <c r="B1608" t="s">
        <v>2167</v>
      </c>
      <c r="C1608" t="s">
        <v>61</v>
      </c>
      <c r="D1608">
        <v>152952689.25709799</v>
      </c>
    </row>
    <row r="1609" spans="1:4" hidden="1" x14ac:dyDescent="0.3">
      <c r="A1609">
        <v>1607</v>
      </c>
      <c r="B1609" t="s">
        <v>2168</v>
      </c>
      <c r="C1609" t="s">
        <v>63</v>
      </c>
      <c r="D1609">
        <v>77178913.545675904</v>
      </c>
    </row>
    <row r="1610" spans="1:4" hidden="1" x14ac:dyDescent="0.3">
      <c r="A1610">
        <v>1608</v>
      </c>
      <c r="B1610" t="s">
        <v>2169</v>
      </c>
      <c r="C1610" t="s">
        <v>65</v>
      </c>
      <c r="D1610">
        <v>35496026.517232902</v>
      </c>
    </row>
    <row r="1611" spans="1:4" hidden="1" x14ac:dyDescent="0.3">
      <c r="A1611">
        <v>1609</v>
      </c>
      <c r="B1611" s="1" t="s">
        <v>2170</v>
      </c>
      <c r="C1611" t="s">
        <v>67</v>
      </c>
      <c r="D1611" s="1" t="s">
        <v>2171</v>
      </c>
    </row>
    <row r="1612" spans="1:4" hidden="1" x14ac:dyDescent="0.3">
      <c r="A1612">
        <v>1610</v>
      </c>
      <c r="B1612" s="1" t="s">
        <v>2172</v>
      </c>
      <c r="C1612" t="s">
        <v>70</v>
      </c>
      <c r="D1612" s="1" t="s">
        <v>2173</v>
      </c>
    </row>
    <row r="1613" spans="1:4" hidden="1" x14ac:dyDescent="0.3">
      <c r="A1613">
        <v>1611</v>
      </c>
      <c r="B1613" t="s">
        <v>2174</v>
      </c>
      <c r="C1613" t="s">
        <v>73</v>
      </c>
      <c r="D1613">
        <v>0.99990339803584305</v>
      </c>
    </row>
    <row r="1614" spans="1:4" hidden="1" x14ac:dyDescent="0.3">
      <c r="A1614">
        <v>1612</v>
      </c>
      <c r="B1614" t="s">
        <v>74</v>
      </c>
      <c r="C1614" t="s">
        <v>75</v>
      </c>
      <c r="D1614">
        <v>2.7397260273972599E-3</v>
      </c>
    </row>
    <row r="1615" spans="1:4" hidden="1" x14ac:dyDescent="0.3">
      <c r="A1615">
        <v>1613</v>
      </c>
      <c r="B1615" t="s">
        <v>76</v>
      </c>
      <c r="C1615" t="s">
        <v>77</v>
      </c>
      <c r="D1615">
        <v>0</v>
      </c>
    </row>
    <row r="1616" spans="1:4" hidden="1" x14ac:dyDescent="0.3">
      <c r="A1616">
        <v>1614</v>
      </c>
      <c r="B1616" t="s">
        <v>78</v>
      </c>
      <c r="C1616" t="s">
        <v>79</v>
      </c>
      <c r="D1616">
        <v>0</v>
      </c>
    </row>
    <row r="1617" spans="1:4" hidden="1" x14ac:dyDescent="0.3">
      <c r="A1617">
        <v>1615</v>
      </c>
      <c r="B1617" s="1" t="s">
        <v>2175</v>
      </c>
      <c r="C1617" t="s">
        <v>81</v>
      </c>
      <c r="D1617" s="1" t="s">
        <v>2176</v>
      </c>
    </row>
    <row r="1618" spans="1:4" hidden="1" x14ac:dyDescent="0.3">
      <c r="A1618">
        <v>1616</v>
      </c>
      <c r="B1618" t="s">
        <v>2177</v>
      </c>
      <c r="C1618" t="s">
        <v>84</v>
      </c>
      <c r="D1618">
        <v>0.99991665955453501</v>
      </c>
    </row>
    <row r="1619" spans="1:4" hidden="1" x14ac:dyDescent="0.3">
      <c r="A1619">
        <v>1617</v>
      </c>
      <c r="B1619" s="1" t="s">
        <v>2178</v>
      </c>
      <c r="C1619" t="s">
        <v>86</v>
      </c>
      <c r="D1619" s="1" t="s">
        <v>2179</v>
      </c>
    </row>
    <row r="1620" spans="1:4" hidden="1" x14ac:dyDescent="0.3">
      <c r="A1620">
        <v>1618</v>
      </c>
      <c r="B1620" t="s">
        <v>2180</v>
      </c>
      <c r="C1620" t="s">
        <v>89</v>
      </c>
      <c r="D1620">
        <v>102958546.403391</v>
      </c>
    </row>
    <row r="1621" spans="1:4" hidden="1" x14ac:dyDescent="0.3">
      <c r="A1621">
        <v>1619</v>
      </c>
      <c r="B1621" s="1" t="s">
        <v>2181</v>
      </c>
      <c r="C1621" t="s">
        <v>91</v>
      </c>
      <c r="D1621" s="1" t="s">
        <v>2115</v>
      </c>
    </row>
    <row r="1622" spans="1:4" hidden="1" x14ac:dyDescent="0.3">
      <c r="A1622">
        <v>1620</v>
      </c>
      <c r="B1622" t="s">
        <v>2182</v>
      </c>
      <c r="C1622" t="s">
        <v>94</v>
      </c>
      <c r="D1622">
        <v>77178913.545675904</v>
      </c>
    </row>
    <row r="1623" spans="1:4" hidden="1" x14ac:dyDescent="0.3">
      <c r="A1623">
        <v>1621</v>
      </c>
      <c r="B1623" t="s">
        <v>2183</v>
      </c>
      <c r="C1623" t="s">
        <v>96</v>
      </c>
      <c r="D1623">
        <v>35496026.517232902</v>
      </c>
    </row>
    <row r="1624" spans="1:4" hidden="1" x14ac:dyDescent="0.3">
      <c r="A1624">
        <v>1622</v>
      </c>
      <c r="B1624" t="s">
        <v>2184</v>
      </c>
      <c r="C1624" t="s">
        <v>98</v>
      </c>
      <c r="D1624">
        <v>40277749.194189101</v>
      </c>
    </row>
    <row r="1625" spans="1:4" hidden="1" x14ac:dyDescent="0.3">
      <c r="A1625">
        <v>1623</v>
      </c>
      <c r="B1625" s="1" t="s">
        <v>2185</v>
      </c>
      <c r="C1625" t="s">
        <v>100</v>
      </c>
      <c r="D1625" s="1" t="s">
        <v>2186</v>
      </c>
    </row>
    <row r="1626" spans="1:4" hidden="1" x14ac:dyDescent="0.3">
      <c r="A1626">
        <v>1624</v>
      </c>
      <c r="B1626" t="s">
        <v>2187</v>
      </c>
      <c r="C1626" t="s">
        <v>103</v>
      </c>
      <c r="D1626">
        <v>1.02249809975253E-2</v>
      </c>
    </row>
    <row r="1627" spans="1:4" hidden="1" x14ac:dyDescent="0.3">
      <c r="A1627">
        <v>1625</v>
      </c>
      <c r="B1627" t="s">
        <v>2188</v>
      </c>
      <c r="C1627" t="s">
        <v>105</v>
      </c>
      <c r="D1627">
        <v>3.2766682815741298E-3</v>
      </c>
    </row>
    <row r="1628" spans="1:4" hidden="1" x14ac:dyDescent="0.3">
      <c r="A1628">
        <v>1626</v>
      </c>
      <c r="B1628" t="s">
        <v>2189</v>
      </c>
      <c r="C1628" t="s">
        <v>107</v>
      </c>
      <c r="D1628">
        <v>1.20585609087492E-2</v>
      </c>
    </row>
    <row r="1629" spans="1:4" hidden="1" x14ac:dyDescent="0.3">
      <c r="A1629">
        <v>1627</v>
      </c>
      <c r="B1629" s="1" t="s">
        <v>2190</v>
      </c>
      <c r="C1629" t="s">
        <v>109</v>
      </c>
      <c r="D1629" s="1" t="s">
        <v>2191</v>
      </c>
    </row>
    <row r="1630" spans="1:4" hidden="1" x14ac:dyDescent="0.3">
      <c r="A1630">
        <v>1628</v>
      </c>
      <c r="B1630" t="s">
        <v>2192</v>
      </c>
      <c r="C1630" t="s">
        <v>208</v>
      </c>
      <c r="D1630">
        <v>152953155.716883</v>
      </c>
    </row>
    <row r="1631" spans="1:4" hidden="1" x14ac:dyDescent="0.3">
      <c r="A1631">
        <v>1629</v>
      </c>
      <c r="B1631" t="s">
        <v>2193</v>
      </c>
      <c r="C1631" t="s">
        <v>210</v>
      </c>
      <c r="D1631">
        <v>-1023.6128096677101</v>
      </c>
    </row>
    <row r="1632" spans="1:4" hidden="1" x14ac:dyDescent="0.3">
      <c r="A1632">
        <v>1630</v>
      </c>
      <c r="B1632" t="s">
        <v>2194</v>
      </c>
      <c r="C1632" t="s">
        <v>212</v>
      </c>
      <c r="D1632">
        <v>-470.77767328690902</v>
      </c>
    </row>
    <row r="1633" spans="1:4" hidden="1" x14ac:dyDescent="0.3">
      <c r="A1633">
        <v>1631</v>
      </c>
      <c r="B1633" s="1" t="s">
        <v>2195</v>
      </c>
      <c r="C1633" t="s">
        <v>214</v>
      </c>
      <c r="D1633" s="1" t="s">
        <v>2196</v>
      </c>
    </row>
    <row r="1634" spans="1:4" hidden="1" x14ac:dyDescent="0.3">
      <c r="A1634">
        <v>1632</v>
      </c>
      <c r="B1634" t="s">
        <v>2197</v>
      </c>
      <c r="C1634" t="s">
        <v>217</v>
      </c>
      <c r="D1634">
        <v>77180263.070795104</v>
      </c>
    </row>
    <row r="1635" spans="1:4" hidden="1" x14ac:dyDescent="0.3">
      <c r="A1635">
        <v>1633</v>
      </c>
      <c r="B1635" t="s">
        <v>2198</v>
      </c>
      <c r="C1635" t="s">
        <v>219</v>
      </c>
      <c r="D1635">
        <v>35496570.899631098</v>
      </c>
    </row>
    <row r="1636" spans="1:4" hidden="1" x14ac:dyDescent="0.3">
      <c r="A1636">
        <v>1634</v>
      </c>
      <c r="B1636" t="s">
        <v>2199</v>
      </c>
      <c r="C1636" t="s">
        <v>221</v>
      </c>
      <c r="D1636">
        <v>40278350.333556399</v>
      </c>
    </row>
    <row r="1637" spans="1:4" hidden="1" x14ac:dyDescent="0.3">
      <c r="A1637">
        <v>1635</v>
      </c>
      <c r="B1637" s="1" t="s">
        <v>2200</v>
      </c>
      <c r="C1637" t="s">
        <v>223</v>
      </c>
      <c r="D1637" s="1" t="s">
        <v>2201</v>
      </c>
    </row>
    <row r="1638" spans="1:4" hidden="1" x14ac:dyDescent="0.3">
      <c r="A1638">
        <v>1636</v>
      </c>
      <c r="B1638" t="s">
        <v>2202</v>
      </c>
      <c r="C1638" t="s">
        <v>226</v>
      </c>
      <c r="D1638">
        <v>102959911.92199101</v>
      </c>
    </row>
    <row r="1639" spans="1:4" hidden="1" x14ac:dyDescent="0.3">
      <c r="A1639">
        <v>1637</v>
      </c>
      <c r="B1639" t="s">
        <v>2203</v>
      </c>
      <c r="C1639" t="s">
        <v>228</v>
      </c>
      <c r="D1639">
        <v>-1365.5185993462801</v>
      </c>
    </row>
    <row r="1640" spans="1:4" hidden="1" x14ac:dyDescent="0.3">
      <c r="A1640">
        <v>1638</v>
      </c>
      <c r="B1640" s="1" t="s">
        <v>2204</v>
      </c>
      <c r="C1640" t="s">
        <v>230</v>
      </c>
      <c r="D1640" s="1" t="s">
        <v>2205</v>
      </c>
    </row>
    <row r="1641" spans="1:4" hidden="1" x14ac:dyDescent="0.3">
      <c r="A1641">
        <v>1639</v>
      </c>
      <c r="B1641" t="s">
        <v>2206</v>
      </c>
      <c r="C1641" t="s">
        <v>112</v>
      </c>
      <c r="D1641">
        <v>325.91230955620898</v>
      </c>
    </row>
    <row r="1642" spans="1:4" hidden="1" x14ac:dyDescent="0.3">
      <c r="A1642">
        <v>1640</v>
      </c>
      <c r="B1642" t="s">
        <v>2207</v>
      </c>
      <c r="C1642" t="s">
        <v>114</v>
      </c>
      <c r="D1642">
        <v>73.604724893046196</v>
      </c>
    </row>
    <row r="1643" spans="1:4" hidden="1" x14ac:dyDescent="0.3">
      <c r="A1643">
        <v>1641</v>
      </c>
      <c r="B1643" s="1" t="s">
        <v>2208</v>
      </c>
      <c r="C1643" t="s">
        <v>116</v>
      </c>
      <c r="D1643" s="1" t="s">
        <v>2209</v>
      </c>
    </row>
    <row r="1644" spans="1:4" hidden="1" x14ac:dyDescent="0.3">
      <c r="A1644">
        <v>1642</v>
      </c>
      <c r="B1644" t="s">
        <v>2210</v>
      </c>
      <c r="C1644" t="s">
        <v>119</v>
      </c>
      <c r="D1644">
        <v>77180263.070795104</v>
      </c>
    </row>
    <row r="1645" spans="1:4" hidden="1" x14ac:dyDescent="0.3">
      <c r="A1645">
        <v>1643</v>
      </c>
      <c r="B1645" t="s">
        <v>2211</v>
      </c>
      <c r="C1645" t="s">
        <v>121</v>
      </c>
      <c r="D1645">
        <v>35496570.899631098</v>
      </c>
    </row>
    <row r="1646" spans="1:4" hidden="1" x14ac:dyDescent="0.3">
      <c r="A1646">
        <v>1644</v>
      </c>
      <c r="B1646" s="1" t="s">
        <v>2212</v>
      </c>
      <c r="C1646" t="s">
        <v>123</v>
      </c>
      <c r="D1646" s="1" t="s">
        <v>2213</v>
      </c>
    </row>
    <row r="1647" spans="1:4" hidden="1" x14ac:dyDescent="0.3">
      <c r="A1647">
        <v>1645</v>
      </c>
      <c r="B1647" t="s">
        <v>2214</v>
      </c>
      <c r="C1647" t="s">
        <v>126</v>
      </c>
      <c r="D1647">
        <v>0.749677174383095</v>
      </c>
    </row>
    <row r="1648" spans="1:4" hidden="1" x14ac:dyDescent="0.3">
      <c r="A1648">
        <v>1646</v>
      </c>
      <c r="B1648" t="s">
        <v>2215</v>
      </c>
      <c r="C1648" t="s">
        <v>128</v>
      </c>
      <c r="D1648">
        <v>0.34478981948941001</v>
      </c>
    </row>
    <row r="1649" spans="1:4" hidden="1" x14ac:dyDescent="0.3">
      <c r="A1649">
        <v>1647</v>
      </c>
      <c r="B1649" s="1" t="s">
        <v>2216</v>
      </c>
      <c r="C1649" t="s">
        <v>130</v>
      </c>
      <c r="D1649" s="1" t="s">
        <v>2217</v>
      </c>
    </row>
    <row r="1650" spans="1:4" x14ac:dyDescent="0.3">
      <c r="A1650">
        <v>1648</v>
      </c>
      <c r="B1650" s="1" t="s">
        <v>2218</v>
      </c>
      <c r="C1650" t="s">
        <v>4</v>
      </c>
      <c r="D1650" t="s">
        <v>2219</v>
      </c>
    </row>
    <row r="1651" spans="1:4" hidden="1" x14ac:dyDescent="0.3">
      <c r="A1651">
        <v>1649</v>
      </c>
      <c r="B1651" t="s">
        <v>2220</v>
      </c>
      <c r="C1651" t="s">
        <v>7</v>
      </c>
      <c r="D1651">
        <v>1772.17</v>
      </c>
    </row>
    <row r="1652" spans="1:4" hidden="1" x14ac:dyDescent="0.3">
      <c r="A1652">
        <v>1650</v>
      </c>
      <c r="B1652" s="1" t="s">
        <v>2221</v>
      </c>
      <c r="C1652" t="s">
        <v>9</v>
      </c>
      <c r="D1652" s="1" t="s">
        <v>2222</v>
      </c>
    </row>
    <row r="1653" spans="1:4" hidden="1" x14ac:dyDescent="0.3">
      <c r="A1653">
        <v>1651</v>
      </c>
      <c r="B1653" t="s">
        <v>2223</v>
      </c>
      <c r="C1653" t="s">
        <v>14</v>
      </c>
      <c r="D1653">
        <v>92.24609375</v>
      </c>
    </row>
    <row r="1654" spans="1:4" hidden="1" x14ac:dyDescent="0.3">
      <c r="A1654">
        <v>1652</v>
      </c>
      <c r="B1654" t="s">
        <v>2224</v>
      </c>
      <c r="C1654" t="s">
        <v>16</v>
      </c>
      <c r="D1654">
        <v>4.3065153524065796</v>
      </c>
    </row>
    <row r="1655" spans="1:4" hidden="1" x14ac:dyDescent="0.3">
      <c r="A1655">
        <v>1653</v>
      </c>
      <c r="B1655" s="1" t="s">
        <v>2225</v>
      </c>
      <c r="C1655" t="s">
        <v>140</v>
      </c>
      <c r="D1655" s="1" t="s">
        <v>2226</v>
      </c>
    </row>
    <row r="1656" spans="1:4" hidden="1" x14ac:dyDescent="0.3">
      <c r="A1656">
        <v>1654</v>
      </c>
      <c r="B1656" t="s">
        <v>2227</v>
      </c>
      <c r="C1656" t="s">
        <v>22</v>
      </c>
      <c r="D1656">
        <v>66.25</v>
      </c>
    </row>
    <row r="1657" spans="1:4" hidden="1" x14ac:dyDescent="0.3">
      <c r="A1657">
        <v>1655</v>
      </c>
      <c r="B1657" t="s">
        <v>2228</v>
      </c>
      <c r="C1657" t="s">
        <v>24</v>
      </c>
      <c r="D1657">
        <v>5.6403487128319298</v>
      </c>
    </row>
    <row r="1658" spans="1:4" hidden="1" x14ac:dyDescent="0.3">
      <c r="A1658">
        <v>1656</v>
      </c>
      <c r="B1658" s="1" t="s">
        <v>2229</v>
      </c>
      <c r="C1658" t="s">
        <v>145</v>
      </c>
      <c r="D1658" s="1" t="s">
        <v>2230</v>
      </c>
    </row>
    <row r="1659" spans="1:4" hidden="1" x14ac:dyDescent="0.3">
      <c r="A1659">
        <v>1657</v>
      </c>
      <c r="B1659" t="s">
        <v>2231</v>
      </c>
      <c r="C1659" t="s">
        <v>35</v>
      </c>
      <c r="D1659">
        <v>-1.1296293786187599</v>
      </c>
    </row>
    <row r="1660" spans="1:4" hidden="1" x14ac:dyDescent="0.3">
      <c r="A1660">
        <v>1658</v>
      </c>
      <c r="B1660" t="s">
        <v>2232</v>
      </c>
      <c r="C1660" t="s">
        <v>149</v>
      </c>
      <c r="D1660">
        <v>0.56892942500194599</v>
      </c>
    </row>
    <row r="1661" spans="1:4" hidden="1" x14ac:dyDescent="0.3">
      <c r="A1661">
        <v>1659</v>
      </c>
      <c r="B1661" s="1" t="s">
        <v>2233</v>
      </c>
      <c r="C1661" t="s">
        <v>151</v>
      </c>
      <c r="D1661" s="1" t="s">
        <v>2234</v>
      </c>
    </row>
    <row r="1662" spans="1:4" hidden="1" x14ac:dyDescent="0.3">
      <c r="A1662">
        <v>1660</v>
      </c>
      <c r="B1662" t="s">
        <v>2235</v>
      </c>
      <c r="C1662" t="s">
        <v>30</v>
      </c>
      <c r="D1662">
        <v>0.89501538324053598</v>
      </c>
    </row>
    <row r="1663" spans="1:4" hidden="1" x14ac:dyDescent="0.3">
      <c r="A1663">
        <v>1661</v>
      </c>
      <c r="B1663" t="s">
        <v>2236</v>
      </c>
      <c r="C1663" t="s">
        <v>32</v>
      </c>
      <c r="D1663">
        <v>0.37299231105326403</v>
      </c>
    </row>
    <row r="1664" spans="1:4" hidden="1" x14ac:dyDescent="0.3">
      <c r="A1664">
        <v>1662</v>
      </c>
      <c r="B1664" s="1" t="s">
        <v>2237</v>
      </c>
      <c r="C1664" t="s">
        <v>155</v>
      </c>
      <c r="D1664" s="1" t="s">
        <v>2238</v>
      </c>
    </row>
    <row r="1665" spans="1:4" hidden="1" x14ac:dyDescent="0.3">
      <c r="A1665">
        <v>1663</v>
      </c>
      <c r="B1665" t="s">
        <v>2239</v>
      </c>
      <c r="C1665" t="s">
        <v>40</v>
      </c>
      <c r="D1665">
        <v>1.23461399537822</v>
      </c>
    </row>
    <row r="1666" spans="1:4" hidden="1" x14ac:dyDescent="0.3">
      <c r="A1666">
        <v>1664</v>
      </c>
      <c r="B1666" t="s">
        <v>2240</v>
      </c>
      <c r="C1666" t="s">
        <v>42</v>
      </c>
      <c r="D1666">
        <v>0.38469494514126001</v>
      </c>
    </row>
    <row r="1667" spans="1:4" hidden="1" x14ac:dyDescent="0.3">
      <c r="A1667">
        <v>1665</v>
      </c>
      <c r="B1667" s="1" t="s">
        <v>2241</v>
      </c>
      <c r="C1667" t="s">
        <v>159</v>
      </c>
      <c r="D1667" s="1" t="s">
        <v>2242</v>
      </c>
    </row>
    <row r="1668" spans="1:4" hidden="1" x14ac:dyDescent="0.3">
      <c r="A1668">
        <v>1666</v>
      </c>
      <c r="B1668" t="s">
        <v>2243</v>
      </c>
      <c r="C1668" t="s">
        <v>161</v>
      </c>
      <c r="D1668">
        <v>1.00352786617891</v>
      </c>
    </row>
    <row r="1669" spans="1:4" hidden="1" x14ac:dyDescent="0.3">
      <c r="A1669">
        <v>1667</v>
      </c>
      <c r="B1669" t="s">
        <v>2244</v>
      </c>
      <c r="C1669" t="s">
        <v>163</v>
      </c>
      <c r="D1669">
        <v>1.0007408520968499</v>
      </c>
    </row>
    <row r="1670" spans="1:4" hidden="1" x14ac:dyDescent="0.3">
      <c r="A1670">
        <v>1668</v>
      </c>
      <c r="B1670" s="1" t="s">
        <v>2245</v>
      </c>
      <c r="C1670" t="s">
        <v>165</v>
      </c>
      <c r="D1670" s="1" t="s">
        <v>2246</v>
      </c>
    </row>
    <row r="1671" spans="1:4" hidden="1" x14ac:dyDescent="0.3">
      <c r="A1671">
        <v>1669</v>
      </c>
      <c r="B1671" t="s">
        <v>2247</v>
      </c>
      <c r="C1671" t="s">
        <v>168</v>
      </c>
      <c r="D1671">
        <v>0.99986903872865696</v>
      </c>
    </row>
    <row r="1672" spans="1:4" hidden="1" x14ac:dyDescent="0.3">
      <c r="A1672">
        <v>1670</v>
      </c>
      <c r="B1672" t="s">
        <v>2248</v>
      </c>
      <c r="C1672" t="s">
        <v>170</v>
      </c>
      <c r="D1672">
        <v>0.99964736861831804</v>
      </c>
    </row>
    <row r="1673" spans="1:4" hidden="1" x14ac:dyDescent="0.3">
      <c r="A1673">
        <v>1671</v>
      </c>
      <c r="B1673" s="1" t="s">
        <v>2249</v>
      </c>
      <c r="C1673" t="s">
        <v>172</v>
      </c>
      <c r="D1673" s="1" t="s">
        <v>2250</v>
      </c>
    </row>
    <row r="1674" spans="1:4" hidden="1" x14ac:dyDescent="0.3">
      <c r="A1674">
        <v>1672</v>
      </c>
      <c r="B1674" s="1" t="s">
        <v>2251</v>
      </c>
      <c r="C1674" t="s">
        <v>55</v>
      </c>
      <c r="D1674" s="1" t="s">
        <v>2252</v>
      </c>
    </row>
    <row r="1675" spans="1:4" hidden="1" x14ac:dyDescent="0.3">
      <c r="A1675">
        <v>1673</v>
      </c>
      <c r="B1675" s="1" t="s">
        <v>2253</v>
      </c>
      <c r="C1675" t="s">
        <v>52</v>
      </c>
      <c r="D1675" s="1" t="s">
        <v>2254</v>
      </c>
    </row>
    <row r="1676" spans="1:4" hidden="1" x14ac:dyDescent="0.3">
      <c r="A1676">
        <v>1674</v>
      </c>
      <c r="B1676" s="1" t="s">
        <v>2255</v>
      </c>
      <c r="C1676" t="s">
        <v>58</v>
      </c>
      <c r="D1676" s="1" t="s">
        <v>2256</v>
      </c>
    </row>
    <row r="1677" spans="1:4" hidden="1" x14ac:dyDescent="0.3">
      <c r="A1677">
        <v>1675</v>
      </c>
      <c r="B1677" t="s">
        <v>2257</v>
      </c>
      <c r="C1677" t="s">
        <v>61</v>
      </c>
      <c r="D1677">
        <v>153579636.943638</v>
      </c>
    </row>
    <row r="1678" spans="1:4" hidden="1" x14ac:dyDescent="0.3">
      <c r="A1678">
        <v>1676</v>
      </c>
      <c r="B1678" t="s">
        <v>2258</v>
      </c>
      <c r="C1678" t="s">
        <v>63</v>
      </c>
      <c r="D1678">
        <v>77452544.710562602</v>
      </c>
    </row>
    <row r="1679" spans="1:4" hidden="1" x14ac:dyDescent="0.3">
      <c r="A1679">
        <v>1677</v>
      </c>
      <c r="B1679" t="s">
        <v>2259</v>
      </c>
      <c r="C1679" t="s">
        <v>65</v>
      </c>
      <c r="D1679">
        <v>35522868.608613402</v>
      </c>
    </row>
    <row r="1680" spans="1:4" hidden="1" x14ac:dyDescent="0.3">
      <c r="A1680">
        <v>1678</v>
      </c>
      <c r="B1680" s="1" t="s">
        <v>2260</v>
      </c>
      <c r="C1680" t="s">
        <v>67</v>
      </c>
      <c r="D1680" s="1" t="s">
        <v>2261</v>
      </c>
    </row>
    <row r="1681" spans="1:4" hidden="1" x14ac:dyDescent="0.3">
      <c r="A1681">
        <v>1679</v>
      </c>
      <c r="B1681" s="1" t="s">
        <v>2262</v>
      </c>
      <c r="C1681" t="s">
        <v>70</v>
      </c>
      <c r="D1681" s="1" t="s">
        <v>2263</v>
      </c>
    </row>
    <row r="1682" spans="1:4" hidden="1" x14ac:dyDescent="0.3">
      <c r="A1682">
        <v>1680</v>
      </c>
      <c r="B1682" t="s">
        <v>2264</v>
      </c>
      <c r="C1682" t="s">
        <v>73</v>
      </c>
      <c r="D1682">
        <v>0.99991665955453501</v>
      </c>
    </row>
    <row r="1683" spans="1:4" hidden="1" x14ac:dyDescent="0.3">
      <c r="A1683">
        <v>1681</v>
      </c>
      <c r="B1683" t="s">
        <v>74</v>
      </c>
      <c r="C1683" t="s">
        <v>75</v>
      </c>
      <c r="D1683">
        <v>2.7397260273972599E-3</v>
      </c>
    </row>
    <row r="1684" spans="1:4" hidden="1" x14ac:dyDescent="0.3">
      <c r="A1684">
        <v>1682</v>
      </c>
      <c r="B1684" t="s">
        <v>76</v>
      </c>
      <c r="C1684" t="s">
        <v>77</v>
      </c>
      <c r="D1684">
        <v>0</v>
      </c>
    </row>
    <row r="1685" spans="1:4" hidden="1" x14ac:dyDescent="0.3">
      <c r="A1685">
        <v>1683</v>
      </c>
      <c r="B1685" t="s">
        <v>78</v>
      </c>
      <c r="C1685" t="s">
        <v>79</v>
      </c>
      <c r="D1685">
        <v>0</v>
      </c>
    </row>
    <row r="1686" spans="1:4" hidden="1" x14ac:dyDescent="0.3">
      <c r="A1686">
        <v>1684</v>
      </c>
      <c r="B1686" s="1" t="s">
        <v>2265</v>
      </c>
      <c r="C1686" t="s">
        <v>81</v>
      </c>
      <c r="D1686" s="1" t="s">
        <v>2266</v>
      </c>
    </row>
    <row r="1687" spans="1:4" hidden="1" x14ac:dyDescent="0.3">
      <c r="A1687">
        <v>1685</v>
      </c>
      <c r="B1687" t="s">
        <v>2267</v>
      </c>
      <c r="C1687" t="s">
        <v>84</v>
      </c>
      <c r="D1687">
        <v>0.99991085170313199</v>
      </c>
    </row>
    <row r="1688" spans="1:4" hidden="1" x14ac:dyDescent="0.3">
      <c r="A1688">
        <v>1686</v>
      </c>
      <c r="B1688" s="1" t="s">
        <v>2268</v>
      </c>
      <c r="C1688" t="s">
        <v>86</v>
      </c>
      <c r="D1688" s="1" t="s">
        <v>2269</v>
      </c>
    </row>
    <row r="1689" spans="1:4" hidden="1" x14ac:dyDescent="0.3">
      <c r="A1689">
        <v>1687</v>
      </c>
      <c r="B1689" t="s">
        <v>2270</v>
      </c>
      <c r="C1689" t="s">
        <v>89</v>
      </c>
      <c r="D1689">
        <v>102959144.424642</v>
      </c>
    </row>
    <row r="1690" spans="1:4" hidden="1" x14ac:dyDescent="0.3">
      <c r="A1690">
        <v>1688</v>
      </c>
      <c r="B1690" s="1" t="s">
        <v>2271</v>
      </c>
      <c r="C1690" t="s">
        <v>91</v>
      </c>
      <c r="D1690" s="1" t="s">
        <v>2205</v>
      </c>
    </row>
    <row r="1691" spans="1:4" hidden="1" x14ac:dyDescent="0.3">
      <c r="A1691">
        <v>1689</v>
      </c>
      <c r="B1691" t="s">
        <v>2272</v>
      </c>
      <c r="C1691" t="s">
        <v>94</v>
      </c>
      <c r="D1691">
        <v>77452544.710562602</v>
      </c>
    </row>
    <row r="1692" spans="1:4" hidden="1" x14ac:dyDescent="0.3">
      <c r="A1692">
        <v>1690</v>
      </c>
      <c r="B1692" t="s">
        <v>2273</v>
      </c>
      <c r="C1692" t="s">
        <v>96</v>
      </c>
      <c r="D1692">
        <v>35522868.608613402</v>
      </c>
    </row>
    <row r="1693" spans="1:4" hidden="1" x14ac:dyDescent="0.3">
      <c r="A1693">
        <v>1691</v>
      </c>
      <c r="B1693" t="s">
        <v>2274</v>
      </c>
      <c r="C1693" t="s">
        <v>98</v>
      </c>
      <c r="D1693">
        <v>40604223.624462098</v>
      </c>
    </row>
    <row r="1694" spans="1:4" hidden="1" x14ac:dyDescent="0.3">
      <c r="A1694">
        <v>1692</v>
      </c>
      <c r="B1694" s="1" t="s">
        <v>2275</v>
      </c>
      <c r="C1694" t="s">
        <v>100</v>
      </c>
      <c r="D1694" s="1" t="s">
        <v>2276</v>
      </c>
    </row>
    <row r="1695" spans="1:4" hidden="1" x14ac:dyDescent="0.3">
      <c r="A1695">
        <v>1693</v>
      </c>
      <c r="B1695" t="s">
        <v>2277</v>
      </c>
      <c r="C1695" t="s">
        <v>103</v>
      </c>
      <c r="D1695">
        <v>1.00481543706836E-2</v>
      </c>
    </row>
    <row r="1696" spans="1:4" hidden="1" x14ac:dyDescent="0.3">
      <c r="A1696">
        <v>1694</v>
      </c>
      <c r="B1696" t="s">
        <v>2278</v>
      </c>
      <c r="C1696" t="s">
        <v>105</v>
      </c>
      <c r="D1696">
        <v>3.2394415553992899E-3</v>
      </c>
    </row>
    <row r="1697" spans="1:4" hidden="1" x14ac:dyDescent="0.3">
      <c r="A1697">
        <v>1695</v>
      </c>
      <c r="B1697" t="s">
        <v>2279</v>
      </c>
      <c r="C1697" t="s">
        <v>107</v>
      </c>
      <c r="D1697">
        <v>1.20101441637929E-2</v>
      </c>
    </row>
    <row r="1698" spans="1:4" hidden="1" x14ac:dyDescent="0.3">
      <c r="A1698">
        <v>1696</v>
      </c>
      <c r="B1698" s="1" t="s">
        <v>2280</v>
      </c>
      <c r="C1698" t="s">
        <v>109</v>
      </c>
      <c r="D1698" s="1" t="s">
        <v>2281</v>
      </c>
    </row>
    <row r="1699" spans="1:4" hidden="1" x14ac:dyDescent="0.3">
      <c r="A1699">
        <v>1697</v>
      </c>
      <c r="B1699" t="s">
        <v>2282</v>
      </c>
      <c r="C1699" t="s">
        <v>208</v>
      </c>
      <c r="D1699">
        <v>153579432.75498301</v>
      </c>
    </row>
    <row r="1700" spans="1:4" hidden="1" x14ac:dyDescent="0.3">
      <c r="A1700">
        <v>1698</v>
      </c>
      <c r="B1700" t="s">
        <v>2283</v>
      </c>
      <c r="C1700" t="s">
        <v>210</v>
      </c>
      <c r="D1700">
        <v>449.86954813540501</v>
      </c>
    </row>
    <row r="1701" spans="1:4" hidden="1" x14ac:dyDescent="0.3">
      <c r="A1701">
        <v>1699</v>
      </c>
      <c r="B1701" t="s">
        <v>2284</v>
      </c>
      <c r="C1701" t="s">
        <v>212</v>
      </c>
      <c r="D1701">
        <v>206.328608724823</v>
      </c>
    </row>
    <row r="1702" spans="1:4" hidden="1" x14ac:dyDescent="0.3">
      <c r="A1702">
        <v>1700</v>
      </c>
      <c r="B1702" s="1" t="s">
        <v>2285</v>
      </c>
      <c r="C1702" t="s">
        <v>214</v>
      </c>
      <c r="D1702" s="1" t="s">
        <v>2286</v>
      </c>
    </row>
    <row r="1703" spans="1:4" hidden="1" x14ac:dyDescent="0.3">
      <c r="A1703">
        <v>1701</v>
      </c>
      <c r="B1703" t="s">
        <v>2287</v>
      </c>
      <c r="C1703" t="s">
        <v>217</v>
      </c>
      <c r="D1703">
        <v>77451954.571134403</v>
      </c>
    </row>
    <row r="1704" spans="1:4" hidden="1" x14ac:dyDescent="0.3">
      <c r="A1704">
        <v>1702</v>
      </c>
      <c r="B1704" t="s">
        <v>2288</v>
      </c>
      <c r="C1704" t="s">
        <v>219</v>
      </c>
      <c r="D1704">
        <v>35522640.054023899</v>
      </c>
    </row>
    <row r="1705" spans="1:4" hidden="1" x14ac:dyDescent="0.3">
      <c r="A1705">
        <v>1703</v>
      </c>
      <c r="B1705" t="s">
        <v>2289</v>
      </c>
      <c r="C1705" t="s">
        <v>221</v>
      </c>
      <c r="D1705">
        <v>40603946.088958196</v>
      </c>
    </row>
    <row r="1706" spans="1:4" hidden="1" x14ac:dyDescent="0.3">
      <c r="A1706">
        <v>1704</v>
      </c>
      <c r="B1706" s="1" t="s">
        <v>2290</v>
      </c>
      <c r="C1706" t="s">
        <v>223</v>
      </c>
      <c r="D1706" s="1" t="s">
        <v>2291</v>
      </c>
    </row>
    <row r="1707" spans="1:4" hidden="1" x14ac:dyDescent="0.3">
      <c r="A1707">
        <v>1705</v>
      </c>
      <c r="B1707" t="s">
        <v>2292</v>
      </c>
      <c r="C1707" t="s">
        <v>226</v>
      </c>
      <c r="D1707">
        <v>102958546.403391</v>
      </c>
    </row>
    <row r="1708" spans="1:4" hidden="1" x14ac:dyDescent="0.3">
      <c r="A1708">
        <v>1706</v>
      </c>
      <c r="B1708" t="s">
        <v>2293</v>
      </c>
      <c r="C1708" t="s">
        <v>228</v>
      </c>
      <c r="D1708">
        <v>598.02125076949596</v>
      </c>
    </row>
    <row r="1709" spans="1:4" hidden="1" x14ac:dyDescent="0.3">
      <c r="A1709">
        <v>1707</v>
      </c>
      <c r="B1709" s="1" t="s">
        <v>2294</v>
      </c>
      <c r="C1709" t="s">
        <v>230</v>
      </c>
      <c r="D1709" s="1" t="s">
        <v>2295</v>
      </c>
    </row>
    <row r="1710" spans="1:4" hidden="1" x14ac:dyDescent="0.3">
      <c r="A1710">
        <v>1708</v>
      </c>
      <c r="B1710" t="s">
        <v>2296</v>
      </c>
      <c r="C1710" t="s">
        <v>112</v>
      </c>
      <c r="D1710">
        <v>-140.26988006946101</v>
      </c>
    </row>
    <row r="1711" spans="1:4" hidden="1" x14ac:dyDescent="0.3">
      <c r="A1711">
        <v>1709</v>
      </c>
      <c r="B1711" t="s">
        <v>2297</v>
      </c>
      <c r="C1711" t="s">
        <v>114</v>
      </c>
      <c r="D1711">
        <v>-22.2259807460768</v>
      </c>
    </row>
    <row r="1712" spans="1:4" hidden="1" x14ac:dyDescent="0.3">
      <c r="A1712">
        <v>1710</v>
      </c>
      <c r="B1712" s="1" t="s">
        <v>2298</v>
      </c>
      <c r="C1712" t="s">
        <v>116</v>
      </c>
      <c r="D1712" s="1" t="s">
        <v>2299</v>
      </c>
    </row>
    <row r="1713" spans="1:4" hidden="1" x14ac:dyDescent="0.3">
      <c r="A1713">
        <v>1711</v>
      </c>
      <c r="B1713" t="s">
        <v>2300</v>
      </c>
      <c r="C1713" t="s">
        <v>119</v>
      </c>
      <c r="D1713">
        <v>77451954.571134403</v>
      </c>
    </row>
    <row r="1714" spans="1:4" hidden="1" x14ac:dyDescent="0.3">
      <c r="A1714">
        <v>1712</v>
      </c>
      <c r="B1714" t="s">
        <v>2301</v>
      </c>
      <c r="C1714" t="s">
        <v>121</v>
      </c>
      <c r="D1714">
        <v>35522640.054023899</v>
      </c>
    </row>
    <row r="1715" spans="1:4" hidden="1" x14ac:dyDescent="0.3">
      <c r="A1715">
        <v>1713</v>
      </c>
      <c r="B1715" s="1" t="s">
        <v>2302</v>
      </c>
      <c r="C1715" t="s">
        <v>123</v>
      </c>
      <c r="D1715" s="1" t="s">
        <v>2303</v>
      </c>
    </row>
    <row r="1716" spans="1:4" hidden="1" x14ac:dyDescent="0.3">
      <c r="A1716">
        <v>1714</v>
      </c>
      <c r="B1716" t="s">
        <v>2304</v>
      </c>
      <c r="C1716" t="s">
        <v>126</v>
      </c>
      <c r="D1716">
        <v>0.752330550521639</v>
      </c>
    </row>
    <row r="1717" spans="1:4" hidden="1" x14ac:dyDescent="0.3">
      <c r="A1717">
        <v>1715</v>
      </c>
      <c r="B1717" t="s">
        <v>2305</v>
      </c>
      <c r="C1717" t="s">
        <v>128</v>
      </c>
      <c r="D1717">
        <v>0.34504961812527202</v>
      </c>
    </row>
    <row r="1718" spans="1:4" hidden="1" x14ac:dyDescent="0.3">
      <c r="A1718">
        <v>1716</v>
      </c>
      <c r="B1718" s="1" t="s">
        <v>2306</v>
      </c>
      <c r="C1718" t="s">
        <v>130</v>
      </c>
      <c r="D1718" s="1" t="s">
        <v>2307</v>
      </c>
    </row>
    <row r="1719" spans="1:4" ht="72" x14ac:dyDescent="0.3">
      <c r="A1719">
        <v>1717</v>
      </c>
      <c r="B1719" s="1" t="s">
        <v>2308</v>
      </c>
      <c r="C1719" t="s">
        <v>4</v>
      </c>
      <c r="D1719" t="s">
        <v>2309</v>
      </c>
    </row>
    <row r="1720" spans="1:4" hidden="1" x14ac:dyDescent="0.3">
      <c r="A1720">
        <v>1718</v>
      </c>
      <c r="B1720" t="s">
        <v>2310</v>
      </c>
      <c r="C1720" t="s">
        <v>7</v>
      </c>
      <c r="D1720">
        <v>1760.39</v>
      </c>
    </row>
    <row r="1721" spans="1:4" hidden="1" x14ac:dyDescent="0.3">
      <c r="A1721">
        <v>1719</v>
      </c>
      <c r="B1721" s="1" t="s">
        <v>2311</v>
      </c>
      <c r="C1721" t="s">
        <v>9</v>
      </c>
      <c r="D1721" s="1" t="s">
        <v>2312</v>
      </c>
    </row>
    <row r="1722" spans="1:4" hidden="1" x14ac:dyDescent="0.3">
      <c r="A1722">
        <v>1720</v>
      </c>
      <c r="B1722" t="s">
        <v>2313</v>
      </c>
      <c r="C1722" t="s">
        <v>14</v>
      </c>
      <c r="D1722">
        <v>91.55859375</v>
      </c>
    </row>
    <row r="1723" spans="1:4" hidden="1" x14ac:dyDescent="0.3">
      <c r="A1723">
        <v>1721</v>
      </c>
      <c r="B1723" t="s">
        <v>2314</v>
      </c>
      <c r="C1723" t="s">
        <v>16</v>
      </c>
      <c r="D1723">
        <v>4.2968630902472897</v>
      </c>
    </row>
    <row r="1724" spans="1:4" hidden="1" x14ac:dyDescent="0.3">
      <c r="A1724">
        <v>1722</v>
      </c>
      <c r="B1724" s="1" t="s">
        <v>2315</v>
      </c>
      <c r="C1724" t="s">
        <v>140</v>
      </c>
      <c r="D1724" s="1" t="s">
        <v>2316</v>
      </c>
    </row>
    <row r="1725" spans="1:4" hidden="1" x14ac:dyDescent="0.3">
      <c r="A1725">
        <v>1723</v>
      </c>
      <c r="B1725" t="s">
        <v>2317</v>
      </c>
      <c r="C1725" t="s">
        <v>22</v>
      </c>
      <c r="D1725">
        <v>64.95</v>
      </c>
    </row>
    <row r="1726" spans="1:4" hidden="1" x14ac:dyDescent="0.3">
      <c r="A1726">
        <v>1724</v>
      </c>
      <c r="B1726" t="s">
        <v>2318</v>
      </c>
      <c r="C1726" t="s">
        <v>24</v>
      </c>
      <c r="D1726">
        <v>5.5859634589915199</v>
      </c>
    </row>
    <row r="1727" spans="1:4" hidden="1" x14ac:dyDescent="0.3">
      <c r="A1727">
        <v>1725</v>
      </c>
      <c r="B1727" s="1" t="s">
        <v>2319</v>
      </c>
      <c r="C1727" t="s">
        <v>145</v>
      </c>
      <c r="D1727" s="1" t="s">
        <v>2320</v>
      </c>
    </row>
    <row r="1728" spans="1:4" hidden="1" x14ac:dyDescent="0.3">
      <c r="A1728">
        <v>1726</v>
      </c>
      <c r="B1728" t="s">
        <v>2321</v>
      </c>
      <c r="C1728" t="s">
        <v>35</v>
      </c>
      <c r="D1728">
        <v>-0.31699307089839401</v>
      </c>
    </row>
    <row r="1729" spans="1:4" hidden="1" x14ac:dyDescent="0.3">
      <c r="A1729">
        <v>1727</v>
      </c>
      <c r="B1729" t="s">
        <v>2322</v>
      </c>
      <c r="C1729" t="s">
        <v>149</v>
      </c>
      <c r="D1729">
        <v>0.56728655841874598</v>
      </c>
    </row>
    <row r="1730" spans="1:4" hidden="1" x14ac:dyDescent="0.3">
      <c r="A1730">
        <v>1728</v>
      </c>
      <c r="B1730" s="1" t="s">
        <v>2323</v>
      </c>
      <c r="C1730" t="s">
        <v>151</v>
      </c>
      <c r="D1730" s="1" t="s">
        <v>2324</v>
      </c>
    </row>
    <row r="1731" spans="1:4" hidden="1" x14ac:dyDescent="0.3">
      <c r="A1731">
        <v>1729</v>
      </c>
      <c r="B1731" t="s">
        <v>2325</v>
      </c>
      <c r="C1731" t="s">
        <v>30</v>
      </c>
      <c r="D1731">
        <v>0.55665976752469903</v>
      </c>
    </row>
    <row r="1732" spans="1:4" hidden="1" x14ac:dyDescent="0.3">
      <c r="A1732">
        <v>1730</v>
      </c>
      <c r="B1732" t="s">
        <v>2326</v>
      </c>
      <c r="C1732" t="s">
        <v>32</v>
      </c>
      <c r="D1732">
        <v>0.37447816590577698</v>
      </c>
    </row>
    <row r="1733" spans="1:4" hidden="1" x14ac:dyDescent="0.3">
      <c r="A1733">
        <v>1731</v>
      </c>
      <c r="B1733" s="1" t="s">
        <v>2327</v>
      </c>
      <c r="C1733" t="s">
        <v>155</v>
      </c>
      <c r="D1733" s="1" t="s">
        <v>2328</v>
      </c>
    </row>
    <row r="1734" spans="1:4" hidden="1" x14ac:dyDescent="0.3">
      <c r="A1734">
        <v>1732</v>
      </c>
      <c r="B1734" t="s">
        <v>2329</v>
      </c>
      <c r="C1734" t="s">
        <v>40</v>
      </c>
      <c r="D1734">
        <v>0.76033330337369498</v>
      </c>
    </row>
    <row r="1735" spans="1:4" hidden="1" x14ac:dyDescent="0.3">
      <c r="A1735">
        <v>1733</v>
      </c>
      <c r="B1735" t="s">
        <v>2330</v>
      </c>
      <c r="C1735" t="s">
        <v>42</v>
      </c>
      <c r="D1735">
        <v>0.38829936717626501</v>
      </c>
    </row>
    <row r="1736" spans="1:4" hidden="1" x14ac:dyDescent="0.3">
      <c r="A1736">
        <v>1734</v>
      </c>
      <c r="B1736" s="1" t="s">
        <v>2331</v>
      </c>
      <c r="C1736" t="s">
        <v>159</v>
      </c>
      <c r="D1736" s="1" t="s">
        <v>2332</v>
      </c>
    </row>
    <row r="1737" spans="1:4" hidden="1" x14ac:dyDescent="0.3">
      <c r="A1737">
        <v>1735</v>
      </c>
      <c r="B1737" t="s">
        <v>2333</v>
      </c>
      <c r="C1737" t="s">
        <v>161</v>
      </c>
      <c r="D1737">
        <v>0.99335278218229595</v>
      </c>
    </row>
    <row r="1738" spans="1:4" hidden="1" x14ac:dyDescent="0.3">
      <c r="A1738">
        <v>1736</v>
      </c>
      <c r="B1738" t="s">
        <v>2334</v>
      </c>
      <c r="C1738" t="s">
        <v>163</v>
      </c>
      <c r="D1738">
        <v>0.99277956060804196</v>
      </c>
    </row>
    <row r="1739" spans="1:4" hidden="1" x14ac:dyDescent="0.3">
      <c r="A1739">
        <v>1737</v>
      </c>
      <c r="B1739" s="1" t="s">
        <v>2335</v>
      </c>
      <c r="C1739" t="s">
        <v>165</v>
      </c>
      <c r="D1739" s="1" t="s">
        <v>2336</v>
      </c>
    </row>
    <row r="1740" spans="1:4" hidden="1" x14ac:dyDescent="0.3">
      <c r="A1740">
        <v>1738</v>
      </c>
      <c r="B1740" t="s">
        <v>2337</v>
      </c>
      <c r="C1740" t="s">
        <v>168</v>
      </c>
      <c r="D1740">
        <v>0.99895287413377498</v>
      </c>
    </row>
    <row r="1741" spans="1:4" hidden="1" x14ac:dyDescent="0.3">
      <c r="A1741">
        <v>1739</v>
      </c>
      <c r="B1741" t="s">
        <v>2338</v>
      </c>
      <c r="C1741" t="s">
        <v>170</v>
      </c>
      <c r="D1741">
        <v>1.0010822018743599</v>
      </c>
    </row>
    <row r="1742" spans="1:4" hidden="1" x14ac:dyDescent="0.3">
      <c r="A1742">
        <v>1740</v>
      </c>
      <c r="B1742" s="1" t="s">
        <v>2339</v>
      </c>
      <c r="C1742" t="s">
        <v>172</v>
      </c>
      <c r="D1742" s="1" t="s">
        <v>2340</v>
      </c>
    </row>
    <row r="1743" spans="1:4" hidden="1" x14ac:dyDescent="0.3">
      <c r="A1743">
        <v>1741</v>
      </c>
      <c r="B1743" s="1" t="s">
        <v>2341</v>
      </c>
      <c r="C1743" t="s">
        <v>55</v>
      </c>
      <c r="D1743" s="1" t="s">
        <v>2342</v>
      </c>
    </row>
    <row r="1744" spans="1:4" hidden="1" x14ac:dyDescent="0.3">
      <c r="A1744">
        <v>1742</v>
      </c>
      <c r="B1744" s="1" t="s">
        <v>2343</v>
      </c>
      <c r="C1744" t="s">
        <v>52</v>
      </c>
      <c r="D1744" s="1" t="s">
        <v>2344</v>
      </c>
    </row>
    <row r="1745" spans="1:4" hidden="1" x14ac:dyDescent="0.3">
      <c r="A1745">
        <v>1743</v>
      </c>
      <c r="B1745" s="1" t="s">
        <v>2345</v>
      </c>
      <c r="C1745" t="s">
        <v>58</v>
      </c>
      <c r="D1745" s="1" t="s">
        <v>2346</v>
      </c>
    </row>
    <row r="1746" spans="1:4" hidden="1" x14ac:dyDescent="0.3">
      <c r="A1746">
        <v>1744</v>
      </c>
      <c r="B1746" t="s">
        <v>2347</v>
      </c>
      <c r="C1746" t="s">
        <v>61</v>
      </c>
      <c r="D1746">
        <v>152042249.61962399</v>
      </c>
    </row>
    <row r="1747" spans="1:4" hidden="1" x14ac:dyDescent="0.3">
      <c r="A1747">
        <v>1745</v>
      </c>
      <c r="B1747" t="s">
        <v>2348</v>
      </c>
      <c r="C1747" t="s">
        <v>63</v>
      </c>
      <c r="D1747">
        <v>76937114.5586932</v>
      </c>
    </row>
    <row r="1748" spans="1:4" hidden="1" x14ac:dyDescent="0.3">
      <c r="A1748">
        <v>1746</v>
      </c>
      <c r="B1748" t="s">
        <v>2349</v>
      </c>
      <c r="C1748" t="s">
        <v>65</v>
      </c>
      <c r="D1748">
        <v>35266150.9844715</v>
      </c>
    </row>
    <row r="1749" spans="1:4" hidden="1" x14ac:dyDescent="0.3">
      <c r="A1749">
        <v>1747</v>
      </c>
      <c r="B1749" s="1" t="s">
        <v>2350</v>
      </c>
      <c r="C1749" t="s">
        <v>67</v>
      </c>
      <c r="D1749" s="1" t="s">
        <v>2351</v>
      </c>
    </row>
    <row r="1750" spans="1:4" hidden="1" x14ac:dyDescent="0.3">
      <c r="A1750">
        <v>1748</v>
      </c>
      <c r="B1750" s="1" t="s">
        <v>2352</v>
      </c>
      <c r="C1750" t="s">
        <v>70</v>
      </c>
      <c r="D1750" s="1" t="s">
        <v>2353</v>
      </c>
    </row>
    <row r="1751" spans="1:4" hidden="1" x14ac:dyDescent="0.3">
      <c r="A1751">
        <v>1749</v>
      </c>
      <c r="B1751" t="s">
        <v>2354</v>
      </c>
      <c r="C1751" t="s">
        <v>73</v>
      </c>
      <c r="D1751">
        <v>0.99991085170313199</v>
      </c>
    </row>
    <row r="1752" spans="1:4" hidden="1" x14ac:dyDescent="0.3">
      <c r="A1752">
        <v>1750</v>
      </c>
      <c r="B1752" t="s">
        <v>74</v>
      </c>
      <c r="C1752" t="s">
        <v>75</v>
      </c>
      <c r="D1752">
        <v>2.7397260273972599E-3</v>
      </c>
    </row>
    <row r="1753" spans="1:4" hidden="1" x14ac:dyDescent="0.3">
      <c r="A1753">
        <v>1751</v>
      </c>
      <c r="B1753" t="s">
        <v>76</v>
      </c>
      <c r="C1753" t="s">
        <v>77</v>
      </c>
      <c r="D1753">
        <v>0</v>
      </c>
    </row>
    <row r="1754" spans="1:4" hidden="1" x14ac:dyDescent="0.3">
      <c r="A1754">
        <v>1752</v>
      </c>
      <c r="B1754" t="s">
        <v>78</v>
      </c>
      <c r="C1754" t="s">
        <v>79</v>
      </c>
      <c r="D1754">
        <v>0</v>
      </c>
    </row>
    <row r="1755" spans="1:4" hidden="1" x14ac:dyDescent="0.3">
      <c r="A1755">
        <v>1753</v>
      </c>
      <c r="B1755" s="1" t="s">
        <v>2355</v>
      </c>
      <c r="C1755" t="s">
        <v>81</v>
      </c>
      <c r="D1755" s="1" t="s">
        <v>2356</v>
      </c>
    </row>
    <row r="1756" spans="1:4" hidden="1" x14ac:dyDescent="0.3">
      <c r="A1756">
        <v>1754</v>
      </c>
      <c r="B1756" t="s">
        <v>2357</v>
      </c>
      <c r="C1756" t="s">
        <v>84</v>
      </c>
      <c r="D1756">
        <v>0.99994432113981802</v>
      </c>
    </row>
    <row r="1757" spans="1:4" hidden="1" x14ac:dyDescent="0.3">
      <c r="A1757">
        <v>1755</v>
      </c>
      <c r="B1757" s="1" t="s">
        <v>2358</v>
      </c>
      <c r="C1757" t="s">
        <v>86</v>
      </c>
      <c r="D1757" s="1" t="s">
        <v>2359</v>
      </c>
    </row>
    <row r="1758" spans="1:4" hidden="1" x14ac:dyDescent="0.3">
      <c r="A1758">
        <v>1756</v>
      </c>
      <c r="B1758" t="s">
        <v>2360</v>
      </c>
      <c r="C1758" t="s">
        <v>89</v>
      </c>
      <c r="D1758">
        <v>102955698.248197</v>
      </c>
    </row>
    <row r="1759" spans="1:4" hidden="1" x14ac:dyDescent="0.3">
      <c r="A1759">
        <v>1757</v>
      </c>
      <c r="B1759" s="1" t="s">
        <v>2361</v>
      </c>
      <c r="C1759" t="s">
        <v>91</v>
      </c>
      <c r="D1759" s="1" t="s">
        <v>2295</v>
      </c>
    </row>
    <row r="1760" spans="1:4" hidden="1" x14ac:dyDescent="0.3">
      <c r="A1760">
        <v>1758</v>
      </c>
      <c r="B1760" t="s">
        <v>2362</v>
      </c>
      <c r="C1760" t="s">
        <v>94</v>
      </c>
      <c r="D1760">
        <v>76937114.5586932</v>
      </c>
    </row>
    <row r="1761" spans="1:4" hidden="1" x14ac:dyDescent="0.3">
      <c r="A1761">
        <v>1759</v>
      </c>
      <c r="B1761" t="s">
        <v>2363</v>
      </c>
      <c r="C1761" t="s">
        <v>96</v>
      </c>
      <c r="D1761">
        <v>35266150.9844715</v>
      </c>
    </row>
    <row r="1762" spans="1:4" hidden="1" x14ac:dyDescent="0.3">
      <c r="A1762">
        <v>1760</v>
      </c>
      <c r="B1762" t="s">
        <v>2364</v>
      </c>
      <c r="C1762" t="s">
        <v>98</v>
      </c>
      <c r="D1762">
        <v>39838984.076459303</v>
      </c>
    </row>
    <row r="1763" spans="1:4" hidden="1" x14ac:dyDescent="0.3">
      <c r="A1763">
        <v>1761</v>
      </c>
      <c r="B1763" s="1" t="s">
        <v>2365</v>
      </c>
      <c r="C1763" t="s">
        <v>100</v>
      </c>
      <c r="D1763" s="1" t="s">
        <v>2366</v>
      </c>
    </row>
    <row r="1764" spans="1:4" hidden="1" x14ac:dyDescent="0.3">
      <c r="A1764">
        <v>1762</v>
      </c>
      <c r="B1764" t="s">
        <v>2367</v>
      </c>
      <c r="C1764" t="s">
        <v>103</v>
      </c>
      <c r="D1764">
        <v>1.00283484888515E-2</v>
      </c>
    </row>
    <row r="1765" spans="1:4" hidden="1" x14ac:dyDescent="0.3">
      <c r="A1765">
        <v>1763</v>
      </c>
      <c r="B1765" t="s">
        <v>2368</v>
      </c>
      <c r="C1765" t="s">
        <v>105</v>
      </c>
      <c r="D1765">
        <v>3.2636082634297701E-3</v>
      </c>
    </row>
    <row r="1766" spans="1:4" hidden="1" x14ac:dyDescent="0.3">
      <c r="A1766">
        <v>1764</v>
      </c>
      <c r="B1766" t="s">
        <v>2369</v>
      </c>
      <c r="C1766" t="s">
        <v>107</v>
      </c>
      <c r="D1766">
        <v>1.21443388567503E-2</v>
      </c>
    </row>
    <row r="1767" spans="1:4" hidden="1" x14ac:dyDescent="0.3">
      <c r="A1767">
        <v>1765</v>
      </c>
      <c r="B1767" s="1" t="s">
        <v>2370</v>
      </c>
      <c r="C1767" t="s">
        <v>109</v>
      </c>
      <c r="D1767" s="1" t="s">
        <v>2371</v>
      </c>
    </row>
    <row r="1768" spans="1:4" hidden="1" x14ac:dyDescent="0.3">
      <c r="A1768">
        <v>1766</v>
      </c>
      <c r="B1768" t="s">
        <v>2372</v>
      </c>
      <c r="C1768" t="s">
        <v>208</v>
      </c>
      <c r="D1768">
        <v>152043427.713312</v>
      </c>
    </row>
    <row r="1769" spans="1:4" hidden="1" x14ac:dyDescent="0.3">
      <c r="A1769">
        <v>1767</v>
      </c>
      <c r="B1769" t="s">
        <v>2373</v>
      </c>
      <c r="C1769" t="s">
        <v>210</v>
      </c>
      <c r="D1769">
        <v>-2575.2971764409399</v>
      </c>
    </row>
    <row r="1770" spans="1:4" hidden="1" x14ac:dyDescent="0.3">
      <c r="A1770">
        <v>1768</v>
      </c>
      <c r="B1770" t="s">
        <v>2374</v>
      </c>
      <c r="C1770" t="s">
        <v>212</v>
      </c>
      <c r="D1770">
        <v>-1180.44923657186</v>
      </c>
    </row>
    <row r="1771" spans="1:4" hidden="1" x14ac:dyDescent="0.3">
      <c r="A1771">
        <v>1769</v>
      </c>
      <c r="B1771" s="1" t="s">
        <v>2375</v>
      </c>
      <c r="C1771" t="s">
        <v>214</v>
      </c>
      <c r="D1771" s="1" t="s">
        <v>2376</v>
      </c>
    </row>
    <row r="1772" spans="1:4" hidden="1" x14ac:dyDescent="0.3">
      <c r="A1772">
        <v>1770</v>
      </c>
      <c r="B1772" t="s">
        <v>2377</v>
      </c>
      <c r="C1772" t="s">
        <v>217</v>
      </c>
      <c r="D1772">
        <v>76940457.9743599</v>
      </c>
    </row>
    <row r="1773" spans="1:4" hidden="1" x14ac:dyDescent="0.3">
      <c r="A1773">
        <v>1771</v>
      </c>
      <c r="B1773" t="s">
        <v>2378</v>
      </c>
      <c r="C1773" t="s">
        <v>219</v>
      </c>
      <c r="D1773">
        <v>35267504.545957603</v>
      </c>
    </row>
    <row r="1774" spans="1:4" hidden="1" x14ac:dyDescent="0.3">
      <c r="A1774">
        <v>1772</v>
      </c>
      <c r="B1774" t="s">
        <v>2379</v>
      </c>
      <c r="C1774" t="s">
        <v>221</v>
      </c>
      <c r="D1774">
        <v>39840554.454571299</v>
      </c>
    </row>
    <row r="1775" spans="1:4" hidden="1" x14ac:dyDescent="0.3">
      <c r="A1775">
        <v>1773</v>
      </c>
      <c r="B1775" s="1" t="s">
        <v>2380</v>
      </c>
      <c r="C1775" t="s">
        <v>223</v>
      </c>
      <c r="D1775" s="1" t="s">
        <v>2381</v>
      </c>
    </row>
    <row r="1776" spans="1:4" hidden="1" x14ac:dyDescent="0.3">
      <c r="A1776">
        <v>1774</v>
      </c>
      <c r="B1776" t="s">
        <v>2382</v>
      </c>
      <c r="C1776" t="s">
        <v>226</v>
      </c>
      <c r="D1776">
        <v>102959144.424642</v>
      </c>
    </row>
    <row r="1777" spans="1:4" hidden="1" x14ac:dyDescent="0.3">
      <c r="A1777">
        <v>1775</v>
      </c>
      <c r="B1777" t="s">
        <v>2383</v>
      </c>
      <c r="C1777" t="s">
        <v>228</v>
      </c>
      <c r="D1777">
        <v>-3446.1764448285098</v>
      </c>
    </row>
    <row r="1778" spans="1:4" hidden="1" x14ac:dyDescent="0.3">
      <c r="A1778">
        <v>1776</v>
      </c>
      <c r="B1778" s="1" t="s">
        <v>2384</v>
      </c>
      <c r="C1778" t="s">
        <v>230</v>
      </c>
      <c r="D1778" s="1" t="s">
        <v>2385</v>
      </c>
    </row>
    <row r="1779" spans="1:4" hidden="1" x14ac:dyDescent="0.3">
      <c r="A1779">
        <v>1777</v>
      </c>
      <c r="B1779" t="s">
        <v>2386</v>
      </c>
      <c r="C1779" t="s">
        <v>112</v>
      </c>
      <c r="D1779">
        <v>768.11849024889898</v>
      </c>
    </row>
    <row r="1780" spans="1:4" hidden="1" x14ac:dyDescent="0.3">
      <c r="A1780">
        <v>1778</v>
      </c>
      <c r="B1780" t="s">
        <v>2387</v>
      </c>
      <c r="C1780" t="s">
        <v>114</v>
      </c>
      <c r="D1780">
        <v>173.112249549843</v>
      </c>
    </row>
    <row r="1781" spans="1:4" hidden="1" x14ac:dyDescent="0.3">
      <c r="A1781">
        <v>1779</v>
      </c>
      <c r="B1781" s="1" t="s">
        <v>2388</v>
      </c>
      <c r="C1781" t="s">
        <v>116</v>
      </c>
      <c r="D1781" s="1" t="s">
        <v>2389</v>
      </c>
    </row>
    <row r="1782" spans="1:4" hidden="1" x14ac:dyDescent="0.3">
      <c r="A1782">
        <v>1780</v>
      </c>
      <c r="B1782" t="s">
        <v>2390</v>
      </c>
      <c r="C1782" t="s">
        <v>119</v>
      </c>
      <c r="D1782">
        <v>76940457.9743599</v>
      </c>
    </row>
    <row r="1783" spans="1:4" hidden="1" x14ac:dyDescent="0.3">
      <c r="A1783">
        <v>1781</v>
      </c>
      <c r="B1783" t="s">
        <v>2391</v>
      </c>
      <c r="C1783" t="s">
        <v>121</v>
      </c>
      <c r="D1783">
        <v>35267504.545957603</v>
      </c>
    </row>
    <row r="1784" spans="1:4" hidden="1" x14ac:dyDescent="0.3">
      <c r="A1784">
        <v>1782</v>
      </c>
      <c r="B1784" s="1" t="s">
        <v>2392</v>
      </c>
      <c r="C1784" t="s">
        <v>123</v>
      </c>
      <c r="D1784" s="1" t="s">
        <v>2393</v>
      </c>
    </row>
    <row r="1785" spans="1:4" hidden="1" x14ac:dyDescent="0.3">
      <c r="A1785">
        <v>1783</v>
      </c>
      <c r="B1785" t="s">
        <v>2394</v>
      </c>
      <c r="C1785" t="s">
        <v>126</v>
      </c>
      <c r="D1785">
        <v>0.74733276582555397</v>
      </c>
    </row>
    <row r="1786" spans="1:4" hidden="1" x14ac:dyDescent="0.3">
      <c r="A1786">
        <v>1784</v>
      </c>
      <c r="B1786" t="s">
        <v>2395</v>
      </c>
      <c r="C1786" t="s">
        <v>128</v>
      </c>
      <c r="D1786">
        <v>0.342557900095669</v>
      </c>
    </row>
    <row r="1787" spans="1:4" hidden="1" x14ac:dyDescent="0.3">
      <c r="A1787">
        <v>1785</v>
      </c>
      <c r="B1787" s="1" t="s">
        <v>2396</v>
      </c>
      <c r="C1787" t="s">
        <v>130</v>
      </c>
      <c r="D1787" s="1" t="s">
        <v>2397</v>
      </c>
    </row>
    <row r="1788" spans="1:4" ht="72" x14ac:dyDescent="0.3">
      <c r="A1788">
        <v>1786</v>
      </c>
      <c r="B1788" s="1" t="s">
        <v>2398</v>
      </c>
      <c r="C1788" t="s">
        <v>4</v>
      </c>
      <c r="D1788" t="s">
        <v>2399</v>
      </c>
    </row>
    <row r="1789" spans="1:4" hidden="1" x14ac:dyDescent="0.3">
      <c r="A1789">
        <v>1787</v>
      </c>
      <c r="B1789" t="s">
        <v>2400</v>
      </c>
      <c r="C1789" t="s">
        <v>7</v>
      </c>
      <c r="D1789">
        <v>1765.29</v>
      </c>
    </row>
    <row r="1790" spans="1:4" hidden="1" x14ac:dyDescent="0.3">
      <c r="A1790">
        <v>1788</v>
      </c>
      <c r="B1790" s="1" t="s">
        <v>2401</v>
      </c>
      <c r="C1790" t="s">
        <v>9</v>
      </c>
      <c r="D1790" s="1" t="s">
        <v>2402</v>
      </c>
    </row>
    <row r="1791" spans="1:4" hidden="1" x14ac:dyDescent="0.3">
      <c r="A1791">
        <v>1789</v>
      </c>
      <c r="B1791" t="s">
        <v>2403</v>
      </c>
      <c r="C1791" t="s">
        <v>14</v>
      </c>
      <c r="D1791">
        <v>91.6015625</v>
      </c>
    </row>
    <row r="1792" spans="1:4" hidden="1" x14ac:dyDescent="0.3">
      <c r="A1792">
        <v>1790</v>
      </c>
      <c r="B1792" t="s">
        <v>2404</v>
      </c>
      <c r="C1792" t="s">
        <v>16</v>
      </c>
      <c r="D1792">
        <v>4.2982475971680296</v>
      </c>
    </row>
    <row r="1793" spans="1:4" hidden="1" x14ac:dyDescent="0.3">
      <c r="A1793">
        <v>1791</v>
      </c>
      <c r="B1793" s="1" t="s">
        <v>2405</v>
      </c>
      <c r="C1793" t="s">
        <v>140</v>
      </c>
      <c r="D1793" s="1" t="s">
        <v>2406</v>
      </c>
    </row>
    <row r="1794" spans="1:4" hidden="1" x14ac:dyDescent="0.3">
      <c r="A1794">
        <v>1792</v>
      </c>
      <c r="B1794" t="s">
        <v>2407</v>
      </c>
      <c r="C1794" t="s">
        <v>22</v>
      </c>
      <c r="D1794">
        <v>64.599999999999994</v>
      </c>
    </row>
    <row r="1795" spans="1:4" hidden="1" x14ac:dyDescent="0.3">
      <c r="A1795">
        <v>1793</v>
      </c>
      <c r="B1795" t="s">
        <v>2408</v>
      </c>
      <c r="C1795" t="s">
        <v>24</v>
      </c>
      <c r="D1795">
        <v>5.6162163587236398</v>
      </c>
    </row>
    <row r="1796" spans="1:4" hidden="1" x14ac:dyDescent="0.3">
      <c r="A1796">
        <v>1794</v>
      </c>
      <c r="B1796" s="1" t="s">
        <v>2409</v>
      </c>
      <c r="C1796" t="s">
        <v>145</v>
      </c>
      <c r="D1796" s="1" t="s">
        <v>2410</v>
      </c>
    </row>
    <row r="1797" spans="1:4" hidden="1" x14ac:dyDescent="0.3">
      <c r="A1797">
        <v>1795</v>
      </c>
      <c r="B1797" t="s">
        <v>2411</v>
      </c>
      <c r="C1797" t="s">
        <v>35</v>
      </c>
      <c r="D1797">
        <v>0.329298032265329</v>
      </c>
    </row>
    <row r="1798" spans="1:4" hidden="1" x14ac:dyDescent="0.3">
      <c r="A1798">
        <v>1796</v>
      </c>
      <c r="B1798" t="s">
        <v>2412</v>
      </c>
      <c r="C1798" t="s">
        <v>149</v>
      </c>
      <c r="D1798">
        <v>0.56673472357546095</v>
      </c>
    </row>
    <row r="1799" spans="1:4" hidden="1" x14ac:dyDescent="0.3">
      <c r="A1799">
        <v>1797</v>
      </c>
      <c r="B1799" s="1" t="s">
        <v>2413</v>
      </c>
      <c r="C1799" t="s">
        <v>151</v>
      </c>
      <c r="D1799" s="1" t="s">
        <v>2414</v>
      </c>
    </row>
    <row r="1800" spans="1:4" hidden="1" x14ac:dyDescent="0.3">
      <c r="A1800">
        <v>1798</v>
      </c>
      <c r="B1800" t="s">
        <v>2415</v>
      </c>
      <c r="C1800" t="s">
        <v>30</v>
      </c>
      <c r="D1800">
        <v>0.28551463422729201</v>
      </c>
    </row>
    <row r="1801" spans="1:4" hidden="1" x14ac:dyDescent="0.3">
      <c r="A1801">
        <v>1799</v>
      </c>
      <c r="B1801" t="s">
        <v>2416</v>
      </c>
      <c r="C1801" t="s">
        <v>32</v>
      </c>
      <c r="D1801">
        <v>0.37589375268085201</v>
      </c>
    </row>
    <row r="1802" spans="1:4" hidden="1" x14ac:dyDescent="0.3">
      <c r="A1802">
        <v>1800</v>
      </c>
      <c r="B1802" s="1" t="s">
        <v>2417</v>
      </c>
      <c r="C1802" t="s">
        <v>155</v>
      </c>
      <c r="D1802" s="1" t="s">
        <v>2418</v>
      </c>
    </row>
    <row r="1803" spans="1:4" hidden="1" x14ac:dyDescent="0.3">
      <c r="A1803">
        <v>1801</v>
      </c>
      <c r="B1803" t="s">
        <v>2419</v>
      </c>
      <c r="C1803" t="s">
        <v>40</v>
      </c>
      <c r="D1803">
        <v>0.38518733350737799</v>
      </c>
    </row>
    <row r="1804" spans="1:4" hidden="1" x14ac:dyDescent="0.3">
      <c r="A1804">
        <v>1802</v>
      </c>
      <c r="B1804" t="s">
        <v>2420</v>
      </c>
      <c r="C1804" t="s">
        <v>42</v>
      </c>
      <c r="D1804">
        <v>0.38860021319284599</v>
      </c>
    </row>
    <row r="1805" spans="1:4" hidden="1" x14ac:dyDescent="0.3">
      <c r="A1805">
        <v>1803</v>
      </c>
      <c r="B1805" s="1" t="s">
        <v>2421</v>
      </c>
      <c r="C1805" t="s">
        <v>159</v>
      </c>
      <c r="D1805" s="1" t="s">
        <v>2422</v>
      </c>
    </row>
    <row r="1806" spans="1:4" hidden="1" x14ac:dyDescent="0.3">
      <c r="A1806">
        <v>1804</v>
      </c>
      <c r="B1806" t="s">
        <v>2423</v>
      </c>
      <c r="C1806" t="s">
        <v>161</v>
      </c>
      <c r="D1806">
        <v>1.00278347411653</v>
      </c>
    </row>
    <row r="1807" spans="1:4" hidden="1" x14ac:dyDescent="0.3">
      <c r="A1807">
        <v>1805</v>
      </c>
      <c r="B1807" t="s">
        <v>2424</v>
      </c>
      <c r="C1807" t="s">
        <v>163</v>
      </c>
      <c r="D1807">
        <v>1.0004627097755601</v>
      </c>
    </row>
    <row r="1808" spans="1:4" hidden="1" x14ac:dyDescent="0.3">
      <c r="A1808">
        <v>1806</v>
      </c>
      <c r="B1808" s="1" t="s">
        <v>2425</v>
      </c>
      <c r="C1808" t="s">
        <v>165</v>
      </c>
      <c r="D1808" s="1" t="s">
        <v>2426</v>
      </c>
    </row>
    <row r="1809" spans="1:4" hidden="1" x14ac:dyDescent="0.3">
      <c r="A1809">
        <v>1807</v>
      </c>
      <c r="B1809" t="s">
        <v>2427</v>
      </c>
      <c r="C1809" t="s">
        <v>168</v>
      </c>
      <c r="D1809">
        <v>0.99964790430931605</v>
      </c>
    </row>
    <row r="1810" spans="1:4" hidden="1" x14ac:dyDescent="0.3">
      <c r="A1810">
        <v>1808</v>
      </c>
      <c r="B1810" t="s">
        <v>2428</v>
      </c>
      <c r="C1810" t="s">
        <v>170</v>
      </c>
      <c r="D1810">
        <v>1.0010299085210499</v>
      </c>
    </row>
    <row r="1811" spans="1:4" hidden="1" x14ac:dyDescent="0.3">
      <c r="A1811">
        <v>1809</v>
      </c>
      <c r="B1811" s="1" t="s">
        <v>2429</v>
      </c>
      <c r="C1811" t="s">
        <v>172</v>
      </c>
      <c r="D1811" s="1" t="s">
        <v>2430</v>
      </c>
    </row>
    <row r="1812" spans="1:4" hidden="1" x14ac:dyDescent="0.3">
      <c r="A1812">
        <v>1810</v>
      </c>
      <c r="B1812" s="1" t="s">
        <v>2431</v>
      </c>
      <c r="C1812" t="s">
        <v>55</v>
      </c>
      <c r="D1812" s="1" t="s">
        <v>2432</v>
      </c>
    </row>
    <row r="1813" spans="1:4" hidden="1" x14ac:dyDescent="0.3">
      <c r="A1813">
        <v>1811</v>
      </c>
      <c r="B1813" s="1" t="s">
        <v>2433</v>
      </c>
      <c r="C1813" t="s">
        <v>52</v>
      </c>
      <c r="D1813" s="1" t="s">
        <v>2434</v>
      </c>
    </row>
    <row r="1814" spans="1:4" hidden="1" x14ac:dyDescent="0.3">
      <c r="A1814">
        <v>1812</v>
      </c>
      <c r="B1814" s="1" t="s">
        <v>2435</v>
      </c>
      <c r="C1814" t="s">
        <v>58</v>
      </c>
      <c r="D1814" s="1" t="s">
        <v>2436</v>
      </c>
    </row>
    <row r="1815" spans="1:4" hidden="1" x14ac:dyDescent="0.3">
      <c r="A1815">
        <v>1813</v>
      </c>
      <c r="B1815" t="s">
        <v>2437</v>
      </c>
      <c r="C1815" t="s">
        <v>61</v>
      </c>
      <c r="D1815">
        <v>152098395.853744</v>
      </c>
    </row>
    <row r="1816" spans="1:4" hidden="1" x14ac:dyDescent="0.3">
      <c r="A1816">
        <v>1814</v>
      </c>
      <c r="B1816" t="s">
        <v>2438</v>
      </c>
      <c r="C1816" t="s">
        <v>63</v>
      </c>
      <c r="D1816">
        <v>77154619.747645602</v>
      </c>
    </row>
    <row r="1817" spans="1:4" hidden="1" x14ac:dyDescent="0.3">
      <c r="A1817">
        <v>1815</v>
      </c>
      <c r="B1817" t="s">
        <v>2439</v>
      </c>
      <c r="C1817" t="s">
        <v>65</v>
      </c>
      <c r="D1817">
        <v>35283823.165070601</v>
      </c>
    </row>
    <row r="1818" spans="1:4" hidden="1" x14ac:dyDescent="0.3">
      <c r="A1818">
        <v>1816</v>
      </c>
      <c r="B1818" s="1" t="s">
        <v>2440</v>
      </c>
      <c r="C1818" t="s">
        <v>67</v>
      </c>
      <c r="D1818" s="1" t="s">
        <v>2441</v>
      </c>
    </row>
    <row r="1819" spans="1:4" hidden="1" x14ac:dyDescent="0.3">
      <c r="A1819">
        <v>1817</v>
      </c>
      <c r="B1819" s="1" t="s">
        <v>2442</v>
      </c>
      <c r="C1819" t="s">
        <v>70</v>
      </c>
      <c r="D1819" s="1" t="s">
        <v>2443</v>
      </c>
    </row>
    <row r="1820" spans="1:4" hidden="1" x14ac:dyDescent="0.3">
      <c r="A1820">
        <v>1818</v>
      </c>
      <c r="B1820" t="s">
        <v>2444</v>
      </c>
      <c r="C1820" t="s">
        <v>73</v>
      </c>
      <c r="D1820">
        <v>0.99994432113981802</v>
      </c>
    </row>
    <row r="1821" spans="1:4" hidden="1" x14ac:dyDescent="0.3">
      <c r="A1821">
        <v>1819</v>
      </c>
      <c r="B1821" t="s">
        <v>74</v>
      </c>
      <c r="C1821" t="s">
        <v>75</v>
      </c>
      <c r="D1821">
        <v>2.7397260273972599E-3</v>
      </c>
    </row>
    <row r="1822" spans="1:4" hidden="1" x14ac:dyDescent="0.3">
      <c r="A1822">
        <v>1820</v>
      </c>
      <c r="B1822" t="s">
        <v>76</v>
      </c>
      <c r="C1822" t="s">
        <v>77</v>
      </c>
      <c r="D1822">
        <v>0</v>
      </c>
    </row>
    <row r="1823" spans="1:4" hidden="1" x14ac:dyDescent="0.3">
      <c r="A1823">
        <v>1821</v>
      </c>
      <c r="B1823" t="s">
        <v>78</v>
      </c>
      <c r="C1823" t="s">
        <v>79</v>
      </c>
      <c r="D1823">
        <v>0</v>
      </c>
    </row>
    <row r="1824" spans="1:4" hidden="1" x14ac:dyDescent="0.3">
      <c r="A1824">
        <v>1822</v>
      </c>
      <c r="B1824" s="1" t="s">
        <v>2445</v>
      </c>
      <c r="C1824" t="s">
        <v>81</v>
      </c>
      <c r="D1824" s="1" t="s">
        <v>2446</v>
      </c>
    </row>
    <row r="1825" spans="1:4" hidden="1" x14ac:dyDescent="0.3">
      <c r="A1825">
        <v>1823</v>
      </c>
      <c r="B1825" t="s">
        <v>2447</v>
      </c>
      <c r="C1825" t="s">
        <v>84</v>
      </c>
      <c r="D1825">
        <v>0.99989583712332497</v>
      </c>
    </row>
    <row r="1826" spans="1:4" hidden="1" x14ac:dyDescent="0.3">
      <c r="A1826">
        <v>1824</v>
      </c>
      <c r="B1826" s="1" t="s">
        <v>2448</v>
      </c>
      <c r="C1826" t="s">
        <v>86</v>
      </c>
      <c r="D1826" s="1" t="s">
        <v>2449</v>
      </c>
    </row>
    <row r="1827" spans="1:4" hidden="1" x14ac:dyDescent="0.3">
      <c r="A1827">
        <v>1825</v>
      </c>
      <c r="B1827" t="s">
        <v>2450</v>
      </c>
      <c r="C1827" t="s">
        <v>89</v>
      </c>
      <c r="D1827">
        <v>102960690.473974</v>
      </c>
    </row>
    <row r="1828" spans="1:4" hidden="1" x14ac:dyDescent="0.3">
      <c r="A1828">
        <v>1826</v>
      </c>
      <c r="B1828" s="1" t="s">
        <v>2451</v>
      </c>
      <c r="C1828" t="s">
        <v>91</v>
      </c>
      <c r="D1828" s="1" t="s">
        <v>2385</v>
      </c>
    </row>
    <row r="1829" spans="1:4" hidden="1" x14ac:dyDescent="0.3">
      <c r="A1829">
        <v>1827</v>
      </c>
      <c r="B1829" t="s">
        <v>2452</v>
      </c>
      <c r="C1829" t="s">
        <v>94</v>
      </c>
      <c r="D1829">
        <v>77154619.747645602</v>
      </c>
    </row>
    <row r="1830" spans="1:4" hidden="1" x14ac:dyDescent="0.3">
      <c r="A1830">
        <v>1828</v>
      </c>
      <c r="B1830" t="s">
        <v>2453</v>
      </c>
      <c r="C1830" t="s">
        <v>96</v>
      </c>
      <c r="D1830">
        <v>35283823.165070601</v>
      </c>
    </row>
    <row r="1831" spans="1:4" hidden="1" x14ac:dyDescent="0.3">
      <c r="A1831">
        <v>1829</v>
      </c>
      <c r="B1831" t="s">
        <v>2454</v>
      </c>
      <c r="C1831" t="s">
        <v>98</v>
      </c>
      <c r="D1831">
        <v>39659952.9410282</v>
      </c>
    </row>
    <row r="1832" spans="1:4" hidden="1" x14ac:dyDescent="0.3">
      <c r="A1832">
        <v>1830</v>
      </c>
      <c r="B1832" s="1" t="s">
        <v>2455</v>
      </c>
      <c r="C1832" t="s">
        <v>100</v>
      </c>
      <c r="D1832" s="1" t="s">
        <v>2456</v>
      </c>
    </row>
    <row r="1833" spans="1:4" hidden="1" x14ac:dyDescent="0.3">
      <c r="A1833">
        <v>1831</v>
      </c>
      <c r="B1833" t="s">
        <v>2457</v>
      </c>
      <c r="C1833" t="s">
        <v>103</v>
      </c>
      <c r="D1833">
        <v>1.00345172240988E-2</v>
      </c>
    </row>
    <row r="1834" spans="1:4" hidden="1" x14ac:dyDescent="0.3">
      <c r="A1834">
        <v>1832</v>
      </c>
      <c r="B1834" t="s">
        <v>2458</v>
      </c>
      <c r="C1834" t="s">
        <v>105</v>
      </c>
      <c r="D1834">
        <v>3.2638470683054202E-3</v>
      </c>
    </row>
    <row r="1835" spans="1:4" hidden="1" x14ac:dyDescent="0.3">
      <c r="A1835">
        <v>1833</v>
      </c>
      <c r="B1835" t="s">
        <v>2459</v>
      </c>
      <c r="C1835" t="s">
        <v>107</v>
      </c>
      <c r="D1835">
        <v>1.2157496143015801E-2</v>
      </c>
    </row>
    <row r="1836" spans="1:4" hidden="1" x14ac:dyDescent="0.3">
      <c r="A1836">
        <v>1834</v>
      </c>
      <c r="B1836" s="1" t="s">
        <v>2460</v>
      </c>
      <c r="C1836" t="s">
        <v>109</v>
      </c>
      <c r="D1836" s="1" t="s">
        <v>2461</v>
      </c>
    </row>
    <row r="1837" spans="1:4" hidden="1" x14ac:dyDescent="0.3">
      <c r="A1837">
        <v>1835</v>
      </c>
      <c r="B1837" t="s">
        <v>2462</v>
      </c>
      <c r="C1837" t="s">
        <v>208</v>
      </c>
      <c r="D1837">
        <v>152096690.32632601</v>
      </c>
    </row>
    <row r="1838" spans="1:4" hidden="1" x14ac:dyDescent="0.3">
      <c r="A1838">
        <v>1836</v>
      </c>
      <c r="B1838" t="s">
        <v>2463</v>
      </c>
      <c r="C1838" t="s">
        <v>210</v>
      </c>
      <c r="D1838">
        <v>3740.9127592128302</v>
      </c>
    </row>
    <row r="1839" spans="1:4" hidden="1" x14ac:dyDescent="0.3">
      <c r="A1839">
        <v>1837</v>
      </c>
      <c r="B1839" t="s">
        <v>2464</v>
      </c>
      <c r="C1839" t="s">
        <v>212</v>
      </c>
      <c r="D1839">
        <v>1710.78702026823</v>
      </c>
    </row>
    <row r="1840" spans="1:4" hidden="1" x14ac:dyDescent="0.3">
      <c r="A1840">
        <v>1838</v>
      </c>
      <c r="B1840" s="1" t="s">
        <v>2465</v>
      </c>
      <c r="C1840" t="s">
        <v>214</v>
      </c>
      <c r="D1840" s="1" t="s">
        <v>2466</v>
      </c>
    </row>
    <row r="1841" spans="1:4" hidden="1" x14ac:dyDescent="0.3">
      <c r="A1841">
        <v>1839</v>
      </c>
      <c r="B1841" t="s">
        <v>2467</v>
      </c>
      <c r="C1841" t="s">
        <v>217</v>
      </c>
      <c r="D1841">
        <v>77149612.707675397</v>
      </c>
    </row>
    <row r="1842" spans="1:4" hidden="1" x14ac:dyDescent="0.3">
      <c r="A1842">
        <v>1840</v>
      </c>
      <c r="B1842" t="s">
        <v>2468</v>
      </c>
      <c r="C1842" t="s">
        <v>219</v>
      </c>
      <c r="D1842">
        <v>35281912.339165203</v>
      </c>
    </row>
    <row r="1843" spans="1:4" hidden="1" x14ac:dyDescent="0.3">
      <c r="A1843">
        <v>1841</v>
      </c>
      <c r="B1843" t="s">
        <v>2469</v>
      </c>
      <c r="C1843" t="s">
        <v>221</v>
      </c>
      <c r="D1843">
        <v>39657790.610430598</v>
      </c>
    </row>
    <row r="1844" spans="1:4" hidden="1" x14ac:dyDescent="0.3">
      <c r="A1844">
        <v>1842</v>
      </c>
      <c r="B1844" s="1" t="s">
        <v>2470</v>
      </c>
      <c r="C1844" t="s">
        <v>223</v>
      </c>
      <c r="D1844" s="1" t="s">
        <v>2471</v>
      </c>
    </row>
    <row r="1845" spans="1:4" hidden="1" x14ac:dyDescent="0.3">
      <c r="A1845">
        <v>1843</v>
      </c>
      <c r="B1845" t="s">
        <v>2472</v>
      </c>
      <c r="C1845" t="s">
        <v>226</v>
      </c>
      <c r="D1845">
        <v>102955698.248197</v>
      </c>
    </row>
    <row r="1846" spans="1:4" hidden="1" x14ac:dyDescent="0.3">
      <c r="A1846">
        <v>1844</v>
      </c>
      <c r="B1846" t="s">
        <v>2473</v>
      </c>
      <c r="C1846" t="s">
        <v>228</v>
      </c>
      <c r="D1846">
        <v>4992.2257765531504</v>
      </c>
    </row>
    <row r="1847" spans="1:4" hidden="1" x14ac:dyDescent="0.3">
      <c r="A1847">
        <v>1845</v>
      </c>
      <c r="B1847" s="1" t="s">
        <v>2474</v>
      </c>
      <c r="C1847" t="s">
        <v>230</v>
      </c>
      <c r="D1847" s="1" t="s">
        <v>2475</v>
      </c>
    </row>
    <row r="1848" spans="1:4" hidden="1" x14ac:dyDescent="0.3">
      <c r="A1848">
        <v>1846</v>
      </c>
      <c r="B1848" t="s">
        <v>2476</v>
      </c>
      <c r="C1848" t="s">
        <v>112</v>
      </c>
      <c r="D1848">
        <v>-1266.1272109839799</v>
      </c>
    </row>
    <row r="1849" spans="1:4" hidden="1" x14ac:dyDescent="0.3">
      <c r="A1849">
        <v>1847</v>
      </c>
      <c r="B1849" t="s">
        <v>2477</v>
      </c>
      <c r="C1849" t="s">
        <v>114</v>
      </c>
      <c r="D1849">
        <v>-200.038885145509</v>
      </c>
    </row>
    <row r="1850" spans="1:4" hidden="1" x14ac:dyDescent="0.3">
      <c r="A1850">
        <v>1848</v>
      </c>
      <c r="B1850" s="1" t="s">
        <v>2478</v>
      </c>
      <c r="C1850" t="s">
        <v>116</v>
      </c>
      <c r="D1850" s="1" t="s">
        <v>2479</v>
      </c>
    </row>
    <row r="1851" spans="1:4" hidden="1" x14ac:dyDescent="0.3">
      <c r="A1851">
        <v>1849</v>
      </c>
      <c r="B1851" t="s">
        <v>2480</v>
      </c>
      <c r="C1851" t="s">
        <v>119</v>
      </c>
      <c r="D1851">
        <v>77149612.707675397</v>
      </c>
    </row>
    <row r="1852" spans="1:4" hidden="1" x14ac:dyDescent="0.3">
      <c r="A1852">
        <v>1850</v>
      </c>
      <c r="B1852" t="s">
        <v>2481</v>
      </c>
      <c r="C1852" t="s">
        <v>121</v>
      </c>
      <c r="D1852">
        <v>35281912.339165203</v>
      </c>
    </row>
    <row r="1853" spans="1:4" hidden="1" x14ac:dyDescent="0.3">
      <c r="A1853">
        <v>1851</v>
      </c>
      <c r="B1853" s="1" t="s">
        <v>2482</v>
      </c>
      <c r="C1853" t="s">
        <v>123</v>
      </c>
      <c r="D1853" s="1" t="s">
        <v>2483</v>
      </c>
    </row>
    <row r="1854" spans="1:4" hidden="1" x14ac:dyDescent="0.3">
      <c r="A1854">
        <v>1852</v>
      </c>
      <c r="B1854" t="s">
        <v>2484</v>
      </c>
      <c r="C1854" t="s">
        <v>126</v>
      </c>
      <c r="D1854">
        <v>0.74942573342969998</v>
      </c>
    </row>
    <row r="1855" spans="1:4" hidden="1" x14ac:dyDescent="0.3">
      <c r="A1855">
        <v>1853</v>
      </c>
      <c r="B1855" t="s">
        <v>2485</v>
      </c>
      <c r="C1855" t="s">
        <v>128</v>
      </c>
      <c r="D1855">
        <v>0.34272593346344499</v>
      </c>
    </row>
    <row r="1856" spans="1:4" hidden="1" x14ac:dyDescent="0.3">
      <c r="A1856">
        <v>1854</v>
      </c>
      <c r="B1856" s="1" t="s">
        <v>2486</v>
      </c>
      <c r="C1856" t="s">
        <v>130</v>
      </c>
      <c r="D1856" s="1" t="s">
        <v>2487</v>
      </c>
    </row>
    <row r="1857" spans="1:4" ht="72" x14ac:dyDescent="0.3">
      <c r="A1857">
        <v>1855</v>
      </c>
      <c r="B1857" s="1" t="s">
        <v>2488</v>
      </c>
      <c r="C1857" t="s">
        <v>4</v>
      </c>
      <c r="D1857" t="s">
        <v>2489</v>
      </c>
    </row>
    <row r="1858" spans="1:4" hidden="1" x14ac:dyDescent="0.3">
      <c r="A1858">
        <v>1856</v>
      </c>
      <c r="B1858" t="s">
        <v>2490</v>
      </c>
      <c r="C1858" t="s">
        <v>7</v>
      </c>
      <c r="D1858">
        <v>1791.28</v>
      </c>
    </row>
    <row r="1859" spans="1:4" hidden="1" x14ac:dyDescent="0.3">
      <c r="A1859">
        <v>1857</v>
      </c>
      <c r="B1859" s="1" t="s">
        <v>2491</v>
      </c>
      <c r="C1859" t="s">
        <v>9</v>
      </c>
      <c r="D1859" s="1" t="s">
        <v>2492</v>
      </c>
    </row>
    <row r="1860" spans="1:4" hidden="1" x14ac:dyDescent="0.3">
      <c r="A1860">
        <v>1858</v>
      </c>
      <c r="B1860" t="s">
        <v>2493</v>
      </c>
      <c r="C1860" t="s">
        <v>14</v>
      </c>
      <c r="D1860">
        <v>91.71875</v>
      </c>
    </row>
    <row r="1861" spans="1:4" hidden="1" x14ac:dyDescent="0.3">
      <c r="A1861">
        <v>1859</v>
      </c>
      <c r="B1861" t="s">
        <v>2494</v>
      </c>
      <c r="C1861" t="s">
        <v>16</v>
      </c>
      <c r="D1861">
        <v>4.3016937456796498</v>
      </c>
    </row>
    <row r="1862" spans="1:4" hidden="1" x14ac:dyDescent="0.3">
      <c r="A1862">
        <v>1860</v>
      </c>
      <c r="B1862" s="1" t="s">
        <v>2495</v>
      </c>
      <c r="C1862" t="s">
        <v>140</v>
      </c>
      <c r="D1862" s="1" t="s">
        <v>2496</v>
      </c>
    </row>
    <row r="1863" spans="1:4" hidden="1" x14ac:dyDescent="0.3">
      <c r="A1863">
        <v>1861</v>
      </c>
      <c r="B1863" t="s">
        <v>2497</v>
      </c>
      <c r="C1863" t="s">
        <v>22</v>
      </c>
      <c r="D1863">
        <v>65.599999999999994</v>
      </c>
    </row>
    <row r="1864" spans="1:4" hidden="1" x14ac:dyDescent="0.3">
      <c r="A1864">
        <v>1862</v>
      </c>
      <c r="B1864" t="s">
        <v>2498</v>
      </c>
      <c r="C1864" t="s">
        <v>24</v>
      </c>
      <c r="D1864">
        <v>5.5976236188941701</v>
      </c>
    </row>
    <row r="1865" spans="1:4" hidden="1" x14ac:dyDescent="0.3">
      <c r="A1865">
        <v>1863</v>
      </c>
      <c r="B1865" s="1" t="s">
        <v>2499</v>
      </c>
      <c r="C1865" t="s">
        <v>145</v>
      </c>
      <c r="D1865" s="1" t="s">
        <v>2500</v>
      </c>
    </row>
    <row r="1866" spans="1:4" hidden="1" x14ac:dyDescent="0.3">
      <c r="A1866">
        <v>1864</v>
      </c>
      <c r="B1866" t="s">
        <v>2501</v>
      </c>
      <c r="C1866" t="s">
        <v>35</v>
      </c>
      <c r="D1866">
        <v>-2.2154769857980399</v>
      </c>
    </row>
    <row r="1867" spans="1:4" hidden="1" x14ac:dyDescent="0.3">
      <c r="A1867">
        <v>1865</v>
      </c>
      <c r="B1867" t="s">
        <v>2502</v>
      </c>
      <c r="C1867" t="s">
        <v>149</v>
      </c>
      <c r="D1867">
        <v>0.56446845953570801</v>
      </c>
    </row>
    <row r="1868" spans="1:4" hidden="1" x14ac:dyDescent="0.3">
      <c r="A1868">
        <v>1866</v>
      </c>
      <c r="B1868" s="1" t="s">
        <v>2503</v>
      </c>
      <c r="C1868" t="s">
        <v>151</v>
      </c>
      <c r="D1868" s="1" t="s">
        <v>2504</v>
      </c>
    </row>
    <row r="1869" spans="1:4" hidden="1" x14ac:dyDescent="0.3">
      <c r="A1869">
        <v>1867</v>
      </c>
      <c r="B1869" t="s">
        <v>2505</v>
      </c>
      <c r="C1869" t="s">
        <v>30</v>
      </c>
      <c r="D1869">
        <v>1.3681732150046499</v>
      </c>
    </row>
    <row r="1870" spans="1:4" hidden="1" x14ac:dyDescent="0.3">
      <c r="A1870">
        <v>1868</v>
      </c>
      <c r="B1870" t="s">
        <v>2506</v>
      </c>
      <c r="C1870" t="s">
        <v>32</v>
      </c>
      <c r="D1870">
        <v>0.37772241498304199</v>
      </c>
    </row>
    <row r="1871" spans="1:4" hidden="1" x14ac:dyDescent="0.3">
      <c r="A1871">
        <v>1869</v>
      </c>
      <c r="B1871" s="1" t="s">
        <v>2507</v>
      </c>
      <c r="C1871" t="s">
        <v>155</v>
      </c>
      <c r="D1871" s="1" t="s">
        <v>2508</v>
      </c>
    </row>
    <row r="1872" spans="1:4" hidden="1" x14ac:dyDescent="0.3">
      <c r="A1872">
        <v>1870</v>
      </c>
      <c r="B1872" t="s">
        <v>2509</v>
      </c>
      <c r="C1872" t="s">
        <v>40</v>
      </c>
      <c r="D1872">
        <v>1.8473037707933799</v>
      </c>
    </row>
    <row r="1873" spans="1:4" hidden="1" x14ac:dyDescent="0.3">
      <c r="A1873">
        <v>1871</v>
      </c>
      <c r="B1873" t="s">
        <v>2510</v>
      </c>
      <c r="C1873" t="s">
        <v>42</v>
      </c>
      <c r="D1873">
        <v>0.39385575401249001</v>
      </c>
    </row>
    <row r="1874" spans="1:4" hidden="1" x14ac:dyDescent="0.3">
      <c r="A1874">
        <v>1872</v>
      </c>
      <c r="B1874" s="1" t="s">
        <v>2511</v>
      </c>
      <c r="C1874" t="s">
        <v>159</v>
      </c>
      <c r="D1874" s="1" t="s">
        <v>2512</v>
      </c>
    </row>
    <row r="1875" spans="1:4" hidden="1" x14ac:dyDescent="0.3">
      <c r="A1875">
        <v>1873</v>
      </c>
      <c r="B1875" t="s">
        <v>2513</v>
      </c>
      <c r="C1875" t="s">
        <v>161</v>
      </c>
      <c r="D1875">
        <v>1.01472279342204</v>
      </c>
    </row>
    <row r="1876" spans="1:4" hidden="1" x14ac:dyDescent="0.3">
      <c r="A1876">
        <v>1874</v>
      </c>
      <c r="B1876" t="s">
        <v>2514</v>
      </c>
      <c r="C1876" t="s">
        <v>163</v>
      </c>
      <c r="D1876">
        <v>1.0012579133200501</v>
      </c>
    </row>
    <row r="1877" spans="1:4" hidden="1" x14ac:dyDescent="0.3">
      <c r="A1877">
        <v>1875</v>
      </c>
      <c r="B1877" s="1" t="s">
        <v>2515</v>
      </c>
      <c r="C1877" t="s">
        <v>165</v>
      </c>
      <c r="D1877" s="1" t="s">
        <v>2516</v>
      </c>
    </row>
    <row r="1878" spans="1:4" hidden="1" x14ac:dyDescent="0.3">
      <c r="A1878">
        <v>1876</v>
      </c>
      <c r="B1878" t="s">
        <v>2517</v>
      </c>
      <c r="C1878" t="s">
        <v>168</v>
      </c>
      <c r="D1878">
        <v>0.998553511321571</v>
      </c>
    </row>
    <row r="1879" spans="1:4" hidden="1" x14ac:dyDescent="0.3">
      <c r="A1879">
        <v>1877</v>
      </c>
      <c r="B1879" t="s">
        <v>2518</v>
      </c>
      <c r="C1879" t="s">
        <v>170</v>
      </c>
      <c r="D1879">
        <v>1.00132907232017</v>
      </c>
    </row>
    <row r="1880" spans="1:4" hidden="1" x14ac:dyDescent="0.3">
      <c r="A1880">
        <v>1878</v>
      </c>
      <c r="B1880" s="1" t="s">
        <v>2519</v>
      </c>
      <c r="C1880" t="s">
        <v>172</v>
      </c>
      <c r="D1880" s="1" t="s">
        <v>2520</v>
      </c>
    </row>
    <row r="1881" spans="1:4" hidden="1" x14ac:dyDescent="0.3">
      <c r="A1881">
        <v>1879</v>
      </c>
      <c r="B1881" s="1" t="s">
        <v>2521</v>
      </c>
      <c r="C1881" t="s">
        <v>55</v>
      </c>
      <c r="D1881" s="1" t="s">
        <v>2522</v>
      </c>
    </row>
    <row r="1882" spans="1:4" hidden="1" x14ac:dyDescent="0.3">
      <c r="A1882">
        <v>1880</v>
      </c>
      <c r="B1882" s="1" t="s">
        <v>2523</v>
      </c>
      <c r="C1882" t="s">
        <v>52</v>
      </c>
      <c r="D1882" s="1" t="s">
        <v>2524</v>
      </c>
    </row>
    <row r="1883" spans="1:4" hidden="1" x14ac:dyDescent="0.3">
      <c r="A1883">
        <v>1881</v>
      </c>
      <c r="B1883" s="1" t="s">
        <v>2525</v>
      </c>
      <c r="C1883" t="s">
        <v>58</v>
      </c>
      <c r="D1883" s="1" t="s">
        <v>2526</v>
      </c>
    </row>
    <row r="1884" spans="1:4" hidden="1" x14ac:dyDescent="0.3">
      <c r="A1884">
        <v>1882</v>
      </c>
      <c r="B1884" t="s">
        <v>2527</v>
      </c>
      <c r="C1884" t="s">
        <v>61</v>
      </c>
      <c r="D1884">
        <v>153823849.28591901</v>
      </c>
    </row>
    <row r="1885" spans="1:4" hidden="1" x14ac:dyDescent="0.3">
      <c r="A1885">
        <v>1883</v>
      </c>
      <c r="B1885" t="s">
        <v>2528</v>
      </c>
      <c r="C1885" t="s">
        <v>63</v>
      </c>
      <c r="D1885">
        <v>78285470.518161207</v>
      </c>
    </row>
    <row r="1886" spans="1:4" hidden="1" x14ac:dyDescent="0.3">
      <c r="A1886">
        <v>1884</v>
      </c>
      <c r="B1886" t="s">
        <v>2529</v>
      </c>
      <c r="C1886" t="s">
        <v>65</v>
      </c>
      <c r="D1886">
        <v>35326293.926653497</v>
      </c>
    </row>
    <row r="1887" spans="1:4" hidden="1" x14ac:dyDescent="0.3">
      <c r="A1887">
        <v>1885</v>
      </c>
      <c r="B1887" s="1" t="s">
        <v>2530</v>
      </c>
      <c r="C1887" t="s">
        <v>67</v>
      </c>
      <c r="D1887" s="1" t="s">
        <v>2531</v>
      </c>
    </row>
    <row r="1888" spans="1:4" hidden="1" x14ac:dyDescent="0.3">
      <c r="A1888">
        <v>1886</v>
      </c>
      <c r="B1888" s="1" t="s">
        <v>2532</v>
      </c>
      <c r="C1888" t="s">
        <v>70</v>
      </c>
      <c r="D1888" s="1" t="s">
        <v>2533</v>
      </c>
    </row>
    <row r="1889" spans="1:4" hidden="1" x14ac:dyDescent="0.3">
      <c r="A1889">
        <v>1887</v>
      </c>
      <c r="B1889" t="s">
        <v>2534</v>
      </c>
      <c r="C1889" t="s">
        <v>73</v>
      </c>
      <c r="D1889">
        <v>0.99989583712332497</v>
      </c>
    </row>
    <row r="1890" spans="1:4" hidden="1" x14ac:dyDescent="0.3">
      <c r="A1890">
        <v>1888</v>
      </c>
      <c r="B1890" t="s">
        <v>74</v>
      </c>
      <c r="C1890" t="s">
        <v>75</v>
      </c>
      <c r="D1890">
        <v>2.7397260273972599E-3</v>
      </c>
    </row>
    <row r="1891" spans="1:4" hidden="1" x14ac:dyDescent="0.3">
      <c r="A1891">
        <v>1889</v>
      </c>
      <c r="B1891" t="s">
        <v>76</v>
      </c>
      <c r="C1891" t="s">
        <v>77</v>
      </c>
      <c r="D1891">
        <v>0</v>
      </c>
    </row>
    <row r="1892" spans="1:4" hidden="1" x14ac:dyDescent="0.3">
      <c r="A1892">
        <v>1890</v>
      </c>
      <c r="B1892" t="s">
        <v>78</v>
      </c>
      <c r="C1892" t="s">
        <v>79</v>
      </c>
      <c r="D1892">
        <v>0</v>
      </c>
    </row>
    <row r="1893" spans="1:4" hidden="1" x14ac:dyDescent="0.3">
      <c r="A1893">
        <v>1891</v>
      </c>
      <c r="B1893" s="1" t="s">
        <v>2535</v>
      </c>
      <c r="C1893" t="s">
        <v>81</v>
      </c>
      <c r="D1893" s="1" t="s">
        <v>2536</v>
      </c>
    </row>
    <row r="1894" spans="1:4" hidden="1" x14ac:dyDescent="0.3">
      <c r="A1894">
        <v>1892</v>
      </c>
      <c r="B1894" t="s">
        <v>2537</v>
      </c>
      <c r="C1894" t="s">
        <v>84</v>
      </c>
      <c r="D1894">
        <v>0.99992829849658604</v>
      </c>
    </row>
    <row r="1895" spans="1:4" hidden="1" x14ac:dyDescent="0.3">
      <c r="A1895">
        <v>1893</v>
      </c>
      <c r="B1895" s="1" t="s">
        <v>2538</v>
      </c>
      <c r="C1895" t="s">
        <v>86</v>
      </c>
      <c r="D1895" s="1" t="s">
        <v>2539</v>
      </c>
    </row>
    <row r="1896" spans="1:4" hidden="1" x14ac:dyDescent="0.3">
      <c r="A1896">
        <v>1894</v>
      </c>
      <c r="B1896" t="s">
        <v>2540</v>
      </c>
      <c r="C1896" t="s">
        <v>89</v>
      </c>
      <c r="D1896">
        <v>102957347.98890799</v>
      </c>
    </row>
    <row r="1897" spans="1:4" hidden="1" x14ac:dyDescent="0.3">
      <c r="A1897">
        <v>1895</v>
      </c>
      <c r="B1897" s="1" t="s">
        <v>2541</v>
      </c>
      <c r="C1897" t="s">
        <v>91</v>
      </c>
      <c r="D1897" s="1" t="s">
        <v>2475</v>
      </c>
    </row>
    <row r="1898" spans="1:4" hidden="1" x14ac:dyDescent="0.3">
      <c r="A1898">
        <v>1896</v>
      </c>
      <c r="B1898" t="s">
        <v>2542</v>
      </c>
      <c r="C1898" t="s">
        <v>94</v>
      </c>
      <c r="D1898">
        <v>78285470.518161207</v>
      </c>
    </row>
    <row r="1899" spans="1:4" hidden="1" x14ac:dyDescent="0.3">
      <c r="A1899">
        <v>1897</v>
      </c>
      <c r="B1899" t="s">
        <v>2543</v>
      </c>
      <c r="C1899" t="s">
        <v>96</v>
      </c>
      <c r="D1899">
        <v>35326293.926653497</v>
      </c>
    </row>
    <row r="1900" spans="1:4" hidden="1" x14ac:dyDescent="0.3">
      <c r="A1900">
        <v>1898</v>
      </c>
      <c r="B1900" t="s">
        <v>2544</v>
      </c>
      <c r="C1900" t="s">
        <v>98</v>
      </c>
      <c r="D1900">
        <v>40212084.841104597</v>
      </c>
    </row>
    <row r="1901" spans="1:4" hidden="1" x14ac:dyDescent="0.3">
      <c r="A1901">
        <v>1899</v>
      </c>
      <c r="B1901" s="1" t="s">
        <v>2545</v>
      </c>
      <c r="C1901" t="s">
        <v>100</v>
      </c>
      <c r="D1901" s="1" t="s">
        <v>2546</v>
      </c>
    </row>
    <row r="1902" spans="1:4" hidden="1" x14ac:dyDescent="0.3">
      <c r="A1902">
        <v>1900</v>
      </c>
      <c r="B1902" t="s">
        <v>2547</v>
      </c>
      <c r="C1902" t="s">
        <v>103</v>
      </c>
      <c r="D1902">
        <v>9.8577113546266196E-3</v>
      </c>
    </row>
    <row r="1903" spans="1:4" hidden="1" x14ac:dyDescent="0.3">
      <c r="A1903">
        <v>1901</v>
      </c>
      <c r="B1903" t="s">
        <v>2548</v>
      </c>
      <c r="C1903" t="s">
        <v>105</v>
      </c>
      <c r="D1903">
        <v>3.2463333863324601E-3</v>
      </c>
    </row>
    <row r="1904" spans="1:4" hidden="1" x14ac:dyDescent="0.3">
      <c r="A1904">
        <v>1902</v>
      </c>
      <c r="B1904" t="s">
        <v>2549</v>
      </c>
      <c r="C1904" t="s">
        <v>107</v>
      </c>
      <c r="D1904">
        <v>1.2162865309342E-2</v>
      </c>
    </row>
    <row r="1905" spans="1:4" hidden="1" x14ac:dyDescent="0.3">
      <c r="A1905">
        <v>1903</v>
      </c>
      <c r="B1905" s="1" t="s">
        <v>2550</v>
      </c>
      <c r="C1905" t="s">
        <v>109</v>
      </c>
      <c r="D1905" s="1" t="s">
        <v>2551</v>
      </c>
    </row>
    <row r="1906" spans="1:4" hidden="1" x14ac:dyDescent="0.3">
      <c r="A1906">
        <v>1904</v>
      </c>
      <c r="B1906" t="s">
        <v>2552</v>
      </c>
      <c r="C1906" t="s">
        <v>208</v>
      </c>
      <c r="D1906">
        <v>153824989.728257</v>
      </c>
    </row>
    <row r="1907" spans="1:4" hidden="1" x14ac:dyDescent="0.3">
      <c r="A1907">
        <v>1905</v>
      </c>
      <c r="B1907" t="s">
        <v>2553</v>
      </c>
      <c r="C1907" t="s">
        <v>210</v>
      </c>
      <c r="D1907">
        <v>-2541.54300786973</v>
      </c>
    </row>
    <row r="1908" spans="1:4" hidden="1" x14ac:dyDescent="0.3">
      <c r="A1908">
        <v>1906</v>
      </c>
      <c r="B1908" t="s">
        <v>2554</v>
      </c>
      <c r="C1908" t="s">
        <v>212</v>
      </c>
      <c r="D1908">
        <v>-1146.8651487229399</v>
      </c>
    </row>
    <row r="1909" spans="1:4" hidden="1" x14ac:dyDescent="0.3">
      <c r="A1909">
        <v>1907</v>
      </c>
      <c r="B1909" s="1" t="s">
        <v>2555</v>
      </c>
      <c r="C1909" t="s">
        <v>214</v>
      </c>
      <c r="D1909" s="1" t="s">
        <v>2556</v>
      </c>
    </row>
    <row r="1910" spans="1:4" hidden="1" x14ac:dyDescent="0.3">
      <c r="A1910">
        <v>1908</v>
      </c>
      <c r="B1910" t="s">
        <v>2557</v>
      </c>
      <c r="C1910" t="s">
        <v>217</v>
      </c>
      <c r="D1910">
        <v>78288763.539284706</v>
      </c>
    </row>
    <row r="1911" spans="1:4" hidden="1" x14ac:dyDescent="0.3">
      <c r="A1911">
        <v>1909</v>
      </c>
      <c r="B1911" t="s">
        <v>2558</v>
      </c>
      <c r="C1911" t="s">
        <v>219</v>
      </c>
      <c r="D1911">
        <v>35327615.6105951</v>
      </c>
    </row>
    <row r="1912" spans="1:4" hidden="1" x14ac:dyDescent="0.3">
      <c r="A1912">
        <v>1910</v>
      </c>
      <c r="B1912" t="s">
        <v>2559</v>
      </c>
      <c r="C1912" t="s">
        <v>221</v>
      </c>
      <c r="D1912">
        <v>40213604.468964301</v>
      </c>
    </row>
    <row r="1913" spans="1:4" hidden="1" x14ac:dyDescent="0.3">
      <c r="A1913">
        <v>1911</v>
      </c>
      <c r="B1913" s="1" t="s">
        <v>2560</v>
      </c>
      <c r="C1913" t="s">
        <v>223</v>
      </c>
      <c r="D1913" s="1" t="s">
        <v>2561</v>
      </c>
    </row>
    <row r="1914" spans="1:4" hidden="1" x14ac:dyDescent="0.3">
      <c r="A1914">
        <v>1912</v>
      </c>
      <c r="B1914" t="s">
        <v>2562</v>
      </c>
      <c r="C1914" t="s">
        <v>226</v>
      </c>
      <c r="D1914">
        <v>102960690.473974</v>
      </c>
    </row>
    <row r="1915" spans="1:4" hidden="1" x14ac:dyDescent="0.3">
      <c r="A1915">
        <v>1913</v>
      </c>
      <c r="B1915" t="s">
        <v>2563</v>
      </c>
      <c r="C1915" t="s">
        <v>228</v>
      </c>
      <c r="D1915">
        <v>-3342.4850659221402</v>
      </c>
    </row>
    <row r="1916" spans="1:4" hidden="1" x14ac:dyDescent="0.3">
      <c r="A1916">
        <v>1914</v>
      </c>
      <c r="B1916" s="1" t="s">
        <v>2564</v>
      </c>
      <c r="C1916" t="s">
        <v>230</v>
      </c>
      <c r="D1916" s="1" t="s">
        <v>2565</v>
      </c>
    </row>
    <row r="1917" spans="1:4" hidden="1" x14ac:dyDescent="0.3">
      <c r="A1917">
        <v>1915</v>
      </c>
      <c r="B1917" t="s">
        <v>2566</v>
      </c>
      <c r="C1917" t="s">
        <v>112</v>
      </c>
      <c r="D1917">
        <v>751.47811567595795</v>
      </c>
    </row>
    <row r="1918" spans="1:4" hidden="1" x14ac:dyDescent="0.3">
      <c r="A1918">
        <v>1916</v>
      </c>
      <c r="B1918" t="s">
        <v>2567</v>
      </c>
      <c r="C1918" t="s">
        <v>114</v>
      </c>
      <c r="D1918">
        <v>174.81879280486399</v>
      </c>
    </row>
    <row r="1919" spans="1:4" hidden="1" x14ac:dyDescent="0.3">
      <c r="A1919">
        <v>1917</v>
      </c>
      <c r="B1919" s="1" t="s">
        <v>2568</v>
      </c>
      <c r="C1919" t="s">
        <v>116</v>
      </c>
      <c r="D1919" s="1" t="s">
        <v>2569</v>
      </c>
    </row>
    <row r="1920" spans="1:4" hidden="1" x14ac:dyDescent="0.3">
      <c r="A1920">
        <v>1918</v>
      </c>
      <c r="B1920" t="s">
        <v>2570</v>
      </c>
      <c r="C1920" t="s">
        <v>119</v>
      </c>
      <c r="D1920">
        <v>78288763.539284706</v>
      </c>
    </row>
    <row r="1921" spans="1:4" hidden="1" x14ac:dyDescent="0.3">
      <c r="A1921">
        <v>1919</v>
      </c>
      <c r="B1921" t="s">
        <v>2571</v>
      </c>
      <c r="C1921" t="s">
        <v>121</v>
      </c>
      <c r="D1921">
        <v>35327615.6105951</v>
      </c>
    </row>
    <row r="1922" spans="1:4" hidden="1" x14ac:dyDescent="0.3">
      <c r="A1922">
        <v>1920</v>
      </c>
      <c r="B1922" s="1" t="s">
        <v>2572</v>
      </c>
      <c r="C1922" t="s">
        <v>123</v>
      </c>
      <c r="D1922" s="1" t="s">
        <v>2573</v>
      </c>
    </row>
    <row r="1923" spans="1:4" hidden="1" x14ac:dyDescent="0.3">
      <c r="A1923">
        <v>1921</v>
      </c>
      <c r="B1923" t="s">
        <v>2574</v>
      </c>
      <c r="C1923" t="s">
        <v>126</v>
      </c>
      <c r="D1923">
        <v>0.76042980096021395</v>
      </c>
    </row>
    <row r="1924" spans="1:4" hidden="1" x14ac:dyDescent="0.3">
      <c r="A1924">
        <v>1922</v>
      </c>
      <c r="B1924" t="s">
        <v>2575</v>
      </c>
      <c r="C1924" t="s">
        <v>128</v>
      </c>
      <c r="D1924">
        <v>0.34314211251635801</v>
      </c>
    </row>
    <row r="1925" spans="1:4" hidden="1" x14ac:dyDescent="0.3">
      <c r="A1925">
        <v>1923</v>
      </c>
      <c r="B1925" s="1" t="s">
        <v>2576</v>
      </c>
      <c r="C1925" t="s">
        <v>130</v>
      </c>
      <c r="D1925" s="1" t="s">
        <v>2577</v>
      </c>
    </row>
    <row r="1926" spans="1:4" ht="72" x14ac:dyDescent="0.3">
      <c r="A1926">
        <v>1924</v>
      </c>
      <c r="B1926" s="1" t="s">
        <v>2578</v>
      </c>
      <c r="C1926" t="s">
        <v>4</v>
      </c>
      <c r="D1926" t="s">
        <v>2579</v>
      </c>
    </row>
    <row r="1927" spans="1:4" hidden="1" x14ac:dyDescent="0.3">
      <c r="A1927">
        <v>1925</v>
      </c>
      <c r="B1927" t="s">
        <v>2580</v>
      </c>
      <c r="C1927" t="s">
        <v>7</v>
      </c>
      <c r="D1927">
        <v>1775.5</v>
      </c>
    </row>
    <row r="1928" spans="1:4" hidden="1" x14ac:dyDescent="0.3">
      <c r="A1928">
        <v>1926</v>
      </c>
      <c r="B1928" s="1" t="s">
        <v>2581</v>
      </c>
      <c r="C1928" t="s">
        <v>9</v>
      </c>
      <c r="D1928" s="1" t="s">
        <v>2582</v>
      </c>
    </row>
    <row r="1929" spans="1:4" hidden="1" x14ac:dyDescent="0.3">
      <c r="A1929">
        <v>1927</v>
      </c>
      <c r="B1929" t="s">
        <v>2583</v>
      </c>
      <c r="C1929" t="s">
        <v>14</v>
      </c>
      <c r="D1929">
        <v>91.1640625</v>
      </c>
    </row>
    <row r="1930" spans="1:4" hidden="1" x14ac:dyDescent="0.3">
      <c r="A1930">
        <v>1928</v>
      </c>
      <c r="B1930" t="s">
        <v>2584</v>
      </c>
      <c r="C1930" t="s">
        <v>16</v>
      </c>
      <c r="D1930">
        <v>4.2918461737119902</v>
      </c>
    </row>
    <row r="1931" spans="1:4" hidden="1" x14ac:dyDescent="0.3">
      <c r="A1931">
        <v>1929</v>
      </c>
      <c r="B1931" s="1" t="s">
        <v>2585</v>
      </c>
      <c r="C1931" t="s">
        <v>140</v>
      </c>
      <c r="D1931" s="1" t="s">
        <v>2586</v>
      </c>
    </row>
    <row r="1932" spans="1:4" hidden="1" x14ac:dyDescent="0.3">
      <c r="A1932">
        <v>1930</v>
      </c>
      <c r="B1932" t="s">
        <v>2587</v>
      </c>
      <c r="C1932" t="s">
        <v>22</v>
      </c>
      <c r="D1932">
        <v>66.099999999999994</v>
      </c>
    </row>
    <row r="1933" spans="1:4" hidden="1" x14ac:dyDescent="0.3">
      <c r="A1933">
        <v>1931</v>
      </c>
      <c r="B1933" t="s">
        <v>2588</v>
      </c>
      <c r="C1933" t="s">
        <v>24</v>
      </c>
      <c r="D1933">
        <v>5.4685881481475302</v>
      </c>
    </row>
    <row r="1934" spans="1:4" hidden="1" x14ac:dyDescent="0.3">
      <c r="A1934">
        <v>1932</v>
      </c>
      <c r="B1934" s="1" t="s">
        <v>2589</v>
      </c>
      <c r="C1934" t="s">
        <v>145</v>
      </c>
      <c r="D1934" s="1" t="s">
        <v>2590</v>
      </c>
    </row>
    <row r="1935" spans="1:4" hidden="1" x14ac:dyDescent="0.3">
      <c r="A1935">
        <v>1933</v>
      </c>
      <c r="B1935" t="s">
        <v>2591</v>
      </c>
      <c r="C1935" t="s">
        <v>35</v>
      </c>
      <c r="D1935">
        <v>6.1221132787356199E-3</v>
      </c>
    </row>
    <row r="1936" spans="1:4" hidden="1" x14ac:dyDescent="0.3">
      <c r="A1936">
        <v>1934</v>
      </c>
      <c r="B1936" t="s">
        <v>2592</v>
      </c>
      <c r="C1936" t="s">
        <v>149</v>
      </c>
      <c r="D1936">
        <v>0.558112262240955</v>
      </c>
    </row>
    <row r="1937" spans="1:4" hidden="1" x14ac:dyDescent="0.3">
      <c r="A1937">
        <v>1935</v>
      </c>
      <c r="B1937" s="1" t="s">
        <v>2593</v>
      </c>
      <c r="C1937" t="s">
        <v>151</v>
      </c>
      <c r="D1937" s="1" t="s">
        <v>2594</v>
      </c>
    </row>
    <row r="1938" spans="1:4" hidden="1" x14ac:dyDescent="0.3">
      <c r="A1938">
        <v>1936</v>
      </c>
      <c r="B1938" t="s">
        <v>2595</v>
      </c>
      <c r="C1938" t="s">
        <v>30</v>
      </c>
      <c r="D1938">
        <v>0.42683035034961198</v>
      </c>
    </row>
    <row r="1939" spans="1:4" hidden="1" x14ac:dyDescent="0.3">
      <c r="A1939">
        <v>1937</v>
      </c>
      <c r="B1939" t="s">
        <v>2596</v>
      </c>
      <c r="C1939" t="s">
        <v>32</v>
      </c>
      <c r="D1939">
        <v>0.38237909289259298</v>
      </c>
    </row>
    <row r="1940" spans="1:4" hidden="1" x14ac:dyDescent="0.3">
      <c r="A1940">
        <v>1938</v>
      </c>
      <c r="B1940" s="1" t="s">
        <v>2597</v>
      </c>
      <c r="C1940" t="s">
        <v>155</v>
      </c>
      <c r="D1940" s="1" t="s">
        <v>2598</v>
      </c>
    </row>
    <row r="1941" spans="1:4" hidden="1" x14ac:dyDescent="0.3">
      <c r="A1941">
        <v>1939</v>
      </c>
      <c r="B1941" t="s">
        <v>2599</v>
      </c>
      <c r="C1941" t="s">
        <v>40</v>
      </c>
      <c r="D1941">
        <v>0.56704753637165095</v>
      </c>
    </row>
    <row r="1942" spans="1:4" hidden="1" x14ac:dyDescent="0.3">
      <c r="A1942">
        <v>1940</v>
      </c>
      <c r="B1942" t="s">
        <v>2600</v>
      </c>
      <c r="C1942" t="s">
        <v>42</v>
      </c>
      <c r="D1942">
        <v>0.40937512512934698</v>
      </c>
    </row>
    <row r="1943" spans="1:4" hidden="1" x14ac:dyDescent="0.3">
      <c r="A1943">
        <v>1941</v>
      </c>
      <c r="B1943" s="1" t="s">
        <v>2601</v>
      </c>
      <c r="C1943" t="s">
        <v>159</v>
      </c>
      <c r="D1943" s="1" t="s">
        <v>2602</v>
      </c>
    </row>
    <row r="1944" spans="1:4" hidden="1" x14ac:dyDescent="0.3">
      <c r="A1944">
        <v>1942</v>
      </c>
      <c r="B1944" t="s">
        <v>2603</v>
      </c>
      <c r="C1944" t="s">
        <v>161</v>
      </c>
      <c r="D1944">
        <v>0.991190656960385</v>
      </c>
    </row>
    <row r="1945" spans="1:4" hidden="1" x14ac:dyDescent="0.3">
      <c r="A1945">
        <v>1943</v>
      </c>
      <c r="B1945" t="s">
        <v>2604</v>
      </c>
      <c r="C1945" t="s">
        <v>163</v>
      </c>
      <c r="D1945">
        <v>0.99412067836863005</v>
      </c>
    </row>
    <row r="1946" spans="1:4" hidden="1" x14ac:dyDescent="0.3">
      <c r="A1946">
        <v>1944</v>
      </c>
      <c r="B1946" s="1" t="s">
        <v>2605</v>
      </c>
      <c r="C1946" t="s">
        <v>165</v>
      </c>
      <c r="D1946" s="1" t="s">
        <v>2606</v>
      </c>
    </row>
    <row r="1947" spans="1:4" hidden="1" x14ac:dyDescent="0.3">
      <c r="A1947">
        <v>1945</v>
      </c>
      <c r="B1947" t="s">
        <v>2607</v>
      </c>
      <c r="C1947" t="s">
        <v>168</v>
      </c>
      <c r="D1947">
        <v>0.99593715216435896</v>
      </c>
    </row>
    <row r="1948" spans="1:4" hidden="1" x14ac:dyDescent="0.3">
      <c r="A1948">
        <v>1946</v>
      </c>
      <c r="B1948" t="s">
        <v>2608</v>
      </c>
      <c r="C1948" t="s">
        <v>170</v>
      </c>
      <c r="D1948">
        <v>1.0033799826865699</v>
      </c>
    </row>
    <row r="1949" spans="1:4" hidden="1" x14ac:dyDescent="0.3">
      <c r="A1949">
        <v>1947</v>
      </c>
      <c r="B1949" s="1" t="s">
        <v>2609</v>
      </c>
      <c r="C1949" t="s">
        <v>172</v>
      </c>
      <c r="D1949" s="1" t="s">
        <v>2610</v>
      </c>
    </row>
    <row r="1950" spans="1:4" hidden="1" x14ac:dyDescent="0.3">
      <c r="A1950">
        <v>1948</v>
      </c>
      <c r="B1950" s="1" t="s">
        <v>2611</v>
      </c>
      <c r="C1950" t="s">
        <v>55</v>
      </c>
      <c r="D1950" s="1" t="s">
        <v>2612</v>
      </c>
    </row>
    <row r="1951" spans="1:4" hidden="1" x14ac:dyDescent="0.3">
      <c r="A1951">
        <v>1949</v>
      </c>
      <c r="B1951" s="1" t="s">
        <v>2613</v>
      </c>
      <c r="C1951" t="s">
        <v>52</v>
      </c>
      <c r="D1951" s="1" t="s">
        <v>2614</v>
      </c>
    </row>
    <row r="1952" spans="1:4" hidden="1" x14ac:dyDescent="0.3">
      <c r="A1952">
        <v>1950</v>
      </c>
      <c r="B1952" s="1" t="s">
        <v>2615</v>
      </c>
      <c r="C1952" t="s">
        <v>58</v>
      </c>
      <c r="D1952" s="1" t="s">
        <v>2616</v>
      </c>
    </row>
    <row r="1953" spans="1:4" hidden="1" x14ac:dyDescent="0.3">
      <c r="A1953">
        <v>1951</v>
      </c>
      <c r="B1953" t="s">
        <v>2617</v>
      </c>
      <c r="C1953" t="s">
        <v>61</v>
      </c>
      <c r="D1953">
        <v>153142135.579014</v>
      </c>
    </row>
    <row r="1954" spans="1:4" hidden="1" x14ac:dyDescent="0.3">
      <c r="A1954">
        <v>1952</v>
      </c>
      <c r="B1954" t="s">
        <v>2618</v>
      </c>
      <c r="C1954" t="s">
        <v>63</v>
      </c>
      <c r="D1954">
        <v>77599090.965119898</v>
      </c>
    </row>
    <row r="1955" spans="1:4" hidden="1" x14ac:dyDescent="0.3">
      <c r="A1955">
        <v>1953</v>
      </c>
      <c r="B1955" t="s">
        <v>2619</v>
      </c>
      <c r="C1955" t="s">
        <v>65</v>
      </c>
      <c r="D1955">
        <v>35119913.195951</v>
      </c>
    </row>
    <row r="1956" spans="1:4" hidden="1" x14ac:dyDescent="0.3">
      <c r="A1956">
        <v>1954</v>
      </c>
      <c r="B1956" s="1" t="s">
        <v>2620</v>
      </c>
      <c r="C1956" t="s">
        <v>67</v>
      </c>
      <c r="D1956" s="1" t="s">
        <v>2621</v>
      </c>
    </row>
    <row r="1957" spans="1:4" hidden="1" x14ac:dyDescent="0.3">
      <c r="A1957">
        <v>1955</v>
      </c>
      <c r="B1957" s="1" t="s">
        <v>2622</v>
      </c>
      <c r="C1957" t="s">
        <v>70</v>
      </c>
      <c r="D1957" s="1" t="s">
        <v>2623</v>
      </c>
    </row>
    <row r="1958" spans="1:4" hidden="1" x14ac:dyDescent="0.3">
      <c r="A1958">
        <v>1956</v>
      </c>
      <c r="B1958" t="s">
        <v>2624</v>
      </c>
      <c r="C1958" t="s">
        <v>73</v>
      </c>
      <c r="D1958">
        <v>0.99992829849658604</v>
      </c>
    </row>
    <row r="1959" spans="1:4" hidden="1" x14ac:dyDescent="0.3">
      <c r="A1959">
        <v>1957</v>
      </c>
      <c r="B1959" t="s">
        <v>74</v>
      </c>
      <c r="C1959" t="s">
        <v>75</v>
      </c>
      <c r="D1959">
        <v>2.7397260273972599E-3</v>
      </c>
    </row>
    <row r="1960" spans="1:4" hidden="1" x14ac:dyDescent="0.3">
      <c r="A1960">
        <v>1958</v>
      </c>
      <c r="B1960" t="s">
        <v>76</v>
      </c>
      <c r="C1960" t="s">
        <v>77</v>
      </c>
      <c r="D1960">
        <v>0</v>
      </c>
    </row>
    <row r="1961" spans="1:4" hidden="1" x14ac:dyDescent="0.3">
      <c r="A1961">
        <v>1959</v>
      </c>
      <c r="B1961" t="s">
        <v>78</v>
      </c>
      <c r="C1961" t="s">
        <v>79</v>
      </c>
      <c r="D1961">
        <v>0</v>
      </c>
    </row>
    <row r="1962" spans="1:4" hidden="1" x14ac:dyDescent="0.3">
      <c r="A1962">
        <v>1960</v>
      </c>
      <c r="B1962" s="1" t="s">
        <v>2625</v>
      </c>
      <c r="C1962" t="s">
        <v>81</v>
      </c>
      <c r="D1962" s="1" t="s">
        <v>2626</v>
      </c>
    </row>
    <row r="1963" spans="1:4" hidden="1" x14ac:dyDescent="0.3">
      <c r="A1963">
        <v>1961</v>
      </c>
      <c r="B1963" t="s">
        <v>2627</v>
      </c>
      <c r="C1963" t="s">
        <v>84</v>
      </c>
      <c r="D1963">
        <v>0.99990554801654996</v>
      </c>
    </row>
    <row r="1964" spans="1:4" hidden="1" x14ac:dyDescent="0.3">
      <c r="A1964">
        <v>1962</v>
      </c>
      <c r="B1964" s="1" t="s">
        <v>2628</v>
      </c>
      <c r="C1964" t="s">
        <v>86</v>
      </c>
      <c r="D1964" s="1" t="s">
        <v>2629</v>
      </c>
    </row>
    <row r="1965" spans="1:4" hidden="1" x14ac:dyDescent="0.3">
      <c r="A1965">
        <v>1963</v>
      </c>
      <c r="B1965" t="s">
        <v>2630</v>
      </c>
      <c r="C1965" t="s">
        <v>89</v>
      </c>
      <c r="D1965">
        <v>102959690.53925601</v>
      </c>
    </row>
    <row r="1966" spans="1:4" hidden="1" x14ac:dyDescent="0.3">
      <c r="A1966">
        <v>1964</v>
      </c>
      <c r="B1966" s="1" t="s">
        <v>2631</v>
      </c>
      <c r="C1966" t="s">
        <v>91</v>
      </c>
      <c r="D1966" s="1" t="s">
        <v>2565</v>
      </c>
    </row>
    <row r="1967" spans="1:4" hidden="1" x14ac:dyDescent="0.3">
      <c r="A1967">
        <v>1965</v>
      </c>
      <c r="B1967" t="s">
        <v>2632</v>
      </c>
      <c r="C1967" t="s">
        <v>94</v>
      </c>
      <c r="D1967">
        <v>77599090.965119898</v>
      </c>
    </row>
    <row r="1968" spans="1:4" hidden="1" x14ac:dyDescent="0.3">
      <c r="A1968">
        <v>1966</v>
      </c>
      <c r="B1968" t="s">
        <v>2633</v>
      </c>
      <c r="C1968" t="s">
        <v>96</v>
      </c>
      <c r="D1968">
        <v>35119913.195951</v>
      </c>
    </row>
    <row r="1969" spans="1:4" hidden="1" x14ac:dyDescent="0.3">
      <c r="A1969">
        <v>1967</v>
      </c>
      <c r="B1969" t="s">
        <v>2634</v>
      </c>
      <c r="C1969" t="s">
        <v>98</v>
      </c>
      <c r="D1969">
        <v>40423131.417943098</v>
      </c>
    </row>
    <row r="1970" spans="1:4" hidden="1" x14ac:dyDescent="0.3">
      <c r="A1970">
        <v>1968</v>
      </c>
      <c r="B1970" s="1" t="s">
        <v>2635</v>
      </c>
      <c r="C1970" t="s">
        <v>100</v>
      </c>
      <c r="D1970" s="1" t="s">
        <v>2636</v>
      </c>
    </row>
    <row r="1971" spans="1:4" hidden="1" x14ac:dyDescent="0.3">
      <c r="A1971">
        <v>1969</v>
      </c>
      <c r="B1971" t="s">
        <v>2637</v>
      </c>
      <c r="C1971" t="s">
        <v>103</v>
      </c>
      <c r="D1971">
        <v>9.8706670691416903E-3</v>
      </c>
    </row>
    <row r="1972" spans="1:4" hidden="1" x14ac:dyDescent="0.3">
      <c r="A1972">
        <v>1970</v>
      </c>
      <c r="B1972" t="s">
        <v>2638</v>
      </c>
      <c r="C1972" t="s">
        <v>105</v>
      </c>
      <c r="D1972">
        <v>3.2888321782704299E-3</v>
      </c>
    </row>
    <row r="1973" spans="1:4" hidden="1" x14ac:dyDescent="0.3">
      <c r="A1973">
        <v>1971</v>
      </c>
      <c r="B1973" t="s">
        <v>2639</v>
      </c>
      <c r="C1973" t="s">
        <v>107</v>
      </c>
      <c r="D1973">
        <v>1.2153516510682199E-2</v>
      </c>
    </row>
    <row r="1974" spans="1:4" hidden="1" x14ac:dyDescent="0.3">
      <c r="A1974">
        <v>1972</v>
      </c>
      <c r="B1974" s="1" t="s">
        <v>2640</v>
      </c>
      <c r="C1974" t="s">
        <v>109</v>
      </c>
      <c r="D1974" s="1" t="s">
        <v>2641</v>
      </c>
    </row>
    <row r="1975" spans="1:4" hidden="1" x14ac:dyDescent="0.3">
      <c r="A1975">
        <v>1973</v>
      </c>
      <c r="B1975" t="s">
        <v>2642</v>
      </c>
      <c r="C1975" t="s">
        <v>208</v>
      </c>
      <c r="D1975">
        <v>153141335.03286201</v>
      </c>
    </row>
    <row r="1976" spans="1:4" hidden="1" x14ac:dyDescent="0.3">
      <c r="A1976">
        <v>1974</v>
      </c>
      <c r="B1976" t="s">
        <v>2643</v>
      </c>
      <c r="C1976" t="s">
        <v>210</v>
      </c>
      <c r="D1976">
        <v>1765.53125832672</v>
      </c>
    </row>
    <row r="1977" spans="1:4" hidden="1" x14ac:dyDescent="0.3">
      <c r="A1977">
        <v>1975</v>
      </c>
      <c r="B1977" t="s">
        <v>2644</v>
      </c>
      <c r="C1977" t="s">
        <v>212</v>
      </c>
      <c r="D1977">
        <v>799.04956161616406</v>
      </c>
    </row>
    <row r="1978" spans="1:4" hidden="1" x14ac:dyDescent="0.3">
      <c r="A1978">
        <v>1976</v>
      </c>
      <c r="B1978" s="1" t="s">
        <v>2645</v>
      </c>
      <c r="C1978" t="s">
        <v>214</v>
      </c>
      <c r="D1978" s="1" t="s">
        <v>2646</v>
      </c>
    </row>
    <row r="1979" spans="1:4" hidden="1" x14ac:dyDescent="0.3">
      <c r="A1979">
        <v>1977</v>
      </c>
      <c r="B1979" t="s">
        <v>2647</v>
      </c>
      <c r="C1979" t="s">
        <v>217</v>
      </c>
      <c r="D1979">
        <v>77596802.246963397</v>
      </c>
    </row>
    <row r="1980" spans="1:4" hidden="1" x14ac:dyDescent="0.3">
      <c r="A1980">
        <v>1978</v>
      </c>
      <c r="B1980" t="s">
        <v>2648</v>
      </c>
      <c r="C1980" t="s">
        <v>219</v>
      </c>
      <c r="D1980">
        <v>35118999.1827254</v>
      </c>
    </row>
    <row r="1981" spans="1:4" hidden="1" x14ac:dyDescent="0.3">
      <c r="A1981">
        <v>1979</v>
      </c>
      <c r="B1981" t="s">
        <v>2649</v>
      </c>
      <c r="C1981" t="s">
        <v>221</v>
      </c>
      <c r="D1981">
        <v>40422049.314459696</v>
      </c>
    </row>
    <row r="1982" spans="1:4" hidden="1" x14ac:dyDescent="0.3">
      <c r="A1982">
        <v>1980</v>
      </c>
      <c r="B1982" s="1" t="s">
        <v>2650</v>
      </c>
      <c r="C1982" t="s">
        <v>223</v>
      </c>
      <c r="D1982" s="1" t="s">
        <v>2651</v>
      </c>
    </row>
    <row r="1983" spans="1:4" hidden="1" x14ac:dyDescent="0.3">
      <c r="A1983">
        <v>1981</v>
      </c>
      <c r="B1983" t="s">
        <v>2652</v>
      </c>
      <c r="C1983" t="s">
        <v>226</v>
      </c>
      <c r="D1983">
        <v>102957347.98890799</v>
      </c>
    </row>
    <row r="1984" spans="1:4" hidden="1" x14ac:dyDescent="0.3">
      <c r="A1984">
        <v>1982</v>
      </c>
      <c r="B1984" t="s">
        <v>2653</v>
      </c>
      <c r="C1984" t="s">
        <v>228</v>
      </c>
      <c r="D1984">
        <v>2342.5503485351801</v>
      </c>
    </row>
    <row r="1985" spans="1:4" hidden="1" x14ac:dyDescent="0.3">
      <c r="A1985">
        <v>1983</v>
      </c>
      <c r="B1985" s="1" t="s">
        <v>2654</v>
      </c>
      <c r="C1985" t="s">
        <v>230</v>
      </c>
      <c r="D1985" s="1" t="s">
        <v>2655</v>
      </c>
    </row>
    <row r="1986" spans="1:4" hidden="1" x14ac:dyDescent="0.3">
      <c r="A1986">
        <v>1984</v>
      </c>
      <c r="B1986" t="s">
        <v>2656</v>
      </c>
      <c r="C1986" t="s">
        <v>112</v>
      </c>
      <c r="D1986">
        <v>-523.186898152852</v>
      </c>
    </row>
    <row r="1987" spans="1:4" hidden="1" x14ac:dyDescent="0.3">
      <c r="A1987">
        <v>1985</v>
      </c>
      <c r="B1987" t="s">
        <v>2657</v>
      </c>
      <c r="C1987" t="s">
        <v>114</v>
      </c>
      <c r="D1987">
        <v>-114.963664012837</v>
      </c>
    </row>
    <row r="1988" spans="1:4" hidden="1" x14ac:dyDescent="0.3">
      <c r="A1988">
        <v>1986</v>
      </c>
      <c r="B1988" s="1" t="s">
        <v>2658</v>
      </c>
      <c r="C1988" t="s">
        <v>116</v>
      </c>
      <c r="D1988" s="1" t="s">
        <v>2659</v>
      </c>
    </row>
    <row r="1989" spans="1:4" hidden="1" x14ac:dyDescent="0.3">
      <c r="A1989">
        <v>1987</v>
      </c>
      <c r="B1989" t="s">
        <v>2660</v>
      </c>
      <c r="C1989" t="s">
        <v>119</v>
      </c>
      <c r="D1989">
        <v>77596802.246963397</v>
      </c>
    </row>
    <row r="1990" spans="1:4" hidden="1" x14ac:dyDescent="0.3">
      <c r="A1990">
        <v>1988</v>
      </c>
      <c r="B1990" t="s">
        <v>2661</v>
      </c>
      <c r="C1990" t="s">
        <v>121</v>
      </c>
      <c r="D1990">
        <v>35118999.1827254</v>
      </c>
    </row>
    <row r="1991" spans="1:4" hidden="1" x14ac:dyDescent="0.3">
      <c r="A1991">
        <v>1989</v>
      </c>
      <c r="B1991" s="1" t="s">
        <v>2662</v>
      </c>
      <c r="C1991" t="s">
        <v>123</v>
      </c>
      <c r="D1991" s="1" t="s">
        <v>2663</v>
      </c>
    </row>
    <row r="1992" spans="1:4" hidden="1" x14ac:dyDescent="0.3">
      <c r="A1992">
        <v>1990</v>
      </c>
      <c r="B1992" t="s">
        <v>2664</v>
      </c>
      <c r="C1992" t="s">
        <v>126</v>
      </c>
      <c r="D1992">
        <v>0.75375030172227697</v>
      </c>
    </row>
    <row r="1993" spans="1:4" hidden="1" x14ac:dyDescent="0.3">
      <c r="A1993">
        <v>1991</v>
      </c>
      <c r="B1993" t="s">
        <v>2665</v>
      </c>
      <c r="C1993" t="s">
        <v>128</v>
      </c>
      <c r="D1993">
        <v>0.34113462750585899</v>
      </c>
    </row>
    <row r="1994" spans="1:4" hidden="1" x14ac:dyDescent="0.3">
      <c r="A1994">
        <v>1992</v>
      </c>
      <c r="B1994" s="1" t="s">
        <v>2666</v>
      </c>
      <c r="C1994" t="s">
        <v>130</v>
      </c>
      <c r="D1994" s="1" t="s">
        <v>2667</v>
      </c>
    </row>
    <row r="1995" spans="1:4" ht="72" x14ac:dyDescent="0.3">
      <c r="A1995">
        <v>1993</v>
      </c>
      <c r="B1995" s="1" t="s">
        <v>2668</v>
      </c>
      <c r="C1995" t="s">
        <v>4</v>
      </c>
      <c r="D1995" t="s">
        <v>2669</v>
      </c>
    </row>
    <row r="1996" spans="1:4" hidden="1" x14ac:dyDescent="0.3">
      <c r="A1996">
        <v>1994</v>
      </c>
      <c r="B1996" t="s">
        <v>2670</v>
      </c>
      <c r="C1996" t="s">
        <v>7</v>
      </c>
      <c r="D1996">
        <v>1788.96</v>
      </c>
    </row>
    <row r="1997" spans="1:4" hidden="1" x14ac:dyDescent="0.3">
      <c r="A1997">
        <v>1995</v>
      </c>
      <c r="B1997" s="1" t="s">
        <v>2671</v>
      </c>
      <c r="C1997" t="s">
        <v>9</v>
      </c>
      <c r="D1997" s="1" t="s">
        <v>2672</v>
      </c>
    </row>
    <row r="1998" spans="1:4" hidden="1" x14ac:dyDescent="0.3">
      <c r="A1998">
        <v>1996</v>
      </c>
      <c r="B1998" t="s">
        <v>2673</v>
      </c>
      <c r="C1998" t="s">
        <v>14</v>
      </c>
      <c r="D1998">
        <v>91.27734375</v>
      </c>
    </row>
    <row r="1999" spans="1:4" hidden="1" x14ac:dyDescent="0.3">
      <c r="A1999">
        <v>1997</v>
      </c>
      <c r="B1999" t="s">
        <v>2674</v>
      </c>
      <c r="C1999" t="s">
        <v>16</v>
      </c>
      <c r="D1999">
        <v>4.2960115221205504</v>
      </c>
    </row>
    <row r="2000" spans="1:4" hidden="1" x14ac:dyDescent="0.3">
      <c r="A2000">
        <v>1998</v>
      </c>
      <c r="B2000" s="1" t="s">
        <v>2675</v>
      </c>
      <c r="C2000" t="s">
        <v>140</v>
      </c>
      <c r="D2000" s="1" t="s">
        <v>2676</v>
      </c>
    </row>
    <row r="2001" spans="1:4" hidden="1" x14ac:dyDescent="0.3">
      <c r="A2001">
        <v>1999</v>
      </c>
      <c r="B2001" t="s">
        <v>2587</v>
      </c>
      <c r="C2001" t="s">
        <v>22</v>
      </c>
      <c r="D2001">
        <v>66.099999999999994</v>
      </c>
    </row>
    <row r="2002" spans="1:4" hidden="1" x14ac:dyDescent="0.3">
      <c r="A2002">
        <v>2000</v>
      </c>
      <c r="B2002" t="s">
        <v>2677</v>
      </c>
      <c r="C2002" t="s">
        <v>24</v>
      </c>
      <c r="D2002">
        <v>5.5580475762537898</v>
      </c>
    </row>
    <row r="2003" spans="1:4" hidden="1" x14ac:dyDescent="0.3">
      <c r="A2003">
        <v>2001</v>
      </c>
      <c r="B2003" s="1" t="s">
        <v>2678</v>
      </c>
      <c r="C2003" t="s">
        <v>145</v>
      </c>
      <c r="D2003" s="1" t="s">
        <v>2679</v>
      </c>
    </row>
    <row r="2004" spans="1:4" hidden="1" x14ac:dyDescent="0.3">
      <c r="A2004">
        <v>2002</v>
      </c>
      <c r="B2004" t="s">
        <v>2680</v>
      </c>
      <c r="C2004" t="s">
        <v>35</v>
      </c>
      <c r="D2004">
        <v>4.9991283398893201E-3</v>
      </c>
    </row>
    <row r="2005" spans="1:4" hidden="1" x14ac:dyDescent="0.3">
      <c r="A2005">
        <v>2003</v>
      </c>
      <c r="B2005" t="s">
        <v>2681</v>
      </c>
      <c r="C2005" t="s">
        <v>149</v>
      </c>
      <c r="D2005">
        <v>0.55533861118007199</v>
      </c>
    </row>
    <row r="2006" spans="1:4" hidden="1" x14ac:dyDescent="0.3">
      <c r="A2006">
        <v>2004</v>
      </c>
      <c r="B2006" s="1" t="s">
        <v>2682</v>
      </c>
      <c r="C2006" t="s">
        <v>151</v>
      </c>
      <c r="D2006" s="1" t="s">
        <v>2683</v>
      </c>
    </row>
    <row r="2007" spans="1:4" hidden="1" x14ac:dyDescent="0.3">
      <c r="A2007">
        <v>2005</v>
      </c>
      <c r="B2007" t="s">
        <v>2684</v>
      </c>
      <c r="C2007" t="s">
        <v>30</v>
      </c>
      <c r="D2007">
        <v>0.41294019142918398</v>
      </c>
    </row>
    <row r="2008" spans="1:4" hidden="1" x14ac:dyDescent="0.3">
      <c r="A2008">
        <v>2006</v>
      </c>
      <c r="B2008" t="s">
        <v>2685</v>
      </c>
      <c r="C2008" t="s">
        <v>32</v>
      </c>
      <c r="D2008">
        <v>0.39217346166556799</v>
      </c>
    </row>
    <row r="2009" spans="1:4" hidden="1" x14ac:dyDescent="0.3">
      <c r="A2009">
        <v>2007</v>
      </c>
      <c r="B2009" s="1" t="s">
        <v>2686</v>
      </c>
      <c r="C2009" t="s">
        <v>155</v>
      </c>
      <c r="D2009" s="1" t="s">
        <v>2687</v>
      </c>
    </row>
    <row r="2010" spans="1:4" hidden="1" x14ac:dyDescent="0.3">
      <c r="A2010">
        <v>2008</v>
      </c>
      <c r="B2010" t="s">
        <v>2688</v>
      </c>
      <c r="C2010" t="s">
        <v>40</v>
      </c>
      <c r="D2010">
        <v>0.58206068023092605</v>
      </c>
    </row>
    <row r="2011" spans="1:4" hidden="1" x14ac:dyDescent="0.3">
      <c r="A2011">
        <v>2009</v>
      </c>
      <c r="B2011" t="s">
        <v>2689</v>
      </c>
      <c r="C2011" t="s">
        <v>42</v>
      </c>
      <c r="D2011">
        <v>0.40852971270049898</v>
      </c>
    </row>
    <row r="2012" spans="1:4" hidden="1" x14ac:dyDescent="0.3">
      <c r="A2012">
        <v>2010</v>
      </c>
      <c r="B2012" s="1" t="s">
        <v>2690</v>
      </c>
      <c r="C2012" t="s">
        <v>159</v>
      </c>
      <c r="D2012" s="1" t="s">
        <v>2691</v>
      </c>
    </row>
    <row r="2013" spans="1:4" hidden="1" x14ac:dyDescent="0.3">
      <c r="A2013">
        <v>2011</v>
      </c>
      <c r="B2013" t="s">
        <v>2692</v>
      </c>
      <c r="C2013" t="s">
        <v>161</v>
      </c>
      <c r="D2013">
        <v>1.00758096310898</v>
      </c>
    </row>
    <row r="2014" spans="1:4" hidden="1" x14ac:dyDescent="0.3">
      <c r="A2014">
        <v>2012</v>
      </c>
      <c r="B2014" t="s">
        <v>2693</v>
      </c>
      <c r="C2014" t="s">
        <v>163</v>
      </c>
      <c r="D2014">
        <v>1.0012303753642899</v>
      </c>
    </row>
    <row r="2015" spans="1:4" hidden="1" x14ac:dyDescent="0.3">
      <c r="A2015">
        <v>2013</v>
      </c>
      <c r="B2015" s="1" t="s">
        <v>2694</v>
      </c>
      <c r="C2015" t="s">
        <v>165</v>
      </c>
      <c r="D2015" s="1" t="s">
        <v>2695</v>
      </c>
    </row>
    <row r="2016" spans="1:4" hidden="1" x14ac:dyDescent="0.3">
      <c r="A2016">
        <v>2014</v>
      </c>
      <c r="B2016" t="s">
        <v>2696</v>
      </c>
      <c r="C2016" t="s">
        <v>168</v>
      </c>
      <c r="D2016">
        <v>0.99821986442947597</v>
      </c>
    </row>
    <row r="2017" spans="1:4" hidden="1" x14ac:dyDescent="0.3">
      <c r="A2017">
        <v>2015</v>
      </c>
      <c r="B2017" t="s">
        <v>2697</v>
      </c>
      <c r="C2017" t="s">
        <v>170</v>
      </c>
      <c r="D2017">
        <v>1.0070851540097201</v>
      </c>
    </row>
    <row r="2018" spans="1:4" hidden="1" x14ac:dyDescent="0.3">
      <c r="A2018">
        <v>2016</v>
      </c>
      <c r="B2018" s="1" t="s">
        <v>2698</v>
      </c>
      <c r="C2018" t="s">
        <v>172</v>
      </c>
      <c r="D2018" s="1" t="s">
        <v>2699</v>
      </c>
    </row>
    <row r="2019" spans="1:4" hidden="1" x14ac:dyDescent="0.3">
      <c r="A2019">
        <v>2017</v>
      </c>
      <c r="B2019" s="1" t="s">
        <v>2700</v>
      </c>
      <c r="C2019" t="s">
        <v>55</v>
      </c>
      <c r="D2019" s="1" t="s">
        <v>2701</v>
      </c>
    </row>
    <row r="2020" spans="1:4" hidden="1" x14ac:dyDescent="0.3">
      <c r="A2020">
        <v>2018</v>
      </c>
      <c r="B2020" s="1" t="s">
        <v>2702</v>
      </c>
      <c r="C2020" t="s">
        <v>52</v>
      </c>
      <c r="D2020" s="1" t="s">
        <v>2703</v>
      </c>
    </row>
    <row r="2021" spans="1:4" hidden="1" x14ac:dyDescent="0.3">
      <c r="A2021">
        <v>2019</v>
      </c>
      <c r="B2021" s="1" t="s">
        <v>2704</v>
      </c>
      <c r="C2021" t="s">
        <v>58</v>
      </c>
      <c r="D2021" s="1" t="s">
        <v>2705</v>
      </c>
    </row>
    <row r="2022" spans="1:4" hidden="1" x14ac:dyDescent="0.3">
      <c r="A2022">
        <v>2020</v>
      </c>
      <c r="B2022" t="s">
        <v>2706</v>
      </c>
      <c r="C2022" t="s">
        <v>61</v>
      </c>
      <c r="D2022">
        <v>153819845.614173</v>
      </c>
    </row>
    <row r="2023" spans="1:4" hidden="1" x14ac:dyDescent="0.3">
      <c r="A2023">
        <v>2021</v>
      </c>
      <c r="B2023" t="s">
        <v>2707</v>
      </c>
      <c r="C2023" t="s">
        <v>63</v>
      </c>
      <c r="D2023">
        <v>78185060.742172793</v>
      </c>
    </row>
    <row r="2024" spans="1:4" hidden="1" x14ac:dyDescent="0.3">
      <c r="A2024">
        <v>2022</v>
      </c>
      <c r="B2024" t="s">
        <v>2708</v>
      </c>
      <c r="C2024" t="s">
        <v>65</v>
      </c>
      <c r="D2024">
        <v>35162208.734138504</v>
      </c>
    </row>
    <row r="2025" spans="1:4" hidden="1" x14ac:dyDescent="0.3">
      <c r="A2025">
        <v>2023</v>
      </c>
      <c r="B2025" s="1" t="s">
        <v>2709</v>
      </c>
      <c r="C2025" t="s">
        <v>67</v>
      </c>
      <c r="D2025" s="1" t="s">
        <v>2710</v>
      </c>
    </row>
    <row r="2026" spans="1:4" hidden="1" x14ac:dyDescent="0.3">
      <c r="A2026">
        <v>2024</v>
      </c>
      <c r="B2026" s="1" t="s">
        <v>2711</v>
      </c>
      <c r="C2026" t="s">
        <v>70</v>
      </c>
      <c r="D2026" s="1" t="s">
        <v>2712</v>
      </c>
    </row>
    <row r="2027" spans="1:4" hidden="1" x14ac:dyDescent="0.3">
      <c r="A2027">
        <v>2025</v>
      </c>
      <c r="B2027" t="s">
        <v>2713</v>
      </c>
      <c r="C2027" t="s">
        <v>73</v>
      </c>
      <c r="D2027">
        <v>0.99990554801654996</v>
      </c>
    </row>
    <row r="2028" spans="1:4" hidden="1" x14ac:dyDescent="0.3">
      <c r="A2028">
        <v>2026</v>
      </c>
      <c r="B2028" t="s">
        <v>74</v>
      </c>
      <c r="C2028" t="s">
        <v>75</v>
      </c>
      <c r="D2028">
        <v>2.7397260273972599E-3</v>
      </c>
    </row>
    <row r="2029" spans="1:4" hidden="1" x14ac:dyDescent="0.3">
      <c r="A2029">
        <v>2027</v>
      </c>
      <c r="B2029" t="s">
        <v>76</v>
      </c>
      <c r="C2029" t="s">
        <v>77</v>
      </c>
      <c r="D2029">
        <v>0</v>
      </c>
    </row>
    <row r="2030" spans="1:4" hidden="1" x14ac:dyDescent="0.3">
      <c r="A2030">
        <v>2028</v>
      </c>
      <c r="B2030" t="s">
        <v>78</v>
      </c>
      <c r="C2030" t="s">
        <v>79</v>
      </c>
      <c r="D2030">
        <v>0</v>
      </c>
    </row>
    <row r="2031" spans="1:4" hidden="1" x14ac:dyDescent="0.3">
      <c r="A2031">
        <v>2029</v>
      </c>
      <c r="B2031" s="1" t="s">
        <v>2714</v>
      </c>
      <c r="C2031" t="s">
        <v>81</v>
      </c>
      <c r="D2031" s="1" t="s">
        <v>2715</v>
      </c>
    </row>
    <row r="2032" spans="1:4" hidden="1" x14ac:dyDescent="0.3">
      <c r="A2032">
        <v>2030</v>
      </c>
      <c r="B2032" t="s">
        <v>2716</v>
      </c>
      <c r="C2032" t="s">
        <v>84</v>
      </c>
      <c r="D2032">
        <v>0.99989677419019496</v>
      </c>
    </row>
    <row r="2033" spans="1:4" hidden="1" x14ac:dyDescent="0.3">
      <c r="A2033">
        <v>2031</v>
      </c>
      <c r="B2033" s="1" t="s">
        <v>2717</v>
      </c>
      <c r="C2033" t="s">
        <v>86</v>
      </c>
      <c r="D2033" s="1" t="s">
        <v>2718</v>
      </c>
    </row>
    <row r="2034" spans="1:4" hidden="1" x14ac:dyDescent="0.3">
      <c r="A2034">
        <v>2032</v>
      </c>
      <c r="B2034" t="s">
        <v>2719</v>
      </c>
      <c r="C2034" t="s">
        <v>89</v>
      </c>
      <c r="D2034">
        <v>102960593.982962</v>
      </c>
    </row>
    <row r="2035" spans="1:4" hidden="1" x14ac:dyDescent="0.3">
      <c r="A2035">
        <v>2033</v>
      </c>
      <c r="B2035" s="1" t="s">
        <v>2720</v>
      </c>
      <c r="C2035" t="s">
        <v>91</v>
      </c>
      <c r="D2035" s="1" t="s">
        <v>2655</v>
      </c>
    </row>
    <row r="2036" spans="1:4" hidden="1" x14ac:dyDescent="0.3">
      <c r="A2036">
        <v>2034</v>
      </c>
      <c r="B2036" t="s">
        <v>2721</v>
      </c>
      <c r="C2036" t="s">
        <v>94</v>
      </c>
      <c r="D2036">
        <v>78185060.742172793</v>
      </c>
    </row>
    <row r="2037" spans="1:4" hidden="1" x14ac:dyDescent="0.3">
      <c r="A2037">
        <v>2035</v>
      </c>
      <c r="B2037" t="s">
        <v>2722</v>
      </c>
      <c r="C2037" t="s">
        <v>96</v>
      </c>
      <c r="D2037">
        <v>35162208.734138504</v>
      </c>
    </row>
    <row r="2038" spans="1:4" hidden="1" x14ac:dyDescent="0.3">
      <c r="A2038">
        <v>2036</v>
      </c>
      <c r="B2038" t="s">
        <v>2723</v>
      </c>
      <c r="C2038" t="s">
        <v>98</v>
      </c>
      <c r="D2038">
        <v>40472576.1378626</v>
      </c>
    </row>
    <row r="2039" spans="1:4" hidden="1" x14ac:dyDescent="0.3">
      <c r="A2039">
        <v>2037</v>
      </c>
      <c r="B2039" s="1" t="s">
        <v>2724</v>
      </c>
      <c r="C2039" t="s">
        <v>100</v>
      </c>
      <c r="D2039" s="1" t="s">
        <v>2725</v>
      </c>
    </row>
    <row r="2040" spans="1:4" hidden="1" x14ac:dyDescent="0.3">
      <c r="A2040">
        <v>2038</v>
      </c>
      <c r="B2040" t="s">
        <v>2726</v>
      </c>
      <c r="C2040" t="s">
        <v>103</v>
      </c>
      <c r="D2040">
        <v>9.4996771095999799E-3</v>
      </c>
    </row>
    <row r="2041" spans="1:4" hidden="1" x14ac:dyDescent="0.3">
      <c r="A2041">
        <v>2039</v>
      </c>
      <c r="B2041" t="s">
        <v>2727</v>
      </c>
      <c r="C2041" t="s">
        <v>105</v>
      </c>
      <c r="D2041">
        <v>3.28500888850754E-3</v>
      </c>
    </row>
    <row r="2042" spans="1:4" hidden="1" x14ac:dyDescent="0.3">
      <c r="A2042">
        <v>2040</v>
      </c>
      <c r="B2042" t="s">
        <v>2728</v>
      </c>
      <c r="C2042" t="s">
        <v>107</v>
      </c>
      <c r="D2042">
        <v>1.18015786870901E-2</v>
      </c>
    </row>
    <row r="2043" spans="1:4" hidden="1" x14ac:dyDescent="0.3">
      <c r="A2043">
        <v>2041</v>
      </c>
      <c r="B2043" s="1" t="s">
        <v>2729</v>
      </c>
      <c r="C2043" t="s">
        <v>109</v>
      </c>
      <c r="D2043" s="1" t="s">
        <v>2730</v>
      </c>
    </row>
    <row r="2044" spans="1:4" hidden="1" x14ac:dyDescent="0.3">
      <c r="A2044">
        <v>2042</v>
      </c>
      <c r="B2044" t="s">
        <v>2731</v>
      </c>
      <c r="C2044" t="s">
        <v>208</v>
      </c>
      <c r="D2044">
        <v>153819537.071821</v>
      </c>
    </row>
    <row r="2045" spans="1:4" hidden="1" x14ac:dyDescent="0.3">
      <c r="A2045">
        <v>2043</v>
      </c>
      <c r="B2045" t="s">
        <v>2732</v>
      </c>
      <c r="C2045" t="s">
        <v>210</v>
      </c>
      <c r="D2045">
        <v>686.04493050674103</v>
      </c>
    </row>
    <row r="2046" spans="1:4" hidden="1" x14ac:dyDescent="0.3">
      <c r="A2046">
        <v>2044</v>
      </c>
      <c r="B2046" t="s">
        <v>2733</v>
      </c>
      <c r="C2046" t="s">
        <v>212</v>
      </c>
      <c r="D2046">
        <v>308.535970922947</v>
      </c>
    </row>
    <row r="2047" spans="1:4" hidden="1" x14ac:dyDescent="0.3">
      <c r="A2047">
        <v>2045</v>
      </c>
      <c r="B2047" s="1" t="s">
        <v>2734</v>
      </c>
      <c r="C2047" t="s">
        <v>214</v>
      </c>
      <c r="D2047" s="1" t="s">
        <v>2735</v>
      </c>
    </row>
    <row r="2048" spans="1:4" hidden="1" x14ac:dyDescent="0.3">
      <c r="A2048">
        <v>2046</v>
      </c>
      <c r="B2048" t="s">
        <v>2736</v>
      </c>
      <c r="C2048" t="s">
        <v>217</v>
      </c>
      <c r="D2048">
        <v>78184145.113312498</v>
      </c>
    </row>
    <row r="2049" spans="1:4" hidden="1" x14ac:dyDescent="0.3">
      <c r="A2049">
        <v>2047</v>
      </c>
      <c r="B2049" t="s">
        <v>2737</v>
      </c>
      <c r="C2049" t="s">
        <v>219</v>
      </c>
      <c r="D2049">
        <v>35161867.759154603</v>
      </c>
    </row>
    <row r="2050" spans="1:4" hidden="1" x14ac:dyDescent="0.3">
      <c r="A2050">
        <v>2048</v>
      </c>
      <c r="B2050" t="s">
        <v>2738</v>
      </c>
      <c r="C2050" t="s">
        <v>221</v>
      </c>
      <c r="D2050">
        <v>40472174.485962898</v>
      </c>
    </row>
    <row r="2051" spans="1:4" hidden="1" x14ac:dyDescent="0.3">
      <c r="A2051">
        <v>2049</v>
      </c>
      <c r="B2051" s="1" t="s">
        <v>2739</v>
      </c>
      <c r="C2051" t="s">
        <v>223</v>
      </c>
      <c r="D2051" s="1" t="s">
        <v>2740</v>
      </c>
    </row>
    <row r="2052" spans="1:4" hidden="1" x14ac:dyDescent="0.3">
      <c r="A2052">
        <v>2050</v>
      </c>
      <c r="B2052" t="s">
        <v>2741</v>
      </c>
      <c r="C2052" t="s">
        <v>226</v>
      </c>
      <c r="D2052">
        <v>102959690.53925601</v>
      </c>
    </row>
    <row r="2053" spans="1:4" hidden="1" x14ac:dyDescent="0.3">
      <c r="A2053">
        <v>2051</v>
      </c>
      <c r="B2053" t="s">
        <v>2742</v>
      </c>
      <c r="C2053" t="s">
        <v>228</v>
      </c>
      <c r="D2053">
        <v>903.44370509683995</v>
      </c>
    </row>
    <row r="2054" spans="1:4" hidden="1" x14ac:dyDescent="0.3">
      <c r="A2054">
        <v>2052</v>
      </c>
      <c r="B2054" s="1" t="s">
        <v>2743</v>
      </c>
      <c r="C2054" t="s">
        <v>230</v>
      </c>
      <c r="D2054" s="1" t="s">
        <v>2744</v>
      </c>
    </row>
    <row r="2055" spans="1:4" hidden="1" x14ac:dyDescent="0.3">
      <c r="A2055">
        <v>2053</v>
      </c>
      <c r="B2055" t="s">
        <v>2745</v>
      </c>
      <c r="C2055" t="s">
        <v>112</v>
      </c>
      <c r="D2055">
        <v>-229.58392978081099</v>
      </c>
    </row>
    <row r="2056" spans="1:4" hidden="1" x14ac:dyDescent="0.3">
      <c r="A2056">
        <v>2054</v>
      </c>
      <c r="B2056" t="s">
        <v>2746</v>
      </c>
      <c r="C2056" t="s">
        <v>114</v>
      </c>
      <c r="D2056">
        <v>-32.439012935597397</v>
      </c>
    </row>
    <row r="2057" spans="1:4" hidden="1" x14ac:dyDescent="0.3">
      <c r="A2057">
        <v>2055</v>
      </c>
      <c r="B2057" s="1" t="s">
        <v>2747</v>
      </c>
      <c r="C2057" t="s">
        <v>116</v>
      </c>
      <c r="D2057" s="1" t="s">
        <v>2748</v>
      </c>
    </row>
    <row r="2058" spans="1:4" hidden="1" x14ac:dyDescent="0.3">
      <c r="A2058">
        <v>2056</v>
      </c>
      <c r="B2058" t="s">
        <v>2749</v>
      </c>
      <c r="C2058" t="s">
        <v>119</v>
      </c>
      <c r="D2058">
        <v>78184145.113312498</v>
      </c>
    </row>
    <row r="2059" spans="1:4" hidden="1" x14ac:dyDescent="0.3">
      <c r="A2059">
        <v>2057</v>
      </c>
      <c r="B2059" t="s">
        <v>2750</v>
      </c>
      <c r="C2059" t="s">
        <v>121</v>
      </c>
      <c r="D2059">
        <v>35161867.759154603</v>
      </c>
    </row>
    <row r="2060" spans="1:4" hidden="1" x14ac:dyDescent="0.3">
      <c r="A2060">
        <v>2058</v>
      </c>
      <c r="B2060" s="1" t="s">
        <v>2751</v>
      </c>
      <c r="C2060" t="s">
        <v>123</v>
      </c>
      <c r="D2060" s="1" t="s">
        <v>2752</v>
      </c>
    </row>
    <row r="2061" spans="1:4" hidden="1" x14ac:dyDescent="0.3">
      <c r="A2061">
        <v>2059</v>
      </c>
      <c r="B2061" t="s">
        <v>2753</v>
      </c>
      <c r="C2061" t="s">
        <v>126</v>
      </c>
      <c r="D2061">
        <v>0.75944494547965502</v>
      </c>
    </row>
    <row r="2062" spans="1:4" hidden="1" x14ac:dyDescent="0.3">
      <c r="A2062">
        <v>2060</v>
      </c>
      <c r="B2062" t="s">
        <v>2754</v>
      </c>
      <c r="C2062" t="s">
        <v>128</v>
      </c>
      <c r="D2062">
        <v>0.34154626496986801</v>
      </c>
    </row>
    <row r="2063" spans="1:4" hidden="1" x14ac:dyDescent="0.3">
      <c r="A2063">
        <v>2061</v>
      </c>
      <c r="B2063" s="1" t="s">
        <v>2755</v>
      </c>
      <c r="C2063" t="s">
        <v>130</v>
      </c>
      <c r="D2063" s="1" t="s">
        <v>2756</v>
      </c>
    </row>
    <row r="2064" spans="1:4" ht="72" x14ac:dyDescent="0.3">
      <c r="A2064">
        <v>2062</v>
      </c>
      <c r="B2064" s="1" t="s">
        <v>2757</v>
      </c>
      <c r="C2064" t="s">
        <v>4</v>
      </c>
      <c r="D2064" t="s">
        <v>2758</v>
      </c>
    </row>
    <row r="2065" spans="1:4" hidden="1" x14ac:dyDescent="0.3">
      <c r="A2065">
        <v>2063</v>
      </c>
      <c r="B2065" t="s">
        <v>2759</v>
      </c>
      <c r="C2065" t="s">
        <v>7</v>
      </c>
      <c r="D2065">
        <v>1794.29</v>
      </c>
    </row>
    <row r="2066" spans="1:4" hidden="1" x14ac:dyDescent="0.3">
      <c r="A2066">
        <v>2064</v>
      </c>
      <c r="B2066" s="1" t="s">
        <v>2760</v>
      </c>
      <c r="C2066" t="s">
        <v>9</v>
      </c>
      <c r="D2066" s="1" t="s">
        <v>2761</v>
      </c>
    </row>
    <row r="2067" spans="1:4" hidden="1" x14ac:dyDescent="0.3">
      <c r="A2067">
        <v>2065</v>
      </c>
      <c r="B2067" t="s">
        <v>2762</v>
      </c>
      <c r="C2067" t="s">
        <v>14</v>
      </c>
      <c r="D2067">
        <v>91.0859375</v>
      </c>
    </row>
    <row r="2068" spans="1:4" hidden="1" x14ac:dyDescent="0.3">
      <c r="A2068">
        <v>2066</v>
      </c>
      <c r="B2068" t="s">
        <v>2763</v>
      </c>
      <c r="C2068" t="s">
        <v>16</v>
      </c>
      <c r="D2068">
        <v>4.2942314101324701</v>
      </c>
    </row>
    <row r="2069" spans="1:4" hidden="1" x14ac:dyDescent="0.3">
      <c r="A2069">
        <v>2067</v>
      </c>
      <c r="B2069" s="1" t="s">
        <v>2764</v>
      </c>
      <c r="C2069" t="s">
        <v>140</v>
      </c>
      <c r="D2069" s="1" t="s">
        <v>2765</v>
      </c>
    </row>
    <row r="2070" spans="1:4" hidden="1" x14ac:dyDescent="0.3">
      <c r="A2070">
        <v>2068</v>
      </c>
      <c r="B2070" t="s">
        <v>2766</v>
      </c>
      <c r="C2070" t="s">
        <v>22</v>
      </c>
      <c r="D2070">
        <v>65.55</v>
      </c>
    </row>
    <row r="2071" spans="1:4" hidden="1" x14ac:dyDescent="0.3">
      <c r="A2071">
        <v>2069</v>
      </c>
      <c r="B2071" t="s">
        <v>2767</v>
      </c>
      <c r="C2071" t="s">
        <v>24</v>
      </c>
      <c r="D2071">
        <v>5.5713286464425602</v>
      </c>
    </row>
    <row r="2072" spans="1:4" hidden="1" x14ac:dyDescent="0.3">
      <c r="A2072">
        <v>2070</v>
      </c>
      <c r="B2072" s="1" t="s">
        <v>2768</v>
      </c>
      <c r="C2072" t="s">
        <v>145</v>
      </c>
      <c r="D2072" s="1" t="s">
        <v>2769</v>
      </c>
    </row>
    <row r="2073" spans="1:4" hidden="1" x14ac:dyDescent="0.3">
      <c r="A2073">
        <v>2071</v>
      </c>
      <c r="B2073" t="s">
        <v>2770</v>
      </c>
      <c r="C2073" t="s">
        <v>35</v>
      </c>
      <c r="D2073">
        <v>-1.0945818641488301</v>
      </c>
    </row>
    <row r="2074" spans="1:4" hidden="1" x14ac:dyDescent="0.3">
      <c r="A2074">
        <v>2072</v>
      </c>
      <c r="B2074" t="s">
        <v>2771</v>
      </c>
      <c r="C2074" t="s">
        <v>149</v>
      </c>
      <c r="D2074">
        <v>0.54160701738577999</v>
      </c>
    </row>
    <row r="2075" spans="1:4" hidden="1" x14ac:dyDescent="0.3">
      <c r="A2075">
        <v>2073</v>
      </c>
      <c r="B2075" s="1" t="s">
        <v>2772</v>
      </c>
      <c r="C2075" t="s">
        <v>151</v>
      </c>
      <c r="D2075" s="1" t="s">
        <v>2773</v>
      </c>
    </row>
    <row r="2076" spans="1:4" hidden="1" x14ac:dyDescent="0.3">
      <c r="A2076">
        <v>2074</v>
      </c>
      <c r="B2076" t="s">
        <v>2774</v>
      </c>
      <c r="C2076" t="s">
        <v>30</v>
      </c>
      <c r="D2076">
        <v>0.89417115909471301</v>
      </c>
    </row>
    <row r="2077" spans="1:4" hidden="1" x14ac:dyDescent="0.3">
      <c r="A2077">
        <v>2075</v>
      </c>
      <c r="B2077" t="s">
        <v>2775</v>
      </c>
      <c r="C2077" t="s">
        <v>32</v>
      </c>
      <c r="D2077">
        <v>0.412972248826525</v>
      </c>
    </row>
    <row r="2078" spans="1:4" hidden="1" x14ac:dyDescent="0.3">
      <c r="A2078">
        <v>2076</v>
      </c>
      <c r="B2078" s="1" t="s">
        <v>2776</v>
      </c>
      <c r="C2078" t="s">
        <v>155</v>
      </c>
      <c r="D2078" s="1" t="s">
        <v>2777</v>
      </c>
    </row>
    <row r="2079" spans="1:4" hidden="1" x14ac:dyDescent="0.3">
      <c r="A2079">
        <v>2077</v>
      </c>
      <c r="B2079" t="s">
        <v>2778</v>
      </c>
      <c r="C2079" t="s">
        <v>40</v>
      </c>
      <c r="D2079">
        <v>1.20041070505412</v>
      </c>
    </row>
    <row r="2080" spans="1:4" hidden="1" x14ac:dyDescent="0.3">
      <c r="A2080">
        <v>2078</v>
      </c>
      <c r="B2080" t="s">
        <v>2779</v>
      </c>
      <c r="C2080" t="s">
        <v>42</v>
      </c>
      <c r="D2080">
        <v>0.43338492140878998</v>
      </c>
    </row>
    <row r="2081" spans="1:4" hidden="1" x14ac:dyDescent="0.3">
      <c r="A2081">
        <v>2079</v>
      </c>
      <c r="B2081" s="1" t="s">
        <v>2780</v>
      </c>
      <c r="C2081" t="s">
        <v>159</v>
      </c>
      <c r="D2081" s="1" t="s">
        <v>2781</v>
      </c>
    </row>
    <row r="2082" spans="1:4" hidden="1" x14ac:dyDescent="0.3">
      <c r="A2082">
        <v>2080</v>
      </c>
      <c r="B2082" t="s">
        <v>2782</v>
      </c>
      <c r="C2082" t="s">
        <v>161</v>
      </c>
      <c r="D2082">
        <v>1.00297938467042</v>
      </c>
    </row>
    <row r="2083" spans="1:4" hidden="1" x14ac:dyDescent="0.3">
      <c r="A2083">
        <v>2081</v>
      </c>
      <c r="B2083" t="s">
        <v>2783</v>
      </c>
      <c r="C2083" t="s">
        <v>163</v>
      </c>
      <c r="D2083">
        <v>0.99797865878582903</v>
      </c>
    </row>
    <row r="2084" spans="1:4" hidden="1" x14ac:dyDescent="0.3">
      <c r="A2084">
        <v>2082</v>
      </c>
      <c r="B2084" s="1" t="s">
        <v>2784</v>
      </c>
      <c r="C2084" t="s">
        <v>165</v>
      </c>
      <c r="D2084" s="1" t="s">
        <v>2785</v>
      </c>
    </row>
    <row r="2085" spans="1:4" hidden="1" x14ac:dyDescent="0.3">
      <c r="A2085">
        <v>2083</v>
      </c>
      <c r="B2085" t="s">
        <v>2786</v>
      </c>
      <c r="C2085" t="s">
        <v>168</v>
      </c>
      <c r="D2085">
        <v>0.991171315560749</v>
      </c>
    </row>
    <row r="2086" spans="1:4" hidden="1" x14ac:dyDescent="0.3">
      <c r="A2086">
        <v>2084</v>
      </c>
      <c r="B2086" t="s">
        <v>2787</v>
      </c>
      <c r="C2086" t="s">
        <v>170</v>
      </c>
      <c r="D2086">
        <v>1.0149397957464801</v>
      </c>
    </row>
    <row r="2087" spans="1:4" hidden="1" x14ac:dyDescent="0.3">
      <c r="A2087">
        <v>2085</v>
      </c>
      <c r="B2087" s="1" t="s">
        <v>2788</v>
      </c>
      <c r="C2087" t="s">
        <v>172</v>
      </c>
      <c r="D2087" s="1" t="s">
        <v>2789</v>
      </c>
    </row>
    <row r="2088" spans="1:4" hidden="1" x14ac:dyDescent="0.3">
      <c r="A2088">
        <v>2086</v>
      </c>
      <c r="B2088" s="1" t="s">
        <v>2790</v>
      </c>
      <c r="C2088" t="s">
        <v>55</v>
      </c>
      <c r="D2088" s="1" t="s">
        <v>2791</v>
      </c>
    </row>
    <row r="2089" spans="1:4" hidden="1" x14ac:dyDescent="0.3">
      <c r="A2089">
        <v>2087</v>
      </c>
      <c r="B2089" s="1" t="s">
        <v>2792</v>
      </c>
      <c r="C2089" t="s">
        <v>52</v>
      </c>
      <c r="D2089" s="1" t="s">
        <v>2793</v>
      </c>
    </row>
    <row r="2090" spans="1:4" hidden="1" x14ac:dyDescent="0.3">
      <c r="A2090">
        <v>2088</v>
      </c>
      <c r="B2090" s="1" t="s">
        <v>2794</v>
      </c>
      <c r="C2090" t="s">
        <v>58</v>
      </c>
      <c r="D2090" s="1" t="s">
        <v>2795</v>
      </c>
    </row>
    <row r="2091" spans="1:4" hidden="1" x14ac:dyDescent="0.3">
      <c r="A2091">
        <v>2089</v>
      </c>
      <c r="B2091" t="s">
        <v>2796</v>
      </c>
      <c r="C2091" t="s">
        <v>61</v>
      </c>
      <c r="D2091">
        <v>153676917.19580501</v>
      </c>
    </row>
    <row r="2092" spans="1:4" hidden="1" x14ac:dyDescent="0.3">
      <c r="A2092">
        <v>2090</v>
      </c>
      <c r="B2092" t="s">
        <v>2797</v>
      </c>
      <c r="C2092" t="s">
        <v>63</v>
      </c>
      <c r="D2092">
        <v>78417085.756733194</v>
      </c>
    </row>
    <row r="2093" spans="1:4" hidden="1" x14ac:dyDescent="0.3">
      <c r="A2093">
        <v>2091</v>
      </c>
      <c r="B2093" t="s">
        <v>2798</v>
      </c>
      <c r="C2093" t="s">
        <v>65</v>
      </c>
      <c r="D2093">
        <v>35090793.626685902</v>
      </c>
    </row>
    <row r="2094" spans="1:4" hidden="1" x14ac:dyDescent="0.3">
      <c r="A2094">
        <v>2092</v>
      </c>
      <c r="B2094" s="1" t="s">
        <v>2799</v>
      </c>
      <c r="C2094" t="s">
        <v>67</v>
      </c>
      <c r="D2094" s="1" t="s">
        <v>2800</v>
      </c>
    </row>
    <row r="2095" spans="1:4" hidden="1" x14ac:dyDescent="0.3">
      <c r="A2095">
        <v>2093</v>
      </c>
      <c r="B2095" s="1" t="s">
        <v>2801</v>
      </c>
      <c r="C2095" t="s">
        <v>70</v>
      </c>
      <c r="D2095" s="1" t="s">
        <v>2802</v>
      </c>
    </row>
    <row r="2096" spans="1:4" hidden="1" x14ac:dyDescent="0.3">
      <c r="A2096">
        <v>2094</v>
      </c>
      <c r="B2096" t="s">
        <v>2803</v>
      </c>
      <c r="C2096" t="s">
        <v>73</v>
      </c>
      <c r="D2096">
        <v>0.99989677419019496</v>
      </c>
    </row>
    <row r="2097" spans="1:4" hidden="1" x14ac:dyDescent="0.3">
      <c r="A2097">
        <v>2095</v>
      </c>
      <c r="B2097" t="s">
        <v>74</v>
      </c>
      <c r="C2097" t="s">
        <v>75</v>
      </c>
      <c r="D2097">
        <v>2.7397260273972599E-3</v>
      </c>
    </row>
    <row r="2098" spans="1:4" hidden="1" x14ac:dyDescent="0.3">
      <c r="A2098">
        <v>2096</v>
      </c>
      <c r="B2098" t="s">
        <v>76</v>
      </c>
      <c r="C2098" t="s">
        <v>77</v>
      </c>
      <c r="D2098">
        <v>0</v>
      </c>
    </row>
    <row r="2099" spans="1:4" hidden="1" x14ac:dyDescent="0.3">
      <c r="A2099">
        <v>2097</v>
      </c>
      <c r="B2099" t="s">
        <v>188</v>
      </c>
      <c r="C2099" t="s">
        <v>79</v>
      </c>
      <c r="D2099" s="2">
        <v>-2.2204460492503101E-16</v>
      </c>
    </row>
    <row r="2100" spans="1:4" hidden="1" x14ac:dyDescent="0.3">
      <c r="A2100">
        <v>2098</v>
      </c>
      <c r="B2100" s="1" t="s">
        <v>2804</v>
      </c>
      <c r="C2100" t="s">
        <v>81</v>
      </c>
      <c r="D2100" s="1" t="s">
        <v>2805</v>
      </c>
    </row>
    <row r="2101" spans="1:4" hidden="1" x14ac:dyDescent="0.3">
      <c r="A2101">
        <v>2099</v>
      </c>
      <c r="B2101" t="s">
        <v>2806</v>
      </c>
      <c r="C2101" t="s">
        <v>84</v>
      </c>
      <c r="D2101">
        <v>0.99991567046688901</v>
      </c>
    </row>
    <row r="2102" spans="1:4" hidden="1" x14ac:dyDescent="0.3">
      <c r="A2102">
        <v>2100</v>
      </c>
      <c r="B2102" s="1" t="s">
        <v>2807</v>
      </c>
      <c r="C2102" t="s">
        <v>86</v>
      </c>
      <c r="D2102" s="1" t="s">
        <v>2808</v>
      </c>
    </row>
    <row r="2103" spans="1:4" hidden="1" x14ac:dyDescent="0.3">
      <c r="A2103">
        <v>2101</v>
      </c>
      <c r="B2103" t="s">
        <v>2809</v>
      </c>
      <c r="C2103" t="s">
        <v>89</v>
      </c>
      <c r="D2103">
        <v>102958648.247006</v>
      </c>
    </row>
    <row r="2104" spans="1:4" hidden="1" x14ac:dyDescent="0.3">
      <c r="A2104">
        <v>2102</v>
      </c>
      <c r="B2104" s="1" t="s">
        <v>2810</v>
      </c>
      <c r="C2104" t="s">
        <v>91</v>
      </c>
      <c r="D2104" s="1" t="s">
        <v>2744</v>
      </c>
    </row>
    <row r="2105" spans="1:4" hidden="1" x14ac:dyDescent="0.3">
      <c r="A2105">
        <v>2103</v>
      </c>
      <c r="B2105" t="s">
        <v>2811</v>
      </c>
      <c r="C2105" t="s">
        <v>94</v>
      </c>
      <c r="D2105">
        <v>78417085.756733194</v>
      </c>
    </row>
    <row r="2106" spans="1:4" hidden="1" x14ac:dyDescent="0.3">
      <c r="A2106">
        <v>2104</v>
      </c>
      <c r="B2106" t="s">
        <v>2812</v>
      </c>
      <c r="C2106" t="s">
        <v>96</v>
      </c>
      <c r="D2106">
        <v>35090793.626685902</v>
      </c>
    </row>
    <row r="2107" spans="1:4" hidden="1" x14ac:dyDescent="0.3">
      <c r="A2107">
        <v>2105</v>
      </c>
      <c r="B2107" t="s">
        <v>2813</v>
      </c>
      <c r="C2107" t="s">
        <v>98</v>
      </c>
      <c r="D2107">
        <v>40169037.812386602</v>
      </c>
    </row>
    <row r="2108" spans="1:4" hidden="1" x14ac:dyDescent="0.3">
      <c r="A2108">
        <v>2106</v>
      </c>
      <c r="B2108" s="1" t="s">
        <v>2814</v>
      </c>
      <c r="C2108" t="s">
        <v>100</v>
      </c>
      <c r="D2108" s="1" t="s">
        <v>2815</v>
      </c>
    </row>
    <row r="2109" spans="1:4" hidden="1" x14ac:dyDescent="0.3">
      <c r="A2109">
        <v>2107</v>
      </c>
      <c r="B2109" t="s">
        <v>2816</v>
      </c>
      <c r="C2109" t="s">
        <v>103</v>
      </c>
      <c r="D2109">
        <v>9.1281230873650997E-3</v>
      </c>
    </row>
    <row r="2110" spans="1:4" hidden="1" x14ac:dyDescent="0.3">
      <c r="A2110">
        <v>2108</v>
      </c>
      <c r="B2110" t="s">
        <v>2817</v>
      </c>
      <c r="C2110" t="s">
        <v>105</v>
      </c>
      <c r="D2110">
        <v>3.27488532363255E-3</v>
      </c>
    </row>
    <row r="2111" spans="1:4" hidden="1" x14ac:dyDescent="0.3">
      <c r="A2111">
        <v>2109</v>
      </c>
      <c r="B2111" t="s">
        <v>2818</v>
      </c>
      <c r="C2111" t="s">
        <v>107</v>
      </c>
      <c r="D2111">
        <v>1.17618912386227E-2</v>
      </c>
    </row>
    <row r="2112" spans="1:4" hidden="1" x14ac:dyDescent="0.3">
      <c r="A2112">
        <v>2110</v>
      </c>
      <c r="B2112" s="1" t="s">
        <v>2819</v>
      </c>
      <c r="C2112" t="s">
        <v>109</v>
      </c>
      <c r="D2112" s="1" t="s">
        <v>2820</v>
      </c>
    </row>
    <row r="2113" spans="1:4" hidden="1" x14ac:dyDescent="0.3">
      <c r="A2113">
        <v>2111</v>
      </c>
      <c r="B2113" t="s">
        <v>2821</v>
      </c>
      <c r="C2113" t="s">
        <v>208</v>
      </c>
      <c r="D2113">
        <v>153677580.60832301</v>
      </c>
    </row>
    <row r="2114" spans="1:4" hidden="1" x14ac:dyDescent="0.3">
      <c r="A2114">
        <v>2112</v>
      </c>
      <c r="B2114" t="s">
        <v>2822</v>
      </c>
      <c r="C2114" t="s">
        <v>210</v>
      </c>
      <c r="D2114">
        <v>-1481.9522242913899</v>
      </c>
    </row>
    <row r="2115" spans="1:4" hidden="1" x14ac:dyDescent="0.3">
      <c r="A2115">
        <v>2113</v>
      </c>
      <c r="B2115" t="s">
        <v>2823</v>
      </c>
      <c r="C2115" t="s">
        <v>212</v>
      </c>
      <c r="D2115">
        <v>-663.15556536649899</v>
      </c>
    </row>
    <row r="2116" spans="1:4" hidden="1" x14ac:dyDescent="0.3">
      <c r="A2116">
        <v>2114</v>
      </c>
      <c r="B2116" s="1" t="s">
        <v>2824</v>
      </c>
      <c r="C2116" t="s">
        <v>214</v>
      </c>
      <c r="D2116" s="1" t="s">
        <v>2825</v>
      </c>
    </row>
    <row r="2117" spans="1:4" hidden="1" x14ac:dyDescent="0.3">
      <c r="A2117">
        <v>2115</v>
      </c>
      <c r="B2117" t="s">
        <v>2826</v>
      </c>
      <c r="C2117" t="s">
        <v>217</v>
      </c>
      <c r="D2117">
        <v>78419006.870942205</v>
      </c>
    </row>
    <row r="2118" spans="1:4" hidden="1" x14ac:dyDescent="0.3">
      <c r="A2118">
        <v>2116</v>
      </c>
      <c r="B2118" t="s">
        <v>2827</v>
      </c>
      <c r="C2118" t="s">
        <v>219</v>
      </c>
      <c r="D2118">
        <v>35091550.175880298</v>
      </c>
    </row>
    <row r="2119" spans="1:4" hidden="1" x14ac:dyDescent="0.3">
      <c r="A2119">
        <v>2117</v>
      </c>
      <c r="B2119" t="s">
        <v>2828</v>
      </c>
      <c r="C2119" t="s">
        <v>221</v>
      </c>
      <c r="D2119">
        <v>40169927.795377597</v>
      </c>
    </row>
    <row r="2120" spans="1:4" hidden="1" x14ac:dyDescent="0.3">
      <c r="A2120">
        <v>2118</v>
      </c>
      <c r="B2120" s="1" t="s">
        <v>2829</v>
      </c>
      <c r="C2120" t="s">
        <v>223</v>
      </c>
      <c r="D2120" s="1" t="s">
        <v>2830</v>
      </c>
    </row>
    <row r="2121" spans="1:4" hidden="1" x14ac:dyDescent="0.3">
      <c r="A2121">
        <v>2119</v>
      </c>
      <c r="B2121" t="s">
        <v>2831</v>
      </c>
      <c r="C2121" t="s">
        <v>226</v>
      </c>
      <c r="D2121">
        <v>102960593.982962</v>
      </c>
    </row>
    <row r="2122" spans="1:4" hidden="1" x14ac:dyDescent="0.3">
      <c r="A2122">
        <v>2120</v>
      </c>
      <c r="B2122" t="s">
        <v>2832</v>
      </c>
      <c r="C2122" t="s">
        <v>228</v>
      </c>
      <c r="D2122">
        <v>-1945.7359555512601</v>
      </c>
    </row>
    <row r="2123" spans="1:4" hidden="1" x14ac:dyDescent="0.3">
      <c r="A2123">
        <v>2121</v>
      </c>
      <c r="B2123" s="1" t="s">
        <v>2833</v>
      </c>
      <c r="C2123" t="s">
        <v>230</v>
      </c>
      <c r="D2123" s="1" t="s">
        <v>2834</v>
      </c>
    </row>
    <row r="2124" spans="1:4" hidden="1" x14ac:dyDescent="0.3">
      <c r="A2124">
        <v>2122</v>
      </c>
      <c r="B2124" t="s">
        <v>2835</v>
      </c>
      <c r="C2124" t="s">
        <v>112</v>
      </c>
      <c r="D2124">
        <v>439.16198472659897</v>
      </c>
    </row>
    <row r="2125" spans="1:4" hidden="1" x14ac:dyDescent="0.3">
      <c r="A2125">
        <v>2123</v>
      </c>
      <c r="B2125" t="s">
        <v>2836</v>
      </c>
      <c r="C2125" t="s">
        <v>114</v>
      </c>
      <c r="D2125">
        <v>93.393629087743506</v>
      </c>
    </row>
    <row r="2126" spans="1:4" hidden="1" x14ac:dyDescent="0.3">
      <c r="A2126">
        <v>2124</v>
      </c>
      <c r="B2126" s="1" t="s">
        <v>2837</v>
      </c>
      <c r="C2126" t="s">
        <v>116</v>
      </c>
      <c r="D2126" s="1" t="s">
        <v>2838</v>
      </c>
    </row>
    <row r="2127" spans="1:4" hidden="1" x14ac:dyDescent="0.3">
      <c r="A2127">
        <v>2125</v>
      </c>
      <c r="B2127" t="s">
        <v>2839</v>
      </c>
      <c r="C2127" t="s">
        <v>119</v>
      </c>
      <c r="D2127">
        <v>78419006.870942205</v>
      </c>
    </row>
    <row r="2128" spans="1:4" hidden="1" x14ac:dyDescent="0.3">
      <c r="A2128">
        <v>2126</v>
      </c>
      <c r="B2128" t="s">
        <v>2840</v>
      </c>
      <c r="C2128" t="s">
        <v>121</v>
      </c>
      <c r="D2128">
        <v>35091550.175880298</v>
      </c>
    </row>
    <row r="2129" spans="1:4" hidden="1" x14ac:dyDescent="0.3">
      <c r="A2129">
        <v>2127</v>
      </c>
      <c r="B2129" s="1" t="s">
        <v>2841</v>
      </c>
      <c r="C2129" t="s">
        <v>123</v>
      </c>
      <c r="D2129" s="1" t="s">
        <v>2842</v>
      </c>
    </row>
    <row r="2130" spans="1:4" hidden="1" x14ac:dyDescent="0.3">
      <c r="A2130">
        <v>2128</v>
      </c>
      <c r="B2130" t="s">
        <v>2843</v>
      </c>
      <c r="C2130" t="s">
        <v>126</v>
      </c>
      <c r="D2130">
        <v>0.76170520616730297</v>
      </c>
    </row>
    <row r="2131" spans="1:4" hidden="1" x14ac:dyDescent="0.3">
      <c r="A2131">
        <v>2129</v>
      </c>
      <c r="B2131" t="s">
        <v>2844</v>
      </c>
      <c r="C2131" t="s">
        <v>128</v>
      </c>
      <c r="D2131">
        <v>0.34085379971004998</v>
      </c>
    </row>
    <row r="2132" spans="1:4" hidden="1" x14ac:dyDescent="0.3">
      <c r="A2132">
        <v>2130</v>
      </c>
      <c r="B2132" s="1" t="s">
        <v>2845</v>
      </c>
      <c r="C2132" t="s">
        <v>130</v>
      </c>
      <c r="D2132" s="1" t="s">
        <v>2846</v>
      </c>
    </row>
    <row r="2133" spans="1:4" ht="72" x14ac:dyDescent="0.3">
      <c r="A2133">
        <v>2131</v>
      </c>
      <c r="B2133" s="1" t="s">
        <v>2847</v>
      </c>
      <c r="C2133" t="s">
        <v>4</v>
      </c>
      <c r="D2133" t="s">
        <v>2848</v>
      </c>
    </row>
    <row r="2134" spans="1:4" hidden="1" x14ac:dyDescent="0.3">
      <c r="A2134">
        <v>2132</v>
      </c>
      <c r="B2134" t="s">
        <v>2849</v>
      </c>
      <c r="C2134" t="s">
        <v>7</v>
      </c>
      <c r="D2134">
        <v>1792.38</v>
      </c>
    </row>
    <row r="2135" spans="1:4" hidden="1" x14ac:dyDescent="0.3">
      <c r="A2135">
        <v>2133</v>
      </c>
      <c r="B2135" s="1" t="s">
        <v>2850</v>
      </c>
      <c r="C2135" t="s">
        <v>9</v>
      </c>
      <c r="D2135" s="1" t="s">
        <v>2851</v>
      </c>
    </row>
    <row r="2136" spans="1:4" hidden="1" x14ac:dyDescent="0.3">
      <c r="A2136">
        <v>2134</v>
      </c>
      <c r="B2136" t="s">
        <v>609</v>
      </c>
      <c r="C2136" t="s">
        <v>14</v>
      </c>
      <c r="D2136">
        <v>91.25</v>
      </c>
    </row>
    <row r="2137" spans="1:4" hidden="1" x14ac:dyDescent="0.3">
      <c r="A2137">
        <v>2135</v>
      </c>
      <c r="B2137" t="s">
        <v>2852</v>
      </c>
      <c r="C2137" t="s">
        <v>16</v>
      </c>
      <c r="D2137">
        <v>4.2953355004203102</v>
      </c>
    </row>
    <row r="2138" spans="1:4" hidden="1" x14ac:dyDescent="0.3">
      <c r="A2138">
        <v>2136</v>
      </c>
      <c r="B2138" s="1" t="s">
        <v>2853</v>
      </c>
      <c r="C2138" t="s">
        <v>140</v>
      </c>
      <c r="D2138" s="1" t="s">
        <v>2854</v>
      </c>
    </row>
    <row r="2139" spans="1:4" hidden="1" x14ac:dyDescent="0.3">
      <c r="A2139">
        <v>2137</v>
      </c>
      <c r="B2139" t="s">
        <v>343</v>
      </c>
      <c r="C2139" t="s">
        <v>22</v>
      </c>
      <c r="D2139">
        <v>65.05</v>
      </c>
    </row>
    <row r="2140" spans="1:4" hidden="1" x14ac:dyDescent="0.3">
      <c r="A2140">
        <v>2138</v>
      </c>
      <c r="B2140" t="s">
        <v>2855</v>
      </c>
      <c r="C2140" t="s">
        <v>24</v>
      </c>
      <c r="D2140">
        <v>5.6101377996888804</v>
      </c>
    </row>
    <row r="2141" spans="1:4" hidden="1" x14ac:dyDescent="0.3">
      <c r="A2141">
        <v>2139</v>
      </c>
      <c r="B2141" s="1" t="s">
        <v>2856</v>
      </c>
      <c r="C2141" t="s">
        <v>145</v>
      </c>
      <c r="D2141" s="1" t="s">
        <v>2857</v>
      </c>
    </row>
    <row r="2142" spans="1:4" hidden="1" x14ac:dyDescent="0.3">
      <c r="A2142">
        <v>2140</v>
      </c>
      <c r="B2142" t="s">
        <v>2858</v>
      </c>
      <c r="C2142" t="s">
        <v>35</v>
      </c>
      <c r="D2142">
        <v>-7.6749034764140994E-2</v>
      </c>
    </row>
    <row r="2143" spans="1:4" hidden="1" x14ac:dyDescent="0.3">
      <c r="A2143">
        <v>2141</v>
      </c>
      <c r="B2143" t="s">
        <v>2859</v>
      </c>
      <c r="C2143" t="s">
        <v>149</v>
      </c>
      <c r="D2143">
        <v>0.54301808577089095</v>
      </c>
    </row>
    <row r="2144" spans="1:4" hidden="1" x14ac:dyDescent="0.3">
      <c r="A2144">
        <v>2142</v>
      </c>
      <c r="B2144" s="1" t="s">
        <v>2860</v>
      </c>
      <c r="C2144" t="s">
        <v>151</v>
      </c>
      <c r="D2144" s="1" t="s">
        <v>2861</v>
      </c>
    </row>
    <row r="2145" spans="1:4" hidden="1" x14ac:dyDescent="0.3">
      <c r="A2145">
        <v>2143</v>
      </c>
      <c r="B2145" t="s">
        <v>2862</v>
      </c>
      <c r="C2145" t="s">
        <v>30</v>
      </c>
      <c r="D2145">
        <v>0.45446738354599497</v>
      </c>
    </row>
    <row r="2146" spans="1:4" hidden="1" x14ac:dyDescent="0.3">
      <c r="A2146">
        <v>2144</v>
      </c>
      <c r="B2146" t="s">
        <v>2863</v>
      </c>
      <c r="C2146" t="s">
        <v>32</v>
      </c>
      <c r="D2146">
        <v>0.41357083141290502</v>
      </c>
    </row>
    <row r="2147" spans="1:4" hidden="1" x14ac:dyDescent="0.3">
      <c r="A2147">
        <v>2145</v>
      </c>
      <c r="B2147" s="1" t="s">
        <v>2864</v>
      </c>
      <c r="C2147" t="s">
        <v>155</v>
      </c>
      <c r="D2147" s="1" t="s">
        <v>2865</v>
      </c>
    </row>
    <row r="2148" spans="1:4" hidden="1" x14ac:dyDescent="0.3">
      <c r="A2148">
        <v>2146</v>
      </c>
      <c r="B2148" t="s">
        <v>2866</v>
      </c>
      <c r="C2148" t="s">
        <v>40</v>
      </c>
      <c r="D2148">
        <v>0.62228165121814505</v>
      </c>
    </row>
    <row r="2149" spans="1:4" hidden="1" x14ac:dyDescent="0.3">
      <c r="A2149">
        <v>2147</v>
      </c>
      <c r="B2149" t="s">
        <v>2867</v>
      </c>
      <c r="C2149" t="s">
        <v>42</v>
      </c>
      <c r="D2149">
        <v>0.42798845768582999</v>
      </c>
    </row>
    <row r="2150" spans="1:4" hidden="1" x14ac:dyDescent="0.3">
      <c r="A2150">
        <v>2148</v>
      </c>
      <c r="B2150" s="1" t="s">
        <v>2868</v>
      </c>
      <c r="C2150" t="s">
        <v>159</v>
      </c>
      <c r="D2150" s="1" t="s">
        <v>2869</v>
      </c>
    </row>
    <row r="2151" spans="1:4" hidden="1" x14ac:dyDescent="0.3">
      <c r="A2151">
        <v>2149</v>
      </c>
      <c r="B2151" t="s">
        <v>2870</v>
      </c>
      <c r="C2151" t="s">
        <v>161</v>
      </c>
      <c r="D2151">
        <v>0.99893551209670595</v>
      </c>
    </row>
    <row r="2152" spans="1:4" hidden="1" x14ac:dyDescent="0.3">
      <c r="A2152">
        <v>2150</v>
      </c>
      <c r="B2152" t="s">
        <v>2871</v>
      </c>
      <c r="C2152" t="s">
        <v>163</v>
      </c>
      <c r="D2152">
        <v>1.0017316659445501</v>
      </c>
    </row>
    <row r="2153" spans="1:4" hidden="1" x14ac:dyDescent="0.3">
      <c r="A2153">
        <v>2151</v>
      </c>
      <c r="B2153" s="1" t="s">
        <v>2872</v>
      </c>
      <c r="C2153" t="s">
        <v>165</v>
      </c>
      <c r="D2153" s="1" t="s">
        <v>2873</v>
      </c>
    </row>
    <row r="2154" spans="1:4" hidden="1" x14ac:dyDescent="0.3">
      <c r="A2154">
        <v>2152</v>
      </c>
      <c r="B2154" t="s">
        <v>2874</v>
      </c>
      <c r="C2154" t="s">
        <v>168</v>
      </c>
      <c r="D2154">
        <v>1.0009153230162999</v>
      </c>
    </row>
    <row r="2155" spans="1:4" hidden="1" x14ac:dyDescent="0.3">
      <c r="A2155">
        <v>2153</v>
      </c>
      <c r="B2155" t="s">
        <v>2875</v>
      </c>
      <c r="C2155" t="s">
        <v>170</v>
      </c>
      <c r="D2155">
        <v>1.0004236336466401</v>
      </c>
    </row>
    <row r="2156" spans="1:4" hidden="1" x14ac:dyDescent="0.3">
      <c r="A2156">
        <v>2154</v>
      </c>
      <c r="B2156" s="1" t="s">
        <v>2876</v>
      </c>
      <c r="C2156" t="s">
        <v>172</v>
      </c>
      <c r="D2156" s="1" t="s">
        <v>2877</v>
      </c>
    </row>
    <row r="2157" spans="1:4" hidden="1" x14ac:dyDescent="0.3">
      <c r="A2157">
        <v>2155</v>
      </c>
      <c r="B2157" s="1" t="s">
        <v>2878</v>
      </c>
      <c r="C2157" t="s">
        <v>55</v>
      </c>
      <c r="D2157" s="1" t="s">
        <v>2879</v>
      </c>
    </row>
    <row r="2158" spans="1:4" hidden="1" x14ac:dyDescent="0.3">
      <c r="A2158">
        <v>2156</v>
      </c>
      <c r="B2158" s="1" t="s">
        <v>2880</v>
      </c>
      <c r="C2158" t="s">
        <v>52</v>
      </c>
      <c r="D2158" s="1" t="s">
        <v>2881</v>
      </c>
    </row>
    <row r="2159" spans="1:4" hidden="1" x14ac:dyDescent="0.3">
      <c r="A2159">
        <v>2157</v>
      </c>
      <c r="B2159" s="1" t="s">
        <v>2882</v>
      </c>
      <c r="C2159" t="s">
        <v>58</v>
      </c>
      <c r="D2159" s="1" t="s">
        <v>2883</v>
      </c>
    </row>
    <row r="2160" spans="1:4" hidden="1" x14ac:dyDescent="0.3">
      <c r="A2160">
        <v>2158</v>
      </c>
      <c r="B2160" t="s">
        <v>2884</v>
      </c>
      <c r="C2160" t="s">
        <v>61</v>
      </c>
      <c r="D2160">
        <v>153397291.11047199</v>
      </c>
    </row>
    <row r="2161" spans="1:4" hidden="1" x14ac:dyDescent="0.3">
      <c r="A2161">
        <v>2159</v>
      </c>
      <c r="B2161" t="s">
        <v>2885</v>
      </c>
      <c r="C2161" t="s">
        <v>63</v>
      </c>
      <c r="D2161">
        <v>78335530.786739796</v>
      </c>
    </row>
    <row r="2162" spans="1:4" hidden="1" x14ac:dyDescent="0.3">
      <c r="A2162">
        <v>2160</v>
      </c>
      <c r="B2162" t="s">
        <v>2886</v>
      </c>
      <c r="C2162" t="s">
        <v>65</v>
      </c>
      <c r="D2162">
        <v>35152317.018261597</v>
      </c>
    </row>
    <row r="2163" spans="1:4" hidden="1" x14ac:dyDescent="0.3">
      <c r="A2163">
        <v>2161</v>
      </c>
      <c r="B2163" s="1" t="s">
        <v>2887</v>
      </c>
      <c r="C2163" t="s">
        <v>67</v>
      </c>
      <c r="D2163" s="1" t="s">
        <v>2888</v>
      </c>
    </row>
    <row r="2164" spans="1:4" hidden="1" x14ac:dyDescent="0.3">
      <c r="A2164">
        <v>2162</v>
      </c>
      <c r="B2164" s="1" t="s">
        <v>2889</v>
      </c>
      <c r="C2164" t="s">
        <v>70</v>
      </c>
      <c r="D2164" s="1" t="s">
        <v>2890</v>
      </c>
    </row>
    <row r="2165" spans="1:4" hidden="1" x14ac:dyDescent="0.3">
      <c r="A2165">
        <v>2163</v>
      </c>
      <c r="B2165" t="s">
        <v>2891</v>
      </c>
      <c r="C2165" t="s">
        <v>73</v>
      </c>
      <c r="D2165">
        <v>0.99991567046688901</v>
      </c>
    </row>
    <row r="2166" spans="1:4" hidden="1" x14ac:dyDescent="0.3">
      <c r="A2166">
        <v>2164</v>
      </c>
      <c r="B2166" t="s">
        <v>74</v>
      </c>
      <c r="C2166" t="s">
        <v>75</v>
      </c>
      <c r="D2166">
        <v>2.7397260273972599E-3</v>
      </c>
    </row>
    <row r="2167" spans="1:4" hidden="1" x14ac:dyDescent="0.3">
      <c r="A2167">
        <v>2165</v>
      </c>
      <c r="B2167" t="s">
        <v>76</v>
      </c>
      <c r="C2167" t="s">
        <v>77</v>
      </c>
      <c r="D2167">
        <v>0</v>
      </c>
    </row>
    <row r="2168" spans="1:4" hidden="1" x14ac:dyDescent="0.3">
      <c r="A2168">
        <v>2166</v>
      </c>
      <c r="B2168" t="s">
        <v>78</v>
      </c>
      <c r="C2168" t="s">
        <v>79</v>
      </c>
      <c r="D2168">
        <v>0</v>
      </c>
    </row>
    <row r="2169" spans="1:4" hidden="1" x14ac:dyDescent="0.3">
      <c r="A2169">
        <v>2167</v>
      </c>
      <c r="B2169" s="1" t="s">
        <v>2892</v>
      </c>
      <c r="C2169" t="s">
        <v>81</v>
      </c>
      <c r="D2169" s="1" t="s">
        <v>2893</v>
      </c>
    </row>
    <row r="2170" spans="1:4" hidden="1" x14ac:dyDescent="0.3">
      <c r="A2170">
        <v>2168</v>
      </c>
      <c r="B2170" t="s">
        <v>2894</v>
      </c>
      <c r="C2170" t="s">
        <v>84</v>
      </c>
      <c r="D2170">
        <v>0.99992528089733201</v>
      </c>
    </row>
    <row r="2171" spans="1:4" hidden="1" x14ac:dyDescent="0.3">
      <c r="A2171">
        <v>2169</v>
      </c>
      <c r="B2171" s="1" t="s">
        <v>2895</v>
      </c>
      <c r="C2171" t="s">
        <v>86</v>
      </c>
      <c r="D2171" s="1" t="s">
        <v>2896</v>
      </c>
    </row>
    <row r="2172" spans="1:4" hidden="1" x14ac:dyDescent="0.3">
      <c r="A2172">
        <v>2170</v>
      </c>
      <c r="B2172" t="s">
        <v>2897</v>
      </c>
      <c r="C2172" t="s">
        <v>89</v>
      </c>
      <c r="D2172">
        <v>102957658.69614001</v>
      </c>
    </row>
    <row r="2173" spans="1:4" hidden="1" x14ac:dyDescent="0.3">
      <c r="A2173">
        <v>2171</v>
      </c>
      <c r="B2173" s="1" t="s">
        <v>2898</v>
      </c>
      <c r="C2173" t="s">
        <v>91</v>
      </c>
      <c r="D2173" s="1" t="s">
        <v>2834</v>
      </c>
    </row>
    <row r="2174" spans="1:4" hidden="1" x14ac:dyDescent="0.3">
      <c r="A2174">
        <v>2172</v>
      </c>
      <c r="B2174" t="s">
        <v>2899</v>
      </c>
      <c r="C2174" t="s">
        <v>94</v>
      </c>
      <c r="D2174">
        <v>78335530.786739796</v>
      </c>
    </row>
    <row r="2175" spans="1:4" hidden="1" x14ac:dyDescent="0.3">
      <c r="A2175">
        <v>2173</v>
      </c>
      <c r="B2175" t="s">
        <v>2900</v>
      </c>
      <c r="C2175" t="s">
        <v>96</v>
      </c>
      <c r="D2175">
        <v>35152317.018261597</v>
      </c>
    </row>
    <row r="2176" spans="1:4" hidden="1" x14ac:dyDescent="0.3">
      <c r="A2176">
        <v>2174</v>
      </c>
      <c r="B2176" t="s">
        <v>2901</v>
      </c>
      <c r="C2176" t="s">
        <v>98</v>
      </c>
      <c r="D2176">
        <v>39909443.305470496</v>
      </c>
    </row>
    <row r="2177" spans="1:4" hidden="1" x14ac:dyDescent="0.3">
      <c r="A2177">
        <v>2175</v>
      </c>
      <c r="B2177" s="1" t="s">
        <v>2902</v>
      </c>
      <c r="C2177" t="s">
        <v>100</v>
      </c>
      <c r="D2177" s="1" t="s">
        <v>2903</v>
      </c>
    </row>
    <row r="2178" spans="1:4" hidden="1" x14ac:dyDescent="0.3">
      <c r="A2178">
        <v>2176</v>
      </c>
      <c r="B2178" t="s">
        <v>2904</v>
      </c>
      <c r="C2178" t="s">
        <v>103</v>
      </c>
      <c r="D2178">
        <v>9.1298108733786302E-3</v>
      </c>
    </row>
    <row r="2179" spans="1:4" hidden="1" x14ac:dyDescent="0.3">
      <c r="A2179">
        <v>2177</v>
      </c>
      <c r="B2179" t="s">
        <v>2905</v>
      </c>
      <c r="C2179" t="s">
        <v>105</v>
      </c>
      <c r="D2179">
        <v>3.27998111538264E-3</v>
      </c>
    </row>
    <row r="2180" spans="1:4" hidden="1" x14ac:dyDescent="0.3">
      <c r="A2180">
        <v>2178</v>
      </c>
      <c r="B2180" t="s">
        <v>2906</v>
      </c>
      <c r="C2180" t="s">
        <v>107</v>
      </c>
      <c r="D2180">
        <v>1.17696391984679E-2</v>
      </c>
    </row>
    <row r="2181" spans="1:4" hidden="1" x14ac:dyDescent="0.3">
      <c r="A2181">
        <v>2179</v>
      </c>
      <c r="B2181" s="1" t="s">
        <v>2907</v>
      </c>
      <c r="C2181" t="s">
        <v>109</v>
      </c>
      <c r="D2181" s="1" t="s">
        <v>2908</v>
      </c>
    </row>
    <row r="2182" spans="1:4" hidden="1" x14ac:dyDescent="0.3">
      <c r="A2182">
        <v>2180</v>
      </c>
      <c r="B2182" t="s">
        <v>2909</v>
      </c>
      <c r="C2182" t="s">
        <v>208</v>
      </c>
      <c r="D2182">
        <v>153397629.87879899</v>
      </c>
    </row>
    <row r="2183" spans="1:4" hidden="1" x14ac:dyDescent="0.3">
      <c r="A2183">
        <v>2181</v>
      </c>
      <c r="B2183" t="s">
        <v>2910</v>
      </c>
      <c r="C2183" t="s">
        <v>210</v>
      </c>
      <c r="D2183">
        <v>-752.90392490692898</v>
      </c>
    </row>
    <row r="2184" spans="1:4" hidden="1" x14ac:dyDescent="0.3">
      <c r="A2184">
        <v>2182</v>
      </c>
      <c r="B2184" t="s">
        <v>2911</v>
      </c>
      <c r="C2184" t="s">
        <v>212</v>
      </c>
      <c r="D2184">
        <v>-337.85773547762602</v>
      </c>
    </row>
    <row r="2185" spans="1:4" hidden="1" x14ac:dyDescent="0.3">
      <c r="A2185">
        <v>2183</v>
      </c>
      <c r="B2185" s="1" t="s">
        <v>2912</v>
      </c>
      <c r="C2185" t="s">
        <v>214</v>
      </c>
      <c r="D2185" s="1" t="s">
        <v>2913</v>
      </c>
    </row>
    <row r="2186" spans="1:4" hidden="1" x14ac:dyDescent="0.3">
      <c r="A2186">
        <v>2184</v>
      </c>
      <c r="B2186" t="s">
        <v>2914</v>
      </c>
      <c r="C2186" t="s">
        <v>217</v>
      </c>
      <c r="D2186">
        <v>78336519.168734297</v>
      </c>
    </row>
    <row r="2187" spans="1:4" hidden="1" x14ac:dyDescent="0.3">
      <c r="A2187">
        <v>2185</v>
      </c>
      <c r="B2187" t="s">
        <v>2915</v>
      </c>
      <c r="C2187" t="s">
        <v>219</v>
      </c>
      <c r="D2187">
        <v>35152690.929084897</v>
      </c>
    </row>
    <row r="2188" spans="1:4" hidden="1" x14ac:dyDescent="0.3">
      <c r="A2188">
        <v>2186</v>
      </c>
      <c r="B2188" t="s">
        <v>2916</v>
      </c>
      <c r="C2188" t="s">
        <v>221</v>
      </c>
      <c r="D2188">
        <v>39909894.122562297</v>
      </c>
    </row>
    <row r="2189" spans="1:4" hidden="1" x14ac:dyDescent="0.3">
      <c r="A2189">
        <v>2187</v>
      </c>
      <c r="B2189" s="1" t="s">
        <v>2917</v>
      </c>
      <c r="C2189" t="s">
        <v>223</v>
      </c>
      <c r="D2189" s="1" t="s">
        <v>2918</v>
      </c>
    </row>
    <row r="2190" spans="1:4" hidden="1" x14ac:dyDescent="0.3">
      <c r="A2190">
        <v>2188</v>
      </c>
      <c r="B2190" t="s">
        <v>2919</v>
      </c>
      <c r="C2190" t="s">
        <v>226</v>
      </c>
      <c r="D2190">
        <v>102958648.247006</v>
      </c>
    </row>
    <row r="2191" spans="1:4" hidden="1" x14ac:dyDescent="0.3">
      <c r="A2191">
        <v>2189</v>
      </c>
      <c r="B2191" t="s">
        <v>2920</v>
      </c>
      <c r="C2191" t="s">
        <v>228</v>
      </c>
      <c r="D2191">
        <v>-989.55086581408898</v>
      </c>
    </row>
    <row r="2192" spans="1:4" hidden="1" x14ac:dyDescent="0.3">
      <c r="A2192">
        <v>2190</v>
      </c>
      <c r="B2192" s="1" t="s">
        <v>2921</v>
      </c>
      <c r="C2192" t="s">
        <v>230</v>
      </c>
      <c r="D2192" s="1" t="s">
        <v>2922</v>
      </c>
    </row>
    <row r="2193" spans="1:4" hidden="1" x14ac:dyDescent="0.3">
      <c r="A2193">
        <v>2191</v>
      </c>
      <c r="B2193" t="s">
        <v>2923</v>
      </c>
      <c r="C2193" t="s">
        <v>112</v>
      </c>
      <c r="D2193">
        <v>235.47806957728201</v>
      </c>
    </row>
    <row r="2194" spans="1:4" hidden="1" x14ac:dyDescent="0.3">
      <c r="A2194">
        <v>2192</v>
      </c>
      <c r="B2194" t="s">
        <v>2924</v>
      </c>
      <c r="C2194" t="s">
        <v>114</v>
      </c>
      <c r="D2194">
        <v>36.053087795780002</v>
      </c>
    </row>
    <row r="2195" spans="1:4" hidden="1" x14ac:dyDescent="0.3">
      <c r="A2195">
        <v>2193</v>
      </c>
      <c r="B2195" s="1" t="s">
        <v>2925</v>
      </c>
      <c r="C2195" t="s">
        <v>116</v>
      </c>
      <c r="D2195" s="1" t="s">
        <v>2926</v>
      </c>
    </row>
    <row r="2196" spans="1:4" hidden="1" x14ac:dyDescent="0.3">
      <c r="A2196">
        <v>2194</v>
      </c>
      <c r="B2196" t="s">
        <v>2927</v>
      </c>
      <c r="C2196" t="s">
        <v>119</v>
      </c>
      <c r="D2196">
        <v>78336519.168734297</v>
      </c>
    </row>
    <row r="2197" spans="1:4" hidden="1" x14ac:dyDescent="0.3">
      <c r="A2197">
        <v>2195</v>
      </c>
      <c r="B2197" t="s">
        <v>2928</v>
      </c>
      <c r="C2197" t="s">
        <v>121</v>
      </c>
      <c r="D2197">
        <v>35152690.929084897</v>
      </c>
    </row>
    <row r="2198" spans="1:4" hidden="1" x14ac:dyDescent="0.3">
      <c r="A2198">
        <v>2196</v>
      </c>
      <c r="B2198" s="1" t="s">
        <v>2929</v>
      </c>
      <c r="C2198" t="s">
        <v>123</v>
      </c>
      <c r="D2198" s="1" t="s">
        <v>2930</v>
      </c>
    </row>
    <row r="2199" spans="1:4" hidden="1" x14ac:dyDescent="0.3">
      <c r="A2199">
        <v>2197</v>
      </c>
      <c r="B2199" t="s">
        <v>2931</v>
      </c>
      <c r="C2199" t="s">
        <v>126</v>
      </c>
      <c r="D2199">
        <v>0.76091104705049895</v>
      </c>
    </row>
    <row r="2200" spans="1:4" hidden="1" x14ac:dyDescent="0.3">
      <c r="A2200">
        <v>2198</v>
      </c>
      <c r="B2200" t="s">
        <v>2932</v>
      </c>
      <c r="C2200" t="s">
        <v>128</v>
      </c>
      <c r="D2200">
        <v>0.34145084751440302</v>
      </c>
    </row>
    <row r="2201" spans="1:4" hidden="1" x14ac:dyDescent="0.3">
      <c r="A2201">
        <v>2199</v>
      </c>
      <c r="B2201" s="1" t="s">
        <v>2933</v>
      </c>
      <c r="C2201" t="s">
        <v>130</v>
      </c>
      <c r="D2201" s="1" t="s">
        <v>2934</v>
      </c>
    </row>
    <row r="2202" spans="1:4" ht="72" x14ac:dyDescent="0.3">
      <c r="A2202">
        <v>2200</v>
      </c>
      <c r="B2202" s="1" t="s">
        <v>2935</v>
      </c>
      <c r="C2202" t="s">
        <v>4</v>
      </c>
      <c r="D2202" t="s">
        <v>2936</v>
      </c>
    </row>
    <row r="2203" spans="1:4" hidden="1" x14ac:dyDescent="0.3">
      <c r="A2203">
        <v>2201</v>
      </c>
      <c r="B2203" t="s">
        <v>2937</v>
      </c>
      <c r="C2203" t="s">
        <v>7</v>
      </c>
      <c r="D2203">
        <v>1789.72</v>
      </c>
    </row>
    <row r="2204" spans="1:4" hidden="1" x14ac:dyDescent="0.3">
      <c r="A2204">
        <v>2202</v>
      </c>
      <c r="B2204" s="1" t="s">
        <v>2938</v>
      </c>
      <c r="C2204" t="s">
        <v>9</v>
      </c>
      <c r="D2204" s="1" t="s">
        <v>2939</v>
      </c>
    </row>
    <row r="2205" spans="1:4" hidden="1" x14ac:dyDescent="0.3">
      <c r="A2205">
        <v>2203</v>
      </c>
      <c r="B2205" t="s">
        <v>2940</v>
      </c>
      <c r="C2205" t="s">
        <v>14</v>
      </c>
      <c r="D2205">
        <v>91.16015625</v>
      </c>
    </row>
    <row r="2206" spans="1:4" hidden="1" x14ac:dyDescent="0.3">
      <c r="A2206">
        <v>2204</v>
      </c>
      <c r="B2206" t="s">
        <v>2941</v>
      </c>
      <c r="C2206" t="s">
        <v>16</v>
      </c>
      <c r="D2206">
        <v>4.2889097079575098</v>
      </c>
    </row>
    <row r="2207" spans="1:4" hidden="1" x14ac:dyDescent="0.3">
      <c r="A2207">
        <v>2205</v>
      </c>
      <c r="B2207" s="1" t="s">
        <v>2942</v>
      </c>
      <c r="C2207" t="s">
        <v>140</v>
      </c>
      <c r="D2207" s="1" t="s">
        <v>2943</v>
      </c>
    </row>
    <row r="2208" spans="1:4" hidden="1" x14ac:dyDescent="0.3">
      <c r="A2208">
        <v>2206</v>
      </c>
      <c r="B2208" t="s">
        <v>2944</v>
      </c>
      <c r="C2208" t="s">
        <v>22</v>
      </c>
      <c r="D2208">
        <v>66.150000000000006</v>
      </c>
    </row>
    <row r="2209" spans="1:4" hidden="1" x14ac:dyDescent="0.3">
      <c r="A2209">
        <v>2207</v>
      </c>
      <c r="B2209" t="s">
        <v>2945</v>
      </c>
      <c r="C2209" t="s">
        <v>24</v>
      </c>
      <c r="D2209">
        <v>5.4798391321356004</v>
      </c>
    </row>
    <row r="2210" spans="1:4" hidden="1" x14ac:dyDescent="0.3">
      <c r="A2210">
        <v>2208</v>
      </c>
      <c r="B2210" s="1" t="s">
        <v>2946</v>
      </c>
      <c r="C2210" t="s">
        <v>145</v>
      </c>
      <c r="D2210" s="1" t="s">
        <v>2947</v>
      </c>
    </row>
    <row r="2211" spans="1:4" hidden="1" x14ac:dyDescent="0.3">
      <c r="A2211">
        <v>2209</v>
      </c>
      <c r="B2211" t="s">
        <v>2948</v>
      </c>
      <c r="C2211" t="s">
        <v>35</v>
      </c>
      <c r="D2211">
        <v>4.1950054799356401E-2</v>
      </c>
    </row>
    <row r="2212" spans="1:4" hidden="1" x14ac:dyDescent="0.3">
      <c r="A2212">
        <v>2210</v>
      </c>
      <c r="B2212" t="s">
        <v>2949</v>
      </c>
      <c r="C2212" t="s">
        <v>149</v>
      </c>
      <c r="D2212">
        <v>0.54085106725562304</v>
      </c>
    </row>
    <row r="2213" spans="1:4" hidden="1" x14ac:dyDescent="0.3">
      <c r="A2213">
        <v>2211</v>
      </c>
      <c r="B2213" s="1" t="s">
        <v>2950</v>
      </c>
      <c r="C2213" t="s">
        <v>151</v>
      </c>
      <c r="D2213" s="1" t="s">
        <v>2951</v>
      </c>
    </row>
    <row r="2214" spans="1:4" hidden="1" x14ac:dyDescent="0.3">
      <c r="A2214">
        <v>2212</v>
      </c>
      <c r="B2214" t="s">
        <v>2952</v>
      </c>
      <c r="C2214" t="s">
        <v>30</v>
      </c>
      <c r="D2214">
        <v>0.40590081305757397</v>
      </c>
    </row>
    <row r="2215" spans="1:4" hidden="1" x14ac:dyDescent="0.3">
      <c r="A2215">
        <v>2213</v>
      </c>
      <c r="B2215" t="s">
        <v>2953</v>
      </c>
      <c r="C2215" t="s">
        <v>32</v>
      </c>
      <c r="D2215">
        <v>0.41197542005507898</v>
      </c>
    </row>
    <row r="2216" spans="1:4" hidden="1" x14ac:dyDescent="0.3">
      <c r="A2216">
        <v>2214</v>
      </c>
      <c r="B2216" s="1" t="s">
        <v>2954</v>
      </c>
      <c r="C2216" t="s">
        <v>155</v>
      </c>
      <c r="D2216" s="1" t="s">
        <v>2955</v>
      </c>
    </row>
    <row r="2217" spans="1:4" hidden="1" x14ac:dyDescent="0.3">
      <c r="A2217">
        <v>2215</v>
      </c>
      <c r="B2217" t="s">
        <v>2956</v>
      </c>
      <c r="C2217" t="s">
        <v>40</v>
      </c>
      <c r="D2217">
        <v>0.55214913214306904</v>
      </c>
    </row>
    <row r="2218" spans="1:4" hidden="1" x14ac:dyDescent="0.3">
      <c r="A2218">
        <v>2216</v>
      </c>
      <c r="B2218" t="s">
        <v>2957</v>
      </c>
      <c r="C2218" t="s">
        <v>42</v>
      </c>
      <c r="D2218">
        <v>0.43696241245060802</v>
      </c>
    </row>
    <row r="2219" spans="1:4" hidden="1" x14ac:dyDescent="0.3">
      <c r="A2219">
        <v>2217</v>
      </c>
      <c r="B2219" s="1" t="s">
        <v>2958</v>
      </c>
      <c r="C2219" t="s">
        <v>159</v>
      </c>
      <c r="D2219" s="1" t="s">
        <v>2959</v>
      </c>
    </row>
    <row r="2220" spans="1:4" hidden="1" x14ac:dyDescent="0.3">
      <c r="A2220">
        <v>2218</v>
      </c>
      <c r="B2220" t="s">
        <v>2960</v>
      </c>
      <c r="C2220" t="s">
        <v>161</v>
      </c>
      <c r="D2220">
        <v>0.99851593970028596</v>
      </c>
    </row>
    <row r="2221" spans="1:4" hidden="1" x14ac:dyDescent="0.3">
      <c r="A2221">
        <v>2219</v>
      </c>
      <c r="B2221" t="s">
        <v>2961</v>
      </c>
      <c r="C2221" t="s">
        <v>163</v>
      </c>
      <c r="D2221">
        <v>0.99899242027924595</v>
      </c>
    </row>
    <row r="2222" spans="1:4" hidden="1" x14ac:dyDescent="0.3">
      <c r="A2222">
        <v>2220</v>
      </c>
      <c r="B2222" s="1" t="s">
        <v>2962</v>
      </c>
      <c r="C2222" t="s">
        <v>165</v>
      </c>
      <c r="D2222" s="1" t="s">
        <v>2963</v>
      </c>
    </row>
    <row r="2223" spans="1:4" hidden="1" x14ac:dyDescent="0.3">
      <c r="A2223">
        <v>2221</v>
      </c>
      <c r="B2223" t="s">
        <v>2964</v>
      </c>
      <c r="C2223" t="s">
        <v>168</v>
      </c>
      <c r="D2223">
        <v>0.99859559746236803</v>
      </c>
    </row>
    <row r="2224" spans="1:4" hidden="1" x14ac:dyDescent="0.3">
      <c r="A2224">
        <v>2222</v>
      </c>
      <c r="B2224" t="s">
        <v>2965</v>
      </c>
      <c r="C2224" t="s">
        <v>170</v>
      </c>
      <c r="D2224">
        <v>0.99887136086683903</v>
      </c>
    </row>
    <row r="2225" spans="1:4" hidden="1" x14ac:dyDescent="0.3">
      <c r="A2225">
        <v>2223</v>
      </c>
      <c r="B2225" s="1" t="s">
        <v>2966</v>
      </c>
      <c r="C2225" t="s">
        <v>172</v>
      </c>
      <c r="D2225" s="1" t="s">
        <v>2967</v>
      </c>
    </row>
    <row r="2226" spans="1:4" hidden="1" x14ac:dyDescent="0.3">
      <c r="A2226">
        <v>2224</v>
      </c>
      <c r="B2226" s="1" t="s">
        <v>2968</v>
      </c>
      <c r="C2226" t="s">
        <v>55</v>
      </c>
      <c r="D2226" s="1" t="s">
        <v>2969</v>
      </c>
    </row>
    <row r="2227" spans="1:4" hidden="1" x14ac:dyDescent="0.3">
      <c r="A2227">
        <v>2225</v>
      </c>
      <c r="B2227" s="1" t="s">
        <v>2970</v>
      </c>
      <c r="C2227" t="s">
        <v>52</v>
      </c>
      <c r="D2227" s="1" t="s">
        <v>2971</v>
      </c>
    </row>
    <row r="2228" spans="1:4" hidden="1" x14ac:dyDescent="0.3">
      <c r="A2228">
        <v>2226</v>
      </c>
      <c r="B2228" s="1" t="s">
        <v>2972</v>
      </c>
      <c r="C2228" t="s">
        <v>58</v>
      </c>
      <c r="D2228" s="1" t="s">
        <v>2973</v>
      </c>
    </row>
    <row r="2229" spans="1:4" hidden="1" x14ac:dyDescent="0.3">
      <c r="A2229">
        <v>2227</v>
      </c>
      <c r="B2229" t="s">
        <v>2974</v>
      </c>
      <c r="C2229" t="s">
        <v>61</v>
      </c>
      <c r="D2229">
        <v>153795130.66252801</v>
      </c>
    </row>
    <row r="2230" spans="1:4" hidden="1" x14ac:dyDescent="0.3">
      <c r="A2230">
        <v>2228</v>
      </c>
      <c r="B2230" t="s">
        <v>2975</v>
      </c>
      <c r="C2230" t="s">
        <v>63</v>
      </c>
      <c r="D2230">
        <v>78220263.050618306</v>
      </c>
    </row>
    <row r="2231" spans="1:4" hidden="1" x14ac:dyDescent="0.3">
      <c r="A2231">
        <v>2229</v>
      </c>
      <c r="B2231" t="s">
        <v>2976</v>
      </c>
      <c r="C2231" t="s">
        <v>65</v>
      </c>
      <c r="D2231">
        <v>35117271.790574796</v>
      </c>
    </row>
    <row r="2232" spans="1:4" hidden="1" x14ac:dyDescent="0.3">
      <c r="A2232">
        <v>2230</v>
      </c>
      <c r="B2232" s="1" t="s">
        <v>2977</v>
      </c>
      <c r="C2232" t="s">
        <v>67</v>
      </c>
      <c r="D2232" s="1" t="s">
        <v>2978</v>
      </c>
    </row>
    <row r="2233" spans="1:4" hidden="1" x14ac:dyDescent="0.3">
      <c r="A2233">
        <v>2231</v>
      </c>
      <c r="B2233" s="1" t="s">
        <v>2979</v>
      </c>
      <c r="C2233" t="s">
        <v>70</v>
      </c>
      <c r="D2233" s="1" t="s">
        <v>2980</v>
      </c>
    </row>
    <row r="2234" spans="1:4" hidden="1" x14ac:dyDescent="0.3">
      <c r="A2234">
        <v>2232</v>
      </c>
      <c r="B2234" t="s">
        <v>2981</v>
      </c>
      <c r="C2234" t="s">
        <v>73</v>
      </c>
      <c r="D2234">
        <v>0.99992528089733201</v>
      </c>
    </row>
    <row r="2235" spans="1:4" hidden="1" x14ac:dyDescent="0.3">
      <c r="A2235">
        <v>2233</v>
      </c>
      <c r="B2235" t="s">
        <v>74</v>
      </c>
      <c r="C2235" t="s">
        <v>75</v>
      </c>
      <c r="D2235">
        <v>2.7397260273972599E-3</v>
      </c>
    </row>
    <row r="2236" spans="1:4" hidden="1" x14ac:dyDescent="0.3">
      <c r="A2236">
        <v>2234</v>
      </c>
      <c r="B2236" t="s">
        <v>76</v>
      </c>
      <c r="C2236" t="s">
        <v>77</v>
      </c>
      <c r="D2236">
        <v>0</v>
      </c>
    </row>
    <row r="2237" spans="1:4" hidden="1" x14ac:dyDescent="0.3">
      <c r="A2237">
        <v>2235</v>
      </c>
      <c r="B2237" t="s">
        <v>78</v>
      </c>
      <c r="C2237" t="s">
        <v>79</v>
      </c>
      <c r="D2237">
        <v>0</v>
      </c>
    </row>
    <row r="2238" spans="1:4" hidden="1" x14ac:dyDescent="0.3">
      <c r="A2238">
        <v>2236</v>
      </c>
      <c r="B2238" s="1" t="s">
        <v>2982</v>
      </c>
      <c r="C2238" t="s">
        <v>81</v>
      </c>
      <c r="D2238" s="1" t="s">
        <v>2983</v>
      </c>
    </row>
    <row r="2239" spans="1:4" hidden="1" x14ac:dyDescent="0.3">
      <c r="A2239">
        <v>2237</v>
      </c>
      <c r="B2239" t="s">
        <v>2984</v>
      </c>
      <c r="C2239" t="s">
        <v>84</v>
      </c>
      <c r="D2239">
        <v>0.99987982143955501</v>
      </c>
    </row>
    <row r="2240" spans="1:4" hidden="1" x14ac:dyDescent="0.3">
      <c r="A2240">
        <v>2238</v>
      </c>
      <c r="B2240" s="1" t="s">
        <v>2985</v>
      </c>
      <c r="C2240" t="s">
        <v>86</v>
      </c>
      <c r="D2240" s="1" t="s">
        <v>2986</v>
      </c>
    </row>
    <row r="2241" spans="1:4" hidden="1" x14ac:dyDescent="0.3">
      <c r="A2241">
        <v>2239</v>
      </c>
      <c r="B2241" t="s">
        <v>2987</v>
      </c>
      <c r="C2241" t="s">
        <v>89</v>
      </c>
      <c r="D2241">
        <v>102962339.65803</v>
      </c>
    </row>
    <row r="2242" spans="1:4" hidden="1" x14ac:dyDescent="0.3">
      <c r="A2242">
        <v>2240</v>
      </c>
      <c r="B2242" s="1" t="s">
        <v>2988</v>
      </c>
      <c r="C2242" t="s">
        <v>91</v>
      </c>
      <c r="D2242" s="1" t="s">
        <v>2922</v>
      </c>
    </row>
    <row r="2243" spans="1:4" hidden="1" x14ac:dyDescent="0.3">
      <c r="A2243">
        <v>2241</v>
      </c>
      <c r="B2243" t="s">
        <v>2989</v>
      </c>
      <c r="C2243" t="s">
        <v>94</v>
      </c>
      <c r="D2243">
        <v>78220263.050618306</v>
      </c>
    </row>
    <row r="2244" spans="1:4" hidden="1" x14ac:dyDescent="0.3">
      <c r="A2244">
        <v>2242</v>
      </c>
      <c r="B2244" t="s">
        <v>2990</v>
      </c>
      <c r="C2244" t="s">
        <v>96</v>
      </c>
      <c r="D2244">
        <v>35117271.790574796</v>
      </c>
    </row>
    <row r="2245" spans="1:4" hidden="1" x14ac:dyDescent="0.3">
      <c r="A2245">
        <v>2243</v>
      </c>
      <c r="B2245" t="s">
        <v>2991</v>
      </c>
      <c r="C2245" t="s">
        <v>98</v>
      </c>
      <c r="D2245">
        <v>40457595.821335703</v>
      </c>
    </row>
    <row r="2246" spans="1:4" hidden="1" x14ac:dyDescent="0.3">
      <c r="A2246">
        <v>2244</v>
      </c>
      <c r="B2246" s="1" t="s">
        <v>2992</v>
      </c>
      <c r="C2246" t="s">
        <v>100</v>
      </c>
      <c r="D2246" s="1" t="s">
        <v>2993</v>
      </c>
    </row>
    <row r="2247" spans="1:4" hidden="1" x14ac:dyDescent="0.3">
      <c r="A2247">
        <v>2245</v>
      </c>
      <c r="B2247" t="s">
        <v>2994</v>
      </c>
      <c r="C2247" t="s">
        <v>103</v>
      </c>
      <c r="D2247">
        <v>9.1239679096474201E-3</v>
      </c>
    </row>
    <row r="2248" spans="1:4" hidden="1" x14ac:dyDescent="0.3">
      <c r="A2248">
        <v>2246</v>
      </c>
      <c r="B2248" t="s">
        <v>2995</v>
      </c>
      <c r="C2248" t="s">
        <v>105</v>
      </c>
      <c r="D2248">
        <v>3.2791137095056601E-3</v>
      </c>
    </row>
    <row r="2249" spans="1:4" hidden="1" x14ac:dyDescent="0.3">
      <c r="A2249">
        <v>2247</v>
      </c>
      <c r="B2249" t="s">
        <v>2996</v>
      </c>
      <c r="C2249" t="s">
        <v>107</v>
      </c>
      <c r="D2249">
        <v>1.1845605438839999E-2</v>
      </c>
    </row>
    <row r="2250" spans="1:4" hidden="1" x14ac:dyDescent="0.3">
      <c r="A2250">
        <v>2248</v>
      </c>
      <c r="B2250" s="1" t="s">
        <v>2997</v>
      </c>
      <c r="C2250" t="s">
        <v>109</v>
      </c>
      <c r="D2250" s="1" t="s">
        <v>2998</v>
      </c>
    </row>
    <row r="2251" spans="1:4" hidden="1" x14ac:dyDescent="0.3">
      <c r="A2251">
        <v>2249</v>
      </c>
      <c r="B2251" t="s">
        <v>2999</v>
      </c>
      <c r="C2251" t="s">
        <v>208</v>
      </c>
      <c r="D2251">
        <v>153793530.13098001</v>
      </c>
    </row>
    <row r="2252" spans="1:4" hidden="1" x14ac:dyDescent="0.3">
      <c r="A2252">
        <v>2250</v>
      </c>
      <c r="B2252" t="s">
        <v>3000</v>
      </c>
      <c r="C2252" t="s">
        <v>210</v>
      </c>
      <c r="D2252">
        <v>3556.0687021905601</v>
      </c>
    </row>
    <row r="2253" spans="1:4" hidden="1" x14ac:dyDescent="0.3">
      <c r="A2253">
        <v>2251</v>
      </c>
      <c r="B2253" t="s">
        <v>3001</v>
      </c>
      <c r="C2253" t="s">
        <v>212</v>
      </c>
      <c r="D2253">
        <v>1596.5210685219599</v>
      </c>
    </row>
    <row r="2254" spans="1:4" hidden="1" x14ac:dyDescent="0.3">
      <c r="A2254">
        <v>2252</v>
      </c>
      <c r="B2254" s="1" t="s">
        <v>3002</v>
      </c>
      <c r="C2254" t="s">
        <v>214</v>
      </c>
      <c r="D2254" s="1" t="s">
        <v>3003</v>
      </c>
    </row>
    <row r="2255" spans="1:4" hidden="1" x14ac:dyDescent="0.3">
      <c r="A2255">
        <v>2253</v>
      </c>
      <c r="B2255" t="s">
        <v>3004</v>
      </c>
      <c r="C2255" t="s">
        <v>217</v>
      </c>
      <c r="D2255">
        <v>78215656.606037498</v>
      </c>
    </row>
    <row r="2256" spans="1:4" hidden="1" x14ac:dyDescent="0.3">
      <c r="A2256">
        <v>2254</v>
      </c>
      <c r="B2256" t="s">
        <v>3005</v>
      </c>
      <c r="C2256" t="s">
        <v>219</v>
      </c>
      <c r="D2256">
        <v>35115447.455471098</v>
      </c>
    </row>
    <row r="2257" spans="1:4" hidden="1" x14ac:dyDescent="0.3">
      <c r="A2257">
        <v>2255</v>
      </c>
      <c r="B2257" t="s">
        <v>3006</v>
      </c>
      <c r="C2257" t="s">
        <v>221</v>
      </c>
      <c r="D2257">
        <v>40455434.176553898</v>
      </c>
    </row>
    <row r="2258" spans="1:4" hidden="1" x14ac:dyDescent="0.3">
      <c r="A2258">
        <v>2256</v>
      </c>
      <c r="B2258" s="1" t="s">
        <v>3007</v>
      </c>
      <c r="C2258" t="s">
        <v>223</v>
      </c>
      <c r="D2258" s="1" t="s">
        <v>3008</v>
      </c>
    </row>
    <row r="2259" spans="1:4" hidden="1" x14ac:dyDescent="0.3">
      <c r="A2259">
        <v>2257</v>
      </c>
      <c r="B2259" t="s">
        <v>3009</v>
      </c>
      <c r="C2259" t="s">
        <v>226</v>
      </c>
      <c r="D2259">
        <v>102957658.69614001</v>
      </c>
    </row>
    <row r="2260" spans="1:4" hidden="1" x14ac:dyDescent="0.3">
      <c r="A2260">
        <v>2258</v>
      </c>
      <c r="B2260" t="s">
        <v>3010</v>
      </c>
      <c r="C2260" t="s">
        <v>228</v>
      </c>
      <c r="D2260">
        <v>4680.9618895649901</v>
      </c>
    </row>
    <row r="2261" spans="1:4" hidden="1" x14ac:dyDescent="0.3">
      <c r="A2261">
        <v>2259</v>
      </c>
      <c r="B2261" s="1" t="s">
        <v>3011</v>
      </c>
      <c r="C2261" t="s">
        <v>230</v>
      </c>
      <c r="D2261" s="1" t="s">
        <v>3012</v>
      </c>
    </row>
    <row r="2262" spans="1:4" hidden="1" x14ac:dyDescent="0.3">
      <c r="A2262">
        <v>2260</v>
      </c>
      <c r="B2262" t="s">
        <v>3013</v>
      </c>
      <c r="C2262" t="s">
        <v>112</v>
      </c>
      <c r="D2262">
        <v>-1050.37587853481</v>
      </c>
    </row>
    <row r="2263" spans="1:4" hidden="1" x14ac:dyDescent="0.3">
      <c r="A2263">
        <v>2261</v>
      </c>
      <c r="B2263" t="s">
        <v>3014</v>
      </c>
      <c r="C2263" t="s">
        <v>114</v>
      </c>
      <c r="D2263">
        <v>-227.81403517432099</v>
      </c>
    </row>
    <row r="2264" spans="1:4" hidden="1" x14ac:dyDescent="0.3">
      <c r="A2264">
        <v>2262</v>
      </c>
      <c r="B2264" s="1" t="s">
        <v>3015</v>
      </c>
      <c r="C2264" t="s">
        <v>116</v>
      </c>
      <c r="D2264" s="1" t="s">
        <v>3016</v>
      </c>
    </row>
    <row r="2265" spans="1:4" hidden="1" x14ac:dyDescent="0.3">
      <c r="A2265">
        <v>2263</v>
      </c>
      <c r="B2265" t="s">
        <v>3017</v>
      </c>
      <c r="C2265" t="s">
        <v>119</v>
      </c>
      <c r="D2265">
        <v>78215656.606037498</v>
      </c>
    </row>
    <row r="2266" spans="1:4" hidden="1" x14ac:dyDescent="0.3">
      <c r="A2266">
        <v>2264</v>
      </c>
      <c r="B2266" t="s">
        <v>3018</v>
      </c>
      <c r="C2266" t="s">
        <v>121</v>
      </c>
      <c r="D2266">
        <v>35115447.455471098</v>
      </c>
    </row>
    <row r="2267" spans="1:4" hidden="1" x14ac:dyDescent="0.3">
      <c r="A2267">
        <v>2265</v>
      </c>
      <c r="B2267" s="1" t="s">
        <v>3019</v>
      </c>
      <c r="C2267" t="s">
        <v>123</v>
      </c>
      <c r="D2267" s="1" t="s">
        <v>3020</v>
      </c>
    </row>
    <row r="2268" spans="1:4" hidden="1" x14ac:dyDescent="0.3">
      <c r="A2268">
        <v>2266</v>
      </c>
      <c r="B2268" t="s">
        <v>3021</v>
      </c>
      <c r="C2268" t="s">
        <v>126</v>
      </c>
      <c r="D2268">
        <v>0.75977890883974097</v>
      </c>
    </row>
    <row r="2269" spans="1:4" hidden="1" x14ac:dyDescent="0.3">
      <c r="A2269">
        <v>2267</v>
      </c>
      <c r="B2269" t="s">
        <v>3022</v>
      </c>
      <c r="C2269" t="s">
        <v>128</v>
      </c>
      <c r="D2269">
        <v>0.34110787416285199</v>
      </c>
    </row>
    <row r="2270" spans="1:4" hidden="1" x14ac:dyDescent="0.3">
      <c r="A2270">
        <v>2268</v>
      </c>
      <c r="B2270" s="1" t="s">
        <v>3023</v>
      </c>
      <c r="C2270" t="s">
        <v>130</v>
      </c>
      <c r="D2270" s="1" t="s">
        <v>3024</v>
      </c>
    </row>
    <row r="2271" spans="1:4" ht="72" x14ac:dyDescent="0.3">
      <c r="A2271">
        <v>2269</v>
      </c>
      <c r="B2271" s="1" t="s">
        <v>3025</v>
      </c>
      <c r="C2271" t="s">
        <v>4</v>
      </c>
      <c r="D2271" t="s">
        <v>3026</v>
      </c>
    </row>
    <row r="2272" spans="1:4" hidden="1" x14ac:dyDescent="0.3">
      <c r="A2272">
        <v>2270</v>
      </c>
      <c r="B2272" t="s">
        <v>3027</v>
      </c>
      <c r="C2272" t="s">
        <v>7</v>
      </c>
      <c r="D2272">
        <v>1802.4</v>
      </c>
    </row>
    <row r="2273" spans="1:4" hidden="1" x14ac:dyDescent="0.3">
      <c r="A2273">
        <v>2271</v>
      </c>
      <c r="B2273" s="1" t="s">
        <v>3028</v>
      </c>
      <c r="C2273" t="s">
        <v>9</v>
      </c>
      <c r="D2273" s="1" t="s">
        <v>3029</v>
      </c>
    </row>
    <row r="2274" spans="1:4" hidden="1" x14ac:dyDescent="0.3">
      <c r="A2274">
        <v>2272</v>
      </c>
      <c r="B2274" t="s">
        <v>3030</v>
      </c>
      <c r="C2274" t="s">
        <v>14</v>
      </c>
      <c r="D2274">
        <v>91.16796875</v>
      </c>
    </row>
    <row r="2275" spans="1:4" hidden="1" x14ac:dyDescent="0.3">
      <c r="A2275">
        <v>2273</v>
      </c>
      <c r="B2275" t="s">
        <v>3031</v>
      </c>
      <c r="C2275" t="s">
        <v>16</v>
      </c>
      <c r="D2275">
        <v>4.29110087396504</v>
      </c>
    </row>
    <row r="2276" spans="1:4" hidden="1" x14ac:dyDescent="0.3">
      <c r="A2276">
        <v>2274</v>
      </c>
      <c r="B2276" s="1" t="s">
        <v>3032</v>
      </c>
      <c r="C2276" t="s">
        <v>140</v>
      </c>
      <c r="D2276" s="1" t="s">
        <v>3033</v>
      </c>
    </row>
    <row r="2277" spans="1:4" hidden="1" x14ac:dyDescent="0.3">
      <c r="A2277">
        <v>2275</v>
      </c>
      <c r="B2277" t="s">
        <v>3034</v>
      </c>
      <c r="C2277" t="s">
        <v>22</v>
      </c>
      <c r="D2277">
        <v>66.400000000000006</v>
      </c>
    </row>
    <row r="2278" spans="1:4" hidden="1" x14ac:dyDescent="0.3">
      <c r="A2278">
        <v>2276</v>
      </c>
      <c r="B2278" t="s">
        <v>3035</v>
      </c>
      <c r="C2278" t="s">
        <v>24</v>
      </c>
      <c r="D2278">
        <v>5.4879044265038397</v>
      </c>
    </row>
    <row r="2279" spans="1:4" hidden="1" x14ac:dyDescent="0.3">
      <c r="A2279">
        <v>2277</v>
      </c>
      <c r="B2279" s="1" t="s">
        <v>3036</v>
      </c>
      <c r="C2279" t="s">
        <v>145</v>
      </c>
      <c r="D2279" s="1" t="s">
        <v>3037</v>
      </c>
    </row>
    <row r="2280" spans="1:4" hidden="1" x14ac:dyDescent="0.3">
      <c r="A2280">
        <v>2278</v>
      </c>
      <c r="B2280" t="s">
        <v>3038</v>
      </c>
      <c r="C2280" t="s">
        <v>35</v>
      </c>
      <c r="D2280">
        <v>0.109642760044385</v>
      </c>
    </row>
    <row r="2281" spans="1:4" hidden="1" x14ac:dyDescent="0.3">
      <c r="A2281">
        <v>2279</v>
      </c>
      <c r="B2281" t="s">
        <v>3039</v>
      </c>
      <c r="C2281" t="s">
        <v>149</v>
      </c>
      <c r="D2281">
        <v>0.53749535616322497</v>
      </c>
    </row>
    <row r="2282" spans="1:4" hidden="1" x14ac:dyDescent="0.3">
      <c r="A2282">
        <v>2280</v>
      </c>
      <c r="B2282" s="1" t="s">
        <v>3040</v>
      </c>
      <c r="C2282" t="s">
        <v>151</v>
      </c>
      <c r="D2282" s="1" t="s">
        <v>3041</v>
      </c>
    </row>
    <row r="2283" spans="1:4" hidden="1" x14ac:dyDescent="0.3">
      <c r="A2283">
        <v>2281</v>
      </c>
      <c r="B2283" t="s">
        <v>3042</v>
      </c>
      <c r="C2283" t="s">
        <v>30</v>
      </c>
      <c r="D2283">
        <v>0.38671593133093801</v>
      </c>
    </row>
    <row r="2284" spans="1:4" hidden="1" x14ac:dyDescent="0.3">
      <c r="A2284">
        <v>2282</v>
      </c>
      <c r="B2284" t="s">
        <v>3043</v>
      </c>
      <c r="C2284" t="s">
        <v>32</v>
      </c>
      <c r="D2284">
        <v>0.41495238526137102</v>
      </c>
    </row>
    <row r="2285" spans="1:4" hidden="1" x14ac:dyDescent="0.3">
      <c r="A2285">
        <v>2283</v>
      </c>
      <c r="B2285" s="1" t="s">
        <v>3044</v>
      </c>
      <c r="C2285" t="s">
        <v>155</v>
      </c>
      <c r="D2285" s="1" t="s">
        <v>3045</v>
      </c>
    </row>
    <row r="2286" spans="1:4" hidden="1" x14ac:dyDescent="0.3">
      <c r="A2286">
        <v>2284</v>
      </c>
      <c r="B2286" t="s">
        <v>3046</v>
      </c>
      <c r="C2286" t="s">
        <v>40</v>
      </c>
      <c r="D2286">
        <v>0.50364130862467604</v>
      </c>
    </row>
    <row r="2287" spans="1:4" hidden="1" x14ac:dyDescent="0.3">
      <c r="A2287">
        <v>2285</v>
      </c>
      <c r="B2287" t="s">
        <v>3047</v>
      </c>
      <c r="C2287" t="s">
        <v>42</v>
      </c>
      <c r="D2287">
        <v>0.44552880501020098</v>
      </c>
    </row>
    <row r="2288" spans="1:4" hidden="1" x14ac:dyDescent="0.3">
      <c r="A2288">
        <v>2286</v>
      </c>
      <c r="B2288" s="1" t="s">
        <v>3048</v>
      </c>
      <c r="C2288" t="s">
        <v>159</v>
      </c>
      <c r="D2288" s="1" t="s">
        <v>3049</v>
      </c>
    </row>
    <row r="2289" spans="1:4" hidden="1" x14ac:dyDescent="0.3">
      <c r="A2289">
        <v>2287</v>
      </c>
      <c r="B2289" t="s">
        <v>3050</v>
      </c>
      <c r="C2289" t="s">
        <v>161</v>
      </c>
      <c r="D2289">
        <v>1.0070849071363099</v>
      </c>
    </row>
    <row r="2290" spans="1:4" hidden="1" x14ac:dyDescent="0.3">
      <c r="A2290">
        <v>2288</v>
      </c>
      <c r="B2290" t="s">
        <v>3051</v>
      </c>
      <c r="C2290" t="s">
        <v>163</v>
      </c>
      <c r="D2290">
        <v>1.00010480632688</v>
      </c>
    </row>
    <row r="2291" spans="1:4" hidden="1" x14ac:dyDescent="0.3">
      <c r="A2291">
        <v>2289</v>
      </c>
      <c r="B2291" s="1" t="s">
        <v>3052</v>
      </c>
      <c r="C2291" t="s">
        <v>165</v>
      </c>
      <c r="D2291" s="1" t="s">
        <v>3053</v>
      </c>
    </row>
    <row r="2292" spans="1:4" hidden="1" x14ac:dyDescent="0.3">
      <c r="A2292">
        <v>2290</v>
      </c>
      <c r="B2292" t="s">
        <v>3054</v>
      </c>
      <c r="C2292" t="s">
        <v>168</v>
      </c>
      <c r="D2292">
        <v>0.99782217038121901</v>
      </c>
    </row>
    <row r="2293" spans="1:4" hidden="1" x14ac:dyDescent="0.3">
      <c r="A2293">
        <v>2291</v>
      </c>
      <c r="B2293" t="s">
        <v>3055</v>
      </c>
      <c r="C2293" t="s">
        <v>170</v>
      </c>
      <c r="D2293">
        <v>1.0021083690013299</v>
      </c>
    </row>
    <row r="2294" spans="1:4" hidden="1" x14ac:dyDescent="0.3">
      <c r="A2294">
        <v>2292</v>
      </c>
      <c r="B2294" s="1" t="s">
        <v>3056</v>
      </c>
      <c r="C2294" t="s">
        <v>172</v>
      </c>
      <c r="D2294" s="1" t="s">
        <v>3057</v>
      </c>
    </row>
    <row r="2295" spans="1:4" hidden="1" x14ac:dyDescent="0.3">
      <c r="A2295">
        <v>2293</v>
      </c>
      <c r="B2295" s="1" t="s">
        <v>3058</v>
      </c>
      <c r="C2295" t="s">
        <v>55</v>
      </c>
      <c r="D2295" s="1" t="s">
        <v>3059</v>
      </c>
    </row>
    <row r="2296" spans="1:4" hidden="1" x14ac:dyDescent="0.3">
      <c r="A2296">
        <v>2294</v>
      </c>
      <c r="B2296" s="1" t="s">
        <v>3060</v>
      </c>
      <c r="C2296" t="s">
        <v>52</v>
      </c>
      <c r="D2296" s="1" t="s">
        <v>3061</v>
      </c>
    </row>
    <row r="2297" spans="1:4" hidden="1" x14ac:dyDescent="0.3">
      <c r="A2297">
        <v>2295</v>
      </c>
      <c r="B2297" s="1" t="s">
        <v>3062</v>
      </c>
      <c r="C2297" t="s">
        <v>58</v>
      </c>
      <c r="D2297" s="1" t="s">
        <v>3063</v>
      </c>
    </row>
    <row r="2298" spans="1:4" hidden="1" x14ac:dyDescent="0.3">
      <c r="A2298">
        <v>2296</v>
      </c>
      <c r="B2298" t="s">
        <v>3064</v>
      </c>
      <c r="C2298" t="s">
        <v>61</v>
      </c>
      <c r="D2298">
        <v>154490120.54173499</v>
      </c>
    </row>
    <row r="2299" spans="1:4" hidden="1" x14ac:dyDescent="0.3">
      <c r="A2299">
        <v>2297</v>
      </c>
      <c r="B2299" t="s">
        <v>3065</v>
      </c>
      <c r="C2299" t="s">
        <v>63</v>
      </c>
      <c r="D2299">
        <v>78769807.269696996</v>
      </c>
    </row>
    <row r="2300" spans="1:4" hidden="1" x14ac:dyDescent="0.3">
      <c r="A2300">
        <v>2298</v>
      </c>
      <c r="B2300" t="s">
        <v>3066</v>
      </c>
      <c r="C2300" t="s">
        <v>65</v>
      </c>
      <c r="D2300">
        <v>35119127.776535802</v>
      </c>
    </row>
    <row r="2301" spans="1:4" hidden="1" x14ac:dyDescent="0.3">
      <c r="A2301">
        <v>2299</v>
      </c>
      <c r="B2301" s="1" t="s">
        <v>3067</v>
      </c>
      <c r="C2301" t="s">
        <v>67</v>
      </c>
      <c r="D2301" s="1" t="s">
        <v>3068</v>
      </c>
    </row>
    <row r="2302" spans="1:4" hidden="1" x14ac:dyDescent="0.3">
      <c r="A2302">
        <v>2300</v>
      </c>
      <c r="B2302" s="1" t="s">
        <v>3069</v>
      </c>
      <c r="C2302" t="s">
        <v>70</v>
      </c>
      <c r="D2302" s="1" t="s">
        <v>3070</v>
      </c>
    </row>
    <row r="2303" spans="1:4" hidden="1" x14ac:dyDescent="0.3">
      <c r="A2303">
        <v>2301</v>
      </c>
      <c r="B2303" t="s">
        <v>3071</v>
      </c>
      <c r="C2303" t="s">
        <v>73</v>
      </c>
      <c r="D2303">
        <v>0.99987982143955501</v>
      </c>
    </row>
    <row r="2304" spans="1:4" hidden="1" x14ac:dyDescent="0.3">
      <c r="A2304">
        <v>2302</v>
      </c>
      <c r="B2304" t="s">
        <v>74</v>
      </c>
      <c r="C2304" t="s">
        <v>75</v>
      </c>
      <c r="D2304">
        <v>2.7397260273972599E-3</v>
      </c>
    </row>
    <row r="2305" spans="1:4" hidden="1" x14ac:dyDescent="0.3">
      <c r="A2305">
        <v>2303</v>
      </c>
      <c r="B2305" t="s">
        <v>76</v>
      </c>
      <c r="C2305" t="s">
        <v>77</v>
      </c>
      <c r="D2305">
        <v>0</v>
      </c>
    </row>
    <row r="2306" spans="1:4" hidden="1" x14ac:dyDescent="0.3">
      <c r="A2306">
        <v>2304</v>
      </c>
      <c r="B2306" t="s">
        <v>78</v>
      </c>
      <c r="C2306" t="s">
        <v>79</v>
      </c>
      <c r="D2306">
        <v>0</v>
      </c>
    </row>
    <row r="2307" spans="1:4" hidden="1" x14ac:dyDescent="0.3">
      <c r="A2307">
        <v>2305</v>
      </c>
      <c r="B2307" s="1" t="s">
        <v>3072</v>
      </c>
      <c r="C2307" t="s">
        <v>81</v>
      </c>
      <c r="D2307" s="1" t="s">
        <v>3073</v>
      </c>
    </row>
    <row r="2308" spans="1:4" hidden="1" x14ac:dyDescent="0.3">
      <c r="A2308">
        <v>2306</v>
      </c>
      <c r="B2308" t="s">
        <v>3074</v>
      </c>
      <c r="C2308" t="s">
        <v>84</v>
      </c>
      <c r="D2308">
        <v>0.99988639560636605</v>
      </c>
    </row>
    <row r="2309" spans="1:4" hidden="1" x14ac:dyDescent="0.3">
      <c r="A2309">
        <v>2307</v>
      </c>
      <c r="B2309" s="1" t="s">
        <v>3075</v>
      </c>
      <c r="C2309" t="s">
        <v>86</v>
      </c>
      <c r="D2309" s="1" t="s">
        <v>3076</v>
      </c>
    </row>
    <row r="2310" spans="1:4" hidden="1" x14ac:dyDescent="0.3">
      <c r="A2310">
        <v>2308</v>
      </c>
      <c r="B2310" t="s">
        <v>3077</v>
      </c>
      <c r="C2310" t="s">
        <v>89</v>
      </c>
      <c r="D2310">
        <v>103005115.52818</v>
      </c>
    </row>
    <row r="2311" spans="1:4" hidden="1" x14ac:dyDescent="0.3">
      <c r="A2311">
        <v>2309</v>
      </c>
      <c r="B2311" s="1" t="s">
        <v>3078</v>
      </c>
      <c r="C2311" t="s">
        <v>91</v>
      </c>
      <c r="D2311" s="1" t="s">
        <v>3012</v>
      </c>
    </row>
    <row r="2312" spans="1:4" hidden="1" x14ac:dyDescent="0.3">
      <c r="A2312">
        <v>2310</v>
      </c>
      <c r="B2312" t="s">
        <v>3079</v>
      </c>
      <c r="C2312" t="s">
        <v>94</v>
      </c>
      <c r="D2312">
        <v>78769807.269696996</v>
      </c>
    </row>
    <row r="2313" spans="1:4" hidden="1" x14ac:dyDescent="0.3">
      <c r="A2313">
        <v>2311</v>
      </c>
      <c r="B2313" t="s">
        <v>3080</v>
      </c>
      <c r="C2313" t="s">
        <v>96</v>
      </c>
      <c r="D2313">
        <v>35119127.776535802</v>
      </c>
    </row>
    <row r="2314" spans="1:4" hidden="1" x14ac:dyDescent="0.3">
      <c r="A2314">
        <v>2312</v>
      </c>
      <c r="B2314" t="s">
        <v>3081</v>
      </c>
      <c r="C2314" t="s">
        <v>98</v>
      </c>
      <c r="D2314">
        <v>40601185.495502301</v>
      </c>
    </row>
    <row r="2315" spans="1:4" hidden="1" x14ac:dyDescent="0.3">
      <c r="A2315">
        <v>2313</v>
      </c>
      <c r="B2315" s="1" t="s">
        <v>3082</v>
      </c>
      <c r="C2315" t="s">
        <v>100</v>
      </c>
      <c r="D2315" s="1" t="s">
        <v>3083</v>
      </c>
    </row>
    <row r="2316" spans="1:4" hidden="1" x14ac:dyDescent="0.3">
      <c r="A2316">
        <v>2314</v>
      </c>
      <c r="B2316" t="s">
        <v>3084</v>
      </c>
      <c r="C2316" t="s">
        <v>103</v>
      </c>
      <c r="D2316">
        <v>8.9417272398640106E-3</v>
      </c>
    </row>
    <row r="2317" spans="1:4" hidden="1" x14ac:dyDescent="0.3">
      <c r="A2317">
        <v>2315</v>
      </c>
      <c r="B2317" t="s">
        <v>3085</v>
      </c>
      <c r="C2317" t="s">
        <v>105</v>
      </c>
      <c r="D2317">
        <v>3.24610922881466E-3</v>
      </c>
    </row>
    <row r="2318" spans="1:4" hidden="1" x14ac:dyDescent="0.3">
      <c r="A2318">
        <v>2316</v>
      </c>
      <c r="B2318" t="s">
        <v>3086</v>
      </c>
      <c r="C2318" t="s">
        <v>107</v>
      </c>
      <c r="D2318">
        <v>1.1842726521373701E-2</v>
      </c>
    </row>
    <row r="2319" spans="1:4" hidden="1" x14ac:dyDescent="0.3">
      <c r="A2319">
        <v>2317</v>
      </c>
      <c r="B2319" s="1" t="s">
        <v>3087</v>
      </c>
      <c r="C2319" t="s">
        <v>109</v>
      </c>
      <c r="D2319" s="1" t="s">
        <v>3088</v>
      </c>
    </row>
    <row r="2320" spans="1:4" hidden="1" x14ac:dyDescent="0.3">
      <c r="A2320">
        <v>2318</v>
      </c>
      <c r="B2320" t="s">
        <v>3089</v>
      </c>
      <c r="C2320" t="s">
        <v>208</v>
      </c>
      <c r="D2320">
        <v>154490351.89504701</v>
      </c>
    </row>
    <row r="2321" spans="1:4" hidden="1" x14ac:dyDescent="0.3">
      <c r="A2321">
        <v>2319</v>
      </c>
      <c r="B2321" t="s">
        <v>3090</v>
      </c>
      <c r="C2321" t="s">
        <v>210</v>
      </c>
      <c r="D2321">
        <v>32711.516854880199</v>
      </c>
    </row>
    <row r="2322" spans="1:4" hidden="1" x14ac:dyDescent="0.3">
      <c r="A2322">
        <v>2320</v>
      </c>
      <c r="B2322" t="s">
        <v>3091</v>
      </c>
      <c r="C2322" t="s">
        <v>212</v>
      </c>
      <c r="D2322">
        <v>14584.2537195513</v>
      </c>
    </row>
    <row r="2323" spans="1:4" hidden="1" x14ac:dyDescent="0.3">
      <c r="A2323">
        <v>2321</v>
      </c>
      <c r="B2323" s="1" t="s">
        <v>3092</v>
      </c>
      <c r="C2323" t="s">
        <v>214</v>
      </c>
      <c r="D2323" s="1" t="s">
        <v>3093</v>
      </c>
    </row>
    <row r="2324" spans="1:4" hidden="1" x14ac:dyDescent="0.3">
      <c r="A2324">
        <v>2322</v>
      </c>
      <c r="B2324" t="s">
        <v>3094</v>
      </c>
      <c r="C2324" t="s">
        <v>217</v>
      </c>
      <c r="D2324">
        <v>78737248.296388894</v>
      </c>
    </row>
    <row r="2325" spans="1:4" hidden="1" x14ac:dyDescent="0.3">
      <c r="A2325">
        <v>2323</v>
      </c>
      <c r="B2325" t="s">
        <v>3095</v>
      </c>
      <c r="C2325" t="s">
        <v>219</v>
      </c>
      <c r="D2325">
        <v>35104578.348604701</v>
      </c>
    </row>
    <row r="2326" spans="1:4" hidden="1" x14ac:dyDescent="0.3">
      <c r="A2326">
        <v>2324</v>
      </c>
      <c r="B2326" t="s">
        <v>3096</v>
      </c>
      <c r="C2326" t="s">
        <v>221</v>
      </c>
      <c r="D2326">
        <v>40584368.638041697</v>
      </c>
    </row>
    <row r="2327" spans="1:4" hidden="1" x14ac:dyDescent="0.3">
      <c r="A2327">
        <v>2325</v>
      </c>
      <c r="B2327" s="1" t="s">
        <v>3097</v>
      </c>
      <c r="C2327" t="s">
        <v>223</v>
      </c>
      <c r="D2327" s="1" t="s">
        <v>3098</v>
      </c>
    </row>
    <row r="2328" spans="1:4" hidden="1" x14ac:dyDescent="0.3">
      <c r="A2328">
        <v>2326</v>
      </c>
      <c r="B2328" t="s">
        <v>3099</v>
      </c>
      <c r="C2328" t="s">
        <v>226</v>
      </c>
      <c r="D2328">
        <v>102962339.65803</v>
      </c>
    </row>
    <row r="2329" spans="1:4" hidden="1" x14ac:dyDescent="0.3">
      <c r="A2329">
        <v>2327</v>
      </c>
      <c r="B2329" t="s">
        <v>3100</v>
      </c>
      <c r="C2329" t="s">
        <v>228</v>
      </c>
      <c r="D2329">
        <v>42775.870150595903</v>
      </c>
    </row>
    <row r="2330" spans="1:4" hidden="1" x14ac:dyDescent="0.3">
      <c r="A2330">
        <v>2328</v>
      </c>
      <c r="B2330" s="1" t="s">
        <v>3101</v>
      </c>
      <c r="C2330" t="s">
        <v>230</v>
      </c>
      <c r="D2330" s="1" t="s">
        <v>3102</v>
      </c>
    </row>
    <row r="2331" spans="1:4" hidden="1" x14ac:dyDescent="0.3">
      <c r="A2331">
        <v>2329</v>
      </c>
      <c r="B2331" t="s">
        <v>3103</v>
      </c>
      <c r="C2331" t="s">
        <v>112</v>
      </c>
      <c r="D2331">
        <v>152.54354675893501</v>
      </c>
    </row>
    <row r="2332" spans="1:4" hidden="1" x14ac:dyDescent="0.3">
      <c r="A2332">
        <v>2330</v>
      </c>
      <c r="B2332" t="s">
        <v>3104</v>
      </c>
      <c r="C2332" t="s">
        <v>114</v>
      </c>
      <c r="D2332">
        <v>34.825788437709697</v>
      </c>
    </row>
    <row r="2333" spans="1:4" hidden="1" x14ac:dyDescent="0.3">
      <c r="A2333">
        <v>2331</v>
      </c>
      <c r="B2333" s="1" t="s">
        <v>3105</v>
      </c>
      <c r="C2333" t="s">
        <v>116</v>
      </c>
      <c r="D2333" s="1" t="s">
        <v>3106</v>
      </c>
    </row>
    <row r="2334" spans="1:4" hidden="1" x14ac:dyDescent="0.3">
      <c r="A2334">
        <v>2332</v>
      </c>
      <c r="B2334" t="s">
        <v>3107</v>
      </c>
      <c r="C2334" t="s">
        <v>119</v>
      </c>
      <c r="D2334">
        <v>78737248.296388894</v>
      </c>
    </row>
    <row r="2335" spans="1:4" hidden="1" x14ac:dyDescent="0.3">
      <c r="A2335">
        <v>2333</v>
      </c>
      <c r="B2335" t="s">
        <v>3108</v>
      </c>
      <c r="C2335" t="s">
        <v>121</v>
      </c>
      <c r="D2335">
        <v>35104578.348604701</v>
      </c>
    </row>
    <row r="2336" spans="1:4" hidden="1" x14ac:dyDescent="0.3">
      <c r="A2336">
        <v>2334</v>
      </c>
      <c r="B2336" s="1" t="s">
        <v>3109</v>
      </c>
      <c r="C2336" t="s">
        <v>123</v>
      </c>
      <c r="D2336" s="1" t="s">
        <v>3110</v>
      </c>
    </row>
    <row r="2337" spans="1:4" hidden="1" x14ac:dyDescent="0.3">
      <c r="A2337">
        <v>2335</v>
      </c>
      <c r="B2337" t="s">
        <v>3111</v>
      </c>
      <c r="C2337" t="s">
        <v>126</v>
      </c>
      <c r="D2337">
        <v>0.76480579667841198</v>
      </c>
    </row>
    <row r="2338" spans="1:4" hidden="1" x14ac:dyDescent="0.3">
      <c r="A2338">
        <v>2336</v>
      </c>
      <c r="B2338" t="s">
        <v>3112</v>
      </c>
      <c r="C2338" t="s">
        <v>128</v>
      </c>
      <c r="D2338">
        <v>0.34098454787117199</v>
      </c>
    </row>
    <row r="2339" spans="1:4" hidden="1" x14ac:dyDescent="0.3">
      <c r="A2339">
        <v>2337</v>
      </c>
      <c r="B2339" s="1" t="s">
        <v>3113</v>
      </c>
      <c r="C2339" t="s">
        <v>130</v>
      </c>
      <c r="D2339" s="1" t="s">
        <v>3114</v>
      </c>
    </row>
    <row r="2340" spans="1:4" ht="72" x14ac:dyDescent="0.3">
      <c r="A2340">
        <v>2338</v>
      </c>
      <c r="B2340" s="1" t="s">
        <v>3115</v>
      </c>
      <c r="C2340" t="s">
        <v>4</v>
      </c>
      <c r="D2340" t="s">
        <v>3116</v>
      </c>
    </row>
    <row r="2341" spans="1:4" hidden="1" x14ac:dyDescent="0.3">
      <c r="A2341">
        <v>2339</v>
      </c>
      <c r="B2341" t="s">
        <v>3117</v>
      </c>
      <c r="C2341" t="s">
        <v>7</v>
      </c>
      <c r="D2341">
        <v>1779.71</v>
      </c>
    </row>
    <row r="2342" spans="1:4" hidden="1" x14ac:dyDescent="0.3">
      <c r="A2342">
        <v>2340</v>
      </c>
      <c r="B2342" s="1" t="s">
        <v>3118</v>
      </c>
      <c r="C2342" t="s">
        <v>9</v>
      </c>
      <c r="D2342" s="1" t="s">
        <v>3119</v>
      </c>
    </row>
    <row r="2343" spans="1:4" hidden="1" x14ac:dyDescent="0.3">
      <c r="A2343">
        <v>2341</v>
      </c>
      <c r="B2343" t="s">
        <v>3120</v>
      </c>
      <c r="C2343" t="s">
        <v>14</v>
      </c>
      <c r="D2343">
        <v>91.3828125</v>
      </c>
    </row>
    <row r="2344" spans="1:4" hidden="1" x14ac:dyDescent="0.3">
      <c r="A2344">
        <v>2342</v>
      </c>
      <c r="B2344" t="s">
        <v>3121</v>
      </c>
      <c r="C2344" t="s">
        <v>16</v>
      </c>
      <c r="D2344">
        <v>4.29430004181103</v>
      </c>
    </row>
    <row r="2345" spans="1:4" hidden="1" x14ac:dyDescent="0.3">
      <c r="A2345">
        <v>2343</v>
      </c>
      <c r="B2345" s="1" t="s">
        <v>3122</v>
      </c>
      <c r="C2345" t="s">
        <v>140</v>
      </c>
      <c r="D2345" s="1" t="s">
        <v>3123</v>
      </c>
    </row>
    <row r="2346" spans="1:4" hidden="1" x14ac:dyDescent="0.3">
      <c r="A2346">
        <v>2344</v>
      </c>
      <c r="B2346" t="s">
        <v>3124</v>
      </c>
      <c r="C2346" t="s">
        <v>22</v>
      </c>
      <c r="D2346">
        <v>65.75</v>
      </c>
    </row>
    <row r="2347" spans="1:4" hidden="1" x14ac:dyDescent="0.3">
      <c r="A2347">
        <v>2345</v>
      </c>
      <c r="B2347" t="s">
        <v>3125</v>
      </c>
      <c r="C2347" t="s">
        <v>24</v>
      </c>
      <c r="D2347">
        <v>5.5796383286018996</v>
      </c>
    </row>
    <row r="2348" spans="1:4" hidden="1" x14ac:dyDescent="0.3">
      <c r="A2348">
        <v>2346</v>
      </c>
      <c r="B2348" s="1" t="s">
        <v>3126</v>
      </c>
      <c r="C2348" t="s">
        <v>145</v>
      </c>
      <c r="D2348" s="1" t="s">
        <v>3127</v>
      </c>
    </row>
    <row r="2349" spans="1:4" hidden="1" x14ac:dyDescent="0.3">
      <c r="A2349">
        <v>2347</v>
      </c>
      <c r="B2349" t="s">
        <v>3128</v>
      </c>
      <c r="C2349" t="s">
        <v>35</v>
      </c>
      <c r="D2349">
        <v>0.32258341832685999</v>
      </c>
    </row>
    <row r="2350" spans="1:4" hidden="1" x14ac:dyDescent="0.3">
      <c r="A2350">
        <v>2348</v>
      </c>
      <c r="B2350" t="s">
        <v>3129</v>
      </c>
      <c r="C2350" t="s">
        <v>149</v>
      </c>
      <c r="D2350">
        <v>0.53756484839289298</v>
      </c>
    </row>
    <row r="2351" spans="1:4" hidden="1" x14ac:dyDescent="0.3">
      <c r="A2351">
        <v>2349</v>
      </c>
      <c r="B2351" s="1" t="s">
        <v>3130</v>
      </c>
      <c r="C2351" t="s">
        <v>151</v>
      </c>
      <c r="D2351" s="1" t="s">
        <v>3131</v>
      </c>
    </row>
    <row r="2352" spans="1:4" hidden="1" x14ac:dyDescent="0.3">
      <c r="A2352">
        <v>2350</v>
      </c>
      <c r="B2352" t="s">
        <v>3132</v>
      </c>
      <c r="C2352" t="s">
        <v>30</v>
      </c>
      <c r="D2352">
        <v>0.28810909877035801</v>
      </c>
    </row>
    <row r="2353" spans="1:4" hidden="1" x14ac:dyDescent="0.3">
      <c r="A2353">
        <v>2351</v>
      </c>
      <c r="B2353" t="s">
        <v>3133</v>
      </c>
      <c r="C2353" t="s">
        <v>32</v>
      </c>
      <c r="D2353">
        <v>0.42070266986514998</v>
      </c>
    </row>
    <row r="2354" spans="1:4" hidden="1" x14ac:dyDescent="0.3">
      <c r="A2354">
        <v>2352</v>
      </c>
      <c r="B2354" s="1" t="s">
        <v>3134</v>
      </c>
      <c r="C2354" t="s">
        <v>155</v>
      </c>
      <c r="D2354" s="1" t="s">
        <v>3135</v>
      </c>
    </row>
    <row r="2355" spans="1:4" hidden="1" x14ac:dyDescent="0.3">
      <c r="A2355">
        <v>2353</v>
      </c>
      <c r="B2355" t="s">
        <v>3136</v>
      </c>
      <c r="C2355" t="s">
        <v>40</v>
      </c>
      <c r="D2355">
        <v>0.389307482902781</v>
      </c>
    </row>
    <row r="2356" spans="1:4" hidden="1" x14ac:dyDescent="0.3">
      <c r="A2356">
        <v>2354</v>
      </c>
      <c r="B2356" t="s">
        <v>3137</v>
      </c>
      <c r="C2356" t="s">
        <v>42</v>
      </c>
      <c r="D2356">
        <v>0.43953801177466301</v>
      </c>
    </row>
    <row r="2357" spans="1:4" hidden="1" x14ac:dyDescent="0.3">
      <c r="A2357">
        <v>2355</v>
      </c>
      <c r="B2357" s="1" t="s">
        <v>3138</v>
      </c>
      <c r="C2357" t="s">
        <v>159</v>
      </c>
      <c r="D2357" s="1" t="s">
        <v>3139</v>
      </c>
    </row>
    <row r="2358" spans="1:4" hidden="1" x14ac:dyDescent="0.3">
      <c r="A2358">
        <v>2356</v>
      </c>
      <c r="B2358" t="s">
        <v>3140</v>
      </c>
      <c r="C2358" t="s">
        <v>161</v>
      </c>
      <c r="D2358">
        <v>0.98741122947181503</v>
      </c>
    </row>
    <row r="2359" spans="1:4" hidden="1" x14ac:dyDescent="0.3">
      <c r="A2359">
        <v>2357</v>
      </c>
      <c r="B2359" t="s">
        <v>3141</v>
      </c>
      <c r="C2359" t="s">
        <v>163</v>
      </c>
      <c r="D2359">
        <v>1.0022841508795799</v>
      </c>
    </row>
    <row r="2360" spans="1:4" hidden="1" x14ac:dyDescent="0.3">
      <c r="A2360">
        <v>2358</v>
      </c>
      <c r="B2360" s="1" t="s">
        <v>3142</v>
      </c>
      <c r="C2360" t="s">
        <v>165</v>
      </c>
      <c r="D2360" s="1" t="s">
        <v>3143</v>
      </c>
    </row>
    <row r="2361" spans="1:4" hidden="1" x14ac:dyDescent="0.3">
      <c r="A2361">
        <v>2359</v>
      </c>
      <c r="B2361" t="s">
        <v>3144</v>
      </c>
      <c r="C2361" t="s">
        <v>168</v>
      </c>
      <c r="D2361">
        <v>1.0000451983346701</v>
      </c>
    </row>
    <row r="2362" spans="1:4" hidden="1" x14ac:dyDescent="0.3">
      <c r="A2362">
        <v>2360</v>
      </c>
      <c r="B2362" t="s">
        <v>3145</v>
      </c>
      <c r="C2362" t="s">
        <v>170</v>
      </c>
      <c r="D2362">
        <v>1.0040639421253099</v>
      </c>
    </row>
    <row r="2363" spans="1:4" hidden="1" x14ac:dyDescent="0.3">
      <c r="A2363">
        <v>2361</v>
      </c>
      <c r="B2363" s="1" t="s">
        <v>3146</v>
      </c>
      <c r="C2363" t="s">
        <v>172</v>
      </c>
      <c r="D2363" s="1" t="s">
        <v>3147</v>
      </c>
    </row>
    <row r="2364" spans="1:4" hidden="1" x14ac:dyDescent="0.3">
      <c r="A2364">
        <v>2362</v>
      </c>
      <c r="B2364" s="1" t="s">
        <v>3148</v>
      </c>
      <c r="C2364" t="s">
        <v>55</v>
      </c>
      <c r="D2364" s="1" t="s">
        <v>3149</v>
      </c>
    </row>
    <row r="2365" spans="1:4" hidden="1" x14ac:dyDescent="0.3">
      <c r="A2365">
        <v>2363</v>
      </c>
      <c r="B2365" s="1" t="s">
        <v>3150</v>
      </c>
      <c r="C2365" t="s">
        <v>52</v>
      </c>
      <c r="D2365" s="1" t="s">
        <v>3151</v>
      </c>
    </row>
    <row r="2366" spans="1:4" hidden="1" x14ac:dyDescent="0.3">
      <c r="A2366">
        <v>2364</v>
      </c>
      <c r="B2366" s="1" t="s">
        <v>3152</v>
      </c>
      <c r="C2366" t="s">
        <v>58</v>
      </c>
      <c r="D2366" s="1" t="s">
        <v>3153</v>
      </c>
    </row>
    <row r="2367" spans="1:4" hidden="1" x14ac:dyDescent="0.3">
      <c r="A2367">
        <v>2365</v>
      </c>
      <c r="B2367" t="s">
        <v>3154</v>
      </c>
      <c r="C2367" t="s">
        <v>61</v>
      </c>
      <c r="D2367">
        <v>153200004.754825</v>
      </c>
    </row>
    <row r="2368" spans="1:4" hidden="1" x14ac:dyDescent="0.3">
      <c r="A2368">
        <v>2366</v>
      </c>
      <c r="B2368" t="s">
        <v>3155</v>
      </c>
      <c r="C2368" t="s">
        <v>63</v>
      </c>
      <c r="D2368">
        <v>77746043.145564899</v>
      </c>
    </row>
    <row r="2369" spans="1:4" hidden="1" x14ac:dyDescent="0.3">
      <c r="A2369">
        <v>2367</v>
      </c>
      <c r="B2369" t="s">
        <v>3156</v>
      </c>
      <c r="C2369" t="s">
        <v>65</v>
      </c>
      <c r="D2369">
        <v>35184762.502117097</v>
      </c>
    </row>
    <row r="2370" spans="1:4" hidden="1" x14ac:dyDescent="0.3">
      <c r="A2370">
        <v>2368</v>
      </c>
      <c r="B2370" s="1" t="s">
        <v>3157</v>
      </c>
      <c r="C2370" t="s">
        <v>67</v>
      </c>
      <c r="D2370" s="1" t="s">
        <v>3158</v>
      </c>
    </row>
    <row r="2371" spans="1:4" hidden="1" x14ac:dyDescent="0.3">
      <c r="A2371">
        <v>2369</v>
      </c>
      <c r="B2371" s="1" t="s">
        <v>3159</v>
      </c>
      <c r="C2371" t="s">
        <v>70</v>
      </c>
      <c r="D2371" s="1" t="s">
        <v>3160</v>
      </c>
    </row>
    <row r="2372" spans="1:4" hidden="1" x14ac:dyDescent="0.3">
      <c r="A2372">
        <v>2370</v>
      </c>
      <c r="B2372" t="s">
        <v>3161</v>
      </c>
      <c r="C2372" t="s">
        <v>73</v>
      </c>
      <c r="D2372">
        <v>0.99988639560636605</v>
      </c>
    </row>
    <row r="2373" spans="1:4" hidden="1" x14ac:dyDescent="0.3">
      <c r="A2373">
        <v>2371</v>
      </c>
      <c r="B2373" t="s">
        <v>74</v>
      </c>
      <c r="C2373" t="s">
        <v>75</v>
      </c>
      <c r="D2373">
        <v>2.7397260273972599E-3</v>
      </c>
    </row>
    <row r="2374" spans="1:4" hidden="1" x14ac:dyDescent="0.3">
      <c r="A2374">
        <v>2372</v>
      </c>
      <c r="B2374" t="s">
        <v>76</v>
      </c>
      <c r="C2374" t="s">
        <v>77</v>
      </c>
      <c r="D2374">
        <v>0</v>
      </c>
    </row>
    <row r="2375" spans="1:4" hidden="1" x14ac:dyDescent="0.3">
      <c r="A2375">
        <v>2373</v>
      </c>
      <c r="B2375" t="s">
        <v>78</v>
      </c>
      <c r="C2375" t="s">
        <v>79</v>
      </c>
      <c r="D2375">
        <v>0</v>
      </c>
    </row>
    <row r="2376" spans="1:4" hidden="1" x14ac:dyDescent="0.3">
      <c r="A2376">
        <v>2374</v>
      </c>
      <c r="B2376" s="1" t="s">
        <v>3162</v>
      </c>
      <c r="C2376" t="s">
        <v>81</v>
      </c>
      <c r="D2376" s="1" t="s">
        <v>3163</v>
      </c>
    </row>
    <row r="2377" spans="1:4" hidden="1" x14ac:dyDescent="0.3">
      <c r="A2377">
        <v>2375</v>
      </c>
      <c r="B2377" t="s">
        <v>3164</v>
      </c>
      <c r="C2377" t="s">
        <v>84</v>
      </c>
      <c r="D2377">
        <v>0.99989590967285702</v>
      </c>
    </row>
    <row r="2378" spans="1:4" hidden="1" x14ac:dyDescent="0.3">
      <c r="A2378">
        <v>2376</v>
      </c>
      <c r="B2378" s="1" t="s">
        <v>3165</v>
      </c>
      <c r="C2378" t="s">
        <v>86</v>
      </c>
      <c r="D2378" s="1" t="s">
        <v>3166</v>
      </c>
    </row>
    <row r="2379" spans="1:4" hidden="1" x14ac:dyDescent="0.3">
      <c r="A2379">
        <v>2377</v>
      </c>
      <c r="B2379" t="s">
        <v>3167</v>
      </c>
      <c r="C2379" t="s">
        <v>89</v>
      </c>
      <c r="D2379">
        <v>103004135.428643</v>
      </c>
    </row>
    <row r="2380" spans="1:4" hidden="1" x14ac:dyDescent="0.3">
      <c r="A2380">
        <v>2378</v>
      </c>
      <c r="B2380" s="1" t="s">
        <v>3168</v>
      </c>
      <c r="C2380" t="s">
        <v>91</v>
      </c>
      <c r="D2380" s="1" t="s">
        <v>3102</v>
      </c>
    </row>
    <row r="2381" spans="1:4" hidden="1" x14ac:dyDescent="0.3">
      <c r="A2381">
        <v>2379</v>
      </c>
      <c r="B2381" t="s">
        <v>3169</v>
      </c>
      <c r="C2381" t="s">
        <v>94</v>
      </c>
      <c r="D2381">
        <v>77746043.145564899</v>
      </c>
    </row>
    <row r="2382" spans="1:4" hidden="1" x14ac:dyDescent="0.3">
      <c r="A2382">
        <v>2380</v>
      </c>
      <c r="B2382" t="s">
        <v>3170</v>
      </c>
      <c r="C2382" t="s">
        <v>96</v>
      </c>
      <c r="D2382">
        <v>35184762.502117097</v>
      </c>
    </row>
    <row r="2383" spans="1:4" hidden="1" x14ac:dyDescent="0.3">
      <c r="A2383">
        <v>2381</v>
      </c>
      <c r="B2383" t="s">
        <v>3171</v>
      </c>
      <c r="C2383" t="s">
        <v>98</v>
      </c>
      <c r="D2383">
        <v>40269199.107143201</v>
      </c>
    </row>
    <row r="2384" spans="1:4" hidden="1" x14ac:dyDescent="0.3">
      <c r="A2384">
        <v>2382</v>
      </c>
      <c r="B2384" s="1" t="s">
        <v>3172</v>
      </c>
      <c r="C2384" t="s">
        <v>100</v>
      </c>
      <c r="D2384" s="1" t="s">
        <v>3173</v>
      </c>
    </row>
    <row r="2385" spans="1:4" hidden="1" x14ac:dyDescent="0.3">
      <c r="A2385">
        <v>2383</v>
      </c>
      <c r="B2385" t="s">
        <v>3174</v>
      </c>
      <c r="C2385" t="s">
        <v>103</v>
      </c>
      <c r="D2385">
        <v>8.8265676765475493E-3</v>
      </c>
    </row>
    <row r="2386" spans="1:4" hidden="1" x14ac:dyDescent="0.3">
      <c r="A2386">
        <v>2384</v>
      </c>
      <c r="B2386" t="s">
        <v>3175</v>
      </c>
      <c r="C2386" t="s">
        <v>105</v>
      </c>
      <c r="D2386">
        <v>3.2567189506490998E-3</v>
      </c>
    </row>
    <row r="2387" spans="1:4" hidden="1" x14ac:dyDescent="0.3">
      <c r="A2387">
        <v>2385</v>
      </c>
      <c r="B2387" t="s">
        <v>3176</v>
      </c>
      <c r="C2387" t="s">
        <v>107</v>
      </c>
      <c r="D2387">
        <v>1.16739493981155E-2</v>
      </c>
    </row>
    <row r="2388" spans="1:4" hidden="1" x14ac:dyDescent="0.3">
      <c r="A2388">
        <v>2386</v>
      </c>
      <c r="B2388" s="1" t="s">
        <v>3177</v>
      </c>
      <c r="C2388" t="s">
        <v>109</v>
      </c>
      <c r="D2388" s="1" t="s">
        <v>3178</v>
      </c>
    </row>
    <row r="2389" spans="1:4" hidden="1" x14ac:dyDescent="0.3">
      <c r="A2389">
        <v>2387</v>
      </c>
      <c r="B2389" t="s">
        <v>3179</v>
      </c>
      <c r="C2389" t="s">
        <v>208</v>
      </c>
      <c r="D2389">
        <v>153200340.436414</v>
      </c>
    </row>
    <row r="2390" spans="1:4" hidden="1" x14ac:dyDescent="0.3">
      <c r="A2390">
        <v>2388</v>
      </c>
      <c r="B2390" t="s">
        <v>3180</v>
      </c>
      <c r="C2390" t="s">
        <v>210</v>
      </c>
      <c r="D2390">
        <v>-739.76743051824997</v>
      </c>
    </row>
    <row r="2391" spans="1:4" hidden="1" x14ac:dyDescent="0.3">
      <c r="A2391">
        <v>2389</v>
      </c>
      <c r="B2391" t="s">
        <v>3181</v>
      </c>
      <c r="C2391" t="s">
        <v>212</v>
      </c>
      <c r="D2391">
        <v>-334.788545498698</v>
      </c>
    </row>
    <row r="2392" spans="1:4" hidden="1" x14ac:dyDescent="0.3">
      <c r="A2392">
        <v>2390</v>
      </c>
      <c r="B2392" s="1" t="s">
        <v>3182</v>
      </c>
      <c r="C2392" t="s">
        <v>214</v>
      </c>
      <c r="D2392" s="1" t="s">
        <v>3183</v>
      </c>
    </row>
    <row r="2393" spans="1:4" hidden="1" x14ac:dyDescent="0.3">
      <c r="A2393">
        <v>2391</v>
      </c>
      <c r="B2393" t="s">
        <v>3184</v>
      </c>
      <c r="C2393" t="s">
        <v>217</v>
      </c>
      <c r="D2393">
        <v>77747031.575534597</v>
      </c>
    </row>
    <row r="2394" spans="1:4" hidden="1" x14ac:dyDescent="0.3">
      <c r="A2394">
        <v>2392</v>
      </c>
      <c r="B2394" t="s">
        <v>3185</v>
      </c>
      <c r="C2394" t="s">
        <v>219</v>
      </c>
      <c r="D2394">
        <v>35185133.251649</v>
      </c>
    </row>
    <row r="2395" spans="1:4" hidden="1" x14ac:dyDescent="0.3">
      <c r="A2395">
        <v>2393</v>
      </c>
      <c r="B2395" t="s">
        <v>3186</v>
      </c>
      <c r="C2395" t="s">
        <v>221</v>
      </c>
      <c r="D2395">
        <v>40269633.333060399</v>
      </c>
    </row>
    <row r="2396" spans="1:4" hidden="1" x14ac:dyDescent="0.3">
      <c r="A2396">
        <v>2394</v>
      </c>
      <c r="B2396" s="1" t="s">
        <v>3187</v>
      </c>
      <c r="C2396" t="s">
        <v>223</v>
      </c>
      <c r="D2396" s="1" t="s">
        <v>3188</v>
      </c>
    </row>
    <row r="2397" spans="1:4" hidden="1" x14ac:dyDescent="0.3">
      <c r="A2397">
        <v>2395</v>
      </c>
      <c r="B2397" t="s">
        <v>3189</v>
      </c>
      <c r="C2397" t="s">
        <v>226</v>
      </c>
      <c r="D2397">
        <v>103005115.52818</v>
      </c>
    </row>
    <row r="2398" spans="1:4" hidden="1" x14ac:dyDescent="0.3">
      <c r="A2398">
        <v>2396</v>
      </c>
      <c r="B2398" t="s">
        <v>3190</v>
      </c>
      <c r="C2398" t="s">
        <v>228</v>
      </c>
      <c r="D2398">
        <v>-980.09953692555405</v>
      </c>
    </row>
    <row r="2399" spans="1:4" hidden="1" x14ac:dyDescent="0.3">
      <c r="A2399">
        <v>2397</v>
      </c>
      <c r="B2399" s="1" t="s">
        <v>3191</v>
      </c>
      <c r="C2399" t="s">
        <v>230</v>
      </c>
      <c r="D2399" s="1" t="s">
        <v>3192</v>
      </c>
    </row>
    <row r="2400" spans="1:4" hidden="1" x14ac:dyDescent="0.3">
      <c r="A2400">
        <v>2398</v>
      </c>
      <c r="B2400" t="s">
        <v>3193</v>
      </c>
      <c r="C2400" t="s">
        <v>112</v>
      </c>
      <c r="D2400">
        <v>248.662539147335</v>
      </c>
    </row>
    <row r="2401" spans="1:4" hidden="1" x14ac:dyDescent="0.3">
      <c r="A2401">
        <v>2399</v>
      </c>
      <c r="B2401" t="s">
        <v>3194</v>
      </c>
      <c r="C2401" t="s">
        <v>114</v>
      </c>
      <c r="D2401">
        <v>35.960986315386997</v>
      </c>
    </row>
    <row r="2402" spans="1:4" hidden="1" x14ac:dyDescent="0.3">
      <c r="A2402">
        <v>2400</v>
      </c>
      <c r="B2402" s="1" t="s">
        <v>3195</v>
      </c>
      <c r="C2402" t="s">
        <v>116</v>
      </c>
      <c r="D2402" s="1" t="s">
        <v>3196</v>
      </c>
    </row>
    <row r="2403" spans="1:4" hidden="1" x14ac:dyDescent="0.3">
      <c r="A2403">
        <v>2401</v>
      </c>
      <c r="B2403" t="s">
        <v>3197</v>
      </c>
      <c r="C2403" t="s">
        <v>119</v>
      </c>
      <c r="D2403">
        <v>77747031.575534597</v>
      </c>
    </row>
    <row r="2404" spans="1:4" hidden="1" x14ac:dyDescent="0.3">
      <c r="A2404">
        <v>2402</v>
      </c>
      <c r="B2404" t="s">
        <v>3198</v>
      </c>
      <c r="C2404" t="s">
        <v>121</v>
      </c>
      <c r="D2404">
        <v>35185133.251649</v>
      </c>
    </row>
    <row r="2405" spans="1:4" hidden="1" x14ac:dyDescent="0.3">
      <c r="A2405">
        <v>2403</v>
      </c>
      <c r="B2405" s="1" t="s">
        <v>3199</v>
      </c>
      <c r="C2405" t="s">
        <v>123</v>
      </c>
      <c r="D2405" s="1" t="s">
        <v>3200</v>
      </c>
    </row>
    <row r="2406" spans="1:4" hidden="1" x14ac:dyDescent="0.3">
      <c r="A2406">
        <v>2404</v>
      </c>
      <c r="B2406" t="s">
        <v>3201</v>
      </c>
      <c r="C2406" t="s">
        <v>126</v>
      </c>
      <c r="D2406">
        <v>0.75486663679993404</v>
      </c>
    </row>
    <row r="2407" spans="1:4" hidden="1" x14ac:dyDescent="0.3">
      <c r="A2407">
        <v>2405</v>
      </c>
      <c r="B2407" t="s">
        <v>3202</v>
      </c>
      <c r="C2407" t="s">
        <v>128</v>
      </c>
      <c r="D2407">
        <v>0.34162182998878299</v>
      </c>
    </row>
    <row r="2408" spans="1:4" hidden="1" x14ac:dyDescent="0.3">
      <c r="A2408">
        <v>2406</v>
      </c>
      <c r="B2408" s="1" t="s">
        <v>3203</v>
      </c>
      <c r="C2408" t="s">
        <v>130</v>
      </c>
      <c r="D2408" s="1" t="s">
        <v>3204</v>
      </c>
    </row>
    <row r="2409" spans="1:4" ht="72" x14ac:dyDescent="0.3">
      <c r="A2409">
        <v>2407</v>
      </c>
      <c r="B2409" s="1" t="s">
        <v>3205</v>
      </c>
      <c r="C2409" t="s">
        <v>4</v>
      </c>
      <c r="D2409" t="s">
        <v>3206</v>
      </c>
    </row>
    <row r="2410" spans="1:4" hidden="1" x14ac:dyDescent="0.3">
      <c r="A2410">
        <v>2408</v>
      </c>
      <c r="B2410" t="s">
        <v>3207</v>
      </c>
      <c r="C2410" t="s">
        <v>7</v>
      </c>
      <c r="D2410">
        <v>1775.69</v>
      </c>
    </row>
    <row r="2411" spans="1:4" hidden="1" x14ac:dyDescent="0.3">
      <c r="A2411">
        <v>2409</v>
      </c>
      <c r="B2411" s="1" t="s">
        <v>3208</v>
      </c>
      <c r="C2411" t="s">
        <v>9</v>
      </c>
      <c r="D2411" s="1" t="s">
        <v>3209</v>
      </c>
    </row>
    <row r="2412" spans="1:4" hidden="1" x14ac:dyDescent="0.3">
      <c r="A2412">
        <v>2410</v>
      </c>
      <c r="B2412" t="s">
        <v>3210</v>
      </c>
      <c r="C2412" t="s">
        <v>14</v>
      </c>
      <c r="D2412">
        <v>91.125</v>
      </c>
    </row>
    <row r="2413" spans="1:4" hidden="1" x14ac:dyDescent="0.3">
      <c r="A2413">
        <v>2411</v>
      </c>
      <c r="B2413" t="s">
        <v>3211</v>
      </c>
      <c r="C2413" t="s">
        <v>16</v>
      </c>
      <c r="D2413">
        <v>4.29267125121501</v>
      </c>
    </row>
    <row r="2414" spans="1:4" hidden="1" x14ac:dyDescent="0.3">
      <c r="A2414">
        <v>2412</v>
      </c>
      <c r="B2414" s="1" t="s">
        <v>3212</v>
      </c>
      <c r="C2414" t="s">
        <v>140</v>
      </c>
      <c r="D2414" s="1" t="s">
        <v>3213</v>
      </c>
    </row>
    <row r="2415" spans="1:4" hidden="1" x14ac:dyDescent="0.3">
      <c r="A2415">
        <v>2413</v>
      </c>
      <c r="B2415" t="s">
        <v>3214</v>
      </c>
      <c r="C2415" t="s">
        <v>22</v>
      </c>
      <c r="D2415">
        <v>64.900000000000006</v>
      </c>
    </row>
    <row r="2416" spans="1:4" hidden="1" x14ac:dyDescent="0.3">
      <c r="A2416">
        <v>2414</v>
      </c>
      <c r="B2416" t="s">
        <v>3215</v>
      </c>
      <c r="C2416" t="s">
        <v>24</v>
      </c>
      <c r="D2416">
        <v>5.5930626614164396</v>
      </c>
    </row>
    <row r="2417" spans="1:4" hidden="1" x14ac:dyDescent="0.3">
      <c r="A2417">
        <v>2415</v>
      </c>
      <c r="B2417" s="1" t="s">
        <v>3216</v>
      </c>
      <c r="C2417" t="s">
        <v>145</v>
      </c>
      <c r="D2417" s="1" t="s">
        <v>3217</v>
      </c>
    </row>
    <row r="2418" spans="1:4" hidden="1" x14ac:dyDescent="0.3">
      <c r="A2418">
        <v>2416</v>
      </c>
      <c r="B2418" t="s">
        <v>3218</v>
      </c>
      <c r="C2418" t="s">
        <v>35</v>
      </c>
      <c r="D2418">
        <v>0.12576215431371199</v>
      </c>
    </row>
    <row r="2419" spans="1:4" hidden="1" x14ac:dyDescent="0.3">
      <c r="A2419">
        <v>2417</v>
      </c>
      <c r="B2419" t="s">
        <v>3219</v>
      </c>
      <c r="C2419" t="s">
        <v>149</v>
      </c>
      <c r="D2419">
        <v>0.53885033855293296</v>
      </c>
    </row>
    <row r="2420" spans="1:4" hidden="1" x14ac:dyDescent="0.3">
      <c r="A2420">
        <v>2418</v>
      </c>
      <c r="B2420" s="1" t="s">
        <v>3220</v>
      </c>
      <c r="C2420" t="s">
        <v>151</v>
      </c>
      <c r="D2420" s="1" t="s">
        <v>3221</v>
      </c>
    </row>
    <row r="2421" spans="1:4" hidden="1" x14ac:dyDescent="0.3">
      <c r="A2421">
        <v>2419</v>
      </c>
      <c r="B2421" t="s">
        <v>3222</v>
      </c>
      <c r="C2421" t="s">
        <v>30</v>
      </c>
      <c r="D2421">
        <v>0.370582424487644</v>
      </c>
    </row>
    <row r="2422" spans="1:4" hidden="1" x14ac:dyDescent="0.3">
      <c r="A2422">
        <v>2420</v>
      </c>
      <c r="B2422" t="s">
        <v>3223</v>
      </c>
      <c r="C2422" t="s">
        <v>32</v>
      </c>
      <c r="D2422">
        <v>0.41981268566130803</v>
      </c>
    </row>
    <row r="2423" spans="1:4" hidden="1" x14ac:dyDescent="0.3">
      <c r="A2423">
        <v>2421</v>
      </c>
      <c r="B2423" s="1" t="s">
        <v>3224</v>
      </c>
      <c r="C2423" t="s">
        <v>155</v>
      </c>
      <c r="D2423" s="1" t="s">
        <v>3225</v>
      </c>
    </row>
    <row r="2424" spans="1:4" hidden="1" x14ac:dyDescent="0.3">
      <c r="A2424">
        <v>2422</v>
      </c>
      <c r="B2424" t="s">
        <v>3226</v>
      </c>
      <c r="C2424" t="s">
        <v>40</v>
      </c>
      <c r="D2424">
        <v>0.50365542119864204</v>
      </c>
    </row>
    <row r="2425" spans="1:4" hidden="1" x14ac:dyDescent="0.3">
      <c r="A2425">
        <v>2423</v>
      </c>
      <c r="B2425" t="s">
        <v>3227</v>
      </c>
      <c r="C2425" t="s">
        <v>42</v>
      </c>
      <c r="D2425">
        <v>0.435990175454953</v>
      </c>
    </row>
    <row r="2426" spans="1:4" hidden="1" x14ac:dyDescent="0.3">
      <c r="A2426">
        <v>2424</v>
      </c>
      <c r="B2426" s="1" t="s">
        <v>3228</v>
      </c>
      <c r="C2426" t="s">
        <v>159</v>
      </c>
      <c r="D2426" s="1" t="s">
        <v>3229</v>
      </c>
    </row>
    <row r="2427" spans="1:4" hidden="1" x14ac:dyDescent="0.3">
      <c r="A2427">
        <v>2425</v>
      </c>
      <c r="B2427" t="s">
        <v>3230</v>
      </c>
      <c r="C2427" t="s">
        <v>161</v>
      </c>
      <c r="D2427">
        <v>0.99774120502778496</v>
      </c>
    </row>
    <row r="2428" spans="1:4" hidden="1" x14ac:dyDescent="0.3">
      <c r="A2428">
        <v>2426</v>
      </c>
      <c r="B2428" t="s">
        <v>3231</v>
      </c>
      <c r="C2428" t="s">
        <v>163</v>
      </c>
      <c r="D2428">
        <v>0.99728836621733696</v>
      </c>
    </row>
    <row r="2429" spans="1:4" hidden="1" x14ac:dyDescent="0.3">
      <c r="A2429">
        <v>2427</v>
      </c>
      <c r="B2429" s="1" t="s">
        <v>3232</v>
      </c>
      <c r="C2429" t="s">
        <v>165</v>
      </c>
      <c r="D2429" s="1" t="s">
        <v>3233</v>
      </c>
    </row>
    <row r="2430" spans="1:4" hidden="1" x14ac:dyDescent="0.3">
      <c r="A2430">
        <v>2428</v>
      </c>
      <c r="B2430" t="s">
        <v>3234</v>
      </c>
      <c r="C2430" t="s">
        <v>168</v>
      </c>
      <c r="D2430">
        <v>1.0008360558979801</v>
      </c>
    </row>
    <row r="2431" spans="1:4" hidden="1" x14ac:dyDescent="0.3">
      <c r="A2431">
        <v>2429</v>
      </c>
      <c r="B2431" t="s">
        <v>3235</v>
      </c>
      <c r="C2431" t="s">
        <v>170</v>
      </c>
      <c r="D2431">
        <v>0.99937356054667903</v>
      </c>
    </row>
    <row r="2432" spans="1:4" hidden="1" x14ac:dyDescent="0.3">
      <c r="A2432">
        <v>2430</v>
      </c>
      <c r="B2432" s="1" t="s">
        <v>3236</v>
      </c>
      <c r="C2432" t="s">
        <v>172</v>
      </c>
      <c r="D2432" s="1" t="s">
        <v>3237</v>
      </c>
    </row>
    <row r="2433" spans="1:4" hidden="1" x14ac:dyDescent="0.3">
      <c r="A2433">
        <v>2431</v>
      </c>
      <c r="B2433" s="1" t="s">
        <v>3238</v>
      </c>
      <c r="C2433" t="s">
        <v>55</v>
      </c>
      <c r="D2433" s="1" t="s">
        <v>3239</v>
      </c>
    </row>
    <row r="2434" spans="1:4" hidden="1" x14ac:dyDescent="0.3">
      <c r="A2434">
        <v>2432</v>
      </c>
      <c r="B2434" s="1" t="s">
        <v>3240</v>
      </c>
      <c r="C2434" t="s">
        <v>52</v>
      </c>
      <c r="D2434" s="1" t="s">
        <v>3241</v>
      </c>
    </row>
    <row r="2435" spans="1:4" hidden="1" x14ac:dyDescent="0.3">
      <c r="A2435">
        <v>2433</v>
      </c>
      <c r="B2435" s="1" t="s">
        <v>3242</v>
      </c>
      <c r="C2435" t="s">
        <v>58</v>
      </c>
      <c r="D2435" s="1" t="s">
        <v>3243</v>
      </c>
    </row>
    <row r="2436" spans="1:4" hidden="1" x14ac:dyDescent="0.3">
      <c r="A2436">
        <v>2434</v>
      </c>
      <c r="B2436" t="s">
        <v>3244</v>
      </c>
      <c r="C2436" t="s">
        <v>61</v>
      </c>
      <c r="D2436">
        <v>152458479.86720699</v>
      </c>
    </row>
    <row r="2437" spans="1:4" hidden="1" x14ac:dyDescent="0.3">
      <c r="A2437">
        <v>2435</v>
      </c>
      <c r="B2437" t="s">
        <v>3245</v>
      </c>
      <c r="C2437" t="s">
        <v>63</v>
      </c>
      <c r="D2437">
        <v>77571416.971507207</v>
      </c>
    </row>
    <row r="2438" spans="1:4" hidden="1" x14ac:dyDescent="0.3">
      <c r="A2438">
        <v>2436</v>
      </c>
      <c r="B2438" t="s">
        <v>3246</v>
      </c>
      <c r="C2438" t="s">
        <v>65</v>
      </c>
      <c r="D2438">
        <v>35089724.055676296</v>
      </c>
    </row>
    <row r="2439" spans="1:4" hidden="1" x14ac:dyDescent="0.3">
      <c r="A2439">
        <v>2437</v>
      </c>
      <c r="B2439" s="1" t="s">
        <v>3247</v>
      </c>
      <c r="C2439" t="s">
        <v>67</v>
      </c>
      <c r="D2439" s="1" t="s">
        <v>3248</v>
      </c>
    </row>
    <row r="2440" spans="1:4" hidden="1" x14ac:dyDescent="0.3">
      <c r="A2440">
        <v>2438</v>
      </c>
      <c r="B2440" s="1" t="s">
        <v>3249</v>
      </c>
      <c r="C2440" t="s">
        <v>70</v>
      </c>
      <c r="D2440" s="1" t="s">
        <v>3250</v>
      </c>
    </row>
    <row r="2441" spans="1:4" hidden="1" x14ac:dyDescent="0.3">
      <c r="A2441">
        <v>2439</v>
      </c>
      <c r="B2441" t="s">
        <v>3251</v>
      </c>
      <c r="C2441" t="s">
        <v>73</v>
      </c>
      <c r="D2441">
        <v>0.99989590967285702</v>
      </c>
    </row>
    <row r="2442" spans="1:4" hidden="1" x14ac:dyDescent="0.3">
      <c r="A2442">
        <v>2440</v>
      </c>
      <c r="B2442" t="s">
        <v>74</v>
      </c>
      <c r="C2442" t="s">
        <v>75</v>
      </c>
      <c r="D2442">
        <v>2.7397260273972599E-3</v>
      </c>
    </row>
    <row r="2443" spans="1:4" hidden="1" x14ac:dyDescent="0.3">
      <c r="A2443">
        <v>2441</v>
      </c>
      <c r="B2443" t="s">
        <v>76</v>
      </c>
      <c r="C2443" t="s">
        <v>77</v>
      </c>
      <c r="D2443">
        <v>0</v>
      </c>
    </row>
    <row r="2444" spans="1:4" hidden="1" x14ac:dyDescent="0.3">
      <c r="A2444">
        <v>2442</v>
      </c>
      <c r="B2444" t="s">
        <v>78</v>
      </c>
      <c r="C2444" t="s">
        <v>79</v>
      </c>
      <c r="D2444">
        <v>0</v>
      </c>
    </row>
    <row r="2445" spans="1:4" hidden="1" x14ac:dyDescent="0.3">
      <c r="A2445">
        <v>2443</v>
      </c>
      <c r="B2445" s="1" t="s">
        <v>3252</v>
      </c>
      <c r="C2445" t="s">
        <v>81</v>
      </c>
      <c r="D2445" s="1" t="s">
        <v>3253</v>
      </c>
    </row>
    <row r="2446" spans="1:4" hidden="1" x14ac:dyDescent="0.3">
      <c r="A2446">
        <v>2444</v>
      </c>
      <c r="B2446" t="s">
        <v>3254</v>
      </c>
      <c r="C2446" t="s">
        <v>84</v>
      </c>
      <c r="D2446">
        <v>0.99990185748317695</v>
      </c>
    </row>
    <row r="2447" spans="1:4" hidden="1" x14ac:dyDescent="0.3">
      <c r="A2447">
        <v>2445</v>
      </c>
      <c r="B2447" s="1" t="s">
        <v>3255</v>
      </c>
      <c r="C2447" t="s">
        <v>86</v>
      </c>
      <c r="D2447" s="1" t="s">
        <v>3256</v>
      </c>
    </row>
    <row r="2448" spans="1:4" hidden="1" x14ac:dyDescent="0.3">
      <c r="A2448">
        <v>2446</v>
      </c>
      <c r="B2448" t="s">
        <v>3257</v>
      </c>
      <c r="C2448" t="s">
        <v>89</v>
      </c>
      <c r="D2448">
        <v>103003522.719451</v>
      </c>
    </row>
    <row r="2449" spans="1:4" hidden="1" x14ac:dyDescent="0.3">
      <c r="A2449">
        <v>2447</v>
      </c>
      <c r="B2449" s="1" t="s">
        <v>3258</v>
      </c>
      <c r="C2449" t="s">
        <v>91</v>
      </c>
      <c r="D2449" s="1" t="s">
        <v>3192</v>
      </c>
    </row>
    <row r="2450" spans="1:4" hidden="1" x14ac:dyDescent="0.3">
      <c r="A2450">
        <v>2448</v>
      </c>
      <c r="B2450" t="s">
        <v>3259</v>
      </c>
      <c r="C2450" t="s">
        <v>94</v>
      </c>
      <c r="D2450">
        <v>77571416.971507207</v>
      </c>
    </row>
    <row r="2451" spans="1:4" hidden="1" x14ac:dyDescent="0.3">
      <c r="A2451">
        <v>2449</v>
      </c>
      <c r="B2451" t="s">
        <v>3260</v>
      </c>
      <c r="C2451" t="s">
        <v>96</v>
      </c>
      <c r="D2451">
        <v>35089724.055676296</v>
      </c>
    </row>
    <row r="2452" spans="1:4" hidden="1" x14ac:dyDescent="0.3">
      <c r="A2452">
        <v>2450</v>
      </c>
      <c r="B2452" t="s">
        <v>3261</v>
      </c>
      <c r="C2452" t="s">
        <v>98</v>
      </c>
      <c r="D2452">
        <v>39797338.840023398</v>
      </c>
    </row>
    <row r="2453" spans="1:4" hidden="1" x14ac:dyDescent="0.3">
      <c r="A2453">
        <v>2451</v>
      </c>
      <c r="B2453" s="1" t="s">
        <v>3262</v>
      </c>
      <c r="C2453" t="s">
        <v>100</v>
      </c>
      <c r="D2453" s="1" t="s">
        <v>3263</v>
      </c>
    </row>
    <row r="2454" spans="1:4" hidden="1" x14ac:dyDescent="0.3">
      <c r="A2454">
        <v>2452</v>
      </c>
      <c r="B2454" t="s">
        <v>3264</v>
      </c>
      <c r="C2454" t="s">
        <v>103</v>
      </c>
      <c r="D2454">
        <v>8.8903996829794302E-3</v>
      </c>
    </row>
    <row r="2455" spans="1:4" hidden="1" x14ac:dyDescent="0.3">
      <c r="A2455">
        <v>2453</v>
      </c>
      <c r="B2455" t="s">
        <v>3265</v>
      </c>
      <c r="C2455" t="s">
        <v>105</v>
      </c>
      <c r="D2455">
        <v>3.2545036500813401E-3</v>
      </c>
    </row>
    <row r="2456" spans="1:4" hidden="1" x14ac:dyDescent="0.3">
      <c r="A2456">
        <v>2454</v>
      </c>
      <c r="B2456" t="s">
        <v>3266</v>
      </c>
      <c r="C2456" t="s">
        <v>107</v>
      </c>
      <c r="D2456">
        <v>1.17514066648572E-2</v>
      </c>
    </row>
    <row r="2457" spans="1:4" hidden="1" x14ac:dyDescent="0.3">
      <c r="A2457">
        <v>2455</v>
      </c>
      <c r="B2457" s="1" t="s">
        <v>3267</v>
      </c>
      <c r="C2457" t="s">
        <v>109</v>
      </c>
      <c r="D2457" s="1" t="s">
        <v>3268</v>
      </c>
    </row>
    <row r="2458" spans="1:4" hidden="1" x14ac:dyDescent="0.3">
      <c r="A2458">
        <v>2456</v>
      </c>
      <c r="B2458" t="s">
        <v>3269</v>
      </c>
      <c r="C2458" t="s">
        <v>208</v>
      </c>
      <c r="D2458">
        <v>152458689.52751401</v>
      </c>
    </row>
    <row r="2459" spans="1:4" hidden="1" x14ac:dyDescent="0.3">
      <c r="A2459">
        <v>2457</v>
      </c>
      <c r="B2459" t="s">
        <v>3270</v>
      </c>
      <c r="C2459" t="s">
        <v>210</v>
      </c>
      <c r="D2459">
        <v>-461.42892248232499</v>
      </c>
    </row>
    <row r="2460" spans="1:4" hidden="1" x14ac:dyDescent="0.3">
      <c r="A2460">
        <v>2458</v>
      </c>
      <c r="B2460" t="s">
        <v>3271</v>
      </c>
      <c r="C2460" t="s">
        <v>212</v>
      </c>
      <c r="D2460">
        <v>-208.728929599509</v>
      </c>
    </row>
    <row r="2461" spans="1:4" hidden="1" x14ac:dyDescent="0.3">
      <c r="A2461">
        <v>2459</v>
      </c>
      <c r="B2461" s="1" t="s">
        <v>3272</v>
      </c>
      <c r="C2461" t="s">
        <v>214</v>
      </c>
      <c r="D2461" s="1" t="s">
        <v>3273</v>
      </c>
    </row>
    <row r="2462" spans="1:4" hidden="1" x14ac:dyDescent="0.3">
      <c r="A2462">
        <v>2460</v>
      </c>
      <c r="B2462" t="s">
        <v>3274</v>
      </c>
      <c r="C2462" t="s">
        <v>217</v>
      </c>
      <c r="D2462">
        <v>77572015.900929898</v>
      </c>
    </row>
    <row r="2463" spans="1:4" hidden="1" x14ac:dyDescent="0.3">
      <c r="A2463">
        <v>2461</v>
      </c>
      <c r="B2463" t="s">
        <v>3275</v>
      </c>
      <c r="C2463" t="s">
        <v>219</v>
      </c>
      <c r="D2463">
        <v>35089963.062507004</v>
      </c>
    </row>
    <row r="2464" spans="1:4" hidden="1" x14ac:dyDescent="0.3">
      <c r="A2464">
        <v>2462</v>
      </c>
      <c r="B2464" t="s">
        <v>3276</v>
      </c>
      <c r="C2464" t="s">
        <v>221</v>
      </c>
      <c r="D2464">
        <v>39797617.4538427</v>
      </c>
    </row>
    <row r="2465" spans="1:4" hidden="1" x14ac:dyDescent="0.3">
      <c r="A2465">
        <v>2463</v>
      </c>
      <c r="B2465" s="1" t="s">
        <v>3277</v>
      </c>
      <c r="C2465" t="s">
        <v>223</v>
      </c>
      <c r="D2465" s="1" t="s">
        <v>3278</v>
      </c>
    </row>
    <row r="2466" spans="1:4" hidden="1" x14ac:dyDescent="0.3">
      <c r="A2466">
        <v>2464</v>
      </c>
      <c r="B2466" t="s">
        <v>3279</v>
      </c>
      <c r="C2466" t="s">
        <v>226</v>
      </c>
      <c r="D2466">
        <v>103004135.428643</v>
      </c>
    </row>
    <row r="2467" spans="1:4" hidden="1" x14ac:dyDescent="0.3">
      <c r="A2467">
        <v>2465</v>
      </c>
      <c r="B2467" t="s">
        <v>3280</v>
      </c>
      <c r="C2467" t="s">
        <v>228</v>
      </c>
      <c r="D2467">
        <v>-612.70919248461701</v>
      </c>
    </row>
    <row r="2468" spans="1:4" hidden="1" x14ac:dyDescent="0.3">
      <c r="A2468">
        <v>2466</v>
      </c>
      <c r="B2468" s="1" t="s">
        <v>3281</v>
      </c>
      <c r="C2468" t="s">
        <v>230</v>
      </c>
      <c r="D2468" s="1" t="s">
        <v>3282</v>
      </c>
    </row>
    <row r="2469" spans="1:4" hidden="1" x14ac:dyDescent="0.3">
      <c r="A2469">
        <v>2467</v>
      </c>
      <c r="B2469" t="s">
        <v>3283</v>
      </c>
      <c r="C2469" t="s">
        <v>112</v>
      </c>
      <c r="D2469">
        <v>137.50050021896101</v>
      </c>
    </row>
    <row r="2470" spans="1:4" hidden="1" x14ac:dyDescent="0.3">
      <c r="A2470">
        <v>2468</v>
      </c>
      <c r="B2470" t="s">
        <v>3284</v>
      </c>
      <c r="C2470" t="s">
        <v>114</v>
      </c>
      <c r="D2470">
        <v>30.277901085954401</v>
      </c>
    </row>
    <row r="2471" spans="1:4" hidden="1" x14ac:dyDescent="0.3">
      <c r="A2471">
        <v>2469</v>
      </c>
      <c r="B2471" s="1" t="s">
        <v>3285</v>
      </c>
      <c r="C2471" t="s">
        <v>116</v>
      </c>
      <c r="D2471" s="1" t="s">
        <v>3286</v>
      </c>
    </row>
    <row r="2472" spans="1:4" hidden="1" x14ac:dyDescent="0.3">
      <c r="A2472">
        <v>2470</v>
      </c>
      <c r="B2472" t="s">
        <v>3287</v>
      </c>
      <c r="C2472" t="s">
        <v>119</v>
      </c>
      <c r="D2472">
        <v>77572015.900929898</v>
      </c>
    </row>
    <row r="2473" spans="1:4" hidden="1" x14ac:dyDescent="0.3">
      <c r="A2473">
        <v>2471</v>
      </c>
      <c r="B2473" t="s">
        <v>3288</v>
      </c>
      <c r="C2473" t="s">
        <v>121</v>
      </c>
      <c r="D2473">
        <v>35089963.062507004</v>
      </c>
    </row>
    <row r="2474" spans="1:4" hidden="1" x14ac:dyDescent="0.3">
      <c r="A2474">
        <v>2472</v>
      </c>
      <c r="B2474" s="1" t="s">
        <v>3289</v>
      </c>
      <c r="C2474" t="s">
        <v>123</v>
      </c>
      <c r="D2474" s="1" t="s">
        <v>3290</v>
      </c>
    </row>
    <row r="2475" spans="1:4" hidden="1" x14ac:dyDescent="0.3">
      <c r="A2475">
        <v>2473</v>
      </c>
      <c r="B2475" t="s">
        <v>3291</v>
      </c>
      <c r="C2475" t="s">
        <v>126</v>
      </c>
      <c r="D2475">
        <v>0.75317004932090403</v>
      </c>
    </row>
    <row r="2476" spans="1:4" hidden="1" x14ac:dyDescent="0.3">
      <c r="A2476">
        <v>2474</v>
      </c>
      <c r="B2476" t="s">
        <v>3292</v>
      </c>
      <c r="C2476" t="s">
        <v>128</v>
      </c>
      <c r="D2476">
        <v>0.34069901244039003</v>
      </c>
    </row>
    <row r="2477" spans="1:4" hidden="1" x14ac:dyDescent="0.3">
      <c r="A2477">
        <v>2475</v>
      </c>
      <c r="B2477" s="1" t="s">
        <v>3293</v>
      </c>
      <c r="C2477" t="s">
        <v>130</v>
      </c>
      <c r="D2477" s="1" t="s">
        <v>3294</v>
      </c>
    </row>
    <row r="2478" spans="1:4" ht="72" x14ac:dyDescent="0.3">
      <c r="A2478">
        <v>2476</v>
      </c>
      <c r="B2478" s="1" t="s">
        <v>3295</v>
      </c>
      <c r="C2478" t="s">
        <v>4</v>
      </c>
      <c r="D2478" t="s">
        <v>3296</v>
      </c>
    </row>
    <row r="2479" spans="1:4" hidden="1" x14ac:dyDescent="0.3">
      <c r="A2479">
        <v>2477</v>
      </c>
      <c r="B2479" t="s">
        <v>3297</v>
      </c>
      <c r="C2479" t="s">
        <v>7</v>
      </c>
      <c r="D2479">
        <v>1761.77</v>
      </c>
    </row>
    <row r="2480" spans="1:4" hidden="1" x14ac:dyDescent="0.3">
      <c r="A2480">
        <v>2478</v>
      </c>
      <c r="B2480" s="1" t="s">
        <v>3298</v>
      </c>
      <c r="C2480" t="s">
        <v>9</v>
      </c>
      <c r="D2480" s="1" t="s">
        <v>3299</v>
      </c>
    </row>
    <row r="2481" spans="1:4" hidden="1" x14ac:dyDescent="0.3">
      <c r="A2481">
        <v>2479</v>
      </c>
      <c r="B2481" t="s">
        <v>3300</v>
      </c>
      <c r="C2481" t="s">
        <v>14</v>
      </c>
      <c r="D2481">
        <v>90.8984375</v>
      </c>
    </row>
    <row r="2482" spans="1:4" hidden="1" x14ac:dyDescent="0.3">
      <c r="A2482">
        <v>2480</v>
      </c>
      <c r="B2482" t="s">
        <v>3301</v>
      </c>
      <c r="C2482" t="s">
        <v>16</v>
      </c>
      <c r="D2482">
        <v>4.2880461740850597</v>
      </c>
    </row>
    <row r="2483" spans="1:4" hidden="1" x14ac:dyDescent="0.3">
      <c r="A2483">
        <v>2481</v>
      </c>
      <c r="B2483" s="1" t="s">
        <v>3302</v>
      </c>
      <c r="C2483" t="s">
        <v>140</v>
      </c>
      <c r="D2483" s="1" t="s">
        <v>3303</v>
      </c>
    </row>
    <row r="2484" spans="1:4" hidden="1" x14ac:dyDescent="0.3">
      <c r="A2484">
        <v>2482</v>
      </c>
      <c r="B2484" t="s">
        <v>3214</v>
      </c>
      <c r="C2484" t="s">
        <v>22</v>
      </c>
      <c r="D2484">
        <v>64.900000000000006</v>
      </c>
    </row>
    <row r="2485" spans="1:4" hidden="1" x14ac:dyDescent="0.3">
      <c r="A2485">
        <v>2483</v>
      </c>
      <c r="B2485" t="s">
        <v>3304</v>
      </c>
      <c r="C2485" t="s">
        <v>24</v>
      </c>
      <c r="D2485">
        <v>5.6625806195183497</v>
      </c>
    </row>
    <row r="2486" spans="1:4" hidden="1" x14ac:dyDescent="0.3">
      <c r="A2486">
        <v>2484</v>
      </c>
      <c r="B2486" s="1" t="s">
        <v>3305</v>
      </c>
      <c r="C2486" t="s">
        <v>145</v>
      </c>
      <c r="D2486" s="1" t="s">
        <v>3306</v>
      </c>
    </row>
    <row r="2487" spans="1:4" hidden="1" x14ac:dyDescent="0.3">
      <c r="A2487">
        <v>2485</v>
      </c>
      <c r="B2487" t="s">
        <v>3307</v>
      </c>
      <c r="C2487" t="s">
        <v>35</v>
      </c>
      <c r="D2487">
        <v>0.16802570529601499</v>
      </c>
    </row>
    <row r="2488" spans="1:4" hidden="1" x14ac:dyDescent="0.3">
      <c r="A2488">
        <v>2486</v>
      </c>
      <c r="B2488" t="s">
        <v>3308</v>
      </c>
      <c r="C2488" t="s">
        <v>149</v>
      </c>
      <c r="D2488">
        <v>0.53939141387580203</v>
      </c>
    </row>
    <row r="2489" spans="1:4" hidden="1" x14ac:dyDescent="0.3">
      <c r="A2489">
        <v>2487</v>
      </c>
      <c r="B2489" s="1" t="s">
        <v>3309</v>
      </c>
      <c r="C2489" t="s">
        <v>151</v>
      </c>
      <c r="D2489" s="1" t="s">
        <v>3310</v>
      </c>
    </row>
    <row r="2490" spans="1:4" hidden="1" x14ac:dyDescent="0.3">
      <c r="A2490">
        <v>2488</v>
      </c>
      <c r="B2490" t="s">
        <v>3311</v>
      </c>
      <c r="C2490" t="s">
        <v>30</v>
      </c>
      <c r="D2490">
        <v>0.34579167109493503</v>
      </c>
    </row>
    <row r="2491" spans="1:4" hidden="1" x14ac:dyDescent="0.3">
      <c r="A2491">
        <v>2489</v>
      </c>
      <c r="B2491" t="s">
        <v>3312</v>
      </c>
      <c r="C2491" t="s">
        <v>32</v>
      </c>
      <c r="D2491">
        <v>0.42198649625555701</v>
      </c>
    </row>
    <row r="2492" spans="1:4" hidden="1" x14ac:dyDescent="0.3">
      <c r="A2492">
        <v>2490</v>
      </c>
      <c r="B2492" s="1" t="s">
        <v>3313</v>
      </c>
      <c r="C2492" t="s">
        <v>155</v>
      </c>
      <c r="D2492" s="1" t="s">
        <v>3314</v>
      </c>
    </row>
    <row r="2493" spans="1:4" hidden="1" x14ac:dyDescent="0.3">
      <c r="A2493">
        <v>2491</v>
      </c>
      <c r="B2493" t="s">
        <v>3315</v>
      </c>
      <c r="C2493" t="s">
        <v>40</v>
      </c>
      <c r="D2493">
        <v>0.48618262360904901</v>
      </c>
    </row>
    <row r="2494" spans="1:4" hidden="1" x14ac:dyDescent="0.3">
      <c r="A2494">
        <v>2492</v>
      </c>
      <c r="B2494" t="s">
        <v>3316</v>
      </c>
      <c r="C2494" t="s">
        <v>42</v>
      </c>
      <c r="D2494">
        <v>0.43195476842733599</v>
      </c>
    </row>
    <row r="2495" spans="1:4" hidden="1" x14ac:dyDescent="0.3">
      <c r="A2495">
        <v>2493</v>
      </c>
      <c r="B2495" s="1" t="s">
        <v>3317</v>
      </c>
      <c r="C2495" t="s">
        <v>159</v>
      </c>
      <c r="D2495" s="1" t="s">
        <v>3318</v>
      </c>
    </row>
    <row r="2496" spans="1:4" hidden="1" x14ac:dyDescent="0.3">
      <c r="A2496">
        <v>2494</v>
      </c>
      <c r="B2496" t="s">
        <v>3319</v>
      </c>
      <c r="C2496" t="s">
        <v>161</v>
      </c>
      <c r="D2496">
        <v>0.99216079383225597</v>
      </c>
    </row>
    <row r="2497" spans="1:4" hidden="1" x14ac:dyDescent="0.3">
      <c r="A2497">
        <v>2495</v>
      </c>
      <c r="B2497" t="s">
        <v>3320</v>
      </c>
      <c r="C2497" t="s">
        <v>163</v>
      </c>
      <c r="D2497">
        <v>0.99757709893672297</v>
      </c>
    </row>
    <row r="2498" spans="1:4" hidden="1" x14ac:dyDescent="0.3">
      <c r="A2498">
        <v>2496</v>
      </c>
      <c r="B2498" s="1" t="s">
        <v>3321</v>
      </c>
      <c r="C2498" t="s">
        <v>165</v>
      </c>
      <c r="D2498" s="1" t="s">
        <v>3322</v>
      </c>
    </row>
    <row r="2499" spans="1:4" hidden="1" x14ac:dyDescent="0.3">
      <c r="A2499">
        <v>2497</v>
      </c>
      <c r="B2499" t="s">
        <v>3323</v>
      </c>
      <c r="C2499" t="s">
        <v>168</v>
      </c>
      <c r="D2499">
        <v>1.00035161010093</v>
      </c>
    </row>
    <row r="2500" spans="1:4" hidden="1" x14ac:dyDescent="0.3">
      <c r="A2500">
        <v>2498</v>
      </c>
      <c r="B2500" t="s">
        <v>3324</v>
      </c>
      <c r="C2500" t="s">
        <v>170</v>
      </c>
      <c r="D2500">
        <v>1.0015310544948599</v>
      </c>
    </row>
    <row r="2501" spans="1:4" hidden="1" x14ac:dyDescent="0.3">
      <c r="A2501">
        <v>2499</v>
      </c>
      <c r="B2501" s="1" t="s">
        <v>3325</v>
      </c>
      <c r="C2501" t="s">
        <v>172</v>
      </c>
      <c r="D2501" s="1" t="s">
        <v>3326</v>
      </c>
    </row>
    <row r="2502" spans="1:4" hidden="1" x14ac:dyDescent="0.3">
      <c r="A2502">
        <v>2500</v>
      </c>
      <c r="B2502" s="1" t="s">
        <v>3327</v>
      </c>
      <c r="C2502" t="s">
        <v>55</v>
      </c>
      <c r="D2502" s="1" t="s">
        <v>3328</v>
      </c>
    </row>
    <row r="2503" spans="1:4" hidden="1" x14ac:dyDescent="0.3">
      <c r="A2503">
        <v>2501</v>
      </c>
      <c r="B2503" s="1" t="s">
        <v>3329</v>
      </c>
      <c r="C2503" t="s">
        <v>52</v>
      </c>
      <c r="D2503" s="1" t="s">
        <v>3330</v>
      </c>
    </row>
    <row r="2504" spans="1:4" hidden="1" x14ac:dyDescent="0.3">
      <c r="A2504">
        <v>2502</v>
      </c>
      <c r="B2504" s="1" t="s">
        <v>3331</v>
      </c>
      <c r="C2504" t="s">
        <v>58</v>
      </c>
      <c r="D2504" s="1" t="s">
        <v>3332</v>
      </c>
    </row>
    <row r="2505" spans="1:4" hidden="1" x14ac:dyDescent="0.3">
      <c r="A2505">
        <v>2503</v>
      </c>
      <c r="B2505" t="s">
        <v>3333</v>
      </c>
      <c r="C2505" t="s">
        <v>61</v>
      </c>
      <c r="D2505">
        <v>151805720.994647</v>
      </c>
    </row>
    <row r="2506" spans="1:4" hidden="1" x14ac:dyDescent="0.3">
      <c r="A2506">
        <v>2504</v>
      </c>
      <c r="B2506" t="s">
        <v>3334</v>
      </c>
      <c r="C2506" t="s">
        <v>63</v>
      </c>
      <c r="D2506">
        <v>76963912.875434995</v>
      </c>
    </row>
    <row r="2507" spans="1:4" hidden="1" x14ac:dyDescent="0.3">
      <c r="A2507">
        <v>2505</v>
      </c>
      <c r="B2507" t="s">
        <v>3335</v>
      </c>
      <c r="C2507" t="s">
        <v>65</v>
      </c>
      <c r="D2507">
        <v>35004943.553692497</v>
      </c>
    </row>
    <row r="2508" spans="1:4" hidden="1" x14ac:dyDescent="0.3">
      <c r="A2508">
        <v>2506</v>
      </c>
      <c r="B2508" s="1" t="s">
        <v>3336</v>
      </c>
      <c r="C2508" t="s">
        <v>67</v>
      </c>
      <c r="D2508" s="1" t="s">
        <v>3337</v>
      </c>
    </row>
    <row r="2509" spans="1:4" hidden="1" x14ac:dyDescent="0.3">
      <c r="A2509">
        <v>2507</v>
      </c>
      <c r="B2509" s="1" t="s">
        <v>3338</v>
      </c>
      <c r="C2509" t="s">
        <v>70</v>
      </c>
      <c r="D2509" s="1" t="s">
        <v>3339</v>
      </c>
    </row>
    <row r="2510" spans="1:4" hidden="1" x14ac:dyDescent="0.3">
      <c r="A2510">
        <v>2508</v>
      </c>
      <c r="B2510" t="s">
        <v>3340</v>
      </c>
      <c r="C2510" t="s">
        <v>73</v>
      </c>
      <c r="D2510">
        <v>0.99990185748317695</v>
      </c>
    </row>
    <row r="2511" spans="1:4" hidden="1" x14ac:dyDescent="0.3">
      <c r="A2511">
        <v>2509</v>
      </c>
      <c r="B2511" t="s">
        <v>74</v>
      </c>
      <c r="C2511" t="s">
        <v>75</v>
      </c>
      <c r="D2511">
        <v>2.7397260273972599E-3</v>
      </c>
    </row>
    <row r="2512" spans="1:4" hidden="1" x14ac:dyDescent="0.3">
      <c r="A2512">
        <v>2510</v>
      </c>
      <c r="B2512" t="s">
        <v>76</v>
      </c>
      <c r="C2512" t="s">
        <v>77</v>
      </c>
      <c r="D2512">
        <v>0</v>
      </c>
    </row>
    <row r="2513" spans="1:4" hidden="1" x14ac:dyDescent="0.3">
      <c r="A2513">
        <v>2511</v>
      </c>
      <c r="B2513" t="s">
        <v>831</v>
      </c>
      <c r="C2513" t="s">
        <v>79</v>
      </c>
      <c r="D2513" s="2">
        <v>2.2204460492503101E-16</v>
      </c>
    </row>
    <row r="2514" spans="1:4" hidden="1" x14ac:dyDescent="0.3">
      <c r="A2514">
        <v>2512</v>
      </c>
      <c r="B2514" s="1" t="s">
        <v>3341</v>
      </c>
      <c r="C2514" t="s">
        <v>81</v>
      </c>
      <c r="D2514" s="1" t="s">
        <v>3342</v>
      </c>
    </row>
    <row r="2515" spans="1:4" hidden="1" x14ac:dyDescent="0.3">
      <c r="A2515">
        <v>2513</v>
      </c>
      <c r="B2515" t="s">
        <v>3343</v>
      </c>
      <c r="C2515" t="s">
        <v>84</v>
      </c>
      <c r="D2515">
        <v>0.99985748320740298</v>
      </c>
    </row>
    <row r="2516" spans="1:4" hidden="1" x14ac:dyDescent="0.3">
      <c r="A2516">
        <v>2514</v>
      </c>
      <c r="B2516" s="1" t="s">
        <v>3344</v>
      </c>
      <c r="C2516" t="s">
        <v>86</v>
      </c>
      <c r="D2516" s="1" t="s">
        <v>3345</v>
      </c>
    </row>
    <row r="2517" spans="1:4" hidden="1" x14ac:dyDescent="0.3">
      <c r="A2517">
        <v>2515</v>
      </c>
      <c r="B2517" t="s">
        <v>3346</v>
      </c>
      <c r="C2517" t="s">
        <v>89</v>
      </c>
      <c r="D2517">
        <v>103008094.07766899</v>
      </c>
    </row>
    <row r="2518" spans="1:4" hidden="1" x14ac:dyDescent="0.3">
      <c r="A2518">
        <v>2516</v>
      </c>
      <c r="B2518" s="1" t="s">
        <v>3347</v>
      </c>
      <c r="C2518" t="s">
        <v>91</v>
      </c>
      <c r="D2518" s="1" t="s">
        <v>3282</v>
      </c>
    </row>
    <row r="2519" spans="1:4" hidden="1" x14ac:dyDescent="0.3">
      <c r="A2519">
        <v>2517</v>
      </c>
      <c r="B2519" t="s">
        <v>3348</v>
      </c>
      <c r="C2519" t="s">
        <v>94</v>
      </c>
      <c r="D2519">
        <v>76963912.875434995</v>
      </c>
    </row>
    <row r="2520" spans="1:4" hidden="1" x14ac:dyDescent="0.3">
      <c r="A2520">
        <v>2518</v>
      </c>
      <c r="B2520" t="s">
        <v>3349</v>
      </c>
      <c r="C2520" t="s">
        <v>96</v>
      </c>
      <c r="D2520">
        <v>35004943.553692497</v>
      </c>
    </row>
    <row r="2521" spans="1:4" hidden="1" x14ac:dyDescent="0.3">
      <c r="A2521">
        <v>2519</v>
      </c>
      <c r="B2521" t="s">
        <v>3350</v>
      </c>
      <c r="C2521" t="s">
        <v>98</v>
      </c>
      <c r="D2521">
        <v>39836864.565519497</v>
      </c>
    </row>
    <row r="2522" spans="1:4" hidden="1" x14ac:dyDescent="0.3">
      <c r="A2522">
        <v>2520</v>
      </c>
      <c r="B2522" s="1" t="s">
        <v>3351</v>
      </c>
      <c r="C2522" t="s">
        <v>100</v>
      </c>
      <c r="D2522" s="1" t="s">
        <v>3352</v>
      </c>
    </row>
    <row r="2523" spans="1:4" hidden="1" x14ac:dyDescent="0.3">
      <c r="A2523">
        <v>2521</v>
      </c>
      <c r="B2523" t="s">
        <v>3353</v>
      </c>
      <c r="C2523" t="s">
        <v>103</v>
      </c>
      <c r="D2523">
        <v>8.8458052430392103E-3</v>
      </c>
    </row>
    <row r="2524" spans="1:4" hidden="1" x14ac:dyDescent="0.3">
      <c r="A2524">
        <v>2522</v>
      </c>
      <c r="B2524" t="s">
        <v>3354</v>
      </c>
      <c r="C2524" t="s">
        <v>105</v>
      </c>
      <c r="D2524">
        <v>3.2591624755568698E-3</v>
      </c>
    </row>
    <row r="2525" spans="1:4" hidden="1" x14ac:dyDescent="0.3">
      <c r="A2525">
        <v>2523</v>
      </c>
      <c r="B2525" t="s">
        <v>3355</v>
      </c>
      <c r="C2525" t="s">
        <v>107</v>
      </c>
      <c r="D2525">
        <v>1.0869661588731001E-2</v>
      </c>
    </row>
    <row r="2526" spans="1:4" hidden="1" x14ac:dyDescent="0.3">
      <c r="A2526">
        <v>2524</v>
      </c>
      <c r="B2526" s="1" t="s">
        <v>3356</v>
      </c>
      <c r="C2526" t="s">
        <v>109</v>
      </c>
      <c r="D2526" s="1" t="s">
        <v>3357</v>
      </c>
    </row>
    <row r="2527" spans="1:4" hidden="1" x14ac:dyDescent="0.3">
      <c r="A2527">
        <v>2525</v>
      </c>
      <c r="B2527" t="s">
        <v>3358</v>
      </c>
      <c r="C2527" t="s">
        <v>208</v>
      </c>
      <c r="D2527">
        <v>151804156.52543101</v>
      </c>
    </row>
    <row r="2528" spans="1:4" hidden="1" x14ac:dyDescent="0.3">
      <c r="A2528">
        <v>2526</v>
      </c>
      <c r="B2528" t="s">
        <v>3359</v>
      </c>
      <c r="C2528" t="s">
        <v>210</v>
      </c>
      <c r="D2528">
        <v>3415.5077988183598</v>
      </c>
    </row>
    <row r="2529" spans="1:4" hidden="1" x14ac:dyDescent="0.3">
      <c r="A2529">
        <v>2527</v>
      </c>
      <c r="B2529" t="s">
        <v>3360</v>
      </c>
      <c r="C2529" t="s">
        <v>212</v>
      </c>
      <c r="D2529">
        <v>1553.4614194826099</v>
      </c>
    </row>
    <row r="2530" spans="1:4" hidden="1" x14ac:dyDescent="0.3">
      <c r="A2530">
        <v>2528</v>
      </c>
      <c r="B2530" s="1" t="s">
        <v>3361</v>
      </c>
      <c r="C2530" t="s">
        <v>214</v>
      </c>
      <c r="D2530" s="1" t="s">
        <v>3362</v>
      </c>
    </row>
    <row r="2531" spans="1:4" hidden="1" x14ac:dyDescent="0.3">
      <c r="A2531">
        <v>2529</v>
      </c>
      <c r="B2531" t="s">
        <v>3363</v>
      </c>
      <c r="C2531" t="s">
        <v>217</v>
      </c>
      <c r="D2531">
        <v>76959476.454614699</v>
      </c>
    </row>
    <row r="2532" spans="1:4" hidden="1" x14ac:dyDescent="0.3">
      <c r="A2532">
        <v>2530</v>
      </c>
      <c r="B2532" t="s">
        <v>3364</v>
      </c>
      <c r="C2532" t="s">
        <v>219</v>
      </c>
      <c r="D2532">
        <v>35003163.388233401</v>
      </c>
    </row>
    <row r="2533" spans="1:4" hidden="1" x14ac:dyDescent="0.3">
      <c r="A2533">
        <v>2531</v>
      </c>
      <c r="B2533" t="s">
        <v>3365</v>
      </c>
      <c r="C2533" t="s">
        <v>221</v>
      </c>
      <c r="D2533">
        <v>39834779.821905501</v>
      </c>
    </row>
    <row r="2534" spans="1:4" hidden="1" x14ac:dyDescent="0.3">
      <c r="A2534">
        <v>2532</v>
      </c>
      <c r="B2534" s="1" t="s">
        <v>3366</v>
      </c>
      <c r="C2534" t="s">
        <v>223</v>
      </c>
      <c r="D2534" s="1" t="s">
        <v>3367</v>
      </c>
    </row>
    <row r="2535" spans="1:4" hidden="1" x14ac:dyDescent="0.3">
      <c r="A2535">
        <v>2533</v>
      </c>
      <c r="B2535" t="s">
        <v>3368</v>
      </c>
      <c r="C2535" t="s">
        <v>226</v>
      </c>
      <c r="D2535">
        <v>103003522.719451</v>
      </c>
    </row>
    <row r="2536" spans="1:4" hidden="1" x14ac:dyDescent="0.3">
      <c r="A2536">
        <v>2534</v>
      </c>
      <c r="B2536" t="s">
        <v>3369</v>
      </c>
      <c r="C2536" t="s">
        <v>228</v>
      </c>
      <c r="D2536">
        <v>4571.3582181334496</v>
      </c>
    </row>
    <row r="2537" spans="1:4" hidden="1" x14ac:dyDescent="0.3">
      <c r="A2537">
        <v>2535</v>
      </c>
      <c r="B2537" s="1" t="s">
        <v>3370</v>
      </c>
      <c r="C2537" t="s">
        <v>230</v>
      </c>
      <c r="D2537" s="1" t="s">
        <v>3371</v>
      </c>
    </row>
    <row r="2538" spans="1:4" hidden="1" x14ac:dyDescent="0.3">
      <c r="A2538">
        <v>2536</v>
      </c>
      <c r="B2538" t="s">
        <v>3372</v>
      </c>
      <c r="C2538" t="s">
        <v>112</v>
      </c>
      <c r="D2538">
        <v>-1020.91302151253</v>
      </c>
    </row>
    <row r="2539" spans="1:4" hidden="1" x14ac:dyDescent="0.3">
      <c r="A2539">
        <v>2537</v>
      </c>
      <c r="B2539" t="s">
        <v>3373</v>
      </c>
      <c r="C2539" t="s">
        <v>114</v>
      </c>
      <c r="D2539">
        <v>-226.70403960702299</v>
      </c>
    </row>
    <row r="2540" spans="1:4" hidden="1" x14ac:dyDescent="0.3">
      <c r="A2540">
        <v>2538</v>
      </c>
      <c r="B2540" s="1" t="s">
        <v>3374</v>
      </c>
      <c r="C2540" t="s">
        <v>116</v>
      </c>
      <c r="D2540" s="1" t="s">
        <v>3375</v>
      </c>
    </row>
    <row r="2541" spans="1:4" hidden="1" x14ac:dyDescent="0.3">
      <c r="A2541">
        <v>2539</v>
      </c>
      <c r="B2541" t="s">
        <v>3376</v>
      </c>
      <c r="C2541" t="s">
        <v>119</v>
      </c>
      <c r="D2541">
        <v>76959476.454614699</v>
      </c>
    </row>
    <row r="2542" spans="1:4" hidden="1" x14ac:dyDescent="0.3">
      <c r="A2542">
        <v>2540</v>
      </c>
      <c r="B2542" t="s">
        <v>3377</v>
      </c>
      <c r="C2542" t="s">
        <v>121</v>
      </c>
      <c r="D2542">
        <v>35003163.388233401</v>
      </c>
    </row>
    <row r="2543" spans="1:4" hidden="1" x14ac:dyDescent="0.3">
      <c r="A2543">
        <v>2541</v>
      </c>
      <c r="B2543" s="1" t="s">
        <v>3378</v>
      </c>
      <c r="C2543" t="s">
        <v>123</v>
      </c>
      <c r="D2543" s="1" t="s">
        <v>3379</v>
      </c>
    </row>
    <row r="2544" spans="1:4" hidden="1" x14ac:dyDescent="0.3">
      <c r="A2544">
        <v>2542</v>
      </c>
      <c r="B2544" t="s">
        <v>3380</v>
      </c>
      <c r="C2544" t="s">
        <v>126</v>
      </c>
      <c r="D2544">
        <v>0.74726032667204201</v>
      </c>
    </row>
    <row r="2545" spans="1:4" hidden="1" x14ac:dyDescent="0.3">
      <c r="A2545">
        <v>2543</v>
      </c>
      <c r="B2545" t="s">
        <v>3381</v>
      </c>
      <c r="C2545" t="s">
        <v>128</v>
      </c>
      <c r="D2545">
        <v>0.33987335300379101</v>
      </c>
    </row>
    <row r="2546" spans="1:4" hidden="1" x14ac:dyDescent="0.3">
      <c r="A2546">
        <v>2544</v>
      </c>
      <c r="B2546" s="1" t="s">
        <v>3382</v>
      </c>
      <c r="C2546" t="s">
        <v>130</v>
      </c>
      <c r="D2546" s="1" t="s">
        <v>3383</v>
      </c>
    </row>
    <row r="2547" spans="1:4" ht="72" x14ac:dyDescent="0.3">
      <c r="A2547">
        <v>2545</v>
      </c>
      <c r="B2547" s="1" t="s">
        <v>3384</v>
      </c>
      <c r="C2547" t="s">
        <v>4</v>
      </c>
      <c r="D2547" t="s">
        <v>3385</v>
      </c>
    </row>
    <row r="2548" spans="1:4" hidden="1" x14ac:dyDescent="0.3">
      <c r="A2548">
        <v>2546</v>
      </c>
      <c r="B2548" t="s">
        <v>3386</v>
      </c>
      <c r="C2548" t="s">
        <v>7</v>
      </c>
      <c r="D2548">
        <v>1758.61</v>
      </c>
    </row>
    <row r="2549" spans="1:4" hidden="1" x14ac:dyDescent="0.3">
      <c r="A2549">
        <v>2547</v>
      </c>
      <c r="B2549" s="1" t="s">
        <v>3387</v>
      </c>
      <c r="C2549" t="s">
        <v>9</v>
      </c>
      <c r="D2549" s="1" t="s">
        <v>3388</v>
      </c>
    </row>
    <row r="2550" spans="1:4" hidden="1" x14ac:dyDescent="0.3">
      <c r="A2550">
        <v>2548</v>
      </c>
      <c r="B2550" t="s">
        <v>3389</v>
      </c>
      <c r="C2550" t="s">
        <v>14</v>
      </c>
      <c r="D2550">
        <v>91.02734375</v>
      </c>
    </row>
    <row r="2551" spans="1:4" hidden="1" x14ac:dyDescent="0.3">
      <c r="A2551">
        <v>2549</v>
      </c>
      <c r="B2551" t="s">
        <v>3390</v>
      </c>
      <c r="C2551" t="s">
        <v>16</v>
      </c>
      <c r="D2551">
        <v>4.28848141921753</v>
      </c>
    </row>
    <row r="2552" spans="1:4" hidden="1" x14ac:dyDescent="0.3">
      <c r="A2552">
        <v>2550</v>
      </c>
      <c r="B2552" s="1" t="s">
        <v>3391</v>
      </c>
      <c r="C2552" t="s">
        <v>140</v>
      </c>
      <c r="D2552" s="1" t="s">
        <v>3392</v>
      </c>
    </row>
    <row r="2553" spans="1:4" hidden="1" x14ac:dyDescent="0.3">
      <c r="A2553">
        <v>2551</v>
      </c>
      <c r="B2553" t="s">
        <v>3393</v>
      </c>
      <c r="C2553" t="s">
        <v>22</v>
      </c>
      <c r="D2553">
        <v>64.05</v>
      </c>
    </row>
    <row r="2554" spans="1:4" hidden="1" x14ac:dyDescent="0.3">
      <c r="A2554">
        <v>2552</v>
      </c>
      <c r="B2554" t="s">
        <v>3394</v>
      </c>
      <c r="C2554" t="s">
        <v>24</v>
      </c>
      <c r="D2554">
        <v>5.7029467357583101</v>
      </c>
    </row>
    <row r="2555" spans="1:4" hidden="1" x14ac:dyDescent="0.3">
      <c r="A2555">
        <v>2553</v>
      </c>
      <c r="B2555" s="1" t="s">
        <v>3395</v>
      </c>
      <c r="C2555" t="s">
        <v>145</v>
      </c>
      <c r="D2555" s="1" t="s">
        <v>3396</v>
      </c>
    </row>
    <row r="2556" spans="1:4" hidden="1" x14ac:dyDescent="0.3">
      <c r="A2556">
        <v>2554</v>
      </c>
      <c r="B2556" t="s">
        <v>3397</v>
      </c>
      <c r="C2556" t="s">
        <v>35</v>
      </c>
      <c r="D2556">
        <v>0.15055109762007701</v>
      </c>
    </row>
    <row r="2557" spans="1:4" hidden="1" x14ac:dyDescent="0.3">
      <c r="A2557">
        <v>2555</v>
      </c>
      <c r="B2557" t="s">
        <v>3398</v>
      </c>
      <c r="C2557" t="s">
        <v>149</v>
      </c>
      <c r="D2557">
        <v>0.53976427421597595</v>
      </c>
    </row>
    <row r="2558" spans="1:4" hidden="1" x14ac:dyDescent="0.3">
      <c r="A2558">
        <v>2556</v>
      </c>
      <c r="B2558" s="1" t="s">
        <v>3399</v>
      </c>
      <c r="C2558" t="s">
        <v>151</v>
      </c>
      <c r="D2558" s="1" t="s">
        <v>3400</v>
      </c>
    </row>
    <row r="2559" spans="1:4" hidden="1" x14ac:dyDescent="0.3">
      <c r="A2559">
        <v>2557</v>
      </c>
      <c r="B2559" t="s">
        <v>3401</v>
      </c>
      <c r="C2559" t="s">
        <v>30</v>
      </c>
      <c r="D2559">
        <v>0.35282795326230199</v>
      </c>
    </row>
    <row r="2560" spans="1:4" hidden="1" x14ac:dyDescent="0.3">
      <c r="A2560">
        <v>2558</v>
      </c>
      <c r="B2560" t="s">
        <v>3402</v>
      </c>
      <c r="C2560" t="s">
        <v>32</v>
      </c>
      <c r="D2560">
        <v>0.42373377574638199</v>
      </c>
    </row>
    <row r="2561" spans="1:4" hidden="1" x14ac:dyDescent="0.3">
      <c r="A2561">
        <v>2559</v>
      </c>
      <c r="B2561" s="1" t="s">
        <v>3403</v>
      </c>
      <c r="C2561" t="s">
        <v>155</v>
      </c>
      <c r="D2561" s="1" t="s">
        <v>3404</v>
      </c>
    </row>
    <row r="2562" spans="1:4" hidden="1" x14ac:dyDescent="0.3">
      <c r="A2562">
        <v>2560</v>
      </c>
      <c r="B2562" t="s">
        <v>3405</v>
      </c>
      <c r="C2562" t="s">
        <v>40</v>
      </c>
      <c r="D2562">
        <v>0.49662094911762</v>
      </c>
    </row>
    <row r="2563" spans="1:4" hidden="1" x14ac:dyDescent="0.3">
      <c r="A2563">
        <v>2561</v>
      </c>
      <c r="B2563" t="s">
        <v>3406</v>
      </c>
      <c r="C2563" t="s">
        <v>42</v>
      </c>
      <c r="D2563">
        <v>0.42892681660669502</v>
      </c>
    </row>
    <row r="2564" spans="1:4" hidden="1" x14ac:dyDescent="0.3">
      <c r="A2564">
        <v>2562</v>
      </c>
      <c r="B2564" s="1" t="s">
        <v>3407</v>
      </c>
      <c r="C2564" t="s">
        <v>159</v>
      </c>
      <c r="D2564" s="1" t="s">
        <v>3408</v>
      </c>
    </row>
    <row r="2565" spans="1:4" hidden="1" x14ac:dyDescent="0.3">
      <c r="A2565">
        <v>2563</v>
      </c>
      <c r="B2565" t="s">
        <v>3409</v>
      </c>
      <c r="C2565" t="s">
        <v>161</v>
      </c>
      <c r="D2565">
        <v>0.99820634929644603</v>
      </c>
    </row>
    <row r="2566" spans="1:4" hidden="1" x14ac:dyDescent="0.3">
      <c r="A2566">
        <v>2564</v>
      </c>
      <c r="B2566" t="s">
        <v>3410</v>
      </c>
      <c r="C2566" t="s">
        <v>163</v>
      </c>
      <c r="D2566">
        <v>1.00135882207368</v>
      </c>
    </row>
    <row r="2567" spans="1:4" hidden="1" x14ac:dyDescent="0.3">
      <c r="A2567">
        <v>2565</v>
      </c>
      <c r="B2567" s="1" t="s">
        <v>3411</v>
      </c>
      <c r="C2567" t="s">
        <v>165</v>
      </c>
      <c r="D2567" s="1" t="s">
        <v>3412</v>
      </c>
    </row>
    <row r="2568" spans="1:4" hidden="1" x14ac:dyDescent="0.3">
      <c r="A2568">
        <v>2566</v>
      </c>
      <c r="B2568" t="s">
        <v>3413</v>
      </c>
      <c r="C2568" t="s">
        <v>168</v>
      </c>
      <c r="D2568">
        <v>1.0002422128230699</v>
      </c>
    </row>
    <row r="2569" spans="1:4" hidden="1" x14ac:dyDescent="0.3">
      <c r="A2569">
        <v>2567</v>
      </c>
      <c r="B2569" t="s">
        <v>3414</v>
      </c>
      <c r="C2569" t="s">
        <v>170</v>
      </c>
      <c r="D2569">
        <v>1.00122875955251</v>
      </c>
    </row>
    <row r="2570" spans="1:4" hidden="1" x14ac:dyDescent="0.3">
      <c r="A2570">
        <v>2568</v>
      </c>
      <c r="B2570" s="1" t="s">
        <v>3415</v>
      </c>
      <c r="C2570" t="s">
        <v>172</v>
      </c>
      <c r="D2570" s="1" t="s">
        <v>3416</v>
      </c>
    </row>
    <row r="2571" spans="1:4" hidden="1" x14ac:dyDescent="0.3">
      <c r="A2571">
        <v>2569</v>
      </c>
      <c r="B2571" s="1" t="s">
        <v>3417</v>
      </c>
      <c r="C2571" t="s">
        <v>55</v>
      </c>
      <c r="D2571" s="1" t="s">
        <v>3418</v>
      </c>
    </row>
    <row r="2572" spans="1:4" hidden="1" x14ac:dyDescent="0.3">
      <c r="A2572">
        <v>2570</v>
      </c>
      <c r="B2572" s="1" t="s">
        <v>3419</v>
      </c>
      <c r="C2572" t="s">
        <v>52</v>
      </c>
      <c r="D2572" s="1" t="s">
        <v>3420</v>
      </c>
    </row>
    <row r="2573" spans="1:4" hidden="1" x14ac:dyDescent="0.3">
      <c r="A2573">
        <v>2571</v>
      </c>
      <c r="B2573" s="1" t="s">
        <v>3421</v>
      </c>
      <c r="C2573" t="s">
        <v>58</v>
      </c>
      <c r="D2573" s="1" t="s">
        <v>3422</v>
      </c>
    </row>
    <row r="2574" spans="1:4" hidden="1" x14ac:dyDescent="0.3">
      <c r="A2574">
        <v>2572</v>
      </c>
      <c r="B2574" t="s">
        <v>3423</v>
      </c>
      <c r="C2574" t="s">
        <v>61</v>
      </c>
      <c r="D2574">
        <v>151249880.71144399</v>
      </c>
    </row>
    <row r="2575" spans="1:4" hidden="1" x14ac:dyDescent="0.3">
      <c r="A2575">
        <v>2573</v>
      </c>
      <c r="B2575" t="s">
        <v>3424</v>
      </c>
      <c r="C2575" t="s">
        <v>63</v>
      </c>
      <c r="D2575">
        <v>76821438.035526693</v>
      </c>
    </row>
    <row r="2576" spans="1:4" hidden="1" x14ac:dyDescent="0.3">
      <c r="A2576">
        <v>2574</v>
      </c>
      <c r="B2576" t="s">
        <v>3425</v>
      </c>
      <c r="C2576" t="s">
        <v>65</v>
      </c>
      <c r="D2576">
        <v>35050726.459293999</v>
      </c>
    </row>
    <row r="2577" spans="1:4" hidden="1" x14ac:dyDescent="0.3">
      <c r="A2577">
        <v>2575</v>
      </c>
      <c r="B2577" s="1" t="s">
        <v>3426</v>
      </c>
      <c r="C2577" t="s">
        <v>67</v>
      </c>
      <c r="D2577" s="1" t="s">
        <v>3427</v>
      </c>
    </row>
    <row r="2578" spans="1:4" hidden="1" x14ac:dyDescent="0.3">
      <c r="A2578">
        <v>2576</v>
      </c>
      <c r="B2578" s="1" t="s">
        <v>3428</v>
      </c>
      <c r="C2578" t="s">
        <v>70</v>
      </c>
      <c r="D2578" s="1" t="s">
        <v>3429</v>
      </c>
    </row>
    <row r="2579" spans="1:4" hidden="1" x14ac:dyDescent="0.3">
      <c r="A2579">
        <v>2577</v>
      </c>
      <c r="B2579" t="s">
        <v>3430</v>
      </c>
      <c r="C2579" t="s">
        <v>73</v>
      </c>
      <c r="D2579">
        <v>0.99985748320740298</v>
      </c>
    </row>
    <row r="2580" spans="1:4" hidden="1" x14ac:dyDescent="0.3">
      <c r="A2580">
        <v>2578</v>
      </c>
      <c r="B2580" t="s">
        <v>74</v>
      </c>
      <c r="C2580" t="s">
        <v>75</v>
      </c>
      <c r="D2580">
        <v>2.7397260273972599E-3</v>
      </c>
    </row>
    <row r="2581" spans="1:4" hidden="1" x14ac:dyDescent="0.3">
      <c r="A2581">
        <v>2579</v>
      </c>
      <c r="B2581" t="s">
        <v>76</v>
      </c>
      <c r="C2581" t="s">
        <v>77</v>
      </c>
      <c r="D2581">
        <v>0</v>
      </c>
    </row>
    <row r="2582" spans="1:4" hidden="1" x14ac:dyDescent="0.3">
      <c r="A2582">
        <v>2580</v>
      </c>
      <c r="B2582" t="s">
        <v>78</v>
      </c>
      <c r="C2582" t="s">
        <v>79</v>
      </c>
      <c r="D2582">
        <v>0</v>
      </c>
    </row>
    <row r="2583" spans="1:4" hidden="1" x14ac:dyDescent="0.3">
      <c r="A2583">
        <v>2581</v>
      </c>
      <c r="B2583" s="1" t="s">
        <v>3431</v>
      </c>
      <c r="C2583" t="s">
        <v>81</v>
      </c>
      <c r="D2583" s="1" t="s">
        <v>3432</v>
      </c>
    </row>
    <row r="2584" spans="1:4" hidden="1" x14ac:dyDescent="0.3">
      <c r="A2584">
        <v>2582</v>
      </c>
      <c r="B2584" t="s">
        <v>3433</v>
      </c>
      <c r="C2584" t="s">
        <v>84</v>
      </c>
      <c r="D2584">
        <v>0.99986778233305096</v>
      </c>
    </row>
    <row r="2585" spans="1:4" hidden="1" x14ac:dyDescent="0.3">
      <c r="A2585">
        <v>2583</v>
      </c>
      <c r="B2585" s="1" t="s">
        <v>3434</v>
      </c>
      <c r="C2585" t="s">
        <v>86</v>
      </c>
      <c r="D2585" s="1" t="s">
        <v>3435</v>
      </c>
    </row>
    <row r="2586" spans="1:4" hidden="1" x14ac:dyDescent="0.3">
      <c r="A2586">
        <v>2584</v>
      </c>
      <c r="B2586" t="s">
        <v>3436</v>
      </c>
      <c r="C2586" t="s">
        <v>89</v>
      </c>
      <c r="D2586">
        <v>103007033.04407801</v>
      </c>
    </row>
    <row r="2587" spans="1:4" hidden="1" x14ac:dyDescent="0.3">
      <c r="A2587">
        <v>2585</v>
      </c>
      <c r="B2587" s="1" t="s">
        <v>3437</v>
      </c>
      <c r="C2587" t="s">
        <v>91</v>
      </c>
      <c r="D2587" s="1" t="s">
        <v>3371</v>
      </c>
    </row>
    <row r="2588" spans="1:4" hidden="1" x14ac:dyDescent="0.3">
      <c r="A2588">
        <v>2586</v>
      </c>
      <c r="B2588" t="s">
        <v>3438</v>
      </c>
      <c r="C2588" t="s">
        <v>94</v>
      </c>
      <c r="D2588">
        <v>76821438.035526693</v>
      </c>
    </row>
    <row r="2589" spans="1:4" hidden="1" x14ac:dyDescent="0.3">
      <c r="A2589">
        <v>2587</v>
      </c>
      <c r="B2589" t="s">
        <v>3439</v>
      </c>
      <c r="C2589" t="s">
        <v>96</v>
      </c>
      <c r="D2589">
        <v>35050726.459293999</v>
      </c>
    </row>
    <row r="2590" spans="1:4" hidden="1" x14ac:dyDescent="0.3">
      <c r="A2590">
        <v>2588</v>
      </c>
      <c r="B2590" t="s">
        <v>3440</v>
      </c>
      <c r="C2590" t="s">
        <v>98</v>
      </c>
      <c r="D2590">
        <v>39377716.216623798</v>
      </c>
    </row>
    <row r="2591" spans="1:4" hidden="1" x14ac:dyDescent="0.3">
      <c r="A2591">
        <v>2589</v>
      </c>
      <c r="B2591" s="1" t="s">
        <v>3441</v>
      </c>
      <c r="C2591" t="s">
        <v>100</v>
      </c>
      <c r="D2591" s="1" t="s">
        <v>3442</v>
      </c>
    </row>
    <row r="2592" spans="1:4" hidden="1" x14ac:dyDescent="0.3">
      <c r="A2592">
        <v>2590</v>
      </c>
      <c r="B2592" t="s">
        <v>3443</v>
      </c>
      <c r="C2592" t="s">
        <v>103</v>
      </c>
      <c r="D2592">
        <v>8.8151634327946898E-3</v>
      </c>
    </row>
    <row r="2593" spans="1:4" hidden="1" x14ac:dyDescent="0.3">
      <c r="A2593">
        <v>2591</v>
      </c>
      <c r="B2593" t="s">
        <v>3444</v>
      </c>
      <c r="C2593" t="s">
        <v>105</v>
      </c>
      <c r="D2593">
        <v>3.26346917043159E-3</v>
      </c>
    </row>
    <row r="2594" spans="1:4" hidden="1" x14ac:dyDescent="0.3">
      <c r="A2594">
        <v>2592</v>
      </c>
      <c r="B2594" t="s">
        <v>3445</v>
      </c>
      <c r="C2594" t="s">
        <v>107</v>
      </c>
      <c r="D2594">
        <v>1.0946445571056901E-2</v>
      </c>
    </row>
    <row r="2595" spans="1:4" hidden="1" x14ac:dyDescent="0.3">
      <c r="A2595">
        <v>2593</v>
      </c>
      <c r="B2595" s="1" t="s">
        <v>3446</v>
      </c>
      <c r="C2595" t="s">
        <v>109</v>
      </c>
      <c r="D2595" s="1" t="s">
        <v>3447</v>
      </c>
    </row>
    <row r="2596" spans="1:4" hidden="1" x14ac:dyDescent="0.3">
      <c r="A2596">
        <v>2594</v>
      </c>
      <c r="B2596" t="s">
        <v>3448</v>
      </c>
      <c r="C2596" t="s">
        <v>208</v>
      </c>
      <c r="D2596">
        <v>151250243.526833</v>
      </c>
    </row>
    <row r="2597" spans="1:4" hidden="1" x14ac:dyDescent="0.3">
      <c r="A2597">
        <v>2595</v>
      </c>
      <c r="B2597" t="s">
        <v>3449</v>
      </c>
      <c r="C2597" t="s">
        <v>210</v>
      </c>
      <c r="D2597">
        <v>-791.30900375273905</v>
      </c>
    </row>
    <row r="2598" spans="1:4" hidden="1" x14ac:dyDescent="0.3">
      <c r="A2598">
        <v>2596</v>
      </c>
      <c r="B2598" t="s">
        <v>3450</v>
      </c>
      <c r="C2598" t="s">
        <v>212</v>
      </c>
      <c r="D2598">
        <v>-361.04369846532398</v>
      </c>
    </row>
    <row r="2599" spans="1:4" hidden="1" x14ac:dyDescent="0.3">
      <c r="A2599">
        <v>2597</v>
      </c>
      <c r="B2599" s="1" t="s">
        <v>3451</v>
      </c>
      <c r="C2599" t="s">
        <v>214</v>
      </c>
      <c r="D2599" s="1" t="s">
        <v>3452</v>
      </c>
    </row>
    <row r="2600" spans="1:4" hidden="1" x14ac:dyDescent="0.3">
      <c r="A2600">
        <v>2598</v>
      </c>
      <c r="B2600" t="s">
        <v>3453</v>
      </c>
      <c r="C2600" t="s">
        <v>217</v>
      </c>
      <c r="D2600">
        <v>76822480.447105095</v>
      </c>
    </row>
    <row r="2601" spans="1:4" hidden="1" x14ac:dyDescent="0.3">
      <c r="A2601">
        <v>2599</v>
      </c>
      <c r="B2601" t="s">
        <v>3454</v>
      </c>
      <c r="C2601" t="s">
        <v>219</v>
      </c>
      <c r="D2601">
        <v>35051127.0999889</v>
      </c>
    </row>
    <row r="2602" spans="1:4" hidden="1" x14ac:dyDescent="0.3">
      <c r="A2602">
        <v>2600</v>
      </c>
      <c r="B2602" t="s">
        <v>3455</v>
      </c>
      <c r="C2602" t="s">
        <v>221</v>
      </c>
      <c r="D2602">
        <v>39378193.947038002</v>
      </c>
    </row>
    <row r="2603" spans="1:4" hidden="1" x14ac:dyDescent="0.3">
      <c r="A2603">
        <v>2601</v>
      </c>
      <c r="B2603" s="1" t="s">
        <v>3456</v>
      </c>
      <c r="C2603" t="s">
        <v>223</v>
      </c>
      <c r="D2603" s="1" t="s">
        <v>3457</v>
      </c>
    </row>
    <row r="2604" spans="1:4" hidden="1" x14ac:dyDescent="0.3">
      <c r="A2604">
        <v>2602</v>
      </c>
      <c r="B2604" t="s">
        <v>3458</v>
      </c>
      <c r="C2604" t="s">
        <v>226</v>
      </c>
      <c r="D2604">
        <v>103008094.07766899</v>
      </c>
    </row>
    <row r="2605" spans="1:4" hidden="1" x14ac:dyDescent="0.3">
      <c r="A2605">
        <v>2603</v>
      </c>
      <c r="B2605" t="s">
        <v>3459</v>
      </c>
      <c r="C2605" t="s">
        <v>228</v>
      </c>
      <c r="D2605">
        <v>-1061.0335910618301</v>
      </c>
    </row>
    <row r="2606" spans="1:4" hidden="1" x14ac:dyDescent="0.3">
      <c r="A2606">
        <v>2604</v>
      </c>
      <c r="B2606" s="1" t="s">
        <v>3460</v>
      </c>
      <c r="C2606" t="s">
        <v>230</v>
      </c>
      <c r="D2606" s="1" t="s">
        <v>3461</v>
      </c>
    </row>
    <row r="2607" spans="1:4" hidden="1" x14ac:dyDescent="0.3">
      <c r="A2607">
        <v>2605</v>
      </c>
      <c r="B2607" t="s">
        <v>3462</v>
      </c>
      <c r="C2607" t="s">
        <v>112</v>
      </c>
      <c r="D2607">
        <v>251.102574575918</v>
      </c>
    </row>
    <row r="2608" spans="1:4" hidden="1" x14ac:dyDescent="0.3">
      <c r="A2608">
        <v>2606</v>
      </c>
      <c r="B2608" t="s">
        <v>3463</v>
      </c>
      <c r="C2608" t="s">
        <v>114</v>
      </c>
      <c r="D2608">
        <v>39.596996415819497</v>
      </c>
    </row>
    <row r="2609" spans="1:4" hidden="1" x14ac:dyDescent="0.3">
      <c r="A2609">
        <v>2607</v>
      </c>
      <c r="B2609" s="1" t="s">
        <v>3464</v>
      </c>
      <c r="C2609" t="s">
        <v>116</v>
      </c>
      <c r="D2609" s="1" t="s">
        <v>3465</v>
      </c>
    </row>
    <row r="2610" spans="1:4" hidden="1" x14ac:dyDescent="0.3">
      <c r="A2610">
        <v>2608</v>
      </c>
      <c r="B2610" t="s">
        <v>3466</v>
      </c>
      <c r="C2610" t="s">
        <v>119</v>
      </c>
      <c r="D2610">
        <v>76822480.447105095</v>
      </c>
    </row>
    <row r="2611" spans="1:4" hidden="1" x14ac:dyDescent="0.3">
      <c r="A2611">
        <v>2609</v>
      </c>
      <c r="B2611" t="s">
        <v>3467</v>
      </c>
      <c r="C2611" t="s">
        <v>121</v>
      </c>
      <c r="D2611">
        <v>35051127.0999889</v>
      </c>
    </row>
    <row r="2612" spans="1:4" hidden="1" x14ac:dyDescent="0.3">
      <c r="A2612">
        <v>2610</v>
      </c>
      <c r="B2612" s="1" t="s">
        <v>3468</v>
      </c>
      <c r="C2612" t="s">
        <v>123</v>
      </c>
      <c r="D2612" s="1" t="s">
        <v>3469</v>
      </c>
    </row>
    <row r="2613" spans="1:4" hidden="1" x14ac:dyDescent="0.3">
      <c r="A2613">
        <v>2611</v>
      </c>
      <c r="B2613" t="s">
        <v>3470</v>
      </c>
      <c r="C2613" t="s">
        <v>126</v>
      </c>
      <c r="D2613">
        <v>0.745889337797637</v>
      </c>
    </row>
    <row r="2614" spans="1:4" hidden="1" x14ac:dyDescent="0.3">
      <c r="A2614">
        <v>2612</v>
      </c>
      <c r="B2614" t="s">
        <v>3471</v>
      </c>
      <c r="C2614" t="s">
        <v>128</v>
      </c>
      <c r="D2614">
        <v>0.34032046127009302</v>
      </c>
    </row>
    <row r="2615" spans="1:4" hidden="1" x14ac:dyDescent="0.3">
      <c r="A2615">
        <v>2613</v>
      </c>
      <c r="B2615" s="1" t="s">
        <v>3472</v>
      </c>
      <c r="C2615" t="s">
        <v>130</v>
      </c>
      <c r="D2615" s="1" t="s">
        <v>3473</v>
      </c>
    </row>
    <row r="2616" spans="1:4" ht="72" x14ac:dyDescent="0.3">
      <c r="A2616">
        <v>2614</v>
      </c>
      <c r="B2616" s="1" t="s">
        <v>3474</v>
      </c>
      <c r="C2616" t="s">
        <v>4</v>
      </c>
      <c r="D2616" t="s">
        <v>3475</v>
      </c>
    </row>
    <row r="2617" spans="1:4" hidden="1" x14ac:dyDescent="0.3">
      <c r="A2617">
        <v>2615</v>
      </c>
      <c r="B2617" t="s">
        <v>3476</v>
      </c>
      <c r="C2617" t="s">
        <v>7</v>
      </c>
      <c r="D2617">
        <v>1747.06</v>
      </c>
    </row>
    <row r="2618" spans="1:4" hidden="1" x14ac:dyDescent="0.3">
      <c r="A2618">
        <v>2616</v>
      </c>
      <c r="B2618" s="1" t="s">
        <v>3477</v>
      </c>
      <c r="C2618" t="s">
        <v>9</v>
      </c>
      <c r="D2618" s="1" t="s">
        <v>3478</v>
      </c>
    </row>
    <row r="2619" spans="1:4" hidden="1" x14ac:dyDescent="0.3">
      <c r="A2619">
        <v>2617</v>
      </c>
      <c r="B2619" t="s">
        <v>3479</v>
      </c>
      <c r="C2619" t="s">
        <v>14</v>
      </c>
      <c r="D2619">
        <v>90.9140625</v>
      </c>
    </row>
    <row r="2620" spans="1:4" hidden="1" x14ac:dyDescent="0.3">
      <c r="A2620">
        <v>2618</v>
      </c>
      <c r="B2620" t="s">
        <v>3480</v>
      </c>
      <c r="C2620" t="s">
        <v>16</v>
      </c>
      <c r="D2620">
        <v>4.2814001319095096</v>
      </c>
    </row>
    <row r="2621" spans="1:4" hidden="1" x14ac:dyDescent="0.3">
      <c r="A2621">
        <v>2619</v>
      </c>
      <c r="B2621" s="1" t="s">
        <v>3481</v>
      </c>
      <c r="C2621" t="s">
        <v>140</v>
      </c>
      <c r="D2621" s="1" t="s">
        <v>3482</v>
      </c>
    </row>
    <row r="2622" spans="1:4" hidden="1" x14ac:dyDescent="0.3">
      <c r="A2622">
        <v>2620</v>
      </c>
      <c r="B2622" t="s">
        <v>3483</v>
      </c>
      <c r="C2622" t="s">
        <v>22</v>
      </c>
      <c r="D2622">
        <v>63.15</v>
      </c>
    </row>
    <row r="2623" spans="1:4" hidden="1" x14ac:dyDescent="0.3">
      <c r="A2623">
        <v>2621</v>
      </c>
      <c r="B2623" t="s">
        <v>3484</v>
      </c>
      <c r="C2623" t="s">
        <v>24</v>
      </c>
      <c r="D2623">
        <v>5.6846928603454199</v>
      </c>
    </row>
    <row r="2624" spans="1:4" hidden="1" x14ac:dyDescent="0.3">
      <c r="A2624">
        <v>2622</v>
      </c>
      <c r="B2624" s="1" t="s">
        <v>3485</v>
      </c>
      <c r="C2624" t="s">
        <v>145</v>
      </c>
      <c r="D2624" s="1" t="s">
        <v>3486</v>
      </c>
    </row>
    <row r="2625" spans="1:4" hidden="1" x14ac:dyDescent="0.3">
      <c r="A2625">
        <v>2623</v>
      </c>
      <c r="B2625" t="s">
        <v>3487</v>
      </c>
      <c r="C2625" t="s">
        <v>35</v>
      </c>
      <c r="D2625">
        <v>0.35451805315844198</v>
      </c>
    </row>
    <row r="2626" spans="1:4" hidden="1" x14ac:dyDescent="0.3">
      <c r="A2626">
        <v>2624</v>
      </c>
      <c r="B2626" t="s">
        <v>3488</v>
      </c>
      <c r="C2626" t="s">
        <v>149</v>
      </c>
      <c r="D2626">
        <v>0.54385919660396698</v>
      </c>
    </row>
    <row r="2627" spans="1:4" hidden="1" x14ac:dyDescent="0.3">
      <c r="A2627">
        <v>2625</v>
      </c>
      <c r="B2627" s="1" t="s">
        <v>3489</v>
      </c>
      <c r="C2627" t="s">
        <v>151</v>
      </c>
      <c r="D2627" s="1" t="s">
        <v>3490</v>
      </c>
    </row>
    <row r="2628" spans="1:4" hidden="1" x14ac:dyDescent="0.3">
      <c r="A2628">
        <v>2626</v>
      </c>
      <c r="B2628" t="s">
        <v>3491</v>
      </c>
      <c r="C2628" t="s">
        <v>30</v>
      </c>
      <c r="D2628">
        <v>0.26937919735922999</v>
      </c>
    </row>
    <row r="2629" spans="1:4" hidden="1" x14ac:dyDescent="0.3">
      <c r="A2629">
        <v>2627</v>
      </c>
      <c r="B2629" t="s">
        <v>3492</v>
      </c>
      <c r="C2629" t="s">
        <v>32</v>
      </c>
      <c r="D2629">
        <v>0.41687450277973898</v>
      </c>
    </row>
    <row r="2630" spans="1:4" hidden="1" x14ac:dyDescent="0.3">
      <c r="A2630">
        <v>2628</v>
      </c>
      <c r="B2630" s="1" t="s">
        <v>3493</v>
      </c>
      <c r="C2630" t="s">
        <v>155</v>
      </c>
      <c r="D2630" s="1" t="s">
        <v>3494</v>
      </c>
    </row>
    <row r="2631" spans="1:4" hidden="1" x14ac:dyDescent="0.3">
      <c r="A2631">
        <v>2629</v>
      </c>
      <c r="B2631" t="s">
        <v>3495</v>
      </c>
      <c r="C2631" t="s">
        <v>40</v>
      </c>
      <c r="D2631">
        <v>0.37610274948232603</v>
      </c>
    </row>
    <row r="2632" spans="1:4" hidden="1" x14ac:dyDescent="0.3">
      <c r="A2632">
        <v>2630</v>
      </c>
      <c r="B2632" t="s">
        <v>3496</v>
      </c>
      <c r="C2632" t="s">
        <v>42</v>
      </c>
      <c r="D2632">
        <v>0.421836704540691</v>
      </c>
    </row>
    <row r="2633" spans="1:4" hidden="1" x14ac:dyDescent="0.3">
      <c r="A2633">
        <v>2631</v>
      </c>
      <c r="B2633" s="1" t="s">
        <v>3497</v>
      </c>
      <c r="C2633" t="s">
        <v>159</v>
      </c>
      <c r="D2633" s="1" t="s">
        <v>3498</v>
      </c>
    </row>
    <row r="2634" spans="1:4" hidden="1" x14ac:dyDescent="0.3">
      <c r="A2634">
        <v>2632</v>
      </c>
      <c r="B2634" t="s">
        <v>3499</v>
      </c>
      <c r="C2634" t="s">
        <v>161</v>
      </c>
      <c r="D2634">
        <v>0.99343231301994195</v>
      </c>
    </row>
    <row r="2635" spans="1:4" hidden="1" x14ac:dyDescent="0.3">
      <c r="A2635">
        <v>2633</v>
      </c>
      <c r="B2635" t="s">
        <v>3500</v>
      </c>
      <c r="C2635" t="s">
        <v>163</v>
      </c>
      <c r="D2635">
        <v>0.99873722399093301</v>
      </c>
    </row>
    <row r="2636" spans="1:4" hidden="1" x14ac:dyDescent="0.3">
      <c r="A2636">
        <v>2634</v>
      </c>
      <c r="B2636" s="1" t="s">
        <v>3501</v>
      </c>
      <c r="C2636" t="s">
        <v>165</v>
      </c>
      <c r="D2636" s="1" t="s">
        <v>3502</v>
      </c>
    </row>
    <row r="2637" spans="1:4" hidden="1" x14ac:dyDescent="0.3">
      <c r="A2637">
        <v>2635</v>
      </c>
      <c r="B2637" t="s">
        <v>3503</v>
      </c>
      <c r="C2637" t="s">
        <v>168</v>
      </c>
      <c r="D2637">
        <v>1.00265944758984</v>
      </c>
    </row>
    <row r="2638" spans="1:4" hidden="1" x14ac:dyDescent="0.3">
      <c r="A2638">
        <v>2636</v>
      </c>
      <c r="B2638" t="s">
        <v>3504</v>
      </c>
      <c r="C2638" t="s">
        <v>170</v>
      </c>
      <c r="D2638">
        <v>0.99518219411276698</v>
      </c>
    </row>
    <row r="2639" spans="1:4" hidden="1" x14ac:dyDescent="0.3">
      <c r="A2639">
        <v>2637</v>
      </c>
      <c r="B2639" s="1" t="s">
        <v>3505</v>
      </c>
      <c r="C2639" t="s">
        <v>172</v>
      </c>
      <c r="D2639" s="1" t="s">
        <v>3506</v>
      </c>
    </row>
    <row r="2640" spans="1:4" hidden="1" x14ac:dyDescent="0.3">
      <c r="A2640">
        <v>2638</v>
      </c>
      <c r="B2640" s="1" t="s">
        <v>3507</v>
      </c>
      <c r="C2640" t="s">
        <v>55</v>
      </c>
      <c r="D2640" s="1" t="s">
        <v>3508</v>
      </c>
    </row>
    <row r="2641" spans="1:4" hidden="1" x14ac:dyDescent="0.3">
      <c r="A2641">
        <v>2639</v>
      </c>
      <c r="B2641" s="1" t="s">
        <v>3509</v>
      </c>
      <c r="C2641" t="s">
        <v>52</v>
      </c>
      <c r="D2641" s="1" t="s">
        <v>3510</v>
      </c>
    </row>
    <row r="2642" spans="1:4" hidden="1" x14ac:dyDescent="0.3">
      <c r="A2642">
        <v>2640</v>
      </c>
      <c r="B2642" s="1" t="s">
        <v>3511</v>
      </c>
      <c r="C2642" t="s">
        <v>58</v>
      </c>
      <c r="D2642" s="1" t="s">
        <v>3512</v>
      </c>
    </row>
    <row r="2643" spans="1:4" hidden="1" x14ac:dyDescent="0.3">
      <c r="A2643">
        <v>2641</v>
      </c>
      <c r="B2643" t="s">
        <v>3513</v>
      </c>
      <c r="C2643" t="s">
        <v>61</v>
      </c>
      <c r="D2643">
        <v>150184604.496272</v>
      </c>
    </row>
    <row r="2644" spans="1:4" hidden="1" x14ac:dyDescent="0.3">
      <c r="A2644">
        <v>2642</v>
      </c>
      <c r="B2644" t="s">
        <v>3514</v>
      </c>
      <c r="C2644" t="s">
        <v>63</v>
      </c>
      <c r="D2644">
        <v>76317934.442496896</v>
      </c>
    </row>
    <row r="2645" spans="1:4" hidden="1" x14ac:dyDescent="0.3">
      <c r="A2645">
        <v>2643</v>
      </c>
      <c r="B2645" t="s">
        <v>3515</v>
      </c>
      <c r="C2645" t="s">
        <v>65</v>
      </c>
      <c r="D2645">
        <v>35006865.377596296</v>
      </c>
    </row>
    <row r="2646" spans="1:4" hidden="1" x14ac:dyDescent="0.3">
      <c r="A2646">
        <v>2644</v>
      </c>
      <c r="B2646" s="1" t="s">
        <v>3516</v>
      </c>
      <c r="C2646" t="s">
        <v>67</v>
      </c>
      <c r="D2646" s="1" t="s">
        <v>3517</v>
      </c>
    </row>
    <row r="2647" spans="1:4" hidden="1" x14ac:dyDescent="0.3">
      <c r="A2647">
        <v>2645</v>
      </c>
      <c r="B2647" s="1" t="s">
        <v>3518</v>
      </c>
      <c r="C2647" t="s">
        <v>70</v>
      </c>
      <c r="D2647" s="1" t="s">
        <v>3519</v>
      </c>
    </row>
    <row r="2648" spans="1:4" hidden="1" x14ac:dyDescent="0.3">
      <c r="A2648">
        <v>2646</v>
      </c>
      <c r="B2648" t="s">
        <v>3520</v>
      </c>
      <c r="C2648" t="s">
        <v>73</v>
      </c>
      <c r="D2648">
        <v>0.99986778233305096</v>
      </c>
    </row>
    <row r="2649" spans="1:4" hidden="1" x14ac:dyDescent="0.3">
      <c r="A2649">
        <v>2647</v>
      </c>
      <c r="B2649" t="s">
        <v>74</v>
      </c>
      <c r="C2649" t="s">
        <v>75</v>
      </c>
      <c r="D2649">
        <v>2.7397260273972599E-3</v>
      </c>
    </row>
    <row r="2650" spans="1:4" hidden="1" x14ac:dyDescent="0.3">
      <c r="A2650">
        <v>2648</v>
      </c>
      <c r="B2650" t="s">
        <v>76</v>
      </c>
      <c r="C2650" t="s">
        <v>77</v>
      </c>
      <c r="D2650">
        <v>0</v>
      </c>
    </row>
    <row r="2651" spans="1:4" hidden="1" x14ac:dyDescent="0.3">
      <c r="A2651">
        <v>2649</v>
      </c>
      <c r="B2651" t="s">
        <v>78</v>
      </c>
      <c r="C2651" t="s">
        <v>79</v>
      </c>
      <c r="D2651">
        <v>0</v>
      </c>
    </row>
    <row r="2652" spans="1:4" hidden="1" x14ac:dyDescent="0.3">
      <c r="A2652">
        <v>2650</v>
      </c>
      <c r="B2652" s="1" t="s">
        <v>3521</v>
      </c>
      <c r="C2652" t="s">
        <v>81</v>
      </c>
      <c r="D2652" s="1" t="s">
        <v>3522</v>
      </c>
    </row>
    <row r="2653" spans="1:4" hidden="1" x14ac:dyDescent="0.3">
      <c r="A2653">
        <v>2651</v>
      </c>
      <c r="B2653" t="s">
        <v>3523</v>
      </c>
      <c r="C2653" t="s">
        <v>84</v>
      </c>
      <c r="D2653">
        <v>0.99984671258207702</v>
      </c>
    </row>
    <row r="2654" spans="1:4" hidden="1" x14ac:dyDescent="0.3">
      <c r="A2654">
        <v>2652</v>
      </c>
      <c r="B2654" s="1" t="s">
        <v>3524</v>
      </c>
      <c r="C2654" t="s">
        <v>86</v>
      </c>
      <c r="D2654" s="1" t="s">
        <v>3525</v>
      </c>
    </row>
    <row r="2655" spans="1:4" hidden="1" x14ac:dyDescent="0.3">
      <c r="A2655">
        <v>2653</v>
      </c>
      <c r="B2655" t="s">
        <v>3526</v>
      </c>
      <c r="C2655" t="s">
        <v>89</v>
      </c>
      <c r="D2655">
        <v>103009203.70934901</v>
      </c>
    </row>
    <row r="2656" spans="1:4" hidden="1" x14ac:dyDescent="0.3">
      <c r="A2656">
        <v>2654</v>
      </c>
      <c r="B2656" s="1" t="s">
        <v>3527</v>
      </c>
      <c r="C2656" t="s">
        <v>91</v>
      </c>
      <c r="D2656" s="1" t="s">
        <v>3461</v>
      </c>
    </row>
    <row r="2657" spans="1:4" hidden="1" x14ac:dyDescent="0.3">
      <c r="A2657">
        <v>2655</v>
      </c>
      <c r="B2657" t="s">
        <v>3528</v>
      </c>
      <c r="C2657" t="s">
        <v>94</v>
      </c>
      <c r="D2657">
        <v>76317934.442496896</v>
      </c>
    </row>
    <row r="2658" spans="1:4" hidden="1" x14ac:dyDescent="0.3">
      <c r="A2658">
        <v>2656</v>
      </c>
      <c r="B2658" t="s">
        <v>3529</v>
      </c>
      <c r="C2658" t="s">
        <v>96</v>
      </c>
      <c r="D2658">
        <v>35006865.377596296</v>
      </c>
    </row>
    <row r="2659" spans="1:4" hidden="1" x14ac:dyDescent="0.3">
      <c r="A2659">
        <v>2657</v>
      </c>
      <c r="B2659" t="s">
        <v>3530</v>
      </c>
      <c r="C2659" t="s">
        <v>98</v>
      </c>
      <c r="D2659">
        <v>38859804.676178798</v>
      </c>
    </row>
    <row r="2660" spans="1:4" hidden="1" x14ac:dyDescent="0.3">
      <c r="A2660">
        <v>2658</v>
      </c>
      <c r="B2660" s="1" t="s">
        <v>3531</v>
      </c>
      <c r="C2660" t="s">
        <v>100</v>
      </c>
      <c r="D2660" s="1" t="s">
        <v>3532</v>
      </c>
    </row>
    <row r="2661" spans="1:4" hidden="1" x14ac:dyDescent="0.3">
      <c r="A2661">
        <v>2659</v>
      </c>
      <c r="B2661" t="s">
        <v>3533</v>
      </c>
      <c r="C2661" t="s">
        <v>103</v>
      </c>
      <c r="D2661">
        <v>8.7753782811465196E-3</v>
      </c>
    </row>
    <row r="2662" spans="1:4" hidden="1" x14ac:dyDescent="0.3">
      <c r="A2662">
        <v>2660</v>
      </c>
      <c r="B2662" t="s">
        <v>3534</v>
      </c>
      <c r="C2662" t="s">
        <v>105</v>
      </c>
      <c r="D2662">
        <v>3.2008416829277801E-3</v>
      </c>
    </row>
    <row r="2663" spans="1:4" hidden="1" x14ac:dyDescent="0.3">
      <c r="A2663">
        <v>2661</v>
      </c>
      <c r="B2663" t="s">
        <v>3535</v>
      </c>
      <c r="C2663" t="s">
        <v>107</v>
      </c>
      <c r="D2663">
        <v>1.0932153867368E-2</v>
      </c>
    </row>
    <row r="2664" spans="1:4" hidden="1" x14ac:dyDescent="0.3">
      <c r="A2664">
        <v>2662</v>
      </c>
      <c r="B2664" s="1" t="s">
        <v>3536</v>
      </c>
      <c r="C2664" t="s">
        <v>109</v>
      </c>
      <c r="D2664" s="1" t="s">
        <v>3537</v>
      </c>
    </row>
    <row r="2665" spans="1:4" hidden="1" x14ac:dyDescent="0.3">
      <c r="A2665">
        <v>2663</v>
      </c>
      <c r="B2665" t="s">
        <v>3538</v>
      </c>
      <c r="C2665" t="s">
        <v>208</v>
      </c>
      <c r="D2665">
        <v>150183861.25998601</v>
      </c>
    </row>
    <row r="2666" spans="1:4" hidden="1" x14ac:dyDescent="0.3">
      <c r="A2666">
        <v>2664</v>
      </c>
      <c r="B2666" t="s">
        <v>3539</v>
      </c>
      <c r="C2666" t="s">
        <v>210</v>
      </c>
      <c r="D2666">
        <v>1608.2015230458901</v>
      </c>
    </row>
    <row r="2667" spans="1:4" hidden="1" x14ac:dyDescent="0.3">
      <c r="A2667">
        <v>2665</v>
      </c>
      <c r="B2667" t="s">
        <v>3540</v>
      </c>
      <c r="C2667" t="s">
        <v>212</v>
      </c>
      <c r="D2667">
        <v>737.68096809768701</v>
      </c>
    </row>
    <row r="2668" spans="1:4" hidden="1" x14ac:dyDescent="0.3">
      <c r="A2668">
        <v>2666</v>
      </c>
      <c r="B2668" s="1" t="s">
        <v>3541</v>
      </c>
      <c r="C2668" t="s">
        <v>214</v>
      </c>
      <c r="D2668" s="1" t="s">
        <v>3542</v>
      </c>
    </row>
    <row r="2669" spans="1:4" hidden="1" x14ac:dyDescent="0.3">
      <c r="A2669">
        <v>2667</v>
      </c>
      <c r="B2669" t="s">
        <v>3543</v>
      </c>
      <c r="C2669" t="s">
        <v>217</v>
      </c>
      <c r="D2669">
        <v>76315804.964937195</v>
      </c>
    </row>
    <row r="2670" spans="1:4" hidden="1" x14ac:dyDescent="0.3">
      <c r="A2670">
        <v>2668</v>
      </c>
      <c r="B2670" t="s">
        <v>3544</v>
      </c>
      <c r="C2670" t="s">
        <v>219</v>
      </c>
      <c r="D2670">
        <v>35006008.936656401</v>
      </c>
    </row>
    <row r="2671" spans="1:4" hidden="1" x14ac:dyDescent="0.3">
      <c r="A2671">
        <v>2669</v>
      </c>
      <c r="B2671" t="s">
        <v>3545</v>
      </c>
      <c r="C2671" t="s">
        <v>221</v>
      </c>
      <c r="D2671">
        <v>38858882.6033988</v>
      </c>
    </row>
    <row r="2672" spans="1:4" hidden="1" x14ac:dyDescent="0.3">
      <c r="A2672">
        <v>2670</v>
      </c>
      <c r="B2672" s="1" t="s">
        <v>3546</v>
      </c>
      <c r="C2672" t="s">
        <v>223</v>
      </c>
      <c r="D2672" s="1" t="s">
        <v>3547</v>
      </c>
    </row>
    <row r="2673" spans="1:4" hidden="1" x14ac:dyDescent="0.3">
      <c r="A2673">
        <v>2671</v>
      </c>
      <c r="B2673" t="s">
        <v>3548</v>
      </c>
      <c r="C2673" t="s">
        <v>226</v>
      </c>
      <c r="D2673">
        <v>103007033.04407801</v>
      </c>
    </row>
    <row r="2674" spans="1:4" hidden="1" x14ac:dyDescent="0.3">
      <c r="A2674">
        <v>2672</v>
      </c>
      <c r="B2674" t="s">
        <v>3549</v>
      </c>
      <c r="C2674" t="s">
        <v>228</v>
      </c>
      <c r="D2674">
        <v>2170.6652704775302</v>
      </c>
    </row>
    <row r="2675" spans="1:4" hidden="1" x14ac:dyDescent="0.3">
      <c r="A2675">
        <v>2673</v>
      </c>
      <c r="B2675" s="1" t="s">
        <v>3550</v>
      </c>
      <c r="C2675" t="s">
        <v>230</v>
      </c>
      <c r="D2675" s="1" t="s">
        <v>3551</v>
      </c>
    </row>
    <row r="2676" spans="1:4" hidden="1" x14ac:dyDescent="0.3">
      <c r="A2676">
        <v>2674</v>
      </c>
      <c r="B2676" t="s">
        <v>3552</v>
      </c>
      <c r="C2676" t="s">
        <v>112</v>
      </c>
      <c r="D2676">
        <v>-521.27603665097297</v>
      </c>
    </row>
    <row r="2677" spans="1:4" hidden="1" x14ac:dyDescent="0.3">
      <c r="A2677">
        <v>2675</v>
      </c>
      <c r="B2677" t="s">
        <v>3553</v>
      </c>
      <c r="C2677" t="s">
        <v>114</v>
      </c>
      <c r="D2677">
        <v>-118.75997181459699</v>
      </c>
    </row>
    <row r="2678" spans="1:4" hidden="1" x14ac:dyDescent="0.3">
      <c r="A2678">
        <v>2676</v>
      </c>
      <c r="B2678" s="1" t="s">
        <v>3554</v>
      </c>
      <c r="C2678" t="s">
        <v>116</v>
      </c>
      <c r="D2678" s="1" t="s">
        <v>3555</v>
      </c>
    </row>
    <row r="2679" spans="1:4" hidden="1" x14ac:dyDescent="0.3">
      <c r="A2679">
        <v>2677</v>
      </c>
      <c r="B2679" t="s">
        <v>3556</v>
      </c>
      <c r="C2679" t="s">
        <v>119</v>
      </c>
      <c r="D2679">
        <v>76315804.964937195</v>
      </c>
    </row>
    <row r="2680" spans="1:4" hidden="1" x14ac:dyDescent="0.3">
      <c r="A2680">
        <v>2678</v>
      </c>
      <c r="B2680" t="s">
        <v>3557</v>
      </c>
      <c r="C2680" t="s">
        <v>121</v>
      </c>
      <c r="D2680">
        <v>35006008.936656401</v>
      </c>
    </row>
    <row r="2681" spans="1:4" hidden="1" x14ac:dyDescent="0.3">
      <c r="A2681">
        <v>2679</v>
      </c>
      <c r="B2681" s="1" t="s">
        <v>3558</v>
      </c>
      <c r="C2681" t="s">
        <v>123</v>
      </c>
      <c r="D2681" s="1" t="s">
        <v>3559</v>
      </c>
    </row>
    <row r="2682" spans="1:4" hidden="1" x14ac:dyDescent="0.3">
      <c r="A2682">
        <v>2680</v>
      </c>
      <c r="B2682" t="s">
        <v>3560</v>
      </c>
      <c r="C2682" t="s">
        <v>126</v>
      </c>
      <c r="D2682">
        <v>0.74099314149194895</v>
      </c>
    </row>
    <row r="2683" spans="1:4" hidden="1" x14ac:dyDescent="0.3">
      <c r="A2683">
        <v>2681</v>
      </c>
      <c r="B2683" t="s">
        <v>3561</v>
      </c>
      <c r="C2683" t="s">
        <v>128</v>
      </c>
      <c r="D2683">
        <v>0.33989306074915798</v>
      </c>
    </row>
    <row r="2684" spans="1:4" hidden="1" x14ac:dyDescent="0.3">
      <c r="A2684">
        <v>2682</v>
      </c>
      <c r="B2684" s="1" t="s">
        <v>3562</v>
      </c>
      <c r="C2684" t="s">
        <v>130</v>
      </c>
      <c r="D2684" s="1" t="s">
        <v>3563</v>
      </c>
    </row>
    <row r="2685" spans="1:4" ht="72" x14ac:dyDescent="0.3">
      <c r="A2685">
        <v>2683</v>
      </c>
      <c r="B2685" s="1" t="s">
        <v>3564</v>
      </c>
      <c r="C2685" t="s">
        <v>4</v>
      </c>
      <c r="D2685" t="s">
        <v>3565</v>
      </c>
    </row>
    <row r="2686" spans="1:4" hidden="1" x14ac:dyDescent="0.3">
      <c r="A2686">
        <v>2684</v>
      </c>
      <c r="B2686" t="s">
        <v>3566</v>
      </c>
      <c r="C2686" t="s">
        <v>7</v>
      </c>
      <c r="D2686">
        <v>1736.3</v>
      </c>
    </row>
    <row r="2687" spans="1:4" hidden="1" x14ac:dyDescent="0.3">
      <c r="A2687">
        <v>2685</v>
      </c>
      <c r="B2687" s="1" t="s">
        <v>3567</v>
      </c>
      <c r="C2687" t="s">
        <v>9</v>
      </c>
      <c r="D2687" s="1" t="s">
        <v>3568</v>
      </c>
    </row>
    <row r="2688" spans="1:4" hidden="1" x14ac:dyDescent="0.3">
      <c r="A2688">
        <v>2686</v>
      </c>
      <c r="B2688" t="s">
        <v>3569</v>
      </c>
      <c r="C2688" t="s">
        <v>14</v>
      </c>
      <c r="D2688">
        <v>90.68359375</v>
      </c>
    </row>
    <row r="2689" spans="1:4" hidden="1" x14ac:dyDescent="0.3">
      <c r="A2689">
        <v>2687</v>
      </c>
      <c r="B2689" t="s">
        <v>3570</v>
      </c>
      <c r="C2689" t="s">
        <v>16</v>
      </c>
      <c r="D2689">
        <v>4.2782903512980299</v>
      </c>
    </row>
    <row r="2690" spans="1:4" hidden="1" x14ac:dyDescent="0.3">
      <c r="A2690">
        <v>2688</v>
      </c>
      <c r="B2690" s="1" t="s">
        <v>3571</v>
      </c>
      <c r="C2690" t="s">
        <v>140</v>
      </c>
      <c r="D2690" s="1" t="s">
        <v>3572</v>
      </c>
    </row>
    <row r="2691" spans="1:4" hidden="1" x14ac:dyDescent="0.3">
      <c r="A2691">
        <v>2689</v>
      </c>
      <c r="B2691" t="s">
        <v>3573</v>
      </c>
      <c r="C2691" t="s">
        <v>22</v>
      </c>
      <c r="D2691">
        <v>62.95</v>
      </c>
    </row>
    <row r="2692" spans="1:4" hidden="1" x14ac:dyDescent="0.3">
      <c r="A2692">
        <v>2690</v>
      </c>
      <c r="B2692" t="s">
        <v>3574</v>
      </c>
      <c r="C2692" t="s">
        <v>24</v>
      </c>
      <c r="D2692">
        <v>5.6662645920175896</v>
      </c>
    </row>
    <row r="2693" spans="1:4" hidden="1" x14ac:dyDescent="0.3">
      <c r="A2693">
        <v>2691</v>
      </c>
      <c r="B2693" s="1" t="s">
        <v>3575</v>
      </c>
      <c r="C2693" t="s">
        <v>145</v>
      </c>
      <c r="D2693" s="1" t="s">
        <v>3576</v>
      </c>
    </row>
    <row r="2694" spans="1:4" hidden="1" x14ac:dyDescent="0.3">
      <c r="A2694">
        <v>2692</v>
      </c>
      <c r="B2694" t="s">
        <v>3577</v>
      </c>
      <c r="C2694" t="s">
        <v>35</v>
      </c>
      <c r="D2694">
        <v>0.43091377147117199</v>
      </c>
    </row>
    <row r="2695" spans="1:4" hidden="1" x14ac:dyDescent="0.3">
      <c r="A2695">
        <v>2693</v>
      </c>
      <c r="B2695" t="s">
        <v>3578</v>
      </c>
      <c r="C2695" t="s">
        <v>149</v>
      </c>
      <c r="D2695">
        <v>0.54313768399950402</v>
      </c>
    </row>
    <row r="2696" spans="1:4" hidden="1" x14ac:dyDescent="0.3">
      <c r="A2696">
        <v>2694</v>
      </c>
      <c r="B2696" s="1" t="s">
        <v>3579</v>
      </c>
      <c r="C2696" t="s">
        <v>151</v>
      </c>
      <c r="D2696" s="1" t="s">
        <v>3580</v>
      </c>
    </row>
    <row r="2697" spans="1:4" hidden="1" x14ac:dyDescent="0.3">
      <c r="A2697">
        <v>2695</v>
      </c>
      <c r="B2697" t="s">
        <v>3581</v>
      </c>
      <c r="C2697" t="s">
        <v>30</v>
      </c>
      <c r="D2697">
        <v>0.23873408830465301</v>
      </c>
    </row>
    <row r="2698" spans="1:4" hidden="1" x14ac:dyDescent="0.3">
      <c r="A2698">
        <v>2696</v>
      </c>
      <c r="B2698" t="s">
        <v>3582</v>
      </c>
      <c r="C2698" t="s">
        <v>32</v>
      </c>
      <c r="D2698">
        <v>0.41708285831967301</v>
      </c>
    </row>
    <row r="2699" spans="1:4" hidden="1" x14ac:dyDescent="0.3">
      <c r="A2699">
        <v>2697</v>
      </c>
      <c r="B2699" s="1" t="s">
        <v>3583</v>
      </c>
      <c r="C2699" t="s">
        <v>155</v>
      </c>
      <c r="D2699" s="1" t="s">
        <v>3584</v>
      </c>
    </row>
    <row r="2700" spans="1:4" hidden="1" x14ac:dyDescent="0.3">
      <c r="A2700">
        <v>2698</v>
      </c>
      <c r="B2700" t="s">
        <v>3585</v>
      </c>
      <c r="C2700" t="s">
        <v>40</v>
      </c>
      <c r="D2700">
        <v>0.33035214022417397</v>
      </c>
    </row>
    <row r="2701" spans="1:4" hidden="1" x14ac:dyDescent="0.3">
      <c r="A2701">
        <v>2699</v>
      </c>
      <c r="B2701" t="s">
        <v>3586</v>
      </c>
      <c r="C2701" t="s">
        <v>42</v>
      </c>
      <c r="D2701">
        <v>0.42407092176109001</v>
      </c>
    </row>
    <row r="2702" spans="1:4" hidden="1" x14ac:dyDescent="0.3">
      <c r="A2702">
        <v>2700</v>
      </c>
      <c r="B2702" s="1" t="s">
        <v>3587</v>
      </c>
      <c r="C2702" t="s">
        <v>159</v>
      </c>
      <c r="D2702" s="1" t="s">
        <v>3588</v>
      </c>
    </row>
    <row r="2703" spans="1:4" hidden="1" x14ac:dyDescent="0.3">
      <c r="A2703">
        <v>2701</v>
      </c>
      <c r="B2703" t="s">
        <v>3589</v>
      </c>
      <c r="C2703" t="s">
        <v>161</v>
      </c>
      <c r="D2703">
        <v>0.99384108158849704</v>
      </c>
    </row>
    <row r="2704" spans="1:4" hidden="1" x14ac:dyDescent="0.3">
      <c r="A2704">
        <v>2702</v>
      </c>
      <c r="B2704" t="s">
        <v>3590</v>
      </c>
      <c r="C2704" t="s">
        <v>163</v>
      </c>
      <c r="D2704">
        <v>0.99754632706062196</v>
      </c>
    </row>
    <row r="2705" spans="1:4" hidden="1" x14ac:dyDescent="0.3">
      <c r="A2705">
        <v>2703</v>
      </c>
      <c r="B2705" s="1" t="s">
        <v>3591</v>
      </c>
      <c r="C2705" t="s">
        <v>165</v>
      </c>
      <c r="D2705" s="1" t="s">
        <v>3592</v>
      </c>
    </row>
    <row r="2706" spans="1:4" hidden="1" x14ac:dyDescent="0.3">
      <c r="A2706">
        <v>2704</v>
      </c>
      <c r="B2706" t="s">
        <v>3593</v>
      </c>
      <c r="C2706" t="s">
        <v>168</v>
      </c>
      <c r="D2706">
        <v>0.99953265647149003</v>
      </c>
    </row>
    <row r="2707" spans="1:4" hidden="1" x14ac:dyDescent="0.3">
      <c r="A2707">
        <v>2705</v>
      </c>
      <c r="B2707" t="s">
        <v>3594</v>
      </c>
      <c r="C2707" t="s">
        <v>170</v>
      </c>
      <c r="D2707">
        <v>1.0001470529249501</v>
      </c>
    </row>
    <row r="2708" spans="1:4" hidden="1" x14ac:dyDescent="0.3">
      <c r="A2708">
        <v>2706</v>
      </c>
      <c r="B2708" s="1" t="s">
        <v>3595</v>
      </c>
      <c r="C2708" t="s">
        <v>172</v>
      </c>
      <c r="D2708" s="1" t="s">
        <v>3596</v>
      </c>
    </row>
    <row r="2709" spans="1:4" hidden="1" x14ac:dyDescent="0.3">
      <c r="A2709">
        <v>2707</v>
      </c>
      <c r="B2709" s="1" t="s">
        <v>3597</v>
      </c>
      <c r="C2709" t="s">
        <v>55</v>
      </c>
      <c r="D2709" s="1" t="s">
        <v>3598</v>
      </c>
    </row>
    <row r="2710" spans="1:4" hidden="1" x14ac:dyDescent="0.3">
      <c r="A2710">
        <v>2708</v>
      </c>
      <c r="B2710" s="1" t="s">
        <v>3599</v>
      </c>
      <c r="C2710" t="s">
        <v>52</v>
      </c>
      <c r="D2710" s="1" t="s">
        <v>3600</v>
      </c>
    </row>
    <row r="2711" spans="1:4" hidden="1" x14ac:dyDescent="0.3">
      <c r="A2711">
        <v>2709</v>
      </c>
      <c r="B2711" s="1" t="s">
        <v>3601</v>
      </c>
      <c r="C2711" t="s">
        <v>58</v>
      </c>
      <c r="D2711" s="1" t="s">
        <v>3602</v>
      </c>
    </row>
    <row r="2712" spans="1:4" hidden="1" x14ac:dyDescent="0.3">
      <c r="A2712">
        <v>2710</v>
      </c>
      <c r="B2712" t="s">
        <v>3603</v>
      </c>
      <c r="C2712" t="s">
        <v>61</v>
      </c>
      <c r="D2712">
        <v>149501472.244712</v>
      </c>
    </row>
    <row r="2713" spans="1:4" hidden="1" x14ac:dyDescent="0.3">
      <c r="A2713">
        <v>2711</v>
      </c>
      <c r="B2713" t="s">
        <v>3604</v>
      </c>
      <c r="C2713" t="s">
        <v>63</v>
      </c>
      <c r="D2713">
        <v>75845782.148649901</v>
      </c>
    </row>
    <row r="2714" spans="1:4" hidden="1" x14ac:dyDescent="0.3">
      <c r="A2714">
        <v>2712</v>
      </c>
      <c r="B2714" t="s">
        <v>3605</v>
      </c>
      <c r="C2714" t="s">
        <v>65</v>
      </c>
      <c r="D2714">
        <v>34920115.639812902</v>
      </c>
    </row>
    <row r="2715" spans="1:4" hidden="1" x14ac:dyDescent="0.3">
      <c r="A2715">
        <v>2713</v>
      </c>
      <c r="B2715" s="1" t="s">
        <v>3606</v>
      </c>
      <c r="C2715" t="s">
        <v>67</v>
      </c>
      <c r="D2715" s="1" t="s">
        <v>3607</v>
      </c>
    </row>
    <row r="2716" spans="1:4" hidden="1" x14ac:dyDescent="0.3">
      <c r="A2716">
        <v>2714</v>
      </c>
      <c r="B2716" s="1" t="s">
        <v>3608</v>
      </c>
      <c r="C2716" t="s">
        <v>70</v>
      </c>
      <c r="D2716" s="1" t="s">
        <v>3609</v>
      </c>
    </row>
    <row r="2717" spans="1:4" hidden="1" x14ac:dyDescent="0.3">
      <c r="A2717">
        <v>2715</v>
      </c>
      <c r="B2717" t="s">
        <v>3610</v>
      </c>
      <c r="C2717" t="s">
        <v>73</v>
      </c>
      <c r="D2717">
        <v>0.99984671258207702</v>
      </c>
    </row>
    <row r="2718" spans="1:4" hidden="1" x14ac:dyDescent="0.3">
      <c r="A2718">
        <v>2716</v>
      </c>
      <c r="B2718" t="s">
        <v>74</v>
      </c>
      <c r="C2718" t="s">
        <v>75</v>
      </c>
      <c r="D2718">
        <v>2.7397260273972599E-3</v>
      </c>
    </row>
    <row r="2719" spans="1:4" hidden="1" x14ac:dyDescent="0.3">
      <c r="A2719">
        <v>2717</v>
      </c>
      <c r="B2719" t="s">
        <v>76</v>
      </c>
      <c r="C2719" t="s">
        <v>77</v>
      </c>
      <c r="D2719">
        <v>0</v>
      </c>
    </row>
    <row r="2720" spans="1:4" hidden="1" x14ac:dyDescent="0.3">
      <c r="A2720">
        <v>2718</v>
      </c>
      <c r="B2720" t="s">
        <v>78</v>
      </c>
      <c r="C2720" t="s">
        <v>79</v>
      </c>
      <c r="D2720">
        <v>0</v>
      </c>
    </row>
    <row r="2721" spans="1:4" hidden="1" x14ac:dyDescent="0.3">
      <c r="A2721">
        <v>2719</v>
      </c>
      <c r="B2721" s="1" t="s">
        <v>3611</v>
      </c>
      <c r="C2721" t="s">
        <v>81</v>
      </c>
      <c r="D2721" s="1" t="s">
        <v>3612</v>
      </c>
    </row>
    <row r="2722" spans="1:4" hidden="1" x14ac:dyDescent="0.3">
      <c r="A2722">
        <v>2720</v>
      </c>
      <c r="B2722" t="s">
        <v>3613</v>
      </c>
      <c r="C2722" t="s">
        <v>84</v>
      </c>
      <c r="D2722">
        <v>0.99985888664035205</v>
      </c>
    </row>
    <row r="2723" spans="1:4" hidden="1" x14ac:dyDescent="0.3">
      <c r="A2723">
        <v>2721</v>
      </c>
      <c r="B2723" s="1" t="s">
        <v>3614</v>
      </c>
      <c r="C2723" t="s">
        <v>86</v>
      </c>
      <c r="D2723" s="1" t="s">
        <v>3615</v>
      </c>
    </row>
    <row r="2724" spans="1:4" hidden="1" x14ac:dyDescent="0.3">
      <c r="A2724">
        <v>2722</v>
      </c>
      <c r="B2724" t="s">
        <v>3616</v>
      </c>
      <c r="C2724" t="s">
        <v>89</v>
      </c>
      <c r="D2724">
        <v>103007949.492313</v>
      </c>
    </row>
    <row r="2725" spans="1:4" hidden="1" x14ac:dyDescent="0.3">
      <c r="A2725">
        <v>2723</v>
      </c>
      <c r="B2725" s="1" t="s">
        <v>3617</v>
      </c>
      <c r="C2725" t="s">
        <v>91</v>
      </c>
      <c r="D2725" s="1" t="s">
        <v>3551</v>
      </c>
    </row>
    <row r="2726" spans="1:4" hidden="1" x14ac:dyDescent="0.3">
      <c r="A2726">
        <v>2724</v>
      </c>
      <c r="B2726" t="s">
        <v>3618</v>
      </c>
      <c r="C2726" t="s">
        <v>94</v>
      </c>
      <c r="D2726">
        <v>75845782.148649901</v>
      </c>
    </row>
    <row r="2727" spans="1:4" hidden="1" x14ac:dyDescent="0.3">
      <c r="A2727">
        <v>2725</v>
      </c>
      <c r="B2727" t="s">
        <v>3619</v>
      </c>
      <c r="C2727" t="s">
        <v>96</v>
      </c>
      <c r="D2727">
        <v>34920115.639812902</v>
      </c>
    </row>
    <row r="2728" spans="1:4" hidden="1" x14ac:dyDescent="0.3">
      <c r="A2728">
        <v>2726</v>
      </c>
      <c r="B2728" t="s">
        <v>3620</v>
      </c>
      <c r="C2728" t="s">
        <v>98</v>
      </c>
      <c r="D2728">
        <v>38735574.456249297</v>
      </c>
    </row>
    <row r="2729" spans="1:4" hidden="1" x14ac:dyDescent="0.3">
      <c r="A2729">
        <v>2727</v>
      </c>
      <c r="B2729" s="1" t="s">
        <v>3621</v>
      </c>
      <c r="C2729" t="s">
        <v>100</v>
      </c>
      <c r="D2729" s="1" t="s">
        <v>3622</v>
      </c>
    </row>
    <row r="2730" spans="1:4" hidden="1" x14ac:dyDescent="0.3">
      <c r="A2730">
        <v>2728</v>
      </c>
      <c r="B2730" t="s">
        <v>3623</v>
      </c>
      <c r="C2730" t="s">
        <v>103</v>
      </c>
      <c r="D2730">
        <v>8.7699330643657095E-3</v>
      </c>
    </row>
    <row r="2731" spans="1:4" hidden="1" x14ac:dyDescent="0.3">
      <c r="A2731">
        <v>2729</v>
      </c>
      <c r="B2731" t="s">
        <v>3624</v>
      </c>
      <c r="C2731" t="s">
        <v>105</v>
      </c>
      <c r="D2731">
        <v>3.2018169630613201E-3</v>
      </c>
    </row>
    <row r="2732" spans="1:4" hidden="1" x14ac:dyDescent="0.3">
      <c r="A2732">
        <v>2730</v>
      </c>
      <c r="B2732" t="s">
        <v>3625</v>
      </c>
      <c r="C2732" t="s">
        <v>107</v>
      </c>
      <c r="D2732">
        <v>1.08995862070458E-2</v>
      </c>
    </row>
    <row r="2733" spans="1:4" hidden="1" x14ac:dyDescent="0.3">
      <c r="A2733">
        <v>2731</v>
      </c>
      <c r="B2733" s="1" t="s">
        <v>3626</v>
      </c>
      <c r="C2733" t="s">
        <v>109</v>
      </c>
      <c r="D2733" s="1" t="s">
        <v>3627</v>
      </c>
    </row>
    <row r="2734" spans="1:4" hidden="1" x14ac:dyDescent="0.3">
      <c r="A2734">
        <v>2732</v>
      </c>
      <c r="B2734" t="s">
        <v>3628</v>
      </c>
      <c r="C2734" t="s">
        <v>208</v>
      </c>
      <c r="D2734">
        <v>149501901.065649</v>
      </c>
    </row>
    <row r="2735" spans="1:4" hidden="1" x14ac:dyDescent="0.3">
      <c r="A2735">
        <v>2733</v>
      </c>
      <c r="B2735" t="s">
        <v>3629</v>
      </c>
      <c r="C2735" t="s">
        <v>210</v>
      </c>
      <c r="D2735">
        <v>-923.49640469671101</v>
      </c>
    </row>
    <row r="2736" spans="1:4" hidden="1" x14ac:dyDescent="0.3">
      <c r="A2736">
        <v>2734</v>
      </c>
      <c r="B2736" t="s">
        <v>3630</v>
      </c>
      <c r="C2736" t="s">
        <v>212</v>
      </c>
      <c r="D2736">
        <v>-425.18527999376198</v>
      </c>
    </row>
    <row r="2737" spans="1:4" hidden="1" x14ac:dyDescent="0.3">
      <c r="A2737">
        <v>2735</v>
      </c>
      <c r="B2737" s="1" t="s">
        <v>3631</v>
      </c>
      <c r="C2737" t="s">
        <v>214</v>
      </c>
      <c r="D2737" s="1" t="s">
        <v>3632</v>
      </c>
    </row>
    <row r="2738" spans="1:4" hidden="1" x14ac:dyDescent="0.3">
      <c r="A2738">
        <v>2736</v>
      </c>
      <c r="B2738" t="s">
        <v>3633</v>
      </c>
      <c r="C2738" t="s">
        <v>217</v>
      </c>
      <c r="D2738">
        <v>75847023.743896201</v>
      </c>
    </row>
    <row r="2739" spans="1:4" hidden="1" x14ac:dyDescent="0.3">
      <c r="A2739">
        <v>2737</v>
      </c>
      <c r="B2739" t="s">
        <v>3634</v>
      </c>
      <c r="C2739" t="s">
        <v>219</v>
      </c>
      <c r="D2739">
        <v>34920588.6056839</v>
      </c>
    </row>
    <row r="2740" spans="1:4" hidden="1" x14ac:dyDescent="0.3">
      <c r="A2740">
        <v>2738</v>
      </c>
      <c r="B2740" t="s">
        <v>3635</v>
      </c>
      <c r="C2740" t="s">
        <v>221</v>
      </c>
      <c r="D2740">
        <v>38736109.039957397</v>
      </c>
    </row>
    <row r="2741" spans="1:4" hidden="1" x14ac:dyDescent="0.3">
      <c r="A2741">
        <v>2739</v>
      </c>
      <c r="B2741" s="1" t="s">
        <v>3636</v>
      </c>
      <c r="C2741" t="s">
        <v>223</v>
      </c>
      <c r="D2741" s="1" t="s">
        <v>3637</v>
      </c>
    </row>
    <row r="2742" spans="1:4" hidden="1" x14ac:dyDescent="0.3">
      <c r="A2742">
        <v>2740</v>
      </c>
      <c r="B2742" t="s">
        <v>3638</v>
      </c>
      <c r="C2742" t="s">
        <v>226</v>
      </c>
      <c r="D2742">
        <v>103009203.70934901</v>
      </c>
    </row>
    <row r="2743" spans="1:4" hidden="1" x14ac:dyDescent="0.3">
      <c r="A2743">
        <v>2741</v>
      </c>
      <c r="B2743" t="s">
        <v>3639</v>
      </c>
      <c r="C2743" t="s">
        <v>228</v>
      </c>
      <c r="D2743">
        <v>-1254.2170355618</v>
      </c>
    </row>
    <row r="2744" spans="1:4" hidden="1" x14ac:dyDescent="0.3">
      <c r="A2744">
        <v>2742</v>
      </c>
      <c r="B2744" s="1" t="s">
        <v>3640</v>
      </c>
      <c r="C2744" t="s">
        <v>230</v>
      </c>
      <c r="D2744" s="1" t="s">
        <v>3641</v>
      </c>
    </row>
    <row r="2745" spans="1:4" hidden="1" x14ac:dyDescent="0.3">
      <c r="A2745">
        <v>2743</v>
      </c>
      <c r="B2745" t="s">
        <v>3642</v>
      </c>
      <c r="C2745" t="s">
        <v>112</v>
      </c>
      <c r="D2745">
        <v>318.09884155459298</v>
      </c>
    </row>
    <row r="2746" spans="1:4" hidden="1" x14ac:dyDescent="0.3">
      <c r="A2746">
        <v>2744</v>
      </c>
      <c r="B2746" t="s">
        <v>3643</v>
      </c>
      <c r="C2746" t="s">
        <v>114</v>
      </c>
      <c r="D2746">
        <v>47.780590955649799</v>
      </c>
    </row>
    <row r="2747" spans="1:4" hidden="1" x14ac:dyDescent="0.3">
      <c r="A2747">
        <v>2745</v>
      </c>
      <c r="B2747" s="1" t="s">
        <v>3644</v>
      </c>
      <c r="C2747" t="s">
        <v>116</v>
      </c>
      <c r="D2747" s="1" t="s">
        <v>3645</v>
      </c>
    </row>
    <row r="2748" spans="1:4" hidden="1" x14ac:dyDescent="0.3">
      <c r="A2748">
        <v>2746</v>
      </c>
      <c r="B2748" t="s">
        <v>3646</v>
      </c>
      <c r="C2748" t="s">
        <v>119</v>
      </c>
      <c r="D2748">
        <v>75847023.743896201</v>
      </c>
    </row>
    <row r="2749" spans="1:4" hidden="1" x14ac:dyDescent="0.3">
      <c r="A2749">
        <v>2747</v>
      </c>
      <c r="B2749" t="s">
        <v>3647</v>
      </c>
      <c r="C2749" t="s">
        <v>121</v>
      </c>
      <c r="D2749">
        <v>34920588.6056839</v>
      </c>
    </row>
    <row r="2750" spans="1:4" hidden="1" x14ac:dyDescent="0.3">
      <c r="A2750">
        <v>2748</v>
      </c>
      <c r="B2750" s="1" t="s">
        <v>3648</v>
      </c>
      <c r="C2750" t="s">
        <v>123</v>
      </c>
      <c r="D2750" s="1" t="s">
        <v>3649</v>
      </c>
    </row>
    <row r="2751" spans="1:4" hidden="1" x14ac:dyDescent="0.3">
      <c r="A2751">
        <v>2749</v>
      </c>
      <c r="B2751" t="s">
        <v>3650</v>
      </c>
      <c r="C2751" t="s">
        <v>126</v>
      </c>
      <c r="D2751">
        <v>0.73641699528936999</v>
      </c>
    </row>
    <row r="2752" spans="1:4" hidden="1" x14ac:dyDescent="0.3">
      <c r="A2752">
        <v>2750</v>
      </c>
      <c r="B2752" t="s">
        <v>3651</v>
      </c>
      <c r="C2752" t="s">
        <v>128</v>
      </c>
      <c r="D2752">
        <v>0.33905239342767801</v>
      </c>
    </row>
    <row r="2753" spans="1:4" hidden="1" x14ac:dyDescent="0.3">
      <c r="A2753">
        <v>2751</v>
      </c>
      <c r="B2753" s="1" t="s">
        <v>3652</v>
      </c>
      <c r="C2753" t="s">
        <v>130</v>
      </c>
      <c r="D2753" s="1" t="s">
        <v>3653</v>
      </c>
    </row>
    <row r="2754" spans="1:4" ht="72" x14ac:dyDescent="0.3">
      <c r="A2754">
        <v>2752</v>
      </c>
      <c r="B2754" s="1" t="s">
        <v>3654</v>
      </c>
      <c r="C2754" t="s">
        <v>4</v>
      </c>
      <c r="D2754" t="s">
        <v>3655</v>
      </c>
    </row>
    <row r="2755" spans="1:4" hidden="1" x14ac:dyDescent="0.3">
      <c r="A2755">
        <v>2753</v>
      </c>
      <c r="B2755" t="s">
        <v>3656</v>
      </c>
      <c r="C2755" t="s">
        <v>7</v>
      </c>
      <c r="D2755">
        <v>1748.15</v>
      </c>
    </row>
    <row r="2756" spans="1:4" hidden="1" x14ac:dyDescent="0.3">
      <c r="A2756">
        <v>2754</v>
      </c>
      <c r="B2756" s="1" t="s">
        <v>3657</v>
      </c>
      <c r="C2756" t="s">
        <v>9</v>
      </c>
      <c r="D2756" s="1" t="s">
        <v>3658</v>
      </c>
    </row>
    <row r="2757" spans="1:4" hidden="1" x14ac:dyDescent="0.3">
      <c r="A2757">
        <v>2755</v>
      </c>
      <c r="B2757" t="s">
        <v>3659</v>
      </c>
      <c r="C2757" t="s">
        <v>14</v>
      </c>
      <c r="D2757">
        <v>90.69921875</v>
      </c>
    </row>
    <row r="2758" spans="1:4" hidden="1" x14ac:dyDescent="0.3">
      <c r="A2758">
        <v>2756</v>
      </c>
      <c r="B2758" t="s">
        <v>3660</v>
      </c>
      <c r="C2758" t="s">
        <v>16</v>
      </c>
      <c r="D2758">
        <v>4.2767867431449096</v>
      </c>
    </row>
    <row r="2759" spans="1:4" hidden="1" x14ac:dyDescent="0.3">
      <c r="A2759">
        <v>2757</v>
      </c>
      <c r="B2759" s="1" t="s">
        <v>3661</v>
      </c>
      <c r="C2759" t="s">
        <v>140</v>
      </c>
      <c r="D2759" s="1" t="s">
        <v>3662</v>
      </c>
    </row>
    <row r="2760" spans="1:4" hidden="1" x14ac:dyDescent="0.3">
      <c r="A2760">
        <v>2758</v>
      </c>
      <c r="B2760" t="s">
        <v>3663</v>
      </c>
      <c r="C2760" t="s">
        <v>22</v>
      </c>
      <c r="D2760">
        <v>61.7</v>
      </c>
    </row>
    <row r="2761" spans="1:4" hidden="1" x14ac:dyDescent="0.3">
      <c r="A2761">
        <v>2759</v>
      </c>
      <c r="B2761" t="s">
        <v>3664</v>
      </c>
      <c r="C2761" t="s">
        <v>24</v>
      </c>
      <c r="D2761">
        <v>5.7053184097808298</v>
      </c>
    </row>
    <row r="2762" spans="1:4" hidden="1" x14ac:dyDescent="0.3">
      <c r="A2762">
        <v>2760</v>
      </c>
      <c r="B2762" s="1" t="s">
        <v>3665</v>
      </c>
      <c r="C2762" t="s">
        <v>145</v>
      </c>
      <c r="D2762" s="1" t="s">
        <v>3666</v>
      </c>
    </row>
    <row r="2763" spans="1:4" hidden="1" x14ac:dyDescent="0.3">
      <c r="A2763">
        <v>2761</v>
      </c>
      <c r="B2763" t="s">
        <v>3667</v>
      </c>
      <c r="C2763" t="s">
        <v>35</v>
      </c>
      <c r="D2763">
        <v>-0.715854520806672</v>
      </c>
    </row>
    <row r="2764" spans="1:4" hidden="1" x14ac:dyDescent="0.3">
      <c r="A2764">
        <v>2762</v>
      </c>
      <c r="B2764" t="s">
        <v>3668</v>
      </c>
      <c r="C2764" t="s">
        <v>149</v>
      </c>
      <c r="D2764">
        <v>0.54370009870643299</v>
      </c>
    </row>
    <row r="2765" spans="1:4" hidden="1" x14ac:dyDescent="0.3">
      <c r="A2765">
        <v>2763</v>
      </c>
      <c r="B2765" s="1" t="s">
        <v>3669</v>
      </c>
      <c r="C2765" t="s">
        <v>151</v>
      </c>
      <c r="D2765" s="1" t="s">
        <v>3670</v>
      </c>
    </row>
    <row r="2766" spans="1:4" hidden="1" x14ac:dyDescent="0.3">
      <c r="A2766">
        <v>2764</v>
      </c>
      <c r="B2766" t="s">
        <v>3671</v>
      </c>
      <c r="C2766" t="s">
        <v>30</v>
      </c>
      <c r="D2766">
        <v>0.71258554168855304</v>
      </c>
    </row>
    <row r="2767" spans="1:4" hidden="1" x14ac:dyDescent="0.3">
      <c r="A2767">
        <v>2765</v>
      </c>
      <c r="B2767" t="s">
        <v>3672</v>
      </c>
      <c r="C2767" t="s">
        <v>32</v>
      </c>
      <c r="D2767">
        <v>0.41900674657656001</v>
      </c>
    </row>
    <row r="2768" spans="1:4" hidden="1" x14ac:dyDescent="0.3">
      <c r="A2768">
        <v>2766</v>
      </c>
      <c r="B2768" s="1" t="s">
        <v>3673</v>
      </c>
      <c r="C2768" t="s">
        <v>155</v>
      </c>
      <c r="D2768" s="1" t="s">
        <v>3674</v>
      </c>
    </row>
    <row r="2769" spans="1:4" hidden="1" x14ac:dyDescent="0.3">
      <c r="A2769">
        <v>2767</v>
      </c>
      <c r="B2769" t="s">
        <v>3675</v>
      </c>
      <c r="C2769" t="s">
        <v>40</v>
      </c>
      <c r="D2769">
        <v>1.00326897911811</v>
      </c>
    </row>
    <row r="2770" spans="1:4" hidden="1" x14ac:dyDescent="0.3">
      <c r="A2770">
        <v>2768</v>
      </c>
      <c r="B2770" t="s">
        <v>3676</v>
      </c>
      <c r="C2770" t="s">
        <v>42</v>
      </c>
      <c r="D2770">
        <v>0.420242505684365</v>
      </c>
    </row>
    <row r="2771" spans="1:4" hidden="1" x14ac:dyDescent="0.3">
      <c r="A2771">
        <v>2769</v>
      </c>
      <c r="B2771" s="1" t="s">
        <v>3677</v>
      </c>
      <c r="C2771" t="s">
        <v>159</v>
      </c>
      <c r="D2771" s="1" t="s">
        <v>3678</v>
      </c>
    </row>
    <row r="2772" spans="1:4" hidden="1" x14ac:dyDescent="0.3">
      <c r="A2772">
        <v>2770</v>
      </c>
      <c r="B2772" t="s">
        <v>3679</v>
      </c>
      <c r="C2772" t="s">
        <v>161</v>
      </c>
      <c r="D2772">
        <v>1.0068248574555001</v>
      </c>
    </row>
    <row r="2773" spans="1:4" hidden="1" x14ac:dyDescent="0.3">
      <c r="A2773">
        <v>2771</v>
      </c>
      <c r="B2773" t="s">
        <v>3680</v>
      </c>
      <c r="C2773" t="s">
        <v>163</v>
      </c>
      <c r="D2773">
        <v>1.0001487058937399</v>
      </c>
    </row>
    <row r="2774" spans="1:4" hidden="1" x14ac:dyDescent="0.3">
      <c r="A2774">
        <v>2772</v>
      </c>
      <c r="B2774" s="1" t="s">
        <v>3681</v>
      </c>
      <c r="C2774" t="s">
        <v>165</v>
      </c>
      <c r="D2774" s="1" t="s">
        <v>3682</v>
      </c>
    </row>
    <row r="2775" spans="1:4" hidden="1" x14ac:dyDescent="0.3">
      <c r="A2775">
        <v>2773</v>
      </c>
      <c r="B2775" t="s">
        <v>3683</v>
      </c>
      <c r="C2775" t="s">
        <v>168</v>
      </c>
      <c r="D2775">
        <v>1.0003644617798899</v>
      </c>
    </row>
    <row r="2776" spans="1:4" hidden="1" x14ac:dyDescent="0.3">
      <c r="A2776">
        <v>2774</v>
      </c>
      <c r="B2776" t="s">
        <v>3684</v>
      </c>
      <c r="C2776" t="s">
        <v>170</v>
      </c>
      <c r="D2776">
        <v>1.0013576399189299</v>
      </c>
    </row>
    <row r="2777" spans="1:4" hidden="1" x14ac:dyDescent="0.3">
      <c r="A2777">
        <v>2775</v>
      </c>
      <c r="B2777" s="1" t="s">
        <v>3685</v>
      </c>
      <c r="C2777" t="s">
        <v>172</v>
      </c>
      <c r="D2777" s="1" t="s">
        <v>3686</v>
      </c>
    </row>
    <row r="2778" spans="1:4" hidden="1" x14ac:dyDescent="0.3">
      <c r="A2778">
        <v>2776</v>
      </c>
      <c r="B2778" s="1" t="s">
        <v>3687</v>
      </c>
      <c r="C2778" t="s">
        <v>55</v>
      </c>
      <c r="D2778" s="1" t="s">
        <v>3688</v>
      </c>
    </row>
    <row r="2779" spans="1:4" hidden="1" x14ac:dyDescent="0.3">
      <c r="A2779">
        <v>2777</v>
      </c>
      <c r="B2779" s="1" t="s">
        <v>3689</v>
      </c>
      <c r="C2779" t="s">
        <v>52</v>
      </c>
      <c r="D2779" s="1" t="s">
        <v>3690</v>
      </c>
    </row>
    <row r="2780" spans="1:4" hidden="1" x14ac:dyDescent="0.3">
      <c r="A2780">
        <v>2778</v>
      </c>
      <c r="B2780" s="1" t="s">
        <v>3691</v>
      </c>
      <c r="C2780" t="s">
        <v>58</v>
      </c>
      <c r="D2780" s="1" t="s">
        <v>3692</v>
      </c>
    </row>
    <row r="2781" spans="1:4" hidden="1" x14ac:dyDescent="0.3">
      <c r="A2781">
        <v>2779</v>
      </c>
      <c r="B2781" t="s">
        <v>3693</v>
      </c>
      <c r="C2781" t="s">
        <v>61</v>
      </c>
      <c r="D2781">
        <v>149342940.97821701</v>
      </c>
    </row>
    <row r="2782" spans="1:4" hidden="1" x14ac:dyDescent="0.3">
      <c r="A2782">
        <v>2780</v>
      </c>
      <c r="B2782" t="s">
        <v>3694</v>
      </c>
      <c r="C2782" t="s">
        <v>63</v>
      </c>
      <c r="D2782">
        <v>76364668.869372904</v>
      </c>
    </row>
    <row r="2783" spans="1:4" hidden="1" x14ac:dyDescent="0.3">
      <c r="A2783">
        <v>2781</v>
      </c>
      <c r="B2783" t="s">
        <v>3695</v>
      </c>
      <c r="C2783" t="s">
        <v>65</v>
      </c>
      <c r="D2783">
        <v>34925781.503022499</v>
      </c>
    </row>
    <row r="2784" spans="1:4" hidden="1" x14ac:dyDescent="0.3">
      <c r="A2784">
        <v>2782</v>
      </c>
      <c r="B2784" s="1" t="s">
        <v>3696</v>
      </c>
      <c r="C2784" t="s">
        <v>67</v>
      </c>
      <c r="D2784" s="1" t="s">
        <v>3697</v>
      </c>
    </row>
    <row r="2785" spans="1:4" hidden="1" x14ac:dyDescent="0.3">
      <c r="A2785">
        <v>2783</v>
      </c>
      <c r="B2785" s="1" t="s">
        <v>3698</v>
      </c>
      <c r="C2785" t="s">
        <v>70</v>
      </c>
      <c r="D2785" s="1" t="s">
        <v>3699</v>
      </c>
    </row>
    <row r="2786" spans="1:4" hidden="1" x14ac:dyDescent="0.3">
      <c r="A2786">
        <v>2784</v>
      </c>
      <c r="B2786" t="s">
        <v>3700</v>
      </c>
      <c r="C2786" t="s">
        <v>73</v>
      </c>
      <c r="D2786">
        <v>0.99985888664035205</v>
      </c>
    </row>
    <row r="2787" spans="1:4" hidden="1" x14ac:dyDescent="0.3">
      <c r="A2787">
        <v>2785</v>
      </c>
      <c r="B2787" t="s">
        <v>74</v>
      </c>
      <c r="C2787" t="s">
        <v>75</v>
      </c>
      <c r="D2787">
        <v>2.7397260273972599E-3</v>
      </c>
    </row>
    <row r="2788" spans="1:4" hidden="1" x14ac:dyDescent="0.3">
      <c r="A2788">
        <v>2786</v>
      </c>
      <c r="B2788" t="s">
        <v>76</v>
      </c>
      <c r="C2788" t="s">
        <v>77</v>
      </c>
      <c r="D2788">
        <v>0</v>
      </c>
    </row>
    <row r="2789" spans="1:4" hidden="1" x14ac:dyDescent="0.3">
      <c r="A2789">
        <v>2787</v>
      </c>
      <c r="B2789" t="s">
        <v>78</v>
      </c>
      <c r="C2789" t="s">
        <v>79</v>
      </c>
      <c r="D2789">
        <v>0</v>
      </c>
    </row>
    <row r="2790" spans="1:4" hidden="1" x14ac:dyDescent="0.3">
      <c r="A2790">
        <v>2788</v>
      </c>
      <c r="B2790" s="1" t="s">
        <v>3701</v>
      </c>
      <c r="C2790" t="s">
        <v>81</v>
      </c>
      <c r="D2790" s="1" t="s">
        <v>3702</v>
      </c>
    </row>
    <row r="2791" spans="1:4" hidden="1" x14ac:dyDescent="0.3">
      <c r="A2791">
        <v>2789</v>
      </c>
      <c r="B2791" t="s">
        <v>3703</v>
      </c>
      <c r="C2791" t="s">
        <v>84</v>
      </c>
      <c r="D2791">
        <v>0.99989857580855801</v>
      </c>
    </row>
    <row r="2792" spans="1:4" hidden="1" x14ac:dyDescent="0.3">
      <c r="A2792">
        <v>2790</v>
      </c>
      <c r="B2792" s="1" t="s">
        <v>3704</v>
      </c>
      <c r="C2792" t="s">
        <v>86</v>
      </c>
      <c r="D2792" s="1" t="s">
        <v>3705</v>
      </c>
    </row>
    <row r="2793" spans="1:4" hidden="1" x14ac:dyDescent="0.3">
      <c r="A2793">
        <v>2791</v>
      </c>
      <c r="B2793" t="s">
        <v>3706</v>
      </c>
      <c r="C2793" t="s">
        <v>89</v>
      </c>
      <c r="D2793">
        <v>103003860.777784</v>
      </c>
    </row>
    <row r="2794" spans="1:4" hidden="1" x14ac:dyDescent="0.3">
      <c r="A2794">
        <v>2792</v>
      </c>
      <c r="B2794" s="1" t="s">
        <v>3707</v>
      </c>
      <c r="C2794" t="s">
        <v>91</v>
      </c>
      <c r="D2794" s="1" t="s">
        <v>3641</v>
      </c>
    </row>
    <row r="2795" spans="1:4" hidden="1" x14ac:dyDescent="0.3">
      <c r="A2795">
        <v>2793</v>
      </c>
      <c r="B2795" t="s">
        <v>3708</v>
      </c>
      <c r="C2795" t="s">
        <v>94</v>
      </c>
      <c r="D2795">
        <v>76364668.869372904</v>
      </c>
    </row>
    <row r="2796" spans="1:4" hidden="1" x14ac:dyDescent="0.3">
      <c r="A2796">
        <v>2794</v>
      </c>
      <c r="B2796" t="s">
        <v>3709</v>
      </c>
      <c r="C2796" t="s">
        <v>96</v>
      </c>
      <c r="D2796">
        <v>34925781.503022499</v>
      </c>
    </row>
    <row r="2797" spans="1:4" hidden="1" x14ac:dyDescent="0.3">
      <c r="A2797">
        <v>2795</v>
      </c>
      <c r="B2797" t="s">
        <v>3710</v>
      </c>
      <c r="C2797" t="s">
        <v>98</v>
      </c>
      <c r="D2797">
        <v>38052490.605821602</v>
      </c>
    </row>
    <row r="2798" spans="1:4" hidden="1" x14ac:dyDescent="0.3">
      <c r="A2798">
        <v>2796</v>
      </c>
      <c r="B2798" s="1" t="s">
        <v>3711</v>
      </c>
      <c r="C2798" t="s">
        <v>100</v>
      </c>
      <c r="D2798" s="1" t="s">
        <v>3712</v>
      </c>
    </row>
    <row r="2799" spans="1:4" hidden="1" x14ac:dyDescent="0.3">
      <c r="A2799">
        <v>2797</v>
      </c>
      <c r="B2799" t="s">
        <v>3713</v>
      </c>
      <c r="C2799" t="s">
        <v>103</v>
      </c>
      <c r="D2799">
        <v>8.6931646061747907E-3</v>
      </c>
    </row>
    <row r="2800" spans="1:4" hidden="1" x14ac:dyDescent="0.3">
      <c r="A2800">
        <v>2798</v>
      </c>
      <c r="B2800" t="s">
        <v>3714</v>
      </c>
      <c r="C2800" t="s">
        <v>105</v>
      </c>
      <c r="D2800">
        <v>3.1873799525019499E-3</v>
      </c>
    </row>
    <row r="2801" spans="1:4" hidden="1" x14ac:dyDescent="0.3">
      <c r="A2801">
        <v>2799</v>
      </c>
      <c r="B2801" t="s">
        <v>3715</v>
      </c>
      <c r="C2801" t="s">
        <v>107</v>
      </c>
      <c r="D2801">
        <v>1.10112950290256E-2</v>
      </c>
    </row>
    <row r="2802" spans="1:4" hidden="1" x14ac:dyDescent="0.3">
      <c r="A2802">
        <v>2800</v>
      </c>
      <c r="B2802" s="1" t="s">
        <v>3716</v>
      </c>
      <c r="C2802" t="s">
        <v>109</v>
      </c>
      <c r="D2802" s="1" t="s">
        <v>3717</v>
      </c>
    </row>
    <row r="2803" spans="1:4" hidden="1" x14ac:dyDescent="0.3">
      <c r="A2803">
        <v>2801</v>
      </c>
      <c r="B2803" t="s">
        <v>3718</v>
      </c>
      <c r="C2803" t="s">
        <v>208</v>
      </c>
      <c r="D2803">
        <v>149344338.400273</v>
      </c>
    </row>
    <row r="2804" spans="1:4" hidden="1" x14ac:dyDescent="0.3">
      <c r="A2804">
        <v>2802</v>
      </c>
      <c r="B2804" t="s">
        <v>3719</v>
      </c>
      <c r="C2804" t="s">
        <v>210</v>
      </c>
      <c r="D2804">
        <v>-3031.3146285887001</v>
      </c>
    </row>
    <row r="2805" spans="1:4" hidden="1" x14ac:dyDescent="0.3">
      <c r="A2805">
        <v>2803</v>
      </c>
      <c r="B2805" t="s">
        <v>3720</v>
      </c>
      <c r="C2805" t="s">
        <v>212</v>
      </c>
      <c r="D2805">
        <v>-1386.37911029054</v>
      </c>
    </row>
    <row r="2806" spans="1:4" hidden="1" x14ac:dyDescent="0.3">
      <c r="A2806">
        <v>2804</v>
      </c>
      <c r="B2806" s="1" t="s">
        <v>3721</v>
      </c>
      <c r="C2806" t="s">
        <v>214</v>
      </c>
      <c r="D2806" s="1" t="s">
        <v>3722</v>
      </c>
    </row>
    <row r="2807" spans="1:4" hidden="1" x14ac:dyDescent="0.3">
      <c r="A2807">
        <v>2805</v>
      </c>
      <c r="B2807" t="s">
        <v>3723</v>
      </c>
      <c r="C2807" t="s">
        <v>217</v>
      </c>
      <c r="D2807">
        <v>76368624.412487507</v>
      </c>
    </row>
    <row r="2808" spans="1:4" hidden="1" x14ac:dyDescent="0.3">
      <c r="A2808">
        <v>2806</v>
      </c>
      <c r="B2808" t="s">
        <v>3724</v>
      </c>
      <c r="C2808" t="s">
        <v>219</v>
      </c>
      <c r="D2808">
        <v>34927375.9208524</v>
      </c>
    </row>
    <row r="2809" spans="1:4" hidden="1" x14ac:dyDescent="0.3">
      <c r="A2809">
        <v>2807</v>
      </c>
      <c r="B2809" t="s">
        <v>3725</v>
      </c>
      <c r="C2809" t="s">
        <v>221</v>
      </c>
      <c r="D2809">
        <v>38054266.256047502</v>
      </c>
    </row>
    <row r="2810" spans="1:4" hidden="1" x14ac:dyDescent="0.3">
      <c r="A2810">
        <v>2808</v>
      </c>
      <c r="B2810" s="1" t="s">
        <v>3726</v>
      </c>
      <c r="C2810" t="s">
        <v>223</v>
      </c>
      <c r="D2810" s="1" t="s">
        <v>3727</v>
      </c>
    </row>
    <row r="2811" spans="1:4" hidden="1" x14ac:dyDescent="0.3">
      <c r="A2811">
        <v>2809</v>
      </c>
      <c r="B2811" t="s">
        <v>3728</v>
      </c>
      <c r="C2811" t="s">
        <v>226</v>
      </c>
      <c r="D2811">
        <v>103007949.492313</v>
      </c>
    </row>
    <row r="2812" spans="1:4" hidden="1" x14ac:dyDescent="0.3">
      <c r="A2812">
        <v>2810</v>
      </c>
      <c r="B2812" t="s">
        <v>3729</v>
      </c>
      <c r="C2812" t="s">
        <v>228</v>
      </c>
      <c r="D2812">
        <v>-4088.7145285010301</v>
      </c>
    </row>
    <row r="2813" spans="1:4" hidden="1" x14ac:dyDescent="0.3">
      <c r="A2813">
        <v>2811</v>
      </c>
      <c r="B2813" s="1" t="s">
        <v>3730</v>
      </c>
      <c r="C2813" t="s">
        <v>230</v>
      </c>
      <c r="D2813" s="1" t="s">
        <v>3731</v>
      </c>
    </row>
    <row r="2814" spans="1:4" hidden="1" x14ac:dyDescent="0.3">
      <c r="A2814">
        <v>2812</v>
      </c>
      <c r="B2814" t="s">
        <v>3732</v>
      </c>
      <c r="C2814" t="s">
        <v>112</v>
      </c>
      <c r="D2814">
        <v>924.22848600690998</v>
      </c>
    </row>
    <row r="2815" spans="1:4" hidden="1" x14ac:dyDescent="0.3">
      <c r="A2815">
        <v>2813</v>
      </c>
      <c r="B2815" t="s">
        <v>3733</v>
      </c>
      <c r="C2815" t="s">
        <v>114</v>
      </c>
      <c r="D2815">
        <v>208.038719541566</v>
      </c>
    </row>
    <row r="2816" spans="1:4" hidden="1" x14ac:dyDescent="0.3">
      <c r="A2816">
        <v>2814</v>
      </c>
      <c r="B2816" s="1" t="s">
        <v>3734</v>
      </c>
      <c r="C2816" t="s">
        <v>116</v>
      </c>
      <c r="D2816" s="1" t="s">
        <v>3735</v>
      </c>
    </row>
    <row r="2817" spans="1:4" hidden="1" x14ac:dyDescent="0.3">
      <c r="A2817">
        <v>2815</v>
      </c>
      <c r="B2817" t="s">
        <v>3736</v>
      </c>
      <c r="C2817" t="s">
        <v>119</v>
      </c>
      <c r="D2817">
        <v>76368624.412487507</v>
      </c>
    </row>
    <row r="2818" spans="1:4" hidden="1" x14ac:dyDescent="0.3">
      <c r="A2818">
        <v>2816</v>
      </c>
      <c r="B2818" t="s">
        <v>3737</v>
      </c>
      <c r="C2818" t="s">
        <v>121</v>
      </c>
      <c r="D2818">
        <v>34927375.9208524</v>
      </c>
    </row>
    <row r="2819" spans="1:4" hidden="1" x14ac:dyDescent="0.3">
      <c r="A2819">
        <v>2817</v>
      </c>
      <c r="B2819" s="1" t="s">
        <v>3738</v>
      </c>
      <c r="C2819" t="s">
        <v>123</v>
      </c>
      <c r="D2819" s="1" t="s">
        <v>3739</v>
      </c>
    </row>
    <row r="2820" spans="1:4" hidden="1" x14ac:dyDescent="0.3">
      <c r="A2820">
        <v>2818</v>
      </c>
      <c r="B2820" t="s">
        <v>3740</v>
      </c>
      <c r="C2820" t="s">
        <v>126</v>
      </c>
      <c r="D2820">
        <v>0.74146093772930499</v>
      </c>
    </row>
    <row r="2821" spans="1:4" hidden="1" x14ac:dyDescent="0.3">
      <c r="A2821">
        <v>2819</v>
      </c>
      <c r="B2821" t="s">
        <v>3741</v>
      </c>
      <c r="C2821" t="s">
        <v>128</v>
      </c>
      <c r="D2821">
        <v>0.33910896132973301</v>
      </c>
    </row>
    <row r="2822" spans="1:4" hidden="1" x14ac:dyDescent="0.3">
      <c r="A2822">
        <v>2820</v>
      </c>
      <c r="B2822" s="1" t="s">
        <v>3742</v>
      </c>
      <c r="C2822" t="s">
        <v>130</v>
      </c>
      <c r="D2822" s="1" t="s">
        <v>3743</v>
      </c>
    </row>
    <row r="2823" spans="1:4" ht="72" x14ac:dyDescent="0.3">
      <c r="A2823">
        <v>2821</v>
      </c>
      <c r="B2823" s="1" t="s">
        <v>3744</v>
      </c>
      <c r="C2823" t="s">
        <v>4</v>
      </c>
      <c r="D2823" t="s">
        <v>3745</v>
      </c>
    </row>
    <row r="2824" spans="1:4" hidden="1" x14ac:dyDescent="0.3">
      <c r="A2824">
        <v>2822</v>
      </c>
      <c r="B2824" t="s">
        <v>3746</v>
      </c>
      <c r="C2824" t="s">
        <v>7</v>
      </c>
      <c r="D2824">
        <v>1751.19</v>
      </c>
    </row>
    <row r="2825" spans="1:4" hidden="1" x14ac:dyDescent="0.3">
      <c r="A2825">
        <v>2823</v>
      </c>
      <c r="B2825" s="1" t="s">
        <v>3747</v>
      </c>
      <c r="C2825" t="s">
        <v>9</v>
      </c>
      <c r="D2825" s="1" t="s">
        <v>3748</v>
      </c>
    </row>
    <row r="2826" spans="1:4" hidden="1" x14ac:dyDescent="0.3">
      <c r="A2826">
        <v>2824</v>
      </c>
      <c r="B2826" t="s">
        <v>3749</v>
      </c>
      <c r="C2826" t="s">
        <v>14</v>
      </c>
      <c r="D2826">
        <v>90.53125</v>
      </c>
    </row>
    <row r="2827" spans="1:4" hidden="1" x14ac:dyDescent="0.3">
      <c r="A2827">
        <v>2825</v>
      </c>
      <c r="B2827" t="s">
        <v>3750</v>
      </c>
      <c r="C2827" t="s">
        <v>16</v>
      </c>
      <c r="D2827">
        <v>4.2728109472967297</v>
      </c>
    </row>
    <row r="2828" spans="1:4" hidden="1" x14ac:dyDescent="0.3">
      <c r="A2828">
        <v>2826</v>
      </c>
      <c r="B2828" s="1" t="s">
        <v>3751</v>
      </c>
      <c r="C2828" t="s">
        <v>140</v>
      </c>
      <c r="D2828" s="1" t="s">
        <v>3752</v>
      </c>
    </row>
    <row r="2829" spans="1:4" hidden="1" x14ac:dyDescent="0.3">
      <c r="A2829">
        <v>2827</v>
      </c>
      <c r="B2829" t="s">
        <v>3753</v>
      </c>
      <c r="C2829" t="s">
        <v>22</v>
      </c>
      <c r="D2829">
        <v>61</v>
      </c>
    </row>
    <row r="2830" spans="1:4" hidden="1" x14ac:dyDescent="0.3">
      <c r="A2830">
        <v>2828</v>
      </c>
      <c r="B2830" t="s">
        <v>3754</v>
      </c>
      <c r="C2830" t="s">
        <v>24</v>
      </c>
      <c r="D2830">
        <v>5.6984971331812702</v>
      </c>
    </row>
    <row r="2831" spans="1:4" hidden="1" x14ac:dyDescent="0.3">
      <c r="A2831">
        <v>2829</v>
      </c>
      <c r="B2831" s="1" t="s">
        <v>3755</v>
      </c>
      <c r="C2831" t="s">
        <v>145</v>
      </c>
      <c r="D2831" s="1" t="s">
        <v>3756</v>
      </c>
    </row>
    <row r="2832" spans="1:4" hidden="1" x14ac:dyDescent="0.3">
      <c r="A2832">
        <v>2830</v>
      </c>
      <c r="B2832" t="s">
        <v>3757</v>
      </c>
      <c r="C2832" t="s">
        <v>35</v>
      </c>
      <c r="D2832">
        <v>-0.30569536645513201</v>
      </c>
    </row>
    <row r="2833" spans="1:4" hidden="1" x14ac:dyDescent="0.3">
      <c r="A2833">
        <v>2831</v>
      </c>
      <c r="B2833" t="s">
        <v>3758</v>
      </c>
      <c r="C2833" t="s">
        <v>149</v>
      </c>
      <c r="D2833">
        <v>0.544104854303048</v>
      </c>
    </row>
    <row r="2834" spans="1:4" hidden="1" x14ac:dyDescent="0.3">
      <c r="A2834">
        <v>2832</v>
      </c>
      <c r="B2834" s="1" t="s">
        <v>3759</v>
      </c>
      <c r="C2834" t="s">
        <v>151</v>
      </c>
      <c r="D2834" s="1" t="s">
        <v>3760</v>
      </c>
    </row>
    <row r="2835" spans="1:4" hidden="1" x14ac:dyDescent="0.3">
      <c r="A2835">
        <v>2833</v>
      </c>
      <c r="B2835" t="s">
        <v>3761</v>
      </c>
      <c r="C2835" t="s">
        <v>30</v>
      </c>
      <c r="D2835">
        <v>0.54307082984078703</v>
      </c>
    </row>
    <row r="2836" spans="1:4" hidden="1" x14ac:dyDescent="0.3">
      <c r="A2836">
        <v>2834</v>
      </c>
      <c r="B2836" t="s">
        <v>3762</v>
      </c>
      <c r="C2836" t="s">
        <v>32</v>
      </c>
      <c r="D2836">
        <v>0.41841083322246903</v>
      </c>
    </row>
    <row r="2837" spans="1:4" hidden="1" x14ac:dyDescent="0.3">
      <c r="A2837">
        <v>2835</v>
      </c>
      <c r="B2837" s="1" t="s">
        <v>3763</v>
      </c>
      <c r="C2837" t="s">
        <v>155</v>
      </c>
      <c r="D2837" s="1" t="s">
        <v>3764</v>
      </c>
    </row>
    <row r="2838" spans="1:4" hidden="1" x14ac:dyDescent="0.3">
      <c r="A2838">
        <v>2836</v>
      </c>
      <c r="B2838" t="s">
        <v>3765</v>
      </c>
      <c r="C2838" t="s">
        <v>40</v>
      </c>
      <c r="D2838">
        <v>0.76262453661434504</v>
      </c>
    </row>
    <row r="2839" spans="1:4" hidden="1" x14ac:dyDescent="0.3">
      <c r="A2839">
        <v>2837</v>
      </c>
      <c r="B2839" t="s">
        <v>3766</v>
      </c>
      <c r="C2839" t="s">
        <v>42</v>
      </c>
      <c r="D2839">
        <v>0.41947021505620202</v>
      </c>
    </row>
    <row r="2840" spans="1:4" hidden="1" x14ac:dyDescent="0.3">
      <c r="A2840">
        <v>2838</v>
      </c>
      <c r="B2840" s="1" t="s">
        <v>3767</v>
      </c>
      <c r="C2840" t="s">
        <v>159</v>
      </c>
      <c r="D2840" s="1" t="s">
        <v>3768</v>
      </c>
    </row>
    <row r="2841" spans="1:4" hidden="1" x14ac:dyDescent="0.3">
      <c r="A2841">
        <v>2839</v>
      </c>
      <c r="B2841" t="s">
        <v>3769</v>
      </c>
      <c r="C2841" t="s">
        <v>161</v>
      </c>
      <c r="D2841">
        <v>1.0017389812087001</v>
      </c>
    </row>
    <row r="2842" spans="1:4" hidden="1" x14ac:dyDescent="0.3">
      <c r="A2842">
        <v>2840</v>
      </c>
      <c r="B2842" t="s">
        <v>3770</v>
      </c>
      <c r="C2842" t="s">
        <v>163</v>
      </c>
      <c r="D2842">
        <v>0.99818960015263403</v>
      </c>
    </row>
    <row r="2843" spans="1:4" hidden="1" x14ac:dyDescent="0.3">
      <c r="A2843">
        <v>2841</v>
      </c>
      <c r="B2843" s="1" t="s">
        <v>3771</v>
      </c>
      <c r="C2843" t="s">
        <v>165</v>
      </c>
      <c r="D2843" s="1" t="s">
        <v>3772</v>
      </c>
    </row>
    <row r="2844" spans="1:4" hidden="1" x14ac:dyDescent="0.3">
      <c r="A2844">
        <v>2842</v>
      </c>
      <c r="B2844" t="s">
        <v>3773</v>
      </c>
      <c r="C2844" t="s">
        <v>168</v>
      </c>
      <c r="D2844">
        <v>1.0002621983356399</v>
      </c>
    </row>
    <row r="2845" spans="1:4" hidden="1" x14ac:dyDescent="0.3">
      <c r="A2845">
        <v>2843</v>
      </c>
      <c r="B2845" t="s">
        <v>3774</v>
      </c>
      <c r="C2845" t="s">
        <v>170</v>
      </c>
      <c r="D2845">
        <v>0.99958004896345298</v>
      </c>
    </row>
    <row r="2846" spans="1:4" hidden="1" x14ac:dyDescent="0.3">
      <c r="A2846">
        <v>2844</v>
      </c>
      <c r="B2846" s="1" t="s">
        <v>3775</v>
      </c>
      <c r="C2846" t="s">
        <v>172</v>
      </c>
      <c r="D2846" s="1" t="s">
        <v>3776</v>
      </c>
    </row>
    <row r="2847" spans="1:4" hidden="1" x14ac:dyDescent="0.3">
      <c r="A2847">
        <v>2845</v>
      </c>
      <c r="B2847" s="1" t="s">
        <v>3777</v>
      </c>
      <c r="C2847" t="s">
        <v>55</v>
      </c>
      <c r="D2847" s="1" t="s">
        <v>3778</v>
      </c>
    </row>
    <row r="2848" spans="1:4" hidden="1" x14ac:dyDescent="0.3">
      <c r="A2848">
        <v>2846</v>
      </c>
      <c r="B2848" s="1" t="s">
        <v>3779</v>
      </c>
      <c r="C2848" t="s">
        <v>52</v>
      </c>
      <c r="D2848" s="1" t="s">
        <v>3780</v>
      </c>
    </row>
    <row r="2849" spans="1:4" hidden="1" x14ac:dyDescent="0.3">
      <c r="A2849">
        <v>2847</v>
      </c>
      <c r="B2849" s="1" t="s">
        <v>3781</v>
      </c>
      <c r="C2849" t="s">
        <v>58</v>
      </c>
      <c r="D2849" s="1" t="s">
        <v>3782</v>
      </c>
    </row>
    <row r="2850" spans="1:4" hidden="1" x14ac:dyDescent="0.3">
      <c r="A2850">
        <v>2848</v>
      </c>
      <c r="B2850" t="s">
        <v>3783</v>
      </c>
      <c r="C2850" t="s">
        <v>61</v>
      </c>
      <c r="D2850">
        <v>149020795.49831501</v>
      </c>
    </row>
    <row r="2851" spans="1:4" hidden="1" x14ac:dyDescent="0.3">
      <c r="A2851">
        <v>2849</v>
      </c>
      <c r="B2851" t="s">
        <v>3784</v>
      </c>
      <c r="C2851" t="s">
        <v>63</v>
      </c>
      <c r="D2851">
        <v>76501428.015275493</v>
      </c>
    </row>
    <row r="2852" spans="1:4" hidden="1" x14ac:dyDescent="0.3">
      <c r="A2852">
        <v>2850</v>
      </c>
      <c r="B2852" t="s">
        <v>3785</v>
      </c>
      <c r="C2852" t="s">
        <v>65</v>
      </c>
      <c r="D2852">
        <v>34864143.404816397</v>
      </c>
    </row>
    <row r="2853" spans="1:4" hidden="1" x14ac:dyDescent="0.3">
      <c r="A2853">
        <v>2851</v>
      </c>
      <c r="B2853" s="1" t="s">
        <v>3786</v>
      </c>
      <c r="C2853" t="s">
        <v>67</v>
      </c>
      <c r="D2853" s="1" t="s">
        <v>3787</v>
      </c>
    </row>
    <row r="2854" spans="1:4" hidden="1" x14ac:dyDescent="0.3">
      <c r="A2854">
        <v>2852</v>
      </c>
      <c r="B2854" s="1" t="s">
        <v>3788</v>
      </c>
      <c r="C2854" t="s">
        <v>70</v>
      </c>
      <c r="D2854" s="1" t="s">
        <v>3789</v>
      </c>
    </row>
    <row r="2855" spans="1:4" hidden="1" x14ac:dyDescent="0.3">
      <c r="A2855">
        <v>2853</v>
      </c>
      <c r="B2855" t="s">
        <v>3790</v>
      </c>
      <c r="C2855" t="s">
        <v>73</v>
      </c>
      <c r="D2855">
        <v>0.99989857580855801</v>
      </c>
    </row>
    <row r="2856" spans="1:4" hidden="1" x14ac:dyDescent="0.3">
      <c r="A2856">
        <v>2854</v>
      </c>
      <c r="B2856" t="s">
        <v>74</v>
      </c>
      <c r="C2856" t="s">
        <v>75</v>
      </c>
      <c r="D2856">
        <v>2.7397260273972599E-3</v>
      </c>
    </row>
    <row r="2857" spans="1:4" hidden="1" x14ac:dyDescent="0.3">
      <c r="A2857">
        <v>2855</v>
      </c>
      <c r="B2857" t="s">
        <v>76</v>
      </c>
      <c r="C2857" t="s">
        <v>77</v>
      </c>
      <c r="D2857">
        <v>0</v>
      </c>
    </row>
    <row r="2858" spans="1:4" hidden="1" x14ac:dyDescent="0.3">
      <c r="A2858">
        <v>2856</v>
      </c>
      <c r="B2858" t="s">
        <v>78</v>
      </c>
      <c r="C2858" t="s">
        <v>79</v>
      </c>
      <c r="D2858">
        <v>0</v>
      </c>
    </row>
    <row r="2859" spans="1:4" hidden="1" x14ac:dyDescent="0.3">
      <c r="A2859">
        <v>2857</v>
      </c>
      <c r="B2859" s="1" t="s">
        <v>3791</v>
      </c>
      <c r="C2859" t="s">
        <v>81</v>
      </c>
      <c r="D2859" s="1" t="s">
        <v>3792</v>
      </c>
    </row>
    <row r="2860" spans="1:4" hidden="1" x14ac:dyDescent="0.3">
      <c r="A2860">
        <v>2858</v>
      </c>
      <c r="B2860" t="s">
        <v>3793</v>
      </c>
      <c r="C2860" t="s">
        <v>84</v>
      </c>
      <c r="D2860">
        <v>0.99989135140778895</v>
      </c>
    </row>
    <row r="2861" spans="1:4" hidden="1" x14ac:dyDescent="0.3">
      <c r="A2861">
        <v>2859</v>
      </c>
      <c r="B2861" s="1" t="s">
        <v>3794</v>
      </c>
      <c r="C2861" t="s">
        <v>86</v>
      </c>
      <c r="D2861" s="1" t="s">
        <v>3795</v>
      </c>
    </row>
    <row r="2862" spans="1:4" hidden="1" x14ac:dyDescent="0.3">
      <c r="A2862">
        <v>2860</v>
      </c>
      <c r="B2862" t="s">
        <v>3796</v>
      </c>
      <c r="C2862" t="s">
        <v>89</v>
      </c>
      <c r="D2862">
        <v>103004604.999814</v>
      </c>
    </row>
    <row r="2863" spans="1:4" hidden="1" x14ac:dyDescent="0.3">
      <c r="A2863">
        <v>2861</v>
      </c>
      <c r="B2863" s="1" t="s">
        <v>3797</v>
      </c>
      <c r="C2863" t="s">
        <v>91</v>
      </c>
      <c r="D2863" s="1" t="s">
        <v>3731</v>
      </c>
    </row>
    <row r="2864" spans="1:4" hidden="1" x14ac:dyDescent="0.3">
      <c r="A2864">
        <v>2862</v>
      </c>
      <c r="B2864" t="s">
        <v>3798</v>
      </c>
      <c r="C2864" t="s">
        <v>94</v>
      </c>
      <c r="D2864">
        <v>76501428.015275493</v>
      </c>
    </row>
    <row r="2865" spans="1:4" hidden="1" x14ac:dyDescent="0.3">
      <c r="A2865">
        <v>2863</v>
      </c>
      <c r="B2865" t="s">
        <v>3799</v>
      </c>
      <c r="C2865" t="s">
        <v>96</v>
      </c>
      <c r="D2865">
        <v>34864143.404816397</v>
      </c>
    </row>
    <row r="2866" spans="1:4" hidden="1" x14ac:dyDescent="0.3">
      <c r="A2866">
        <v>2864</v>
      </c>
      <c r="B2866" t="s">
        <v>3800</v>
      </c>
      <c r="C2866" t="s">
        <v>98</v>
      </c>
      <c r="D2866">
        <v>37655224.078223497</v>
      </c>
    </row>
    <row r="2867" spans="1:4" hidden="1" x14ac:dyDescent="0.3">
      <c r="A2867">
        <v>2865</v>
      </c>
      <c r="B2867" s="1" t="s">
        <v>3801</v>
      </c>
      <c r="C2867" t="s">
        <v>100</v>
      </c>
      <c r="D2867" s="1" t="s">
        <v>3802</v>
      </c>
    </row>
    <row r="2868" spans="1:4" hidden="1" x14ac:dyDescent="0.3">
      <c r="A2868">
        <v>2866</v>
      </c>
      <c r="B2868" t="s">
        <v>3803</v>
      </c>
      <c r="C2868" t="s">
        <v>103</v>
      </c>
      <c r="D2868">
        <v>8.6904134538953494E-3</v>
      </c>
    </row>
    <row r="2869" spans="1:4" hidden="1" x14ac:dyDescent="0.3">
      <c r="A2869">
        <v>2867</v>
      </c>
      <c r="B2869" t="s">
        <v>3804</v>
      </c>
      <c r="C2869" t="s">
        <v>105</v>
      </c>
      <c r="D2869">
        <v>3.1822712898718001E-3</v>
      </c>
    </row>
    <row r="2870" spans="1:4" hidden="1" x14ac:dyDescent="0.3">
      <c r="A2870">
        <v>2868</v>
      </c>
      <c r="B2870" t="s">
        <v>3805</v>
      </c>
      <c r="C2870" t="s">
        <v>107</v>
      </c>
      <c r="D2870">
        <v>1.10562550609495E-2</v>
      </c>
    </row>
    <row r="2871" spans="1:4" hidden="1" x14ac:dyDescent="0.3">
      <c r="A2871">
        <v>2869</v>
      </c>
      <c r="B2871" s="1" t="s">
        <v>3806</v>
      </c>
      <c r="C2871" t="s">
        <v>109</v>
      </c>
      <c r="D2871" s="1" t="s">
        <v>3807</v>
      </c>
    </row>
    <row r="2872" spans="1:4" hidden="1" x14ac:dyDescent="0.3">
      <c r="A2872">
        <v>2870</v>
      </c>
      <c r="B2872" t="s">
        <v>3808</v>
      </c>
      <c r="C2872" t="s">
        <v>208</v>
      </c>
      <c r="D2872">
        <v>149020540.861283</v>
      </c>
    </row>
    <row r="2873" spans="1:4" hidden="1" x14ac:dyDescent="0.3">
      <c r="A2873">
        <v>2871</v>
      </c>
      <c r="B2873" t="s">
        <v>3809</v>
      </c>
      <c r="C2873" t="s">
        <v>210</v>
      </c>
      <c r="D2873">
        <v>552.73165580316902</v>
      </c>
    </row>
    <row r="2874" spans="1:4" hidden="1" x14ac:dyDescent="0.3">
      <c r="A2874">
        <v>2872</v>
      </c>
      <c r="B2874" t="s">
        <v>3810</v>
      </c>
      <c r="C2874" t="s">
        <v>212</v>
      </c>
      <c r="D2874">
        <v>251.89787435092899</v>
      </c>
    </row>
    <row r="2875" spans="1:4" hidden="1" x14ac:dyDescent="0.3">
      <c r="A2875">
        <v>2873</v>
      </c>
      <c r="B2875" s="1" t="s">
        <v>3811</v>
      </c>
      <c r="C2875" t="s">
        <v>214</v>
      </c>
      <c r="D2875" s="1" t="s">
        <v>3812</v>
      </c>
    </row>
    <row r="2876" spans="1:4" hidden="1" x14ac:dyDescent="0.3">
      <c r="A2876">
        <v>2874</v>
      </c>
      <c r="B2876" t="s">
        <v>3813</v>
      </c>
      <c r="C2876" t="s">
        <v>217</v>
      </c>
      <c r="D2876">
        <v>76500684.275803193</v>
      </c>
    </row>
    <row r="2877" spans="1:4" hidden="1" x14ac:dyDescent="0.3">
      <c r="A2877">
        <v>2875</v>
      </c>
      <c r="B2877" t="s">
        <v>3814</v>
      </c>
      <c r="C2877" t="s">
        <v>219</v>
      </c>
      <c r="D2877">
        <v>34863861.248302802</v>
      </c>
    </row>
    <row r="2878" spans="1:4" hidden="1" x14ac:dyDescent="0.3">
      <c r="A2878">
        <v>2876</v>
      </c>
      <c r="B2878" t="s">
        <v>3815</v>
      </c>
      <c r="C2878" t="s">
        <v>221</v>
      </c>
      <c r="D2878">
        <v>37654918.643864699</v>
      </c>
    </row>
    <row r="2879" spans="1:4" hidden="1" x14ac:dyDescent="0.3">
      <c r="A2879">
        <v>2877</v>
      </c>
      <c r="B2879" s="1" t="s">
        <v>3816</v>
      </c>
      <c r="C2879" t="s">
        <v>223</v>
      </c>
      <c r="D2879" s="1" t="s">
        <v>3817</v>
      </c>
    </row>
    <row r="2880" spans="1:4" hidden="1" x14ac:dyDescent="0.3">
      <c r="A2880">
        <v>2878</v>
      </c>
      <c r="B2880" t="s">
        <v>3818</v>
      </c>
      <c r="C2880" t="s">
        <v>226</v>
      </c>
      <c r="D2880">
        <v>103003860.777784</v>
      </c>
    </row>
    <row r="2881" spans="1:4" hidden="1" x14ac:dyDescent="0.3">
      <c r="A2881">
        <v>2879</v>
      </c>
      <c r="B2881" t="s">
        <v>3819</v>
      </c>
      <c r="C2881" t="s">
        <v>228</v>
      </c>
      <c r="D2881">
        <v>744.222029656171</v>
      </c>
    </row>
    <row r="2882" spans="1:4" hidden="1" x14ac:dyDescent="0.3">
      <c r="A2882">
        <v>2880</v>
      </c>
      <c r="B2882" s="1" t="s">
        <v>3820</v>
      </c>
      <c r="C2882" t="s">
        <v>230</v>
      </c>
      <c r="D2882" s="1" t="s">
        <v>3821</v>
      </c>
    </row>
    <row r="2883" spans="1:4" hidden="1" x14ac:dyDescent="0.3">
      <c r="A2883">
        <v>2881</v>
      </c>
      <c r="B2883" t="s">
        <v>3822</v>
      </c>
      <c r="C2883" t="s">
        <v>112</v>
      </c>
      <c r="D2883">
        <v>-191.007816557729</v>
      </c>
    </row>
    <row r="2884" spans="1:4" hidden="1" x14ac:dyDescent="0.3">
      <c r="A2884">
        <v>2882</v>
      </c>
      <c r="B2884" t="s">
        <v>3823</v>
      </c>
      <c r="C2884" t="s">
        <v>114</v>
      </c>
      <c r="D2884">
        <v>-30.258639177647801</v>
      </c>
    </row>
    <row r="2885" spans="1:4" hidden="1" x14ac:dyDescent="0.3">
      <c r="A2885">
        <v>2883</v>
      </c>
      <c r="B2885" s="1" t="s">
        <v>3824</v>
      </c>
      <c r="C2885" t="s">
        <v>116</v>
      </c>
      <c r="D2885" s="1" t="s">
        <v>3825</v>
      </c>
    </row>
    <row r="2886" spans="1:4" hidden="1" x14ac:dyDescent="0.3">
      <c r="A2886">
        <v>2884</v>
      </c>
      <c r="B2886" t="s">
        <v>3826</v>
      </c>
      <c r="C2886" t="s">
        <v>119</v>
      </c>
      <c r="D2886">
        <v>76500684.275803193</v>
      </c>
    </row>
    <row r="2887" spans="1:4" hidden="1" x14ac:dyDescent="0.3">
      <c r="A2887">
        <v>2885</v>
      </c>
      <c r="B2887" t="s">
        <v>3827</v>
      </c>
      <c r="C2887" t="s">
        <v>121</v>
      </c>
      <c r="D2887">
        <v>34863861.248302802</v>
      </c>
    </row>
    <row r="2888" spans="1:4" hidden="1" x14ac:dyDescent="0.3">
      <c r="A2888">
        <v>2886</v>
      </c>
      <c r="B2888" s="1" t="s">
        <v>3828</v>
      </c>
      <c r="C2888" t="s">
        <v>123</v>
      </c>
      <c r="D2888" s="1" t="s">
        <v>3829</v>
      </c>
    </row>
    <row r="2889" spans="1:4" hidden="1" x14ac:dyDescent="0.3">
      <c r="A2889">
        <v>2887</v>
      </c>
      <c r="B2889" t="s">
        <v>3830</v>
      </c>
      <c r="C2889" t="s">
        <v>126</v>
      </c>
      <c r="D2889">
        <v>0.74277795310664196</v>
      </c>
    </row>
    <row r="2890" spans="1:4" hidden="1" x14ac:dyDescent="0.3">
      <c r="A2890">
        <v>2888</v>
      </c>
      <c r="B2890" t="s">
        <v>3831</v>
      </c>
      <c r="C2890" t="s">
        <v>128</v>
      </c>
      <c r="D2890">
        <v>0.33850818120850701</v>
      </c>
    </row>
    <row r="2891" spans="1:4" hidden="1" x14ac:dyDescent="0.3">
      <c r="A2891">
        <v>2889</v>
      </c>
      <c r="B2891" s="1" t="s">
        <v>3832</v>
      </c>
      <c r="C2891" t="s">
        <v>130</v>
      </c>
      <c r="D2891" s="1" t="s">
        <v>3833</v>
      </c>
    </row>
    <row r="2892" spans="1:4" ht="72" x14ac:dyDescent="0.3">
      <c r="A2892">
        <v>2890</v>
      </c>
      <c r="B2892" s="1" t="s">
        <v>3834</v>
      </c>
      <c r="C2892" t="s">
        <v>4</v>
      </c>
      <c r="D2892" t="s">
        <v>3835</v>
      </c>
    </row>
    <row r="2893" spans="1:4" hidden="1" x14ac:dyDescent="0.3">
      <c r="A2893">
        <v>2891</v>
      </c>
      <c r="B2893" t="s">
        <v>3836</v>
      </c>
      <c r="C2893" t="s">
        <v>7</v>
      </c>
      <c r="D2893">
        <v>1758.71</v>
      </c>
    </row>
    <row r="2894" spans="1:4" hidden="1" x14ac:dyDescent="0.3">
      <c r="A2894">
        <v>2892</v>
      </c>
      <c r="B2894" s="1" t="s">
        <v>3837</v>
      </c>
      <c r="C2894" t="s">
        <v>9</v>
      </c>
      <c r="D2894" s="1" t="s">
        <v>3838</v>
      </c>
    </row>
    <row r="2895" spans="1:4" hidden="1" x14ac:dyDescent="0.3">
      <c r="A2895">
        <v>2893</v>
      </c>
      <c r="B2895" t="s">
        <v>3839</v>
      </c>
      <c r="C2895" t="s">
        <v>14</v>
      </c>
      <c r="D2895">
        <v>90.66015625</v>
      </c>
    </row>
    <row r="2896" spans="1:4" hidden="1" x14ac:dyDescent="0.3">
      <c r="A2896">
        <v>2894</v>
      </c>
      <c r="B2896" t="s">
        <v>3840</v>
      </c>
      <c r="C2896" t="s">
        <v>16</v>
      </c>
      <c r="D2896">
        <v>4.2783475512580402</v>
      </c>
    </row>
    <row r="2897" spans="1:4" hidden="1" x14ac:dyDescent="0.3">
      <c r="A2897">
        <v>2895</v>
      </c>
      <c r="B2897" s="1" t="s">
        <v>3841</v>
      </c>
      <c r="C2897" t="s">
        <v>140</v>
      </c>
      <c r="D2897" s="1" t="s">
        <v>3842</v>
      </c>
    </row>
    <row r="2898" spans="1:4" hidden="1" x14ac:dyDescent="0.3">
      <c r="A2898">
        <v>2896</v>
      </c>
      <c r="B2898" t="s">
        <v>3843</v>
      </c>
      <c r="C2898" t="s">
        <v>22</v>
      </c>
      <c r="D2898">
        <v>61.55</v>
      </c>
    </row>
    <row r="2899" spans="1:4" hidden="1" x14ac:dyDescent="0.3">
      <c r="A2899">
        <v>2897</v>
      </c>
      <c r="B2899" t="s">
        <v>3844</v>
      </c>
      <c r="C2899" t="s">
        <v>24</v>
      </c>
      <c r="D2899">
        <v>5.7245563722366901</v>
      </c>
    </row>
    <row r="2900" spans="1:4" hidden="1" x14ac:dyDescent="0.3">
      <c r="A2900">
        <v>2898</v>
      </c>
      <c r="B2900" s="1" t="s">
        <v>3845</v>
      </c>
      <c r="C2900" t="s">
        <v>145</v>
      </c>
      <c r="D2900" s="1" t="s">
        <v>3846</v>
      </c>
    </row>
    <row r="2901" spans="1:4" hidden="1" x14ac:dyDescent="0.3">
      <c r="A2901">
        <v>2899</v>
      </c>
      <c r="B2901" t="s">
        <v>3847</v>
      </c>
      <c r="C2901" t="s">
        <v>35</v>
      </c>
      <c r="D2901">
        <v>-0.55064916166867595</v>
      </c>
    </row>
    <row r="2902" spans="1:4" hidden="1" x14ac:dyDescent="0.3">
      <c r="A2902">
        <v>2900</v>
      </c>
      <c r="B2902" t="s">
        <v>3848</v>
      </c>
      <c r="C2902" t="s">
        <v>149</v>
      </c>
      <c r="D2902">
        <v>0.54703449449950403</v>
      </c>
    </row>
    <row r="2903" spans="1:4" hidden="1" x14ac:dyDescent="0.3">
      <c r="A2903">
        <v>2901</v>
      </c>
      <c r="B2903" s="1" t="s">
        <v>3849</v>
      </c>
      <c r="C2903" t="s">
        <v>151</v>
      </c>
      <c r="D2903" s="1" t="s">
        <v>3850</v>
      </c>
    </row>
    <row r="2904" spans="1:4" hidden="1" x14ac:dyDescent="0.3">
      <c r="A2904">
        <v>2902</v>
      </c>
      <c r="B2904" t="s">
        <v>3851</v>
      </c>
      <c r="C2904" t="s">
        <v>30</v>
      </c>
      <c r="D2904">
        <v>0.65080361016198496</v>
      </c>
    </row>
    <row r="2905" spans="1:4" hidden="1" x14ac:dyDescent="0.3">
      <c r="A2905">
        <v>2903</v>
      </c>
      <c r="B2905" t="s">
        <v>3852</v>
      </c>
      <c r="C2905" t="s">
        <v>32</v>
      </c>
      <c r="D2905">
        <v>0.41363132409002001</v>
      </c>
    </row>
    <row r="2906" spans="1:4" hidden="1" x14ac:dyDescent="0.3">
      <c r="A2906">
        <v>2904</v>
      </c>
      <c r="B2906" s="1" t="s">
        <v>3853</v>
      </c>
      <c r="C2906" t="s">
        <v>155</v>
      </c>
      <c r="D2906" s="1" t="s">
        <v>3854</v>
      </c>
    </row>
    <row r="2907" spans="1:4" hidden="1" x14ac:dyDescent="0.3">
      <c r="A2907">
        <v>2905</v>
      </c>
      <c r="B2907" t="s">
        <v>3855</v>
      </c>
      <c r="C2907" t="s">
        <v>40</v>
      </c>
      <c r="D2907">
        <v>0.89984555150668999</v>
      </c>
    </row>
    <row r="2908" spans="1:4" hidden="1" x14ac:dyDescent="0.3">
      <c r="A2908">
        <v>2906</v>
      </c>
      <c r="B2908" t="s">
        <v>3856</v>
      </c>
      <c r="C2908" t="s">
        <v>42</v>
      </c>
      <c r="D2908">
        <v>0.41440696244422298</v>
      </c>
    </row>
    <row r="2909" spans="1:4" hidden="1" x14ac:dyDescent="0.3">
      <c r="A2909">
        <v>2907</v>
      </c>
      <c r="B2909" s="1" t="s">
        <v>3857</v>
      </c>
      <c r="C2909" t="s">
        <v>159</v>
      </c>
      <c r="D2909" s="1" t="s">
        <v>3858</v>
      </c>
    </row>
    <row r="2910" spans="1:4" hidden="1" x14ac:dyDescent="0.3">
      <c r="A2910">
        <v>2908</v>
      </c>
      <c r="B2910" t="s">
        <v>3859</v>
      </c>
      <c r="C2910" t="s">
        <v>161</v>
      </c>
      <c r="D2910">
        <v>1.00429422278564</v>
      </c>
    </row>
    <row r="2911" spans="1:4" hidden="1" x14ac:dyDescent="0.3">
      <c r="A2911">
        <v>2909</v>
      </c>
      <c r="B2911" t="s">
        <v>3860</v>
      </c>
      <c r="C2911" t="s">
        <v>163</v>
      </c>
      <c r="D2911">
        <v>1.0014181128172901</v>
      </c>
    </row>
    <row r="2912" spans="1:4" hidden="1" x14ac:dyDescent="0.3">
      <c r="A2912">
        <v>2910</v>
      </c>
      <c r="B2912" s="1" t="s">
        <v>3861</v>
      </c>
      <c r="C2912" t="s">
        <v>165</v>
      </c>
      <c r="D2912" s="1" t="s">
        <v>3862</v>
      </c>
    </row>
    <row r="2913" spans="1:4" hidden="1" x14ac:dyDescent="0.3">
      <c r="A2913">
        <v>2911</v>
      </c>
      <c r="B2913" t="s">
        <v>3863</v>
      </c>
      <c r="C2913" t="s">
        <v>168</v>
      </c>
      <c r="D2913">
        <v>1.0018973065127601</v>
      </c>
    </row>
    <row r="2914" spans="1:4" hidden="1" x14ac:dyDescent="0.3">
      <c r="A2914">
        <v>2912</v>
      </c>
      <c r="B2914" t="s">
        <v>3864</v>
      </c>
      <c r="C2914" t="s">
        <v>170</v>
      </c>
      <c r="D2914">
        <v>0.99663037744742</v>
      </c>
    </row>
    <row r="2915" spans="1:4" hidden="1" x14ac:dyDescent="0.3">
      <c r="A2915">
        <v>2913</v>
      </c>
      <c r="B2915" s="1" t="s">
        <v>3865</v>
      </c>
      <c r="C2915" t="s">
        <v>172</v>
      </c>
      <c r="D2915" s="1" t="s">
        <v>3866</v>
      </c>
    </row>
    <row r="2916" spans="1:4" hidden="1" x14ac:dyDescent="0.3">
      <c r="A2916">
        <v>2914</v>
      </c>
      <c r="B2916" s="1" t="s">
        <v>3867</v>
      </c>
      <c r="C2916" t="s">
        <v>55</v>
      </c>
      <c r="D2916" s="1" t="s">
        <v>3868</v>
      </c>
    </row>
    <row r="2917" spans="1:4" hidden="1" x14ac:dyDescent="0.3">
      <c r="A2917">
        <v>2915</v>
      </c>
      <c r="B2917" s="1" t="s">
        <v>3869</v>
      </c>
      <c r="C2917" t="s">
        <v>52</v>
      </c>
      <c r="D2917" s="1" t="s">
        <v>3870</v>
      </c>
    </row>
    <row r="2918" spans="1:4" hidden="1" x14ac:dyDescent="0.3">
      <c r="A2918">
        <v>2916</v>
      </c>
      <c r="B2918" s="1" t="s">
        <v>3871</v>
      </c>
      <c r="C2918" t="s">
        <v>58</v>
      </c>
      <c r="D2918" s="1" t="s">
        <v>3872</v>
      </c>
    </row>
    <row r="2919" spans="1:4" hidden="1" x14ac:dyDescent="0.3">
      <c r="A2919">
        <v>2917</v>
      </c>
      <c r="B2919" t="s">
        <v>3873</v>
      </c>
      <c r="C2919" t="s">
        <v>61</v>
      </c>
      <c r="D2919">
        <v>149722632.717733</v>
      </c>
    </row>
    <row r="2920" spans="1:4" hidden="1" x14ac:dyDescent="0.3">
      <c r="A2920">
        <v>2918</v>
      </c>
      <c r="B2920" t="s">
        <v>3874</v>
      </c>
      <c r="C2920" t="s">
        <v>63</v>
      </c>
      <c r="D2920">
        <v>76829195.257338002</v>
      </c>
    </row>
    <row r="2921" spans="1:4" hidden="1" x14ac:dyDescent="0.3">
      <c r="A2921">
        <v>2919</v>
      </c>
      <c r="B2921" t="s">
        <v>3875</v>
      </c>
      <c r="C2921" t="s">
        <v>65</v>
      </c>
      <c r="D2921">
        <v>34913302.136799604</v>
      </c>
    </row>
    <row r="2922" spans="1:4" hidden="1" x14ac:dyDescent="0.3">
      <c r="A2922">
        <v>2920</v>
      </c>
      <c r="B2922" s="1" t="s">
        <v>3876</v>
      </c>
      <c r="C2922" t="s">
        <v>67</v>
      </c>
      <c r="D2922" s="1" t="s">
        <v>3877</v>
      </c>
    </row>
    <row r="2923" spans="1:4" hidden="1" x14ac:dyDescent="0.3">
      <c r="A2923">
        <v>2921</v>
      </c>
      <c r="B2923" s="1" t="s">
        <v>3878</v>
      </c>
      <c r="C2923" t="s">
        <v>70</v>
      </c>
      <c r="D2923" s="1" t="s">
        <v>3879</v>
      </c>
    </row>
    <row r="2924" spans="1:4" hidden="1" x14ac:dyDescent="0.3">
      <c r="A2924">
        <v>2922</v>
      </c>
      <c r="B2924" t="s">
        <v>3880</v>
      </c>
      <c r="C2924" t="s">
        <v>73</v>
      </c>
      <c r="D2924">
        <v>0.99989135140778895</v>
      </c>
    </row>
    <row r="2925" spans="1:4" hidden="1" x14ac:dyDescent="0.3">
      <c r="A2925">
        <v>2923</v>
      </c>
      <c r="B2925" t="s">
        <v>74</v>
      </c>
      <c r="C2925" t="s">
        <v>75</v>
      </c>
      <c r="D2925">
        <v>2.7397260273972599E-3</v>
      </c>
    </row>
    <row r="2926" spans="1:4" hidden="1" x14ac:dyDescent="0.3">
      <c r="A2926">
        <v>2924</v>
      </c>
      <c r="B2926" t="s">
        <v>76</v>
      </c>
      <c r="C2926" t="s">
        <v>77</v>
      </c>
      <c r="D2926">
        <v>0</v>
      </c>
    </row>
    <row r="2927" spans="1:4" hidden="1" x14ac:dyDescent="0.3">
      <c r="A2927">
        <v>2925</v>
      </c>
      <c r="B2927" t="s">
        <v>78</v>
      </c>
      <c r="C2927" t="s">
        <v>79</v>
      </c>
      <c r="D2927">
        <v>0</v>
      </c>
    </row>
    <row r="2928" spans="1:4" hidden="1" x14ac:dyDescent="0.3">
      <c r="A2928">
        <v>2926</v>
      </c>
      <c r="B2928" s="1" t="s">
        <v>3881</v>
      </c>
      <c r="C2928" t="s">
        <v>81</v>
      </c>
      <c r="D2928" s="1" t="s">
        <v>3882</v>
      </c>
    </row>
    <row r="2929" spans="1:4" hidden="1" x14ac:dyDescent="0.3">
      <c r="A2929">
        <v>2927</v>
      </c>
      <c r="B2929" t="s">
        <v>3883</v>
      </c>
      <c r="C2929" t="s">
        <v>84</v>
      </c>
      <c r="D2929">
        <v>0.99989743960738198</v>
      </c>
    </row>
    <row r="2930" spans="1:4" hidden="1" x14ac:dyDescent="0.3">
      <c r="A2930">
        <v>2928</v>
      </c>
      <c r="B2930" s="1" t="s">
        <v>3884</v>
      </c>
      <c r="C2930" t="s">
        <v>86</v>
      </c>
      <c r="D2930" s="1" t="s">
        <v>3885</v>
      </c>
    </row>
    <row r="2931" spans="1:4" hidden="1" x14ac:dyDescent="0.3">
      <c r="A2931">
        <v>2929</v>
      </c>
      <c r="B2931" t="s">
        <v>3886</v>
      </c>
      <c r="C2931" t="s">
        <v>89</v>
      </c>
      <c r="D2931">
        <v>103003977.822896</v>
      </c>
    </row>
    <row r="2932" spans="1:4" hidden="1" x14ac:dyDescent="0.3">
      <c r="A2932">
        <v>2930</v>
      </c>
      <c r="B2932" s="1" t="s">
        <v>3887</v>
      </c>
      <c r="C2932" t="s">
        <v>91</v>
      </c>
      <c r="D2932" s="1" t="s">
        <v>3821</v>
      </c>
    </row>
    <row r="2933" spans="1:4" hidden="1" x14ac:dyDescent="0.3">
      <c r="A2933">
        <v>2931</v>
      </c>
      <c r="B2933" t="s">
        <v>3888</v>
      </c>
      <c r="C2933" t="s">
        <v>94</v>
      </c>
      <c r="D2933">
        <v>76829195.257338002</v>
      </c>
    </row>
    <row r="2934" spans="1:4" hidden="1" x14ac:dyDescent="0.3">
      <c r="A2934">
        <v>2932</v>
      </c>
      <c r="B2934" t="s">
        <v>3889</v>
      </c>
      <c r="C2934" t="s">
        <v>96</v>
      </c>
      <c r="D2934">
        <v>34913302.136799604</v>
      </c>
    </row>
    <row r="2935" spans="1:4" hidden="1" x14ac:dyDescent="0.3">
      <c r="A2935">
        <v>2933</v>
      </c>
      <c r="B2935" t="s">
        <v>3890</v>
      </c>
      <c r="C2935" t="s">
        <v>98</v>
      </c>
      <c r="D2935">
        <v>37980135.323595397</v>
      </c>
    </row>
    <row r="2936" spans="1:4" hidden="1" x14ac:dyDescent="0.3">
      <c r="A2936">
        <v>2934</v>
      </c>
      <c r="B2936" s="1" t="s">
        <v>3891</v>
      </c>
      <c r="C2936" t="s">
        <v>100</v>
      </c>
      <c r="D2936" s="1" t="s">
        <v>3892</v>
      </c>
    </row>
    <row r="2937" spans="1:4" hidden="1" x14ac:dyDescent="0.3">
      <c r="A2937">
        <v>2935</v>
      </c>
      <c r="B2937" t="s">
        <v>3893</v>
      </c>
      <c r="C2937" t="s">
        <v>103</v>
      </c>
      <c r="D2937">
        <v>8.6939987268236305E-3</v>
      </c>
    </row>
    <row r="2938" spans="1:4" hidden="1" x14ac:dyDescent="0.3">
      <c r="A2938">
        <v>2936</v>
      </c>
      <c r="B2938" t="s">
        <v>3894</v>
      </c>
      <c r="C2938" t="s">
        <v>105</v>
      </c>
      <c r="D2938">
        <v>3.1466616789070298E-3</v>
      </c>
    </row>
    <row r="2939" spans="1:4" hidden="1" x14ac:dyDescent="0.3">
      <c r="A2939">
        <v>2937</v>
      </c>
      <c r="B2939" t="s">
        <v>3895</v>
      </c>
      <c r="C2939" t="s">
        <v>107</v>
      </c>
      <c r="D2939">
        <v>1.10250500522492E-2</v>
      </c>
    </row>
    <row r="2940" spans="1:4" hidden="1" x14ac:dyDescent="0.3">
      <c r="A2940">
        <v>2938</v>
      </c>
      <c r="B2940" s="1" t="s">
        <v>3896</v>
      </c>
      <c r="C2940" t="s">
        <v>109</v>
      </c>
      <c r="D2940" s="1" t="s">
        <v>3897</v>
      </c>
    </row>
    <row r="2941" spans="1:4" hidden="1" x14ac:dyDescent="0.3">
      <c r="A2941">
        <v>2939</v>
      </c>
      <c r="B2941" t="s">
        <v>3898</v>
      </c>
      <c r="C2941" t="s">
        <v>208</v>
      </c>
      <c r="D2941">
        <v>149722847.36475801</v>
      </c>
    </row>
    <row r="2942" spans="1:4" hidden="1" x14ac:dyDescent="0.3">
      <c r="A2942">
        <v>2940</v>
      </c>
      <c r="B2942" t="s">
        <v>3899</v>
      </c>
      <c r="C2942" t="s">
        <v>210</v>
      </c>
      <c r="D2942">
        <v>-467.80322778236399</v>
      </c>
    </row>
    <row r="2943" spans="1:4" hidden="1" x14ac:dyDescent="0.3">
      <c r="A2943">
        <v>2941</v>
      </c>
      <c r="B2943" t="s">
        <v>3900</v>
      </c>
      <c r="C2943" t="s">
        <v>212</v>
      </c>
      <c r="D2943">
        <v>-212.58245635889</v>
      </c>
    </row>
    <row r="2944" spans="1:4" hidden="1" x14ac:dyDescent="0.3">
      <c r="A2944">
        <v>2942</v>
      </c>
      <c r="B2944" s="1" t="s">
        <v>3901</v>
      </c>
      <c r="C2944" t="s">
        <v>214</v>
      </c>
      <c r="D2944" s="1" t="s">
        <v>3902</v>
      </c>
    </row>
    <row r="2945" spans="1:4" hidden="1" x14ac:dyDescent="0.3">
      <c r="A2945">
        <v>2943</v>
      </c>
      <c r="B2945" t="s">
        <v>3903</v>
      </c>
      <c r="C2945" t="s">
        <v>217</v>
      </c>
      <c r="D2945">
        <v>76829815.205970302</v>
      </c>
    </row>
    <row r="2946" spans="1:4" hidden="1" x14ac:dyDescent="0.3">
      <c r="A2946">
        <v>2944</v>
      </c>
      <c r="B2946" t="s">
        <v>3904</v>
      </c>
      <c r="C2946" t="s">
        <v>219</v>
      </c>
      <c r="D2946">
        <v>34913548.834432602</v>
      </c>
    </row>
    <row r="2947" spans="1:4" hidden="1" x14ac:dyDescent="0.3">
      <c r="A2947">
        <v>2945</v>
      </c>
      <c r="B2947" t="s">
        <v>3905</v>
      </c>
      <c r="C2947" t="s">
        <v>221</v>
      </c>
      <c r="D2947">
        <v>37980394.9659824</v>
      </c>
    </row>
    <row r="2948" spans="1:4" hidden="1" x14ac:dyDescent="0.3">
      <c r="A2948">
        <v>2946</v>
      </c>
      <c r="B2948" s="1" t="s">
        <v>3906</v>
      </c>
      <c r="C2948" t="s">
        <v>223</v>
      </c>
      <c r="D2948" s="1" t="s">
        <v>3907</v>
      </c>
    </row>
    <row r="2949" spans="1:4" hidden="1" x14ac:dyDescent="0.3">
      <c r="A2949">
        <v>2947</v>
      </c>
      <c r="B2949" t="s">
        <v>3908</v>
      </c>
      <c r="C2949" t="s">
        <v>226</v>
      </c>
      <c r="D2949">
        <v>103004604.999814</v>
      </c>
    </row>
    <row r="2950" spans="1:4" hidden="1" x14ac:dyDescent="0.3">
      <c r="A2950">
        <v>2948</v>
      </c>
      <c r="B2950" t="s">
        <v>3909</v>
      </c>
      <c r="C2950" t="s">
        <v>228</v>
      </c>
      <c r="D2950">
        <v>-627.17691779136601</v>
      </c>
    </row>
    <row r="2951" spans="1:4" hidden="1" x14ac:dyDescent="0.3">
      <c r="A2951">
        <v>2949</v>
      </c>
      <c r="B2951" s="1" t="s">
        <v>3910</v>
      </c>
      <c r="C2951" t="s">
        <v>230</v>
      </c>
      <c r="D2951" s="1" t="s">
        <v>3911</v>
      </c>
    </row>
    <row r="2952" spans="1:4" hidden="1" x14ac:dyDescent="0.3">
      <c r="A2952">
        <v>2950</v>
      </c>
      <c r="B2952" t="s">
        <v>3912</v>
      </c>
      <c r="C2952" t="s">
        <v>112</v>
      </c>
      <c r="D2952">
        <v>152.14540444444901</v>
      </c>
    </row>
    <row r="2953" spans="1:4" hidden="1" x14ac:dyDescent="0.3">
      <c r="A2953">
        <v>2951</v>
      </c>
      <c r="B2953" t="s">
        <v>3913</v>
      </c>
      <c r="C2953" t="s">
        <v>114</v>
      </c>
      <c r="D2953">
        <v>34.115176703770899</v>
      </c>
    </row>
    <row r="2954" spans="1:4" hidden="1" x14ac:dyDescent="0.3">
      <c r="A2954">
        <v>2952</v>
      </c>
      <c r="B2954" s="1" t="s">
        <v>3914</v>
      </c>
      <c r="C2954" t="s">
        <v>116</v>
      </c>
      <c r="D2954" s="1" t="s">
        <v>3915</v>
      </c>
    </row>
    <row r="2955" spans="1:4" hidden="1" x14ac:dyDescent="0.3">
      <c r="A2955">
        <v>2953</v>
      </c>
      <c r="B2955" t="s">
        <v>3916</v>
      </c>
      <c r="C2955" t="s">
        <v>119</v>
      </c>
      <c r="D2955">
        <v>76829815.205970302</v>
      </c>
    </row>
    <row r="2956" spans="1:4" hidden="1" x14ac:dyDescent="0.3">
      <c r="A2956">
        <v>2954</v>
      </c>
      <c r="B2956" t="s">
        <v>3917</v>
      </c>
      <c r="C2956" t="s">
        <v>121</v>
      </c>
      <c r="D2956">
        <v>34913548.834432602</v>
      </c>
    </row>
    <row r="2957" spans="1:4" hidden="1" x14ac:dyDescent="0.3">
      <c r="A2957">
        <v>2955</v>
      </c>
      <c r="B2957" s="1" t="s">
        <v>3918</v>
      </c>
      <c r="C2957" t="s">
        <v>123</v>
      </c>
      <c r="D2957" s="1" t="s">
        <v>3919</v>
      </c>
    </row>
    <row r="2958" spans="1:4" hidden="1" x14ac:dyDescent="0.3">
      <c r="A2958">
        <v>2956</v>
      </c>
      <c r="B2958" t="s">
        <v>3920</v>
      </c>
      <c r="C2958" t="s">
        <v>126</v>
      </c>
      <c r="D2958">
        <v>0.745963694636258</v>
      </c>
    </row>
    <row r="2959" spans="1:4" hidden="1" x14ac:dyDescent="0.3">
      <c r="A2959">
        <v>2957</v>
      </c>
      <c r="B2959" t="s">
        <v>3921</v>
      </c>
      <c r="C2959" t="s">
        <v>128</v>
      </c>
      <c r="D2959">
        <v>0.33898610600033002</v>
      </c>
    </row>
    <row r="2960" spans="1:4" hidden="1" x14ac:dyDescent="0.3">
      <c r="A2960">
        <v>2958</v>
      </c>
      <c r="B2960" s="1" t="s">
        <v>3922</v>
      </c>
      <c r="C2960" t="s">
        <v>130</v>
      </c>
      <c r="D2960" s="1" t="s">
        <v>3923</v>
      </c>
    </row>
    <row r="2961" spans="1:4" ht="72" x14ac:dyDescent="0.3">
      <c r="A2961">
        <v>2959</v>
      </c>
      <c r="B2961" s="1" t="s">
        <v>3924</v>
      </c>
      <c r="C2961" t="s">
        <v>4</v>
      </c>
      <c r="D2961" t="s">
        <v>3925</v>
      </c>
    </row>
    <row r="2962" spans="1:4" hidden="1" x14ac:dyDescent="0.3">
      <c r="A2962">
        <v>2960</v>
      </c>
      <c r="B2962" t="s">
        <v>3926</v>
      </c>
      <c r="C2962" t="s">
        <v>7</v>
      </c>
      <c r="D2962">
        <v>1738.14</v>
      </c>
    </row>
    <row r="2963" spans="1:4" hidden="1" x14ac:dyDescent="0.3">
      <c r="A2963">
        <v>2961</v>
      </c>
      <c r="B2963" s="1" t="s">
        <v>3927</v>
      </c>
      <c r="C2963" t="s">
        <v>9</v>
      </c>
      <c r="D2963" s="1" t="s">
        <v>3928</v>
      </c>
    </row>
    <row r="2964" spans="1:4" hidden="1" x14ac:dyDescent="0.3">
      <c r="A2964">
        <v>2962</v>
      </c>
      <c r="B2964" t="s">
        <v>3929</v>
      </c>
      <c r="C2964" t="s">
        <v>14</v>
      </c>
      <c r="D2964">
        <v>90.53515625</v>
      </c>
    </row>
    <row r="2965" spans="1:4" hidden="1" x14ac:dyDescent="0.3">
      <c r="A2965">
        <v>2963</v>
      </c>
      <c r="B2965" t="s">
        <v>3930</v>
      </c>
      <c r="C2965" t="s">
        <v>16</v>
      </c>
      <c r="D2965">
        <v>4.2779212062978003</v>
      </c>
    </row>
    <row r="2966" spans="1:4" hidden="1" x14ac:dyDescent="0.3">
      <c r="A2966">
        <v>2964</v>
      </c>
      <c r="B2966" s="1" t="s">
        <v>3931</v>
      </c>
      <c r="C2966" t="s">
        <v>140</v>
      </c>
      <c r="D2966" s="1" t="s">
        <v>3932</v>
      </c>
    </row>
    <row r="2967" spans="1:4" hidden="1" x14ac:dyDescent="0.3">
      <c r="A2967">
        <v>2965</v>
      </c>
      <c r="B2967" t="s">
        <v>3933</v>
      </c>
      <c r="C2967" t="s">
        <v>22</v>
      </c>
      <c r="D2967">
        <v>61.75</v>
      </c>
    </row>
    <row r="2968" spans="1:4" hidden="1" x14ac:dyDescent="0.3">
      <c r="A2968">
        <v>2966</v>
      </c>
      <c r="B2968" t="s">
        <v>3934</v>
      </c>
      <c r="C2968" t="s">
        <v>24</v>
      </c>
      <c r="D2968">
        <v>5.7064712226693999</v>
      </c>
    </row>
    <row r="2969" spans="1:4" hidden="1" x14ac:dyDescent="0.3">
      <c r="A2969">
        <v>2967</v>
      </c>
      <c r="B2969" s="1" t="s">
        <v>3935</v>
      </c>
      <c r="C2969" t="s">
        <v>145</v>
      </c>
      <c r="D2969" s="1" t="s">
        <v>3936</v>
      </c>
    </row>
    <row r="2970" spans="1:4" hidden="1" x14ac:dyDescent="0.3">
      <c r="A2970">
        <v>2968</v>
      </c>
      <c r="B2970" t="s">
        <v>3937</v>
      </c>
      <c r="C2970" t="s">
        <v>35</v>
      </c>
      <c r="D2970">
        <v>0.200032689184582</v>
      </c>
    </row>
    <row r="2971" spans="1:4" hidden="1" x14ac:dyDescent="0.3">
      <c r="A2971">
        <v>2969</v>
      </c>
      <c r="B2971" t="s">
        <v>3938</v>
      </c>
      <c r="C2971" t="s">
        <v>149</v>
      </c>
      <c r="D2971">
        <v>0.54236637097056695</v>
      </c>
    </row>
    <row r="2972" spans="1:4" hidden="1" x14ac:dyDescent="0.3">
      <c r="A2972">
        <v>2970</v>
      </c>
      <c r="B2972" s="1" t="s">
        <v>3939</v>
      </c>
      <c r="C2972" t="s">
        <v>151</v>
      </c>
      <c r="D2972" s="1" t="s">
        <v>3940</v>
      </c>
    </row>
    <row r="2973" spans="1:4" hidden="1" x14ac:dyDescent="0.3">
      <c r="A2973">
        <v>2971</v>
      </c>
      <c r="B2973" t="s">
        <v>3941</v>
      </c>
      <c r="C2973" t="s">
        <v>30</v>
      </c>
      <c r="D2973">
        <v>0.33271084944224999</v>
      </c>
    </row>
    <row r="2974" spans="1:4" hidden="1" x14ac:dyDescent="0.3">
      <c r="A2974">
        <v>2972</v>
      </c>
      <c r="B2974" t="s">
        <v>3942</v>
      </c>
      <c r="C2974" t="s">
        <v>32</v>
      </c>
      <c r="D2974">
        <v>0.42088814536112201</v>
      </c>
    </row>
    <row r="2975" spans="1:4" hidden="1" x14ac:dyDescent="0.3">
      <c r="A2975">
        <v>2973</v>
      </c>
      <c r="B2975" s="1" t="s">
        <v>3943</v>
      </c>
      <c r="C2975" t="s">
        <v>155</v>
      </c>
      <c r="D2975" s="1" t="s">
        <v>3944</v>
      </c>
    </row>
    <row r="2976" spans="1:4" hidden="1" x14ac:dyDescent="0.3">
      <c r="A2976">
        <v>2974</v>
      </c>
      <c r="B2976" t="s">
        <v>3945</v>
      </c>
      <c r="C2976" t="s">
        <v>40</v>
      </c>
      <c r="D2976">
        <v>0.46725646137316601</v>
      </c>
    </row>
    <row r="2977" spans="1:4" hidden="1" x14ac:dyDescent="0.3">
      <c r="A2977">
        <v>2975</v>
      </c>
      <c r="B2977" t="s">
        <v>3946</v>
      </c>
      <c r="C2977" t="s">
        <v>42</v>
      </c>
      <c r="D2977">
        <v>0.422883986400097</v>
      </c>
    </row>
    <row r="2978" spans="1:4" hidden="1" x14ac:dyDescent="0.3">
      <c r="A2978">
        <v>2976</v>
      </c>
      <c r="B2978" s="1" t="s">
        <v>3947</v>
      </c>
      <c r="C2978" t="s">
        <v>159</v>
      </c>
      <c r="D2978" s="1" t="s">
        <v>3948</v>
      </c>
    </row>
    <row r="2979" spans="1:4" hidden="1" x14ac:dyDescent="0.3">
      <c r="A2979">
        <v>2977</v>
      </c>
      <c r="B2979" t="s">
        <v>3949</v>
      </c>
      <c r="C2979" t="s">
        <v>161</v>
      </c>
      <c r="D2979">
        <v>0.98830392731035799</v>
      </c>
    </row>
    <row r="2980" spans="1:4" hidden="1" x14ac:dyDescent="0.3">
      <c r="A2980">
        <v>2978</v>
      </c>
      <c r="B2980" t="s">
        <v>3950</v>
      </c>
      <c r="C2980" t="s">
        <v>163</v>
      </c>
      <c r="D2980">
        <v>0.99867886747801704</v>
      </c>
    </row>
    <row r="2981" spans="1:4" hidden="1" x14ac:dyDescent="0.3">
      <c r="A2981">
        <v>2979</v>
      </c>
      <c r="B2981" s="1" t="s">
        <v>3951</v>
      </c>
      <c r="C2981" t="s">
        <v>165</v>
      </c>
      <c r="D2981" s="1" t="s">
        <v>3952</v>
      </c>
    </row>
    <row r="2982" spans="1:4" hidden="1" x14ac:dyDescent="0.3">
      <c r="A2982">
        <v>2980</v>
      </c>
      <c r="B2982" t="s">
        <v>3953</v>
      </c>
      <c r="C2982" t="s">
        <v>168</v>
      </c>
      <c r="D2982">
        <v>0.99698253429672401</v>
      </c>
    </row>
    <row r="2983" spans="1:4" hidden="1" x14ac:dyDescent="0.3">
      <c r="A2983">
        <v>2981</v>
      </c>
      <c r="B2983" t="s">
        <v>3954</v>
      </c>
      <c r="C2983" t="s">
        <v>170</v>
      </c>
      <c r="D2983">
        <v>1.0051334610003499</v>
      </c>
    </row>
    <row r="2984" spans="1:4" hidden="1" x14ac:dyDescent="0.3">
      <c r="A2984">
        <v>2982</v>
      </c>
      <c r="B2984" s="1" t="s">
        <v>3955</v>
      </c>
      <c r="C2984" t="s">
        <v>172</v>
      </c>
      <c r="D2984" s="1" t="s">
        <v>3956</v>
      </c>
    </row>
    <row r="2985" spans="1:4" hidden="1" x14ac:dyDescent="0.3">
      <c r="A2985">
        <v>2983</v>
      </c>
      <c r="B2985" s="1" t="s">
        <v>3957</v>
      </c>
      <c r="C2985" t="s">
        <v>55</v>
      </c>
      <c r="D2985" s="1" t="s">
        <v>3958</v>
      </c>
    </row>
    <row r="2986" spans="1:4" hidden="1" x14ac:dyDescent="0.3">
      <c r="A2986">
        <v>2984</v>
      </c>
      <c r="B2986" s="1" t="s">
        <v>3959</v>
      </c>
      <c r="C2986" t="s">
        <v>52</v>
      </c>
      <c r="D2986" s="1" t="s">
        <v>3960</v>
      </c>
    </row>
    <row r="2987" spans="1:4" hidden="1" x14ac:dyDescent="0.3">
      <c r="A2987">
        <v>2985</v>
      </c>
      <c r="B2987" s="1" t="s">
        <v>3961</v>
      </c>
      <c r="C2987" t="s">
        <v>58</v>
      </c>
      <c r="D2987" s="1" t="s">
        <v>3962</v>
      </c>
    </row>
    <row r="2988" spans="1:4" hidden="1" x14ac:dyDescent="0.3">
      <c r="A2988">
        <v>2986</v>
      </c>
      <c r="B2988" t="s">
        <v>3963</v>
      </c>
      <c r="C2988" t="s">
        <v>61</v>
      </c>
      <c r="D2988">
        <v>148881727.97845399</v>
      </c>
    </row>
    <row r="2989" spans="1:4" hidden="1" x14ac:dyDescent="0.3">
      <c r="A2989">
        <v>2987</v>
      </c>
      <c r="B2989" t="s">
        <v>3964</v>
      </c>
      <c r="C2989" t="s">
        <v>63</v>
      </c>
      <c r="D2989">
        <v>75931208.102589503</v>
      </c>
    </row>
    <row r="2990" spans="1:4" hidden="1" x14ac:dyDescent="0.3">
      <c r="A2990">
        <v>2988</v>
      </c>
      <c r="B2990" t="s">
        <v>3965</v>
      </c>
      <c r="C2990" t="s">
        <v>65</v>
      </c>
      <c r="D2990">
        <v>34867423.409609601</v>
      </c>
    </row>
    <row r="2991" spans="1:4" hidden="1" x14ac:dyDescent="0.3">
      <c r="A2991">
        <v>2989</v>
      </c>
      <c r="B2991" s="1" t="s">
        <v>3966</v>
      </c>
      <c r="C2991" t="s">
        <v>67</v>
      </c>
      <c r="D2991" s="1" t="s">
        <v>3967</v>
      </c>
    </row>
    <row r="2992" spans="1:4" hidden="1" x14ac:dyDescent="0.3">
      <c r="A2992">
        <v>2990</v>
      </c>
      <c r="B2992" s="1" t="s">
        <v>3968</v>
      </c>
      <c r="C2992" t="s">
        <v>70</v>
      </c>
      <c r="D2992" s="1" t="s">
        <v>3969</v>
      </c>
    </row>
    <row r="2993" spans="1:4" hidden="1" x14ac:dyDescent="0.3">
      <c r="A2993">
        <v>2991</v>
      </c>
      <c r="B2993" t="s">
        <v>3970</v>
      </c>
      <c r="C2993" t="s">
        <v>73</v>
      </c>
      <c r="D2993">
        <v>0.99989743960738198</v>
      </c>
    </row>
    <row r="2994" spans="1:4" hidden="1" x14ac:dyDescent="0.3">
      <c r="A2994">
        <v>2992</v>
      </c>
      <c r="B2994" t="s">
        <v>74</v>
      </c>
      <c r="C2994" t="s">
        <v>75</v>
      </c>
      <c r="D2994">
        <v>2.7397260273972599E-3</v>
      </c>
    </row>
    <row r="2995" spans="1:4" hidden="1" x14ac:dyDescent="0.3">
      <c r="A2995">
        <v>2993</v>
      </c>
      <c r="B2995" t="s">
        <v>76</v>
      </c>
      <c r="C2995" t="s">
        <v>77</v>
      </c>
      <c r="D2995">
        <v>0</v>
      </c>
    </row>
    <row r="2996" spans="1:4" hidden="1" x14ac:dyDescent="0.3">
      <c r="A2996">
        <v>2994</v>
      </c>
      <c r="B2996" t="s">
        <v>78</v>
      </c>
      <c r="C2996" t="s">
        <v>79</v>
      </c>
      <c r="D2996">
        <v>0</v>
      </c>
    </row>
    <row r="2997" spans="1:4" hidden="1" x14ac:dyDescent="0.3">
      <c r="A2997">
        <v>2995</v>
      </c>
      <c r="B2997" s="1" t="s">
        <v>3971</v>
      </c>
      <c r="C2997" t="s">
        <v>81</v>
      </c>
      <c r="D2997" s="1" t="s">
        <v>3972</v>
      </c>
    </row>
    <row r="2998" spans="1:4" hidden="1" x14ac:dyDescent="0.3">
      <c r="A2998">
        <v>2996</v>
      </c>
      <c r="B2998" t="s">
        <v>3973</v>
      </c>
      <c r="C2998" t="s">
        <v>84</v>
      </c>
      <c r="D2998">
        <v>0.99986151092029296</v>
      </c>
    </row>
    <row r="2999" spans="1:4" hidden="1" x14ac:dyDescent="0.3">
      <c r="A2999">
        <v>2997</v>
      </c>
      <c r="B2999" s="1" t="s">
        <v>3974</v>
      </c>
      <c r="C2999" t="s">
        <v>86</v>
      </c>
      <c r="D2999" s="1" t="s">
        <v>3975</v>
      </c>
    </row>
    <row r="3000" spans="1:4" hidden="1" x14ac:dyDescent="0.3">
      <c r="A3000">
        <v>2998</v>
      </c>
      <c r="B3000" t="s">
        <v>3976</v>
      </c>
      <c r="C3000" t="s">
        <v>89</v>
      </c>
      <c r="D3000">
        <v>103007679.133176</v>
      </c>
    </row>
    <row r="3001" spans="1:4" hidden="1" x14ac:dyDescent="0.3">
      <c r="A3001">
        <v>2999</v>
      </c>
      <c r="B3001" s="1" t="s">
        <v>3977</v>
      </c>
      <c r="C3001" t="s">
        <v>91</v>
      </c>
      <c r="D3001" s="1" t="s">
        <v>3911</v>
      </c>
    </row>
    <row r="3002" spans="1:4" hidden="1" x14ac:dyDescent="0.3">
      <c r="A3002">
        <v>3000</v>
      </c>
      <c r="B3002" t="s">
        <v>3978</v>
      </c>
      <c r="C3002" t="s">
        <v>94</v>
      </c>
      <c r="D3002">
        <v>75931208.102589503</v>
      </c>
    </row>
    <row r="3003" spans="1:4" hidden="1" x14ac:dyDescent="0.3">
      <c r="A3003">
        <v>3001</v>
      </c>
      <c r="B3003" t="s">
        <v>3979</v>
      </c>
      <c r="C3003" t="s">
        <v>96</v>
      </c>
      <c r="D3003">
        <v>34867423.409609601</v>
      </c>
    </row>
    <row r="3004" spans="1:4" hidden="1" x14ac:dyDescent="0.3">
      <c r="A3004">
        <v>3002</v>
      </c>
      <c r="B3004" t="s">
        <v>3980</v>
      </c>
      <c r="C3004" t="s">
        <v>98</v>
      </c>
      <c r="D3004">
        <v>38083096.466255203</v>
      </c>
    </row>
    <row r="3005" spans="1:4" hidden="1" x14ac:dyDescent="0.3">
      <c r="A3005">
        <v>3003</v>
      </c>
      <c r="B3005" s="1" t="s">
        <v>3981</v>
      </c>
      <c r="C3005" t="s">
        <v>100</v>
      </c>
      <c r="D3005" s="1" t="s">
        <v>3982</v>
      </c>
    </row>
    <row r="3006" spans="1:4" hidden="1" x14ac:dyDescent="0.3">
      <c r="A3006">
        <v>3004</v>
      </c>
      <c r="B3006" t="s">
        <v>3983</v>
      </c>
      <c r="C3006" t="s">
        <v>103</v>
      </c>
      <c r="D3006">
        <v>8.5366354481940798E-3</v>
      </c>
    </row>
    <row r="3007" spans="1:4" hidden="1" x14ac:dyDescent="0.3">
      <c r="A3007">
        <v>3005</v>
      </c>
      <c r="B3007" t="s">
        <v>3984</v>
      </c>
      <c r="C3007" t="s">
        <v>105</v>
      </c>
      <c r="D3007">
        <v>3.1470621521034799E-3</v>
      </c>
    </row>
    <row r="3008" spans="1:4" hidden="1" x14ac:dyDescent="0.3">
      <c r="A3008">
        <v>3006</v>
      </c>
      <c r="B3008" t="s">
        <v>3985</v>
      </c>
      <c r="C3008" t="s">
        <v>107</v>
      </c>
      <c r="D3008">
        <v>1.10324496050249E-2</v>
      </c>
    </row>
    <row r="3009" spans="1:4" hidden="1" x14ac:dyDescent="0.3">
      <c r="A3009">
        <v>3007</v>
      </c>
      <c r="B3009" s="1" t="s">
        <v>3986</v>
      </c>
      <c r="C3009" t="s">
        <v>109</v>
      </c>
      <c r="D3009" s="1" t="s">
        <v>3987</v>
      </c>
    </row>
    <row r="3010" spans="1:4" hidden="1" x14ac:dyDescent="0.3">
      <c r="A3010">
        <v>3008</v>
      </c>
      <c r="B3010" t="s">
        <v>3988</v>
      </c>
      <c r="C3010" t="s">
        <v>208</v>
      </c>
      <c r="D3010">
        <v>148880461.99025899</v>
      </c>
    </row>
    <row r="3011" spans="1:4" hidden="1" x14ac:dyDescent="0.3">
      <c r="A3011">
        <v>3009</v>
      </c>
      <c r="B3011" t="s">
        <v>3989</v>
      </c>
      <c r="C3011" t="s">
        <v>210</v>
      </c>
      <c r="D3011">
        <v>2728.3584926758099</v>
      </c>
    </row>
    <row r="3012" spans="1:4" hidden="1" x14ac:dyDescent="0.3">
      <c r="A3012">
        <v>3010</v>
      </c>
      <c r="B3012" t="s">
        <v>3990</v>
      </c>
      <c r="C3012" t="s">
        <v>212</v>
      </c>
      <c r="D3012">
        <v>1252.8624099931801</v>
      </c>
    </row>
    <row r="3013" spans="1:4" hidden="1" x14ac:dyDescent="0.3">
      <c r="A3013">
        <v>3011</v>
      </c>
      <c r="B3013" s="1" t="s">
        <v>3991</v>
      </c>
      <c r="C3013" t="s">
        <v>214</v>
      </c>
      <c r="D3013" s="1" t="s">
        <v>3992</v>
      </c>
    </row>
    <row r="3014" spans="1:4" hidden="1" x14ac:dyDescent="0.3">
      <c r="A3014">
        <v>3012</v>
      </c>
      <c r="B3014" t="s">
        <v>3993</v>
      </c>
      <c r="C3014" t="s">
        <v>217</v>
      </c>
      <c r="D3014">
        <v>75927646.284914598</v>
      </c>
    </row>
    <row r="3015" spans="1:4" hidden="1" x14ac:dyDescent="0.3">
      <c r="A3015">
        <v>3013</v>
      </c>
      <c r="B3015" t="s">
        <v>3994</v>
      </c>
      <c r="C3015" t="s">
        <v>219</v>
      </c>
      <c r="D3015">
        <v>34865980.465907402</v>
      </c>
    </row>
    <row r="3016" spans="1:4" hidden="1" x14ac:dyDescent="0.3">
      <c r="A3016">
        <v>3014</v>
      </c>
      <c r="B3016" t="s">
        <v>3995</v>
      </c>
      <c r="C3016" t="s">
        <v>221</v>
      </c>
      <c r="D3016">
        <v>38081485.611244597</v>
      </c>
    </row>
    <row r="3017" spans="1:4" hidden="1" x14ac:dyDescent="0.3">
      <c r="A3017">
        <v>3015</v>
      </c>
      <c r="B3017" s="1" t="s">
        <v>3996</v>
      </c>
      <c r="C3017" t="s">
        <v>223</v>
      </c>
      <c r="D3017" s="1" t="s">
        <v>3997</v>
      </c>
    </row>
    <row r="3018" spans="1:4" hidden="1" x14ac:dyDescent="0.3">
      <c r="A3018">
        <v>3016</v>
      </c>
      <c r="B3018" t="s">
        <v>3998</v>
      </c>
      <c r="C3018" t="s">
        <v>226</v>
      </c>
      <c r="D3018">
        <v>103003977.822896</v>
      </c>
    </row>
    <row r="3019" spans="1:4" hidden="1" x14ac:dyDescent="0.3">
      <c r="A3019">
        <v>3017</v>
      </c>
      <c r="B3019" t="s">
        <v>3999</v>
      </c>
      <c r="C3019" t="s">
        <v>228</v>
      </c>
      <c r="D3019">
        <v>3701.3102792352402</v>
      </c>
    </row>
    <row r="3020" spans="1:4" hidden="1" x14ac:dyDescent="0.3">
      <c r="A3020">
        <v>3018</v>
      </c>
      <c r="B3020" s="1" t="s">
        <v>4000</v>
      </c>
      <c r="C3020" t="s">
        <v>230</v>
      </c>
      <c r="D3020" s="1" t="s">
        <v>4001</v>
      </c>
    </row>
    <row r="3021" spans="1:4" hidden="1" x14ac:dyDescent="0.3">
      <c r="A3021">
        <v>3019</v>
      </c>
      <c r="B3021" t="s">
        <v>4002</v>
      </c>
      <c r="C3021" t="s">
        <v>112</v>
      </c>
      <c r="D3021">
        <v>-833.45918222835098</v>
      </c>
    </row>
    <row r="3022" spans="1:4" hidden="1" x14ac:dyDescent="0.3">
      <c r="A3022">
        <v>3020</v>
      </c>
      <c r="B3022" t="s">
        <v>4003</v>
      </c>
      <c r="C3022" t="s">
        <v>114</v>
      </c>
      <c r="D3022">
        <v>-190.08129220055301</v>
      </c>
    </row>
    <row r="3023" spans="1:4" hidden="1" x14ac:dyDescent="0.3">
      <c r="A3023">
        <v>3021</v>
      </c>
      <c r="B3023" s="1" t="s">
        <v>4004</v>
      </c>
      <c r="C3023" t="s">
        <v>116</v>
      </c>
      <c r="D3023" s="1" t="s">
        <v>4005</v>
      </c>
    </row>
    <row r="3024" spans="1:4" hidden="1" x14ac:dyDescent="0.3">
      <c r="A3024">
        <v>3022</v>
      </c>
      <c r="B3024" t="s">
        <v>4006</v>
      </c>
      <c r="C3024" t="s">
        <v>119</v>
      </c>
      <c r="D3024">
        <v>75927646.284914598</v>
      </c>
    </row>
    <row r="3025" spans="1:4" hidden="1" x14ac:dyDescent="0.3">
      <c r="A3025">
        <v>3023</v>
      </c>
      <c r="B3025" t="s">
        <v>4007</v>
      </c>
      <c r="C3025" t="s">
        <v>121</v>
      </c>
      <c r="D3025">
        <v>34865980.465907402</v>
      </c>
    </row>
    <row r="3026" spans="1:4" hidden="1" x14ac:dyDescent="0.3">
      <c r="A3026">
        <v>3024</v>
      </c>
      <c r="B3026" s="1" t="s">
        <v>4008</v>
      </c>
      <c r="C3026" t="s">
        <v>123</v>
      </c>
      <c r="D3026" s="1" t="s">
        <v>4009</v>
      </c>
    </row>
    <row r="3027" spans="1:4" hidden="1" x14ac:dyDescent="0.3">
      <c r="A3027">
        <v>3025</v>
      </c>
      <c r="B3027" t="s">
        <v>4010</v>
      </c>
      <c r="C3027" t="s">
        <v>126</v>
      </c>
      <c r="D3027">
        <v>0.73723524563075404</v>
      </c>
    </row>
    <row r="3028" spans="1:4" hidden="1" x14ac:dyDescent="0.3">
      <c r="A3028">
        <v>3026</v>
      </c>
      <c r="B3028" t="s">
        <v>4011</v>
      </c>
      <c r="C3028" t="s">
        <v>128</v>
      </c>
      <c r="D3028">
        <v>0.33853847617619798</v>
      </c>
    </row>
    <row r="3029" spans="1:4" hidden="1" x14ac:dyDescent="0.3">
      <c r="A3029">
        <v>3027</v>
      </c>
      <c r="B3029" s="1" t="s">
        <v>4012</v>
      </c>
      <c r="C3029" t="s">
        <v>130</v>
      </c>
      <c r="D3029" s="1" t="s">
        <v>4013</v>
      </c>
    </row>
    <row r="3030" spans="1:4" ht="72" x14ac:dyDescent="0.3">
      <c r="A3030">
        <v>3028</v>
      </c>
      <c r="B3030" s="1" t="s">
        <v>4014</v>
      </c>
      <c r="C3030" t="s">
        <v>4</v>
      </c>
      <c r="D3030" t="s">
        <v>4015</v>
      </c>
    </row>
    <row r="3031" spans="1:4" hidden="1" x14ac:dyDescent="0.3">
      <c r="A3031">
        <v>3029</v>
      </c>
      <c r="B3031" t="s">
        <v>4016</v>
      </c>
      <c r="C3031" t="s">
        <v>7</v>
      </c>
      <c r="D3031">
        <v>1737.09</v>
      </c>
    </row>
    <row r="3032" spans="1:4" hidden="1" x14ac:dyDescent="0.3">
      <c r="A3032">
        <v>3030</v>
      </c>
      <c r="B3032" s="1" t="s">
        <v>4017</v>
      </c>
      <c r="C3032" t="s">
        <v>9</v>
      </c>
      <c r="D3032" s="1" t="s">
        <v>4018</v>
      </c>
    </row>
    <row r="3033" spans="1:4" hidden="1" x14ac:dyDescent="0.3">
      <c r="A3033">
        <v>3031</v>
      </c>
      <c r="B3033" t="s">
        <v>4019</v>
      </c>
      <c r="C3033" t="s">
        <v>14</v>
      </c>
      <c r="D3033">
        <v>90.390625</v>
      </c>
    </row>
    <row r="3034" spans="1:4" hidden="1" x14ac:dyDescent="0.3">
      <c r="A3034">
        <v>3032</v>
      </c>
      <c r="B3034" t="s">
        <v>4020</v>
      </c>
      <c r="C3034" t="s">
        <v>16</v>
      </c>
      <c r="D3034">
        <v>4.2724329270108097</v>
      </c>
    </row>
    <row r="3035" spans="1:4" hidden="1" x14ac:dyDescent="0.3">
      <c r="A3035">
        <v>3033</v>
      </c>
      <c r="B3035" s="1" t="s">
        <v>4021</v>
      </c>
      <c r="C3035" t="s">
        <v>140</v>
      </c>
      <c r="D3035" s="1" t="s">
        <v>4022</v>
      </c>
    </row>
    <row r="3036" spans="1:4" hidden="1" x14ac:dyDescent="0.3">
      <c r="A3036">
        <v>3034</v>
      </c>
      <c r="B3036" t="s">
        <v>4023</v>
      </c>
      <c r="C3036" t="s">
        <v>22</v>
      </c>
      <c r="D3036">
        <v>61.6</v>
      </c>
    </row>
    <row r="3037" spans="1:4" hidden="1" x14ac:dyDescent="0.3">
      <c r="A3037">
        <v>3035</v>
      </c>
      <c r="B3037" t="s">
        <v>4024</v>
      </c>
      <c r="C3037" t="s">
        <v>24</v>
      </c>
      <c r="D3037">
        <v>5.6625327806969903</v>
      </c>
    </row>
    <row r="3038" spans="1:4" hidden="1" x14ac:dyDescent="0.3">
      <c r="A3038">
        <v>3036</v>
      </c>
      <c r="B3038" s="1" t="s">
        <v>4025</v>
      </c>
      <c r="C3038" t="s">
        <v>145</v>
      </c>
      <c r="D3038" s="1" t="s">
        <v>4026</v>
      </c>
    </row>
    <row r="3039" spans="1:4" hidden="1" x14ac:dyDescent="0.3">
      <c r="A3039">
        <v>3037</v>
      </c>
      <c r="B3039" t="s">
        <v>4027</v>
      </c>
      <c r="C3039" t="s">
        <v>35</v>
      </c>
      <c r="D3039">
        <v>0</v>
      </c>
    </row>
    <row r="3040" spans="1:4" hidden="1" x14ac:dyDescent="0.3">
      <c r="A3040">
        <v>3038</v>
      </c>
      <c r="B3040" t="s">
        <v>4028</v>
      </c>
      <c r="C3040" t="s">
        <v>149</v>
      </c>
      <c r="D3040">
        <v>0.54180209822719405</v>
      </c>
    </row>
    <row r="3041" spans="1:4" hidden="1" x14ac:dyDescent="0.3">
      <c r="A3041">
        <v>3039</v>
      </c>
      <c r="B3041" s="1" t="s">
        <v>4029</v>
      </c>
      <c r="C3041" t="s">
        <v>151</v>
      </c>
      <c r="D3041" s="1" t="s">
        <v>4030</v>
      </c>
    </row>
    <row r="3042" spans="1:4" hidden="1" x14ac:dyDescent="0.3">
      <c r="A3042">
        <v>3040</v>
      </c>
      <c r="B3042" t="s">
        <v>4031</v>
      </c>
      <c r="C3042" t="s">
        <v>30</v>
      </c>
      <c r="D3042">
        <v>0.42100868520699197</v>
      </c>
    </row>
    <row r="3043" spans="1:4" hidden="1" x14ac:dyDescent="0.3">
      <c r="A3043">
        <v>3041</v>
      </c>
      <c r="B3043" t="s">
        <v>4032</v>
      </c>
      <c r="C3043" t="s">
        <v>32</v>
      </c>
      <c r="D3043">
        <v>0.41991838551918698</v>
      </c>
    </row>
    <row r="3044" spans="1:4" hidden="1" x14ac:dyDescent="0.3">
      <c r="A3044">
        <v>3042</v>
      </c>
      <c r="B3044" s="1" t="s">
        <v>4033</v>
      </c>
      <c r="C3044" t="s">
        <v>155</v>
      </c>
      <c r="D3044" s="1" t="s">
        <v>4034</v>
      </c>
    </row>
    <row r="3045" spans="1:4" hidden="1" x14ac:dyDescent="0.3">
      <c r="A3045">
        <v>3043</v>
      </c>
      <c r="B3045" t="s">
        <v>4035</v>
      </c>
      <c r="C3045" t="s">
        <v>40</v>
      </c>
      <c r="D3045">
        <v>0.57899131479300703</v>
      </c>
    </row>
    <row r="3046" spans="1:4" hidden="1" x14ac:dyDescent="0.3">
      <c r="A3046">
        <v>3044</v>
      </c>
      <c r="B3046" t="s">
        <v>4036</v>
      </c>
      <c r="C3046" t="s">
        <v>42</v>
      </c>
      <c r="D3046">
        <v>0.42577398679175998</v>
      </c>
    </row>
    <row r="3047" spans="1:4" hidden="1" x14ac:dyDescent="0.3">
      <c r="A3047">
        <v>3045</v>
      </c>
      <c r="B3047" s="1" t="s">
        <v>4037</v>
      </c>
      <c r="C3047" t="s">
        <v>159</v>
      </c>
      <c r="D3047" s="1" t="s">
        <v>4038</v>
      </c>
    </row>
    <row r="3048" spans="1:4" hidden="1" x14ac:dyDescent="0.3">
      <c r="A3048">
        <v>3046</v>
      </c>
      <c r="B3048" t="s">
        <v>4039</v>
      </c>
      <c r="C3048" t="s">
        <v>161</v>
      </c>
      <c r="D3048">
        <v>0.99939590596844896</v>
      </c>
    </row>
    <row r="3049" spans="1:4" hidden="1" x14ac:dyDescent="0.3">
      <c r="A3049">
        <v>3047</v>
      </c>
      <c r="B3049" t="s">
        <v>4040</v>
      </c>
      <c r="C3049" t="s">
        <v>163</v>
      </c>
      <c r="D3049">
        <v>0.99841773378407395</v>
      </c>
    </row>
    <row r="3050" spans="1:4" hidden="1" x14ac:dyDescent="0.3">
      <c r="A3050">
        <v>3048</v>
      </c>
      <c r="B3050" s="1" t="s">
        <v>4041</v>
      </c>
      <c r="C3050" t="s">
        <v>165</v>
      </c>
      <c r="D3050" s="1" t="s">
        <v>4042</v>
      </c>
    </row>
    <row r="3051" spans="1:4" hidden="1" x14ac:dyDescent="0.3">
      <c r="A3051">
        <v>3049</v>
      </c>
      <c r="B3051" t="s">
        <v>4043</v>
      </c>
      <c r="C3051" t="s">
        <v>168</v>
      </c>
      <c r="D3051">
        <v>0.99963415129245903</v>
      </c>
    </row>
    <row r="3052" spans="1:4" hidden="1" x14ac:dyDescent="0.3">
      <c r="A3052">
        <v>3050</v>
      </c>
      <c r="B3052" t="s">
        <v>4044</v>
      </c>
      <c r="C3052" t="s">
        <v>170</v>
      </c>
      <c r="D3052">
        <v>0.99931749740815101</v>
      </c>
    </row>
    <row r="3053" spans="1:4" hidden="1" x14ac:dyDescent="0.3">
      <c r="A3053">
        <v>3051</v>
      </c>
      <c r="B3053" s="1" t="s">
        <v>4045</v>
      </c>
      <c r="C3053" t="s">
        <v>172</v>
      </c>
      <c r="D3053" s="1" t="s">
        <v>4046</v>
      </c>
    </row>
    <row r="3054" spans="1:4" hidden="1" x14ac:dyDescent="0.3">
      <c r="A3054">
        <v>3052</v>
      </c>
      <c r="B3054" s="1" t="s">
        <v>4047</v>
      </c>
      <c r="C3054" t="s">
        <v>55</v>
      </c>
      <c r="D3054" s="1" t="s">
        <v>4048</v>
      </c>
    </row>
    <row r="3055" spans="1:4" hidden="1" x14ac:dyDescent="0.3">
      <c r="A3055">
        <v>3053</v>
      </c>
      <c r="B3055" s="1" t="s">
        <v>4049</v>
      </c>
      <c r="C3055" t="s">
        <v>52</v>
      </c>
      <c r="D3055" s="1" t="s">
        <v>4050</v>
      </c>
    </row>
    <row r="3056" spans="1:4" hidden="1" x14ac:dyDescent="0.3">
      <c r="A3056">
        <v>3054</v>
      </c>
      <c r="B3056" s="1" t="s">
        <v>4051</v>
      </c>
      <c r="C3056" t="s">
        <v>58</v>
      </c>
      <c r="D3056" s="1" t="s">
        <v>4052</v>
      </c>
    </row>
    <row r="3057" spans="1:4" hidden="1" x14ac:dyDescent="0.3">
      <c r="A3057">
        <v>3055</v>
      </c>
      <c r="B3057" t="s">
        <v>4053</v>
      </c>
      <c r="C3057" t="s">
        <v>61</v>
      </c>
      <c r="D3057">
        <v>148664592.77624199</v>
      </c>
    </row>
    <row r="3058" spans="1:4" hidden="1" x14ac:dyDescent="0.3">
      <c r="A3058">
        <v>3056</v>
      </c>
      <c r="B3058" t="s">
        <v>4054</v>
      </c>
      <c r="C3058" t="s">
        <v>63</v>
      </c>
      <c r="D3058">
        <v>75881778.846964195</v>
      </c>
    </row>
    <row r="3059" spans="1:4" hidden="1" x14ac:dyDescent="0.3">
      <c r="A3059">
        <v>3057</v>
      </c>
      <c r="B3059" t="s">
        <v>4055</v>
      </c>
      <c r="C3059" t="s">
        <v>65</v>
      </c>
      <c r="D3059">
        <v>34810813.202931099</v>
      </c>
    </row>
    <row r="3060" spans="1:4" hidden="1" x14ac:dyDescent="0.3">
      <c r="A3060">
        <v>3058</v>
      </c>
      <c r="B3060" s="1" t="s">
        <v>4056</v>
      </c>
      <c r="C3060" t="s">
        <v>67</v>
      </c>
      <c r="D3060" s="1" t="s">
        <v>4057</v>
      </c>
    </row>
    <row r="3061" spans="1:4" hidden="1" x14ac:dyDescent="0.3">
      <c r="A3061">
        <v>3059</v>
      </c>
      <c r="B3061" s="1" t="s">
        <v>4058</v>
      </c>
      <c r="C3061" t="s">
        <v>70</v>
      </c>
      <c r="D3061" s="1" t="s">
        <v>4059</v>
      </c>
    </row>
    <row r="3062" spans="1:4" hidden="1" x14ac:dyDescent="0.3">
      <c r="A3062">
        <v>3060</v>
      </c>
      <c r="B3062" t="s">
        <v>4060</v>
      </c>
      <c r="C3062" t="s">
        <v>73</v>
      </c>
      <c r="D3062">
        <v>0.99986151092029296</v>
      </c>
    </row>
    <row r="3063" spans="1:4" hidden="1" x14ac:dyDescent="0.3">
      <c r="A3063">
        <v>3061</v>
      </c>
      <c r="B3063" t="s">
        <v>74</v>
      </c>
      <c r="C3063" t="s">
        <v>75</v>
      </c>
      <c r="D3063">
        <v>2.7397260273972599E-3</v>
      </c>
    </row>
    <row r="3064" spans="1:4" hidden="1" x14ac:dyDescent="0.3">
      <c r="A3064">
        <v>3062</v>
      </c>
      <c r="B3064" t="s">
        <v>76</v>
      </c>
      <c r="C3064" t="s">
        <v>77</v>
      </c>
      <c r="D3064">
        <v>0</v>
      </c>
    </row>
    <row r="3065" spans="1:4" hidden="1" x14ac:dyDescent="0.3">
      <c r="A3065">
        <v>3063</v>
      </c>
      <c r="B3065" t="s">
        <v>78</v>
      </c>
      <c r="C3065" t="s">
        <v>79</v>
      </c>
      <c r="D3065">
        <v>0</v>
      </c>
    </row>
    <row r="3066" spans="1:4" hidden="1" x14ac:dyDescent="0.3">
      <c r="A3066">
        <v>3064</v>
      </c>
      <c r="B3066" s="1" t="s">
        <v>4061</v>
      </c>
      <c r="C3066" t="s">
        <v>81</v>
      </c>
      <c r="D3066" s="1" t="s">
        <v>4062</v>
      </c>
    </row>
    <row r="3067" spans="1:4" hidden="1" x14ac:dyDescent="0.3">
      <c r="A3067">
        <v>3065</v>
      </c>
      <c r="B3067" t="s">
        <v>4063</v>
      </c>
      <c r="C3067" t="s">
        <v>84</v>
      </c>
      <c r="D3067">
        <v>0.99986701044219595</v>
      </c>
    </row>
    <row r="3068" spans="1:4" hidden="1" x14ac:dyDescent="0.3">
      <c r="A3068">
        <v>3066</v>
      </c>
      <c r="B3068" s="1" t="s">
        <v>4064</v>
      </c>
      <c r="C3068" t="s">
        <v>86</v>
      </c>
      <c r="D3068" s="1" t="s">
        <v>4065</v>
      </c>
    </row>
    <row r="3069" spans="1:4" hidden="1" x14ac:dyDescent="0.3">
      <c r="A3069">
        <v>3067</v>
      </c>
      <c r="B3069" t="s">
        <v>4066</v>
      </c>
      <c r="C3069" t="s">
        <v>89</v>
      </c>
      <c r="D3069">
        <v>103007112.56484</v>
      </c>
    </row>
    <row r="3070" spans="1:4" hidden="1" x14ac:dyDescent="0.3">
      <c r="A3070">
        <v>3068</v>
      </c>
      <c r="B3070" s="1" t="s">
        <v>4067</v>
      </c>
      <c r="C3070" t="s">
        <v>91</v>
      </c>
      <c r="D3070" s="1" t="s">
        <v>4001</v>
      </c>
    </row>
    <row r="3071" spans="1:4" hidden="1" x14ac:dyDescent="0.3">
      <c r="A3071">
        <v>3069</v>
      </c>
      <c r="B3071" t="s">
        <v>4068</v>
      </c>
      <c r="C3071" t="s">
        <v>94</v>
      </c>
      <c r="D3071">
        <v>75881778.846964195</v>
      </c>
    </row>
    <row r="3072" spans="1:4" hidden="1" x14ac:dyDescent="0.3">
      <c r="A3072">
        <v>3070</v>
      </c>
      <c r="B3072" t="s">
        <v>4069</v>
      </c>
      <c r="C3072" t="s">
        <v>96</v>
      </c>
      <c r="D3072">
        <v>34810813.202931099</v>
      </c>
    </row>
    <row r="3073" spans="1:4" hidden="1" x14ac:dyDescent="0.3">
      <c r="A3073">
        <v>3071</v>
      </c>
      <c r="B3073" t="s">
        <v>4070</v>
      </c>
      <c r="C3073" t="s">
        <v>98</v>
      </c>
      <c r="D3073">
        <v>37972000.726346597</v>
      </c>
    </row>
    <row r="3074" spans="1:4" hidden="1" x14ac:dyDescent="0.3">
      <c r="A3074">
        <v>3072</v>
      </c>
      <c r="B3074" s="1" t="s">
        <v>4071</v>
      </c>
      <c r="C3074" t="s">
        <v>100</v>
      </c>
      <c r="D3074" s="1" t="s">
        <v>4072</v>
      </c>
    </row>
    <row r="3075" spans="1:4" hidden="1" x14ac:dyDescent="0.3">
      <c r="A3075">
        <v>3073</v>
      </c>
      <c r="B3075" t="s">
        <v>4073</v>
      </c>
      <c r="C3075" t="s">
        <v>103</v>
      </c>
      <c r="D3075">
        <v>8.6053012013641902E-3</v>
      </c>
    </row>
    <row r="3076" spans="1:4" hidden="1" x14ac:dyDescent="0.3">
      <c r="A3076">
        <v>3074</v>
      </c>
      <c r="B3076" t="s">
        <v>4074</v>
      </c>
      <c r="C3076" t="s">
        <v>105</v>
      </c>
      <c r="D3076">
        <v>3.1469299564677502E-3</v>
      </c>
    </row>
    <row r="3077" spans="1:4" hidden="1" x14ac:dyDescent="0.3">
      <c r="A3077">
        <v>3075</v>
      </c>
      <c r="B3077" t="s">
        <v>4075</v>
      </c>
      <c r="C3077" t="s">
        <v>107</v>
      </c>
      <c r="D3077">
        <v>1.1032526446909101E-2</v>
      </c>
    </row>
    <row r="3078" spans="1:4" hidden="1" x14ac:dyDescent="0.3">
      <c r="A3078">
        <v>3076</v>
      </c>
      <c r="B3078" s="1" t="s">
        <v>4076</v>
      </c>
      <c r="C3078" t="s">
        <v>109</v>
      </c>
      <c r="D3078" s="1" t="s">
        <v>4077</v>
      </c>
    </row>
    <row r="3079" spans="1:4" hidden="1" x14ac:dyDescent="0.3">
      <c r="A3079">
        <v>3077</v>
      </c>
      <c r="B3079" t="s">
        <v>4078</v>
      </c>
      <c r="C3079" t="s">
        <v>208</v>
      </c>
      <c r="D3079">
        <v>148664786.485502</v>
      </c>
    </row>
    <row r="3080" spans="1:4" hidden="1" x14ac:dyDescent="0.3">
      <c r="A3080">
        <v>3078</v>
      </c>
      <c r="B3080" t="s">
        <v>4079</v>
      </c>
      <c r="C3080" t="s">
        <v>210</v>
      </c>
      <c r="D3080">
        <v>-417.37200880947199</v>
      </c>
    </row>
    <row r="3081" spans="1:4" hidden="1" x14ac:dyDescent="0.3">
      <c r="A3081">
        <v>3079</v>
      </c>
      <c r="B3081" t="s">
        <v>4080</v>
      </c>
      <c r="C3081" t="s">
        <v>212</v>
      </c>
      <c r="D3081">
        <v>-191.46950599974099</v>
      </c>
    </row>
    <row r="3082" spans="1:4" hidden="1" x14ac:dyDescent="0.3">
      <c r="A3082">
        <v>3080</v>
      </c>
      <c r="B3082" s="1" t="s">
        <v>4081</v>
      </c>
      <c r="C3082" t="s">
        <v>214</v>
      </c>
      <c r="D3082" s="1" t="s">
        <v>4082</v>
      </c>
    </row>
    <row r="3083" spans="1:4" hidden="1" x14ac:dyDescent="0.3">
      <c r="A3083">
        <v>3081</v>
      </c>
      <c r="B3083" t="s">
        <v>4083</v>
      </c>
      <c r="C3083" t="s">
        <v>217</v>
      </c>
      <c r="D3083">
        <v>75882323.957004994</v>
      </c>
    </row>
    <row r="3084" spans="1:4" hidden="1" x14ac:dyDescent="0.3">
      <c r="A3084">
        <v>3082</v>
      </c>
      <c r="B3084" t="s">
        <v>4084</v>
      </c>
      <c r="C3084" t="s">
        <v>219</v>
      </c>
      <c r="D3084">
        <v>34811033.743263103</v>
      </c>
    </row>
    <row r="3085" spans="1:4" hidden="1" x14ac:dyDescent="0.3">
      <c r="A3085">
        <v>3083</v>
      </c>
      <c r="B3085" t="s">
        <v>4085</v>
      </c>
      <c r="C3085" t="s">
        <v>221</v>
      </c>
      <c r="D3085">
        <v>37972246.483726002</v>
      </c>
    </row>
    <row r="3086" spans="1:4" hidden="1" x14ac:dyDescent="0.3">
      <c r="A3086">
        <v>3084</v>
      </c>
      <c r="B3086" s="1" t="s">
        <v>4086</v>
      </c>
      <c r="C3086" t="s">
        <v>223</v>
      </c>
      <c r="D3086" s="1" t="s">
        <v>4087</v>
      </c>
    </row>
    <row r="3087" spans="1:4" hidden="1" x14ac:dyDescent="0.3">
      <c r="A3087">
        <v>3085</v>
      </c>
      <c r="B3087" t="s">
        <v>4088</v>
      </c>
      <c r="C3087" t="s">
        <v>226</v>
      </c>
      <c r="D3087">
        <v>103007679.133176</v>
      </c>
    </row>
    <row r="3088" spans="1:4" hidden="1" x14ac:dyDescent="0.3">
      <c r="A3088">
        <v>3086</v>
      </c>
      <c r="B3088" t="s">
        <v>4089</v>
      </c>
      <c r="C3088" t="s">
        <v>228</v>
      </c>
      <c r="D3088">
        <v>-566.56833529472306</v>
      </c>
    </row>
    <row r="3089" spans="1:4" hidden="1" x14ac:dyDescent="0.3">
      <c r="A3089">
        <v>3087</v>
      </c>
      <c r="B3089" s="1" t="s">
        <v>4090</v>
      </c>
      <c r="C3089" t="s">
        <v>230</v>
      </c>
      <c r="D3089" s="1" t="s">
        <v>4091</v>
      </c>
    </row>
    <row r="3090" spans="1:4" hidden="1" x14ac:dyDescent="0.3">
      <c r="A3090">
        <v>3088</v>
      </c>
      <c r="B3090" t="s">
        <v>4092</v>
      </c>
      <c r="C3090" t="s">
        <v>112</v>
      </c>
      <c r="D3090">
        <v>127.738031991507</v>
      </c>
    </row>
    <row r="3091" spans="1:4" hidden="1" x14ac:dyDescent="0.3">
      <c r="A3091">
        <v>3089</v>
      </c>
      <c r="B3091" t="s">
        <v>4093</v>
      </c>
      <c r="C3091" t="s">
        <v>114</v>
      </c>
      <c r="D3091">
        <v>29.070826001530701</v>
      </c>
    </row>
    <row r="3092" spans="1:4" hidden="1" x14ac:dyDescent="0.3">
      <c r="A3092">
        <v>3090</v>
      </c>
      <c r="B3092" s="1" t="s">
        <v>4094</v>
      </c>
      <c r="C3092" t="s">
        <v>116</v>
      </c>
      <c r="D3092" s="1" t="s">
        <v>4095</v>
      </c>
    </row>
    <row r="3093" spans="1:4" hidden="1" x14ac:dyDescent="0.3">
      <c r="A3093">
        <v>3091</v>
      </c>
      <c r="B3093" t="s">
        <v>4096</v>
      </c>
      <c r="C3093" t="s">
        <v>119</v>
      </c>
      <c r="D3093">
        <v>75882323.957004994</v>
      </c>
    </row>
    <row r="3094" spans="1:4" hidden="1" x14ac:dyDescent="0.3">
      <c r="A3094">
        <v>3092</v>
      </c>
      <c r="B3094" t="s">
        <v>4097</v>
      </c>
      <c r="C3094" t="s">
        <v>121</v>
      </c>
      <c r="D3094">
        <v>34811033.743263103</v>
      </c>
    </row>
    <row r="3095" spans="1:4" hidden="1" x14ac:dyDescent="0.3">
      <c r="A3095">
        <v>3093</v>
      </c>
      <c r="B3095" s="1" t="s">
        <v>4098</v>
      </c>
      <c r="C3095" t="s">
        <v>123</v>
      </c>
      <c r="D3095" s="1" t="s">
        <v>4099</v>
      </c>
    </row>
    <row r="3096" spans="1:4" hidden="1" x14ac:dyDescent="0.3">
      <c r="A3096">
        <v>3094</v>
      </c>
      <c r="B3096" t="s">
        <v>4100</v>
      </c>
      <c r="C3096" t="s">
        <v>126</v>
      </c>
      <c r="D3096">
        <v>0.73676465186487605</v>
      </c>
    </row>
    <row r="3097" spans="1:4" hidden="1" x14ac:dyDescent="0.3">
      <c r="A3097">
        <v>3095</v>
      </c>
      <c r="B3097" t="s">
        <v>4101</v>
      </c>
      <c r="C3097" t="s">
        <v>128</v>
      </c>
      <c r="D3097">
        <v>0.33799095519852101</v>
      </c>
    </row>
    <row r="3098" spans="1:4" hidden="1" x14ac:dyDescent="0.3">
      <c r="A3098">
        <v>3096</v>
      </c>
      <c r="B3098" s="1" t="s">
        <v>4102</v>
      </c>
      <c r="C3098" t="s">
        <v>130</v>
      </c>
      <c r="D3098" s="1" t="s">
        <v>4103</v>
      </c>
    </row>
    <row r="3099" spans="1:4" ht="72" x14ac:dyDescent="0.3">
      <c r="A3099">
        <v>3097</v>
      </c>
      <c r="B3099" s="1" t="s">
        <v>4104</v>
      </c>
      <c r="C3099" t="s">
        <v>4</v>
      </c>
      <c r="D3099" t="s">
        <v>4105</v>
      </c>
    </row>
    <row r="3100" spans="1:4" hidden="1" x14ac:dyDescent="0.3">
      <c r="A3100">
        <v>3098</v>
      </c>
      <c r="B3100" t="s">
        <v>4106</v>
      </c>
      <c r="C3100" t="s">
        <v>7</v>
      </c>
      <c r="D3100">
        <v>1724.02</v>
      </c>
    </row>
    <row r="3101" spans="1:4" hidden="1" x14ac:dyDescent="0.3">
      <c r="A3101">
        <v>3099</v>
      </c>
      <c r="B3101" s="1" t="s">
        <v>4107</v>
      </c>
      <c r="C3101" t="s">
        <v>9</v>
      </c>
      <c r="D3101" s="1" t="s">
        <v>4108</v>
      </c>
    </row>
    <row r="3102" spans="1:4" hidden="1" x14ac:dyDescent="0.3">
      <c r="A3102">
        <v>3100</v>
      </c>
      <c r="B3102" t="s">
        <v>4109</v>
      </c>
      <c r="C3102" t="s">
        <v>14</v>
      </c>
      <c r="D3102">
        <v>90.34375</v>
      </c>
    </row>
    <row r="3103" spans="1:4" hidden="1" x14ac:dyDescent="0.3">
      <c r="A3103">
        <v>3101</v>
      </c>
      <c r="B3103" t="s">
        <v>4110</v>
      </c>
      <c r="C3103" t="s">
        <v>16</v>
      </c>
      <c r="D3103">
        <v>4.2732806439367703</v>
      </c>
    </row>
    <row r="3104" spans="1:4" hidden="1" x14ac:dyDescent="0.3">
      <c r="A3104">
        <v>3102</v>
      </c>
      <c r="B3104" s="1" t="s">
        <v>4111</v>
      </c>
      <c r="C3104" t="s">
        <v>140</v>
      </c>
      <c r="D3104" s="1" t="s">
        <v>4112</v>
      </c>
    </row>
    <row r="3105" spans="1:4" hidden="1" x14ac:dyDescent="0.3">
      <c r="A3105">
        <v>3103</v>
      </c>
      <c r="B3105" t="s">
        <v>4113</v>
      </c>
      <c r="C3105" t="s">
        <v>22</v>
      </c>
      <c r="D3105">
        <v>61.4</v>
      </c>
    </row>
    <row r="3106" spans="1:4" hidden="1" x14ac:dyDescent="0.3">
      <c r="A3106">
        <v>3104</v>
      </c>
      <c r="B3106" t="s">
        <v>4114</v>
      </c>
      <c r="C3106" t="s">
        <v>24</v>
      </c>
      <c r="D3106">
        <v>5.6816489290496497</v>
      </c>
    </row>
    <row r="3107" spans="1:4" hidden="1" x14ac:dyDescent="0.3">
      <c r="A3107">
        <v>3105</v>
      </c>
      <c r="B3107" s="1" t="s">
        <v>4115</v>
      </c>
      <c r="C3107" t="s">
        <v>145</v>
      </c>
      <c r="D3107" s="1" t="s">
        <v>4116</v>
      </c>
    </row>
    <row r="3108" spans="1:4" hidden="1" x14ac:dyDescent="0.3">
      <c r="A3108">
        <v>3106</v>
      </c>
      <c r="B3108" t="s">
        <v>4117</v>
      </c>
      <c r="C3108" t="s">
        <v>35</v>
      </c>
      <c r="D3108">
        <v>0.44397303216109402</v>
      </c>
    </row>
    <row r="3109" spans="1:4" hidden="1" x14ac:dyDescent="0.3">
      <c r="A3109">
        <v>3107</v>
      </c>
      <c r="B3109" t="s">
        <v>4118</v>
      </c>
      <c r="C3109" t="s">
        <v>149</v>
      </c>
      <c r="D3109">
        <v>0.542808969617393</v>
      </c>
    </row>
    <row r="3110" spans="1:4" hidden="1" x14ac:dyDescent="0.3">
      <c r="A3110">
        <v>3108</v>
      </c>
      <c r="B3110" s="1" t="s">
        <v>4119</v>
      </c>
      <c r="C3110" t="s">
        <v>151</v>
      </c>
      <c r="D3110" s="1" t="s">
        <v>4120</v>
      </c>
    </row>
    <row r="3111" spans="1:4" hidden="1" x14ac:dyDescent="0.3">
      <c r="A3111">
        <v>3109</v>
      </c>
      <c r="B3111" t="s">
        <v>4121</v>
      </c>
      <c r="C3111" t="s">
        <v>30</v>
      </c>
      <c r="D3111">
        <v>0.233766413886413</v>
      </c>
    </row>
    <row r="3112" spans="1:4" hidden="1" x14ac:dyDescent="0.3">
      <c r="A3112">
        <v>3110</v>
      </c>
      <c r="B3112" t="s">
        <v>4122</v>
      </c>
      <c r="C3112" t="s">
        <v>32</v>
      </c>
      <c r="D3112">
        <v>0.41892210748129599</v>
      </c>
    </row>
    <row r="3113" spans="1:4" hidden="1" x14ac:dyDescent="0.3">
      <c r="A3113">
        <v>3111</v>
      </c>
      <c r="B3113" s="1" t="s">
        <v>4123</v>
      </c>
      <c r="C3113" t="s">
        <v>155</v>
      </c>
      <c r="D3113" s="1" t="s">
        <v>4124</v>
      </c>
    </row>
    <row r="3114" spans="1:4" hidden="1" x14ac:dyDescent="0.3">
      <c r="A3114">
        <v>3112</v>
      </c>
      <c r="B3114" t="s">
        <v>4125</v>
      </c>
      <c r="C3114" t="s">
        <v>40</v>
      </c>
      <c r="D3114">
        <v>0.32226055395249198</v>
      </c>
    </row>
    <row r="3115" spans="1:4" hidden="1" x14ac:dyDescent="0.3">
      <c r="A3115">
        <v>3113</v>
      </c>
      <c r="B3115" t="s">
        <v>4126</v>
      </c>
      <c r="C3115" t="s">
        <v>42</v>
      </c>
      <c r="D3115">
        <v>0.42334663893397401</v>
      </c>
    </row>
    <row r="3116" spans="1:4" hidden="1" x14ac:dyDescent="0.3">
      <c r="A3116">
        <v>3114</v>
      </c>
      <c r="B3116" s="1" t="s">
        <v>4127</v>
      </c>
      <c r="C3116" t="s">
        <v>159</v>
      </c>
      <c r="D3116" s="1" t="s">
        <v>4128</v>
      </c>
    </row>
    <row r="3117" spans="1:4" hidden="1" x14ac:dyDescent="0.3">
      <c r="A3117">
        <v>3115</v>
      </c>
      <c r="B3117" t="s">
        <v>4129</v>
      </c>
      <c r="C3117" t="s">
        <v>161</v>
      </c>
      <c r="D3117">
        <v>0.99247592237592697</v>
      </c>
    </row>
    <row r="3118" spans="1:4" hidden="1" x14ac:dyDescent="0.3">
      <c r="A3118">
        <v>3116</v>
      </c>
      <c r="B3118" t="s">
        <v>4130</v>
      </c>
      <c r="C3118" t="s">
        <v>163</v>
      </c>
      <c r="D3118">
        <v>0.99951377777052597</v>
      </c>
    </row>
    <row r="3119" spans="1:4" hidden="1" x14ac:dyDescent="0.3">
      <c r="A3119">
        <v>3117</v>
      </c>
      <c r="B3119" s="1" t="s">
        <v>4131</v>
      </c>
      <c r="C3119" t="s">
        <v>165</v>
      </c>
      <c r="D3119" s="1" t="s">
        <v>4132</v>
      </c>
    </row>
    <row r="3120" spans="1:4" hidden="1" x14ac:dyDescent="0.3">
      <c r="A3120">
        <v>3118</v>
      </c>
      <c r="B3120" t="s">
        <v>4133</v>
      </c>
      <c r="C3120" t="s">
        <v>168</v>
      </c>
      <c r="D3120">
        <v>1.0006530483979399</v>
      </c>
    </row>
    <row r="3121" spans="1:4" hidden="1" x14ac:dyDescent="0.3">
      <c r="A3121">
        <v>3119</v>
      </c>
      <c r="B3121" t="s">
        <v>4134</v>
      </c>
      <c r="C3121" t="s">
        <v>170</v>
      </c>
      <c r="D3121">
        <v>0.99929835542095102</v>
      </c>
    </row>
    <row r="3122" spans="1:4" hidden="1" x14ac:dyDescent="0.3">
      <c r="A3122">
        <v>3120</v>
      </c>
      <c r="B3122" s="1" t="s">
        <v>4135</v>
      </c>
      <c r="C3122" t="s">
        <v>172</v>
      </c>
      <c r="D3122" s="1" t="s">
        <v>4136</v>
      </c>
    </row>
    <row r="3123" spans="1:4" hidden="1" x14ac:dyDescent="0.3">
      <c r="A3123">
        <v>3121</v>
      </c>
      <c r="B3123" s="1" t="s">
        <v>4137</v>
      </c>
      <c r="C3123" t="s">
        <v>55</v>
      </c>
      <c r="D3123" s="1" t="s">
        <v>4138</v>
      </c>
    </row>
    <row r="3124" spans="1:4" hidden="1" x14ac:dyDescent="0.3">
      <c r="A3124">
        <v>3122</v>
      </c>
      <c r="B3124" s="1" t="s">
        <v>4139</v>
      </c>
      <c r="C3124" t="s">
        <v>52</v>
      </c>
      <c r="D3124" s="1" t="s">
        <v>4140</v>
      </c>
    </row>
    <row r="3125" spans="1:4" hidden="1" x14ac:dyDescent="0.3">
      <c r="A3125">
        <v>3123</v>
      </c>
      <c r="B3125" s="1" t="s">
        <v>4141</v>
      </c>
      <c r="C3125" t="s">
        <v>58</v>
      </c>
      <c r="D3125" s="1" t="s">
        <v>4142</v>
      </c>
    </row>
    <row r="3126" spans="1:4" hidden="1" x14ac:dyDescent="0.3">
      <c r="A3126">
        <v>3124</v>
      </c>
      <c r="B3126" t="s">
        <v>4143</v>
      </c>
      <c r="C3126" t="s">
        <v>61</v>
      </c>
      <c r="D3126">
        <v>147975618.006836</v>
      </c>
    </row>
    <row r="3127" spans="1:4" hidden="1" x14ac:dyDescent="0.3">
      <c r="A3127">
        <v>3125</v>
      </c>
      <c r="B3127" t="s">
        <v>4144</v>
      </c>
      <c r="C3127" t="s">
        <v>63</v>
      </c>
      <c r="D3127">
        <v>75311379.461257502</v>
      </c>
    </row>
    <row r="3128" spans="1:4" hidden="1" x14ac:dyDescent="0.3">
      <c r="A3128">
        <v>3126</v>
      </c>
      <c r="B3128" t="s">
        <v>4145</v>
      </c>
      <c r="C3128" t="s">
        <v>65</v>
      </c>
      <c r="D3128">
        <v>34794107.844826199</v>
      </c>
    </row>
    <row r="3129" spans="1:4" hidden="1" x14ac:dyDescent="0.3">
      <c r="A3129">
        <v>3127</v>
      </c>
      <c r="B3129" s="1" t="s">
        <v>4146</v>
      </c>
      <c r="C3129" t="s">
        <v>67</v>
      </c>
      <c r="D3129" s="1" t="s">
        <v>4147</v>
      </c>
    </row>
    <row r="3130" spans="1:4" hidden="1" x14ac:dyDescent="0.3">
      <c r="A3130">
        <v>3128</v>
      </c>
      <c r="B3130" s="1" t="s">
        <v>4148</v>
      </c>
      <c r="C3130" t="s">
        <v>70</v>
      </c>
      <c r="D3130" s="1" t="s">
        <v>4149</v>
      </c>
    </row>
    <row r="3131" spans="1:4" hidden="1" x14ac:dyDescent="0.3">
      <c r="A3131">
        <v>3129</v>
      </c>
      <c r="B3131" t="s">
        <v>4150</v>
      </c>
      <c r="C3131" t="s">
        <v>73</v>
      </c>
      <c r="D3131">
        <v>0.99986701044219595</v>
      </c>
    </row>
    <row r="3132" spans="1:4" hidden="1" x14ac:dyDescent="0.3">
      <c r="A3132">
        <v>3130</v>
      </c>
      <c r="B3132" t="s">
        <v>74</v>
      </c>
      <c r="C3132" t="s">
        <v>75</v>
      </c>
      <c r="D3132">
        <v>2.7397260273972599E-3</v>
      </c>
    </row>
    <row r="3133" spans="1:4" hidden="1" x14ac:dyDescent="0.3">
      <c r="A3133">
        <v>3131</v>
      </c>
      <c r="B3133" t="s">
        <v>76</v>
      </c>
      <c r="C3133" t="s">
        <v>77</v>
      </c>
      <c r="D3133">
        <v>0</v>
      </c>
    </row>
    <row r="3134" spans="1:4" hidden="1" x14ac:dyDescent="0.3">
      <c r="A3134">
        <v>3132</v>
      </c>
      <c r="B3134" t="s">
        <v>188</v>
      </c>
      <c r="C3134" t="s">
        <v>79</v>
      </c>
      <c r="D3134" s="2">
        <v>-2.2204460492503101E-16</v>
      </c>
    </row>
    <row r="3135" spans="1:4" hidden="1" x14ac:dyDescent="0.3">
      <c r="A3135">
        <v>3133</v>
      </c>
      <c r="B3135" s="1" t="s">
        <v>4151</v>
      </c>
      <c r="C3135" t="s">
        <v>81</v>
      </c>
      <c r="D3135" s="1" t="s">
        <v>4152</v>
      </c>
    </row>
    <row r="3136" spans="1:4" hidden="1" x14ac:dyDescent="0.3">
      <c r="A3136">
        <v>3134</v>
      </c>
      <c r="B3136" t="s">
        <v>4153</v>
      </c>
      <c r="C3136" t="s">
        <v>84</v>
      </c>
      <c r="D3136">
        <v>0.99985891779560798</v>
      </c>
    </row>
    <row r="3137" spans="1:4" hidden="1" x14ac:dyDescent="0.3">
      <c r="A3137">
        <v>3135</v>
      </c>
      <c r="B3137" s="1" t="s">
        <v>4154</v>
      </c>
      <c r="C3137" t="s">
        <v>86</v>
      </c>
      <c r="D3137" s="1" t="s">
        <v>4155</v>
      </c>
    </row>
    <row r="3138" spans="1:4" hidden="1" x14ac:dyDescent="0.3">
      <c r="A3138">
        <v>3136</v>
      </c>
      <c r="B3138" t="s">
        <v>4156</v>
      </c>
      <c r="C3138" t="s">
        <v>89</v>
      </c>
      <c r="D3138">
        <v>103007946.282621</v>
      </c>
    </row>
    <row r="3139" spans="1:4" hidden="1" x14ac:dyDescent="0.3">
      <c r="A3139">
        <v>3137</v>
      </c>
      <c r="B3139" s="1" t="s">
        <v>4157</v>
      </c>
      <c r="C3139" t="s">
        <v>91</v>
      </c>
      <c r="D3139" s="1" t="s">
        <v>4091</v>
      </c>
    </row>
    <row r="3140" spans="1:4" hidden="1" x14ac:dyDescent="0.3">
      <c r="A3140">
        <v>3138</v>
      </c>
      <c r="B3140" t="s">
        <v>4158</v>
      </c>
      <c r="C3140" t="s">
        <v>94</v>
      </c>
      <c r="D3140">
        <v>75311379.461257502</v>
      </c>
    </row>
    <row r="3141" spans="1:4" hidden="1" x14ac:dyDescent="0.3">
      <c r="A3141">
        <v>3139</v>
      </c>
      <c r="B3141" t="s">
        <v>4159</v>
      </c>
      <c r="C3141" t="s">
        <v>96</v>
      </c>
      <c r="D3141">
        <v>34794107.844826199</v>
      </c>
    </row>
    <row r="3142" spans="1:4" hidden="1" x14ac:dyDescent="0.3">
      <c r="A3142">
        <v>3140</v>
      </c>
      <c r="B3142" t="s">
        <v>4160</v>
      </c>
      <c r="C3142" t="s">
        <v>98</v>
      </c>
      <c r="D3142">
        <v>37870130.700752497</v>
      </c>
    </row>
    <row r="3143" spans="1:4" hidden="1" x14ac:dyDescent="0.3">
      <c r="A3143">
        <v>3141</v>
      </c>
      <c r="B3143" s="1" t="s">
        <v>4161</v>
      </c>
      <c r="C3143" t="s">
        <v>100</v>
      </c>
      <c r="D3143" s="1" t="s">
        <v>4162</v>
      </c>
    </row>
    <row r="3144" spans="1:4" hidden="1" x14ac:dyDescent="0.3">
      <c r="A3144">
        <v>3142</v>
      </c>
      <c r="B3144" t="s">
        <v>4163</v>
      </c>
      <c r="C3144" t="s">
        <v>103</v>
      </c>
      <c r="D3144">
        <v>8.5672233973480005E-3</v>
      </c>
    </row>
    <row r="3145" spans="1:4" hidden="1" x14ac:dyDescent="0.3">
      <c r="A3145">
        <v>3143</v>
      </c>
      <c r="B3145" t="s">
        <v>4164</v>
      </c>
      <c r="C3145" t="s">
        <v>105</v>
      </c>
      <c r="D3145">
        <v>3.1353092593674799E-3</v>
      </c>
    </row>
    <row r="3146" spans="1:4" hidden="1" x14ac:dyDescent="0.3">
      <c r="A3146">
        <v>3144</v>
      </c>
      <c r="B3146" t="s">
        <v>4165</v>
      </c>
      <c r="C3146" t="s">
        <v>107</v>
      </c>
      <c r="D3146">
        <v>1.10181937136693E-2</v>
      </c>
    </row>
    <row r="3147" spans="1:4" hidden="1" x14ac:dyDescent="0.3">
      <c r="A3147">
        <v>3145</v>
      </c>
      <c r="B3147" s="1" t="s">
        <v>4166</v>
      </c>
      <c r="C3147" t="s">
        <v>109</v>
      </c>
      <c r="D3147" s="1" t="s">
        <v>4167</v>
      </c>
    </row>
    <row r="3148" spans="1:4" hidden="1" x14ac:dyDescent="0.3">
      <c r="A3148">
        <v>3146</v>
      </c>
      <c r="B3148" t="s">
        <v>4168</v>
      </c>
      <c r="C3148" t="s">
        <v>208</v>
      </c>
      <c r="D3148">
        <v>147975332.72278199</v>
      </c>
    </row>
    <row r="3149" spans="1:4" hidden="1" x14ac:dyDescent="0.3">
      <c r="A3149">
        <v>3147</v>
      </c>
      <c r="B3149" t="s">
        <v>4169</v>
      </c>
      <c r="C3149" t="s">
        <v>210</v>
      </c>
      <c r="D3149">
        <v>609.54792692723595</v>
      </c>
    </row>
    <row r="3150" spans="1:4" hidden="1" x14ac:dyDescent="0.3">
      <c r="A3150">
        <v>3148</v>
      </c>
      <c r="B3150" t="s">
        <v>4170</v>
      </c>
      <c r="C3150" t="s">
        <v>212</v>
      </c>
      <c r="D3150">
        <v>281.61349521624402</v>
      </c>
    </row>
    <row r="3151" spans="1:4" hidden="1" x14ac:dyDescent="0.3">
      <c r="A3151">
        <v>3149</v>
      </c>
      <c r="B3151" s="1" t="s">
        <v>4171</v>
      </c>
      <c r="C3151" t="s">
        <v>214</v>
      </c>
      <c r="D3151" s="1" t="s">
        <v>4172</v>
      </c>
    </row>
    <row r="3152" spans="1:4" hidden="1" x14ac:dyDescent="0.3">
      <c r="A3152">
        <v>3150</v>
      </c>
      <c r="B3152" t="s">
        <v>4173</v>
      </c>
      <c r="C3152" t="s">
        <v>217</v>
      </c>
      <c r="D3152">
        <v>75310582.753354296</v>
      </c>
    </row>
    <row r="3153" spans="1:4" hidden="1" x14ac:dyDescent="0.3">
      <c r="A3153">
        <v>3151</v>
      </c>
      <c r="B3153" t="s">
        <v>4174</v>
      </c>
      <c r="C3153" t="s">
        <v>219</v>
      </c>
      <c r="D3153">
        <v>34793779.945831902</v>
      </c>
    </row>
    <row r="3154" spans="1:4" hidden="1" x14ac:dyDescent="0.3">
      <c r="A3154">
        <v>3152</v>
      </c>
      <c r="B3154" t="s">
        <v>4175</v>
      </c>
      <c r="C3154" t="s">
        <v>221</v>
      </c>
      <c r="D3154">
        <v>37869772.352246903</v>
      </c>
    </row>
    <row r="3155" spans="1:4" hidden="1" x14ac:dyDescent="0.3">
      <c r="A3155">
        <v>3153</v>
      </c>
      <c r="B3155" s="1" t="s">
        <v>4176</v>
      </c>
      <c r="C3155" t="s">
        <v>223</v>
      </c>
      <c r="D3155" s="1" t="s">
        <v>4177</v>
      </c>
    </row>
    <row r="3156" spans="1:4" hidden="1" x14ac:dyDescent="0.3">
      <c r="A3156">
        <v>3154</v>
      </c>
      <c r="B3156" t="s">
        <v>4178</v>
      </c>
      <c r="C3156" t="s">
        <v>226</v>
      </c>
      <c r="D3156">
        <v>103007112.56484</v>
      </c>
    </row>
    <row r="3157" spans="1:4" hidden="1" x14ac:dyDescent="0.3">
      <c r="A3157">
        <v>3155</v>
      </c>
      <c r="B3157" t="s">
        <v>4179</v>
      </c>
      <c r="C3157" t="s">
        <v>228</v>
      </c>
      <c r="D3157">
        <v>833.71778078377201</v>
      </c>
    </row>
    <row r="3158" spans="1:4" hidden="1" x14ac:dyDescent="0.3">
      <c r="A3158">
        <v>3156</v>
      </c>
      <c r="B3158" s="1" t="s">
        <v>4180</v>
      </c>
      <c r="C3158" t="s">
        <v>230</v>
      </c>
      <c r="D3158" s="1" t="s">
        <v>4181</v>
      </c>
    </row>
    <row r="3159" spans="1:4" hidden="1" x14ac:dyDescent="0.3">
      <c r="A3159">
        <v>3157</v>
      </c>
      <c r="B3159" t="s">
        <v>4182</v>
      </c>
      <c r="C3159" t="s">
        <v>112</v>
      </c>
      <c r="D3159">
        <v>-187.159976274456</v>
      </c>
    </row>
    <row r="3160" spans="1:4" hidden="1" x14ac:dyDescent="0.3">
      <c r="A3160">
        <v>3158</v>
      </c>
      <c r="B3160" t="s">
        <v>4183</v>
      </c>
      <c r="C3160" t="s">
        <v>114</v>
      </c>
      <c r="D3160">
        <v>-46.285499063911502</v>
      </c>
    </row>
    <row r="3161" spans="1:4" hidden="1" x14ac:dyDescent="0.3">
      <c r="A3161">
        <v>3159</v>
      </c>
      <c r="B3161" s="1" t="s">
        <v>4184</v>
      </c>
      <c r="C3161" t="s">
        <v>116</v>
      </c>
      <c r="D3161" s="1" t="s">
        <v>4185</v>
      </c>
    </row>
    <row r="3162" spans="1:4" hidden="1" x14ac:dyDescent="0.3">
      <c r="A3162">
        <v>3160</v>
      </c>
      <c r="B3162" t="s">
        <v>4186</v>
      </c>
      <c r="C3162" t="s">
        <v>119</v>
      </c>
      <c r="D3162">
        <v>75310582.753354296</v>
      </c>
    </row>
    <row r="3163" spans="1:4" hidden="1" x14ac:dyDescent="0.3">
      <c r="A3163">
        <v>3161</v>
      </c>
      <c r="B3163" t="s">
        <v>4187</v>
      </c>
      <c r="C3163" t="s">
        <v>121</v>
      </c>
      <c r="D3163">
        <v>34793779.945831902</v>
      </c>
    </row>
    <row r="3164" spans="1:4" hidden="1" x14ac:dyDescent="0.3">
      <c r="A3164">
        <v>3162</v>
      </c>
      <c r="B3164" s="1" t="s">
        <v>4188</v>
      </c>
      <c r="C3164" t="s">
        <v>123</v>
      </c>
      <c r="D3164" s="1" t="s">
        <v>4189</v>
      </c>
    </row>
    <row r="3165" spans="1:4" hidden="1" x14ac:dyDescent="0.3">
      <c r="A3165">
        <v>3163</v>
      </c>
      <c r="B3165" t="s">
        <v>4190</v>
      </c>
      <c r="C3165" t="s">
        <v>126</v>
      </c>
      <c r="D3165">
        <v>0.73122338215409699</v>
      </c>
    </row>
    <row r="3166" spans="1:4" hidden="1" x14ac:dyDescent="0.3">
      <c r="A3166">
        <v>3164</v>
      </c>
      <c r="B3166" t="s">
        <v>4191</v>
      </c>
      <c r="C3166" t="s">
        <v>128</v>
      </c>
      <c r="D3166">
        <v>0.33782802522243699</v>
      </c>
    </row>
    <row r="3167" spans="1:4" hidden="1" x14ac:dyDescent="0.3">
      <c r="A3167">
        <v>3165</v>
      </c>
      <c r="B3167" s="1" t="s">
        <v>4192</v>
      </c>
      <c r="C3167" t="s">
        <v>130</v>
      </c>
      <c r="D3167" s="1" t="s">
        <v>4193</v>
      </c>
    </row>
    <row r="3168" spans="1:4" ht="72" x14ac:dyDescent="0.3">
      <c r="A3168">
        <v>3166</v>
      </c>
      <c r="B3168" s="1" t="s">
        <v>4194</v>
      </c>
      <c r="C3168" t="s">
        <v>4</v>
      </c>
      <c r="D3168" t="s">
        <v>4195</v>
      </c>
    </row>
    <row r="3169" spans="1:4" hidden="1" x14ac:dyDescent="0.3">
      <c r="A3169">
        <v>3167</v>
      </c>
      <c r="B3169" t="s">
        <v>4196</v>
      </c>
      <c r="C3169" t="s">
        <v>7</v>
      </c>
      <c r="D3169">
        <v>1711.04</v>
      </c>
    </row>
    <row r="3170" spans="1:4" hidden="1" x14ac:dyDescent="0.3">
      <c r="A3170">
        <v>3168</v>
      </c>
      <c r="B3170" s="1" t="s">
        <v>4197</v>
      </c>
      <c r="C3170" t="s">
        <v>9</v>
      </c>
      <c r="D3170" s="1" t="s">
        <v>4198</v>
      </c>
    </row>
    <row r="3171" spans="1:4" hidden="1" x14ac:dyDescent="0.3">
      <c r="A3171">
        <v>3169</v>
      </c>
      <c r="B3171" t="s">
        <v>4199</v>
      </c>
      <c r="C3171" t="s">
        <v>14</v>
      </c>
      <c r="D3171">
        <v>90.1875</v>
      </c>
    </row>
    <row r="3172" spans="1:4" hidden="1" x14ac:dyDescent="0.3">
      <c r="A3172">
        <v>3170</v>
      </c>
      <c r="B3172" t="s">
        <v>4200</v>
      </c>
      <c r="C3172" t="s">
        <v>16</v>
      </c>
      <c r="D3172">
        <v>4.2707574043904701</v>
      </c>
    </row>
    <row r="3173" spans="1:4" hidden="1" x14ac:dyDescent="0.3">
      <c r="A3173">
        <v>3171</v>
      </c>
      <c r="B3173" s="1" t="s">
        <v>4201</v>
      </c>
      <c r="C3173" t="s">
        <v>140</v>
      </c>
      <c r="D3173" s="1" t="s">
        <v>4202</v>
      </c>
    </row>
    <row r="3174" spans="1:4" hidden="1" x14ac:dyDescent="0.3">
      <c r="A3174">
        <v>3172</v>
      </c>
      <c r="B3174" t="s">
        <v>4203</v>
      </c>
      <c r="C3174" t="s">
        <v>22</v>
      </c>
      <c r="D3174">
        <v>60.85</v>
      </c>
    </row>
    <row r="3175" spans="1:4" hidden="1" x14ac:dyDescent="0.3">
      <c r="A3175">
        <v>3173</v>
      </c>
      <c r="B3175" t="s">
        <v>4204</v>
      </c>
      <c r="C3175" t="s">
        <v>24</v>
      </c>
      <c r="D3175">
        <v>5.6863373440160601</v>
      </c>
    </row>
    <row r="3176" spans="1:4" hidden="1" x14ac:dyDescent="0.3">
      <c r="A3176">
        <v>3174</v>
      </c>
      <c r="B3176" s="1" t="s">
        <v>4205</v>
      </c>
      <c r="C3176" t="s">
        <v>145</v>
      </c>
      <c r="D3176" s="1" t="s">
        <v>4206</v>
      </c>
    </row>
    <row r="3177" spans="1:4" hidden="1" x14ac:dyDescent="0.3">
      <c r="A3177">
        <v>3175</v>
      </c>
      <c r="B3177" t="s">
        <v>4207</v>
      </c>
      <c r="C3177" t="s">
        <v>35</v>
      </c>
      <c r="D3177">
        <v>0.41762554391217499</v>
      </c>
    </row>
    <row r="3178" spans="1:4" hidden="1" x14ac:dyDescent="0.3">
      <c r="A3178">
        <v>3176</v>
      </c>
      <c r="B3178" t="s">
        <v>4208</v>
      </c>
      <c r="C3178" t="s">
        <v>149</v>
      </c>
      <c r="D3178">
        <v>0.54219059396963398</v>
      </c>
    </row>
    <row r="3179" spans="1:4" hidden="1" x14ac:dyDescent="0.3">
      <c r="A3179">
        <v>3177</v>
      </c>
      <c r="B3179" s="1" t="s">
        <v>4209</v>
      </c>
      <c r="C3179" t="s">
        <v>151</v>
      </c>
      <c r="D3179" s="1" t="s">
        <v>4210</v>
      </c>
    </row>
    <row r="3180" spans="1:4" hidden="1" x14ac:dyDescent="0.3">
      <c r="A3180">
        <v>3178</v>
      </c>
      <c r="B3180" t="s">
        <v>4211</v>
      </c>
      <c r="C3180" t="s">
        <v>30</v>
      </c>
      <c r="D3180">
        <v>0.242524082320449</v>
      </c>
    </row>
    <row r="3181" spans="1:4" hidden="1" x14ac:dyDescent="0.3">
      <c r="A3181">
        <v>3179</v>
      </c>
      <c r="B3181" t="s">
        <v>4212</v>
      </c>
      <c r="C3181" t="s">
        <v>32</v>
      </c>
      <c r="D3181">
        <v>0.42061930309440998</v>
      </c>
    </row>
    <row r="3182" spans="1:4" hidden="1" x14ac:dyDescent="0.3">
      <c r="A3182">
        <v>3180</v>
      </c>
      <c r="B3182" s="1" t="s">
        <v>4213</v>
      </c>
      <c r="C3182" t="s">
        <v>155</v>
      </c>
      <c r="D3182" s="1" t="s">
        <v>4214</v>
      </c>
    </row>
    <row r="3183" spans="1:4" hidden="1" x14ac:dyDescent="0.3">
      <c r="A3183">
        <v>3181</v>
      </c>
      <c r="B3183" t="s">
        <v>4215</v>
      </c>
      <c r="C3183" t="s">
        <v>40</v>
      </c>
      <c r="D3183">
        <v>0.33985037376737398</v>
      </c>
    </row>
    <row r="3184" spans="1:4" hidden="1" x14ac:dyDescent="0.3">
      <c r="A3184">
        <v>3182</v>
      </c>
      <c r="B3184" t="s">
        <v>4216</v>
      </c>
      <c r="C3184" t="s">
        <v>42</v>
      </c>
      <c r="D3184">
        <v>0.423750575546467</v>
      </c>
    </row>
    <row r="3185" spans="1:4" hidden="1" x14ac:dyDescent="0.3">
      <c r="A3185">
        <v>3183</v>
      </c>
      <c r="B3185" s="1" t="s">
        <v>4217</v>
      </c>
      <c r="C3185" t="s">
        <v>159</v>
      </c>
      <c r="D3185" s="1" t="s">
        <v>4218</v>
      </c>
    </row>
    <row r="3186" spans="1:4" hidden="1" x14ac:dyDescent="0.3">
      <c r="A3186">
        <v>3184</v>
      </c>
      <c r="B3186" t="s">
        <v>4219</v>
      </c>
      <c r="C3186" t="s">
        <v>161</v>
      </c>
      <c r="D3186">
        <v>0.99247108502221504</v>
      </c>
    </row>
    <row r="3187" spans="1:4" hidden="1" x14ac:dyDescent="0.3">
      <c r="A3187">
        <v>3185</v>
      </c>
      <c r="B3187" t="s">
        <v>4220</v>
      </c>
      <c r="C3187" t="s">
        <v>163</v>
      </c>
      <c r="D3187">
        <v>0.99832193804365099</v>
      </c>
    </row>
    <row r="3188" spans="1:4" hidden="1" x14ac:dyDescent="0.3">
      <c r="A3188">
        <v>3186</v>
      </c>
      <c r="B3188" s="1" t="s">
        <v>4221</v>
      </c>
      <c r="C3188" t="s">
        <v>165</v>
      </c>
      <c r="D3188" s="1" t="s">
        <v>4222</v>
      </c>
    </row>
    <row r="3189" spans="1:4" hidden="1" x14ac:dyDescent="0.3">
      <c r="A3189">
        <v>3187</v>
      </c>
      <c r="B3189" t="s">
        <v>4223</v>
      </c>
      <c r="C3189" t="s">
        <v>168</v>
      </c>
      <c r="D3189">
        <v>0.99959918845434703</v>
      </c>
    </row>
    <row r="3190" spans="1:4" hidden="1" x14ac:dyDescent="0.3">
      <c r="A3190">
        <v>3188</v>
      </c>
      <c r="B3190" t="s">
        <v>4224</v>
      </c>
      <c r="C3190" t="s">
        <v>170</v>
      </c>
      <c r="D3190">
        <v>1.0011961161251599</v>
      </c>
    </row>
    <row r="3191" spans="1:4" hidden="1" x14ac:dyDescent="0.3">
      <c r="A3191">
        <v>3189</v>
      </c>
      <c r="B3191" s="1" t="s">
        <v>4225</v>
      </c>
      <c r="C3191" t="s">
        <v>172</v>
      </c>
      <c r="D3191" s="1" t="s">
        <v>4226</v>
      </c>
    </row>
    <row r="3192" spans="1:4" hidden="1" x14ac:dyDescent="0.3">
      <c r="A3192">
        <v>3190</v>
      </c>
      <c r="B3192" s="1" t="s">
        <v>4227</v>
      </c>
      <c r="C3192" t="s">
        <v>55</v>
      </c>
      <c r="D3192" s="1" t="s">
        <v>4228</v>
      </c>
    </row>
    <row r="3193" spans="1:4" hidden="1" x14ac:dyDescent="0.3">
      <c r="A3193">
        <v>3191</v>
      </c>
      <c r="B3193" s="1" t="s">
        <v>4229</v>
      </c>
      <c r="C3193" t="s">
        <v>52</v>
      </c>
      <c r="D3193" s="1" t="s">
        <v>4230</v>
      </c>
    </row>
    <row r="3194" spans="1:4" hidden="1" x14ac:dyDescent="0.3">
      <c r="A3194">
        <v>3192</v>
      </c>
      <c r="B3194" s="1" t="s">
        <v>4231</v>
      </c>
      <c r="C3194" t="s">
        <v>58</v>
      </c>
      <c r="D3194" s="1" t="s">
        <v>4232</v>
      </c>
    </row>
    <row r="3195" spans="1:4" hidden="1" x14ac:dyDescent="0.3">
      <c r="A3195">
        <v>3193</v>
      </c>
      <c r="B3195" t="s">
        <v>4233</v>
      </c>
      <c r="C3195" t="s">
        <v>61</v>
      </c>
      <c r="D3195">
        <v>147040895.83492899</v>
      </c>
    </row>
    <row r="3196" spans="1:4" hidden="1" x14ac:dyDescent="0.3">
      <c r="A3196">
        <v>3194</v>
      </c>
      <c r="B3196" t="s">
        <v>4234</v>
      </c>
      <c r="C3196" t="s">
        <v>63</v>
      </c>
      <c r="D3196">
        <v>74743575.778876901</v>
      </c>
    </row>
    <row r="3197" spans="1:4" hidden="1" x14ac:dyDescent="0.3">
      <c r="A3197">
        <v>3195</v>
      </c>
      <c r="B3197" t="s">
        <v>4235</v>
      </c>
      <c r="C3197" t="s">
        <v>65</v>
      </c>
      <c r="D3197">
        <v>34735393.827387303</v>
      </c>
    </row>
    <row r="3198" spans="1:4" hidden="1" x14ac:dyDescent="0.3">
      <c r="A3198">
        <v>3196</v>
      </c>
      <c r="B3198" s="1" t="s">
        <v>4236</v>
      </c>
      <c r="C3198" t="s">
        <v>67</v>
      </c>
      <c r="D3198" s="1" t="s">
        <v>4237</v>
      </c>
    </row>
    <row r="3199" spans="1:4" hidden="1" x14ac:dyDescent="0.3">
      <c r="A3199">
        <v>3197</v>
      </c>
      <c r="B3199" s="1" t="s">
        <v>4238</v>
      </c>
      <c r="C3199" t="s">
        <v>70</v>
      </c>
      <c r="D3199" s="1" t="s">
        <v>4239</v>
      </c>
    </row>
    <row r="3200" spans="1:4" hidden="1" x14ac:dyDescent="0.3">
      <c r="A3200">
        <v>3198</v>
      </c>
      <c r="B3200" t="s">
        <v>4240</v>
      </c>
      <c r="C3200" t="s">
        <v>73</v>
      </c>
      <c r="D3200">
        <v>0.99985891779560798</v>
      </c>
    </row>
    <row r="3201" spans="1:4" hidden="1" x14ac:dyDescent="0.3">
      <c r="A3201">
        <v>3199</v>
      </c>
      <c r="B3201" t="s">
        <v>74</v>
      </c>
      <c r="C3201" t="s">
        <v>75</v>
      </c>
      <c r="D3201">
        <v>2.7397260273972599E-3</v>
      </c>
    </row>
    <row r="3202" spans="1:4" hidden="1" x14ac:dyDescent="0.3">
      <c r="A3202">
        <v>3200</v>
      </c>
      <c r="B3202" t="s">
        <v>76</v>
      </c>
      <c r="C3202" t="s">
        <v>77</v>
      </c>
      <c r="D3202">
        <v>0</v>
      </c>
    </row>
    <row r="3203" spans="1:4" hidden="1" x14ac:dyDescent="0.3">
      <c r="A3203">
        <v>3201</v>
      </c>
      <c r="B3203" t="s">
        <v>78</v>
      </c>
      <c r="C3203" t="s">
        <v>79</v>
      </c>
      <c r="D3203">
        <v>0</v>
      </c>
    </row>
    <row r="3204" spans="1:4" hidden="1" x14ac:dyDescent="0.3">
      <c r="A3204">
        <v>3202</v>
      </c>
      <c r="B3204" s="1" t="s">
        <v>4241</v>
      </c>
      <c r="C3204" t="s">
        <v>81</v>
      </c>
      <c r="D3204" s="1" t="s">
        <v>4242</v>
      </c>
    </row>
    <row r="3205" spans="1:4" hidden="1" x14ac:dyDescent="0.3">
      <c r="A3205">
        <v>3203</v>
      </c>
      <c r="B3205" t="s">
        <v>4243</v>
      </c>
      <c r="C3205" t="s">
        <v>84</v>
      </c>
      <c r="D3205">
        <v>0.99981644163605199</v>
      </c>
    </row>
    <row r="3206" spans="1:4" hidden="1" x14ac:dyDescent="0.3">
      <c r="A3206">
        <v>3204</v>
      </c>
      <c r="B3206" s="1" t="s">
        <v>4244</v>
      </c>
      <c r="C3206" t="s">
        <v>86</v>
      </c>
      <c r="D3206" s="1" t="s">
        <v>4245</v>
      </c>
    </row>
    <row r="3207" spans="1:4" hidden="1" x14ac:dyDescent="0.3">
      <c r="A3207">
        <v>3205</v>
      </c>
      <c r="B3207" t="s">
        <v>4246</v>
      </c>
      <c r="C3207" t="s">
        <v>89</v>
      </c>
      <c r="D3207">
        <v>103012322.467868</v>
      </c>
    </row>
    <row r="3208" spans="1:4" hidden="1" x14ac:dyDescent="0.3">
      <c r="A3208">
        <v>3206</v>
      </c>
      <c r="B3208" s="1" t="s">
        <v>4247</v>
      </c>
      <c r="C3208" t="s">
        <v>91</v>
      </c>
      <c r="D3208" s="1" t="s">
        <v>4181</v>
      </c>
    </row>
    <row r="3209" spans="1:4" hidden="1" x14ac:dyDescent="0.3">
      <c r="A3209">
        <v>3207</v>
      </c>
      <c r="B3209" t="s">
        <v>4248</v>
      </c>
      <c r="C3209" t="s">
        <v>94</v>
      </c>
      <c r="D3209">
        <v>74743575.778876901</v>
      </c>
    </row>
    <row r="3210" spans="1:4" hidden="1" x14ac:dyDescent="0.3">
      <c r="A3210">
        <v>3208</v>
      </c>
      <c r="B3210" t="s">
        <v>4249</v>
      </c>
      <c r="C3210" t="s">
        <v>96</v>
      </c>
      <c r="D3210">
        <v>34735393.827387303</v>
      </c>
    </row>
    <row r="3211" spans="1:4" hidden="1" x14ac:dyDescent="0.3">
      <c r="A3211">
        <v>3209</v>
      </c>
      <c r="B3211" t="s">
        <v>4250</v>
      </c>
      <c r="C3211" t="s">
        <v>98</v>
      </c>
      <c r="D3211">
        <v>37561926.228665397</v>
      </c>
    </row>
    <row r="3212" spans="1:4" hidden="1" x14ac:dyDescent="0.3">
      <c r="A3212">
        <v>3210</v>
      </c>
      <c r="B3212" s="1" t="s">
        <v>4251</v>
      </c>
      <c r="C3212" t="s">
        <v>100</v>
      </c>
      <c r="D3212" s="1" t="s">
        <v>4252</v>
      </c>
    </row>
    <row r="3213" spans="1:4" hidden="1" x14ac:dyDescent="0.3">
      <c r="A3213">
        <v>3211</v>
      </c>
      <c r="B3213" t="s">
        <v>4253</v>
      </c>
      <c r="C3213" t="s">
        <v>103</v>
      </c>
      <c r="D3213">
        <v>8.5846030232957695E-3</v>
      </c>
    </row>
    <row r="3214" spans="1:4" hidden="1" x14ac:dyDescent="0.3">
      <c r="A3214">
        <v>3212</v>
      </c>
      <c r="B3214" t="s">
        <v>4254</v>
      </c>
      <c r="C3214" t="s">
        <v>105</v>
      </c>
      <c r="D3214">
        <v>3.1381531922172801E-3</v>
      </c>
    </row>
    <row r="3215" spans="1:4" hidden="1" x14ac:dyDescent="0.3">
      <c r="A3215">
        <v>3213</v>
      </c>
      <c r="B3215" t="s">
        <v>4255</v>
      </c>
      <c r="C3215" t="s">
        <v>107</v>
      </c>
      <c r="D3215">
        <v>1.1013201060305801E-2</v>
      </c>
    </row>
    <row r="3216" spans="1:4" hidden="1" x14ac:dyDescent="0.3">
      <c r="A3216">
        <v>3214</v>
      </c>
      <c r="B3216" s="1" t="s">
        <v>4256</v>
      </c>
      <c r="C3216" t="s">
        <v>109</v>
      </c>
      <c r="D3216" s="1" t="s">
        <v>4257</v>
      </c>
    </row>
    <row r="3217" spans="1:4" hidden="1" x14ac:dyDescent="0.3">
      <c r="A3217">
        <v>3215</v>
      </c>
      <c r="B3217" t="s">
        <v>4258</v>
      </c>
      <c r="C3217" t="s">
        <v>208</v>
      </c>
      <c r="D3217">
        <v>147039399.329321</v>
      </c>
    </row>
    <row r="3218" spans="1:4" hidden="1" x14ac:dyDescent="0.3">
      <c r="A3218">
        <v>3216</v>
      </c>
      <c r="B3218" t="s">
        <v>4259</v>
      </c>
      <c r="C3218" t="s">
        <v>210</v>
      </c>
      <c r="D3218">
        <v>3175.2234241418</v>
      </c>
    </row>
    <row r="3219" spans="1:4" hidden="1" x14ac:dyDescent="0.3">
      <c r="A3219">
        <v>3217</v>
      </c>
      <c r="B3219" t="s">
        <v>4260</v>
      </c>
      <c r="C3219" t="s">
        <v>212</v>
      </c>
      <c r="D3219">
        <v>1475.62391406458</v>
      </c>
    </row>
    <row r="3220" spans="1:4" hidden="1" x14ac:dyDescent="0.3">
      <c r="A3220">
        <v>3218</v>
      </c>
      <c r="B3220" s="1" t="s">
        <v>4261</v>
      </c>
      <c r="C3220" t="s">
        <v>214</v>
      </c>
      <c r="D3220" s="1" t="s">
        <v>4262</v>
      </c>
    </row>
    <row r="3221" spans="1:4" hidden="1" x14ac:dyDescent="0.3">
      <c r="A3221">
        <v>3219</v>
      </c>
      <c r="B3221" t="s">
        <v>4263</v>
      </c>
      <c r="C3221" t="s">
        <v>217</v>
      </c>
      <c r="D3221">
        <v>74739350.697907194</v>
      </c>
    </row>
    <row r="3222" spans="1:4" hidden="1" x14ac:dyDescent="0.3">
      <c r="A3222">
        <v>3220</v>
      </c>
      <c r="B3222" t="s">
        <v>4264</v>
      </c>
      <c r="C3222" t="s">
        <v>219</v>
      </c>
      <c r="D3222">
        <v>34733673.344986796</v>
      </c>
    </row>
    <row r="3223" spans="1:4" hidden="1" x14ac:dyDescent="0.3">
      <c r="A3223">
        <v>3221</v>
      </c>
      <c r="B3223" t="s">
        <v>4265</v>
      </c>
      <c r="C3223" t="s">
        <v>221</v>
      </c>
      <c r="D3223">
        <v>37560128.736163497</v>
      </c>
    </row>
    <row r="3224" spans="1:4" hidden="1" x14ac:dyDescent="0.3">
      <c r="A3224">
        <v>3222</v>
      </c>
      <c r="B3224" s="1" t="s">
        <v>4266</v>
      </c>
      <c r="C3224" t="s">
        <v>223</v>
      </c>
      <c r="D3224" s="1" t="s">
        <v>4267</v>
      </c>
    </row>
    <row r="3225" spans="1:4" hidden="1" x14ac:dyDescent="0.3">
      <c r="A3225">
        <v>3223</v>
      </c>
      <c r="B3225" t="s">
        <v>4268</v>
      </c>
      <c r="C3225" t="s">
        <v>226</v>
      </c>
      <c r="D3225">
        <v>103007946.282621</v>
      </c>
    </row>
    <row r="3226" spans="1:4" hidden="1" x14ac:dyDescent="0.3">
      <c r="A3226">
        <v>3224</v>
      </c>
      <c r="B3226" t="s">
        <v>4269</v>
      </c>
      <c r="C3226" t="s">
        <v>228</v>
      </c>
      <c r="D3226">
        <v>4376.18524719774</v>
      </c>
    </row>
    <row r="3227" spans="1:4" hidden="1" x14ac:dyDescent="0.3">
      <c r="A3227">
        <v>3225</v>
      </c>
      <c r="B3227" s="1" t="s">
        <v>4270</v>
      </c>
      <c r="C3227" t="s">
        <v>230</v>
      </c>
      <c r="D3227" s="1" t="s">
        <v>4271</v>
      </c>
    </row>
    <row r="3228" spans="1:4" hidden="1" x14ac:dyDescent="0.3">
      <c r="A3228">
        <v>3226</v>
      </c>
      <c r="B3228" t="s">
        <v>4272</v>
      </c>
      <c r="C3228" t="s">
        <v>112</v>
      </c>
      <c r="D3228">
        <v>-1049.8575455283301</v>
      </c>
    </row>
    <row r="3229" spans="1:4" hidden="1" x14ac:dyDescent="0.3">
      <c r="A3229">
        <v>3227</v>
      </c>
      <c r="B3229" t="s">
        <v>4273</v>
      </c>
      <c r="C3229" t="s">
        <v>114</v>
      </c>
      <c r="D3229">
        <v>-244.858486437712</v>
      </c>
    </row>
    <row r="3230" spans="1:4" hidden="1" x14ac:dyDescent="0.3">
      <c r="A3230">
        <v>3228</v>
      </c>
      <c r="B3230" s="1" t="s">
        <v>4274</v>
      </c>
      <c r="C3230" t="s">
        <v>116</v>
      </c>
      <c r="D3230" s="1" t="s">
        <v>4275</v>
      </c>
    </row>
    <row r="3231" spans="1:4" hidden="1" x14ac:dyDescent="0.3">
      <c r="A3231">
        <v>3229</v>
      </c>
      <c r="B3231" t="s">
        <v>4276</v>
      </c>
      <c r="C3231" t="s">
        <v>119</v>
      </c>
      <c r="D3231">
        <v>74739350.697907194</v>
      </c>
    </row>
    <row r="3232" spans="1:4" hidden="1" x14ac:dyDescent="0.3">
      <c r="A3232">
        <v>3230</v>
      </c>
      <c r="B3232" t="s">
        <v>4277</v>
      </c>
      <c r="C3232" t="s">
        <v>121</v>
      </c>
      <c r="D3232">
        <v>34733673.344986796</v>
      </c>
    </row>
    <row r="3233" spans="1:4" hidden="1" x14ac:dyDescent="0.3">
      <c r="A3233">
        <v>3231</v>
      </c>
      <c r="B3233" s="1" t="s">
        <v>4278</v>
      </c>
      <c r="C3233" t="s">
        <v>123</v>
      </c>
      <c r="D3233" s="1" t="s">
        <v>4279</v>
      </c>
    </row>
    <row r="3234" spans="1:4" hidden="1" x14ac:dyDescent="0.3">
      <c r="A3234">
        <v>3232</v>
      </c>
      <c r="B3234" t="s">
        <v>4280</v>
      </c>
      <c r="C3234" t="s">
        <v>126</v>
      </c>
      <c r="D3234">
        <v>0.72570199627561105</v>
      </c>
    </row>
    <row r="3235" spans="1:4" hidden="1" x14ac:dyDescent="0.3">
      <c r="A3235">
        <v>3233</v>
      </c>
      <c r="B3235" t="s">
        <v>4281</v>
      </c>
      <c r="C3235" t="s">
        <v>128</v>
      </c>
      <c r="D3235">
        <v>0.337256021748496</v>
      </c>
    </row>
    <row r="3236" spans="1:4" hidden="1" x14ac:dyDescent="0.3">
      <c r="A3236">
        <v>3234</v>
      </c>
      <c r="B3236" s="1" t="s">
        <v>4282</v>
      </c>
      <c r="C3236" t="s">
        <v>130</v>
      </c>
      <c r="D3236" s="1" t="s">
        <v>4283</v>
      </c>
    </row>
    <row r="3237" spans="1:4" ht="72" x14ac:dyDescent="0.3">
      <c r="A3237">
        <v>3235</v>
      </c>
      <c r="B3237" s="1" t="s">
        <v>4284</v>
      </c>
      <c r="C3237" t="s">
        <v>4</v>
      </c>
      <c r="D3237" t="s">
        <v>4285</v>
      </c>
    </row>
    <row r="3238" spans="1:4" hidden="1" x14ac:dyDescent="0.3">
      <c r="A3238">
        <v>3236</v>
      </c>
      <c r="B3238" t="s">
        <v>4286</v>
      </c>
      <c r="C3238" t="s">
        <v>7</v>
      </c>
      <c r="D3238">
        <v>1697.52</v>
      </c>
    </row>
    <row r="3239" spans="1:4" hidden="1" x14ac:dyDescent="0.3">
      <c r="A3239">
        <v>3237</v>
      </c>
      <c r="B3239" s="1" t="s">
        <v>4287</v>
      </c>
      <c r="C3239" t="s">
        <v>9</v>
      </c>
      <c r="D3239" s="1" t="s">
        <v>4288</v>
      </c>
    </row>
    <row r="3240" spans="1:4" hidden="1" x14ac:dyDescent="0.3">
      <c r="A3240">
        <v>3238</v>
      </c>
      <c r="B3240" t="s">
        <v>4289</v>
      </c>
      <c r="C3240" t="s">
        <v>14</v>
      </c>
      <c r="D3240">
        <v>90.12890625</v>
      </c>
    </row>
    <row r="3241" spans="1:4" hidden="1" x14ac:dyDescent="0.3">
      <c r="A3241">
        <v>3239</v>
      </c>
      <c r="B3241" t="s">
        <v>4290</v>
      </c>
      <c r="C3241" t="s">
        <v>16</v>
      </c>
      <c r="D3241">
        <v>4.2628954936911896</v>
      </c>
    </row>
    <row r="3242" spans="1:4" hidden="1" x14ac:dyDescent="0.3">
      <c r="A3242">
        <v>3240</v>
      </c>
      <c r="B3242" s="1" t="s">
        <v>4291</v>
      </c>
      <c r="C3242" t="s">
        <v>140</v>
      </c>
      <c r="D3242" s="1" t="s">
        <v>4292</v>
      </c>
    </row>
    <row r="3243" spans="1:4" hidden="1" x14ac:dyDescent="0.3">
      <c r="A3243">
        <v>3241</v>
      </c>
      <c r="B3243" t="s">
        <v>4293</v>
      </c>
      <c r="C3243" t="s">
        <v>22</v>
      </c>
      <c r="D3243">
        <v>60.8</v>
      </c>
    </row>
    <row r="3244" spans="1:4" hidden="1" x14ac:dyDescent="0.3">
      <c r="A3244">
        <v>3242</v>
      </c>
      <c r="B3244" t="s">
        <v>4294</v>
      </c>
      <c r="C3244" t="s">
        <v>24</v>
      </c>
      <c r="D3244">
        <v>5.6250391200695997</v>
      </c>
    </row>
    <row r="3245" spans="1:4" hidden="1" x14ac:dyDescent="0.3">
      <c r="A3245">
        <v>3243</v>
      </c>
      <c r="B3245" s="1" t="s">
        <v>4295</v>
      </c>
      <c r="C3245" t="s">
        <v>145</v>
      </c>
      <c r="D3245" s="1" t="s">
        <v>4296</v>
      </c>
    </row>
    <row r="3246" spans="1:4" hidden="1" x14ac:dyDescent="0.3">
      <c r="A3246">
        <v>3244</v>
      </c>
      <c r="B3246" t="s">
        <v>4297</v>
      </c>
      <c r="C3246" t="s">
        <v>35</v>
      </c>
      <c r="D3246">
        <v>0.36109130402078599</v>
      </c>
    </row>
    <row r="3247" spans="1:4" hidden="1" x14ac:dyDescent="0.3">
      <c r="A3247">
        <v>3245</v>
      </c>
      <c r="B3247" t="s">
        <v>4298</v>
      </c>
      <c r="C3247" t="s">
        <v>149</v>
      </c>
      <c r="D3247">
        <v>0.542954085473073</v>
      </c>
    </row>
    <row r="3248" spans="1:4" hidden="1" x14ac:dyDescent="0.3">
      <c r="A3248">
        <v>3246</v>
      </c>
      <c r="B3248" s="1" t="s">
        <v>4299</v>
      </c>
      <c r="C3248" t="s">
        <v>151</v>
      </c>
      <c r="D3248" s="1" t="s">
        <v>4300</v>
      </c>
    </row>
    <row r="3249" spans="1:4" hidden="1" x14ac:dyDescent="0.3">
      <c r="A3249">
        <v>3247</v>
      </c>
      <c r="B3249" t="s">
        <v>4301</v>
      </c>
      <c r="C3249" t="s">
        <v>30</v>
      </c>
      <c r="D3249">
        <v>0.26924677417434401</v>
      </c>
    </row>
    <row r="3250" spans="1:4" hidden="1" x14ac:dyDescent="0.3">
      <c r="A3250">
        <v>3248</v>
      </c>
      <c r="B3250" t="s">
        <v>4302</v>
      </c>
      <c r="C3250" t="s">
        <v>32</v>
      </c>
      <c r="D3250">
        <v>0.41737114438161399</v>
      </c>
    </row>
    <row r="3251" spans="1:4" hidden="1" x14ac:dyDescent="0.3">
      <c r="A3251">
        <v>3249</v>
      </c>
      <c r="B3251" s="1" t="s">
        <v>4303</v>
      </c>
      <c r="C3251" t="s">
        <v>155</v>
      </c>
      <c r="D3251" s="1" t="s">
        <v>4304</v>
      </c>
    </row>
    <row r="3252" spans="1:4" hidden="1" x14ac:dyDescent="0.3">
      <c r="A3252">
        <v>3250</v>
      </c>
      <c r="B3252" t="s">
        <v>4305</v>
      </c>
      <c r="C3252" t="s">
        <v>40</v>
      </c>
      <c r="D3252">
        <v>0.36966192180486901</v>
      </c>
    </row>
    <row r="3253" spans="1:4" hidden="1" x14ac:dyDescent="0.3">
      <c r="A3253">
        <v>3251</v>
      </c>
      <c r="B3253" t="s">
        <v>4306</v>
      </c>
      <c r="C3253" t="s">
        <v>42</v>
      </c>
      <c r="D3253">
        <v>0.42440521711072698</v>
      </c>
    </row>
    <row r="3254" spans="1:4" hidden="1" x14ac:dyDescent="0.3">
      <c r="A3254">
        <v>3252</v>
      </c>
      <c r="B3254" s="1" t="s">
        <v>4307</v>
      </c>
      <c r="C3254" t="s">
        <v>159</v>
      </c>
      <c r="D3254" s="1" t="s">
        <v>4308</v>
      </c>
    </row>
    <row r="3255" spans="1:4" hidden="1" x14ac:dyDescent="0.3">
      <c r="A3255">
        <v>3253</v>
      </c>
      <c r="B3255" t="s">
        <v>4309</v>
      </c>
      <c r="C3255" t="s">
        <v>161</v>
      </c>
      <c r="D3255">
        <v>0.99209837291939396</v>
      </c>
    </row>
    <row r="3256" spans="1:4" hidden="1" x14ac:dyDescent="0.3">
      <c r="A3256">
        <v>3254</v>
      </c>
      <c r="B3256" t="s">
        <v>4310</v>
      </c>
      <c r="C3256" t="s">
        <v>163</v>
      </c>
      <c r="D3256">
        <v>0.99929645472481199</v>
      </c>
    </row>
    <row r="3257" spans="1:4" hidden="1" x14ac:dyDescent="0.3">
      <c r="A3257">
        <v>3255</v>
      </c>
      <c r="B3257" s="1" t="s">
        <v>4311</v>
      </c>
      <c r="C3257" t="s">
        <v>165</v>
      </c>
      <c r="D3257" s="1" t="s">
        <v>4312</v>
      </c>
    </row>
    <row r="3258" spans="1:4" hidden="1" x14ac:dyDescent="0.3">
      <c r="A3258">
        <v>3256</v>
      </c>
      <c r="B3258" t="s">
        <v>4313</v>
      </c>
      <c r="C3258" t="s">
        <v>168</v>
      </c>
      <c r="D3258">
        <v>1.0004950694852</v>
      </c>
    </row>
    <row r="3259" spans="1:4" hidden="1" x14ac:dyDescent="0.3">
      <c r="A3259">
        <v>3257</v>
      </c>
      <c r="B3259" t="s">
        <v>4314</v>
      </c>
      <c r="C3259" t="s">
        <v>170</v>
      </c>
      <c r="D3259">
        <v>0.99771356146877599</v>
      </c>
    </row>
    <row r="3260" spans="1:4" hidden="1" x14ac:dyDescent="0.3">
      <c r="A3260">
        <v>3258</v>
      </c>
      <c r="B3260" s="1" t="s">
        <v>4315</v>
      </c>
      <c r="C3260" t="s">
        <v>172</v>
      </c>
      <c r="D3260" s="1" t="s">
        <v>4316</v>
      </c>
    </row>
    <row r="3261" spans="1:4" hidden="1" x14ac:dyDescent="0.3">
      <c r="A3261">
        <v>3259</v>
      </c>
      <c r="B3261" s="1" t="s">
        <v>4317</v>
      </c>
      <c r="C3261" t="s">
        <v>55</v>
      </c>
      <c r="D3261" s="1" t="s">
        <v>4318</v>
      </c>
    </row>
    <row r="3262" spans="1:4" hidden="1" x14ac:dyDescent="0.3">
      <c r="A3262">
        <v>3260</v>
      </c>
      <c r="B3262" s="1" t="s">
        <v>4319</v>
      </c>
      <c r="C3262" t="s">
        <v>52</v>
      </c>
      <c r="D3262" s="1" t="s">
        <v>4320</v>
      </c>
    </row>
    <row r="3263" spans="1:4" hidden="1" x14ac:dyDescent="0.3">
      <c r="A3263">
        <v>3261</v>
      </c>
      <c r="B3263" s="1" t="s">
        <v>4321</v>
      </c>
      <c r="C3263" t="s">
        <v>58</v>
      </c>
      <c r="D3263" s="1" t="s">
        <v>4322</v>
      </c>
    </row>
    <row r="3264" spans="1:4" hidden="1" x14ac:dyDescent="0.3">
      <c r="A3264">
        <v>3262</v>
      </c>
      <c r="B3264" t="s">
        <v>4323</v>
      </c>
      <c r="C3264" t="s">
        <v>61</v>
      </c>
      <c r="D3264">
        <v>146355325.12967101</v>
      </c>
    </row>
    <row r="3265" spans="1:4" hidden="1" x14ac:dyDescent="0.3">
      <c r="A3265">
        <v>3263</v>
      </c>
      <c r="B3265" t="s">
        <v>4324</v>
      </c>
      <c r="C3265" t="s">
        <v>63</v>
      </c>
      <c r="D3265">
        <v>74148788.220445707</v>
      </c>
    </row>
    <row r="3266" spans="1:4" hidden="1" x14ac:dyDescent="0.3">
      <c r="A3266">
        <v>3264</v>
      </c>
      <c r="B3266" t="s">
        <v>4325</v>
      </c>
      <c r="C3266" t="s">
        <v>65</v>
      </c>
      <c r="D3266">
        <v>34709236.633215003</v>
      </c>
    </row>
    <row r="3267" spans="1:4" hidden="1" x14ac:dyDescent="0.3">
      <c r="A3267">
        <v>3265</v>
      </c>
      <c r="B3267" s="1" t="s">
        <v>4326</v>
      </c>
      <c r="C3267" t="s">
        <v>67</v>
      </c>
      <c r="D3267" s="1" t="s">
        <v>4327</v>
      </c>
    </row>
    <row r="3268" spans="1:4" hidden="1" x14ac:dyDescent="0.3">
      <c r="A3268">
        <v>3266</v>
      </c>
      <c r="B3268" s="1" t="s">
        <v>4328</v>
      </c>
      <c r="C3268" t="s">
        <v>70</v>
      </c>
      <c r="D3268" s="1" t="s">
        <v>4329</v>
      </c>
    </row>
    <row r="3269" spans="1:4" hidden="1" x14ac:dyDescent="0.3">
      <c r="A3269">
        <v>3267</v>
      </c>
      <c r="B3269" t="s">
        <v>4330</v>
      </c>
      <c r="C3269" t="s">
        <v>73</v>
      </c>
      <c r="D3269">
        <v>0.99981644163605199</v>
      </c>
    </row>
    <row r="3270" spans="1:4" hidden="1" x14ac:dyDescent="0.3">
      <c r="A3270">
        <v>3268</v>
      </c>
      <c r="B3270" t="s">
        <v>74</v>
      </c>
      <c r="C3270" t="s">
        <v>75</v>
      </c>
      <c r="D3270">
        <v>2.7397260273972599E-3</v>
      </c>
    </row>
    <row r="3271" spans="1:4" hidden="1" x14ac:dyDescent="0.3">
      <c r="A3271">
        <v>3269</v>
      </c>
      <c r="B3271" t="s">
        <v>76</v>
      </c>
      <c r="C3271" t="s">
        <v>77</v>
      </c>
      <c r="D3271">
        <v>0</v>
      </c>
    </row>
    <row r="3272" spans="1:4" hidden="1" x14ac:dyDescent="0.3">
      <c r="A3272">
        <v>3270</v>
      </c>
      <c r="B3272" t="s">
        <v>78</v>
      </c>
      <c r="C3272" t="s">
        <v>79</v>
      </c>
      <c r="D3272">
        <v>0</v>
      </c>
    </row>
    <row r="3273" spans="1:4" hidden="1" x14ac:dyDescent="0.3">
      <c r="A3273">
        <v>3271</v>
      </c>
      <c r="B3273" s="1" t="s">
        <v>4331</v>
      </c>
      <c r="C3273" t="s">
        <v>81</v>
      </c>
      <c r="D3273" s="1" t="s">
        <v>4332</v>
      </c>
    </row>
    <row r="3274" spans="1:4" hidden="1" x14ac:dyDescent="0.3">
      <c r="A3274">
        <v>3272</v>
      </c>
      <c r="B3274" t="s">
        <v>4333</v>
      </c>
      <c r="C3274" t="s">
        <v>84</v>
      </c>
      <c r="D3274">
        <v>0.999789071682604</v>
      </c>
    </row>
    <row r="3275" spans="1:4" hidden="1" x14ac:dyDescent="0.3">
      <c r="A3275">
        <v>3273</v>
      </c>
      <c r="B3275" s="1" t="s">
        <v>4334</v>
      </c>
      <c r="C3275" t="s">
        <v>86</v>
      </c>
      <c r="D3275" s="1" t="s">
        <v>4335</v>
      </c>
    </row>
    <row r="3276" spans="1:4" hidden="1" x14ac:dyDescent="0.3">
      <c r="A3276">
        <v>3274</v>
      </c>
      <c r="B3276" t="s">
        <v>4336</v>
      </c>
      <c r="C3276" t="s">
        <v>89</v>
      </c>
      <c r="D3276">
        <v>103015142.505164</v>
      </c>
    </row>
    <row r="3277" spans="1:4" hidden="1" x14ac:dyDescent="0.3">
      <c r="A3277">
        <v>3275</v>
      </c>
      <c r="B3277" s="1" t="s">
        <v>4337</v>
      </c>
      <c r="C3277" t="s">
        <v>91</v>
      </c>
      <c r="D3277" s="1" t="s">
        <v>4271</v>
      </c>
    </row>
    <row r="3278" spans="1:4" hidden="1" x14ac:dyDescent="0.3">
      <c r="A3278">
        <v>3276</v>
      </c>
      <c r="B3278" t="s">
        <v>4338</v>
      </c>
      <c r="C3278" t="s">
        <v>94</v>
      </c>
      <c r="D3278">
        <v>74148788.220445707</v>
      </c>
    </row>
    <row r="3279" spans="1:4" hidden="1" x14ac:dyDescent="0.3">
      <c r="A3279">
        <v>3277</v>
      </c>
      <c r="B3279" t="s">
        <v>4339</v>
      </c>
      <c r="C3279" t="s">
        <v>96</v>
      </c>
      <c r="D3279">
        <v>34709236.633215003</v>
      </c>
    </row>
    <row r="3280" spans="1:4" hidden="1" x14ac:dyDescent="0.3">
      <c r="A3280">
        <v>3278</v>
      </c>
      <c r="B3280" t="s">
        <v>4340</v>
      </c>
      <c r="C3280" t="s">
        <v>98</v>
      </c>
      <c r="D3280">
        <v>37497300.2760107</v>
      </c>
    </row>
    <row r="3281" spans="1:4" hidden="1" x14ac:dyDescent="0.3">
      <c r="A3281">
        <v>3279</v>
      </c>
      <c r="B3281" s="1" t="s">
        <v>4341</v>
      </c>
      <c r="C3281" t="s">
        <v>100</v>
      </c>
      <c r="D3281" s="1" t="s">
        <v>4342</v>
      </c>
    </row>
    <row r="3282" spans="1:4" hidden="1" x14ac:dyDescent="0.3">
      <c r="A3282">
        <v>3280</v>
      </c>
      <c r="B3282" t="s">
        <v>4343</v>
      </c>
      <c r="C3282" t="s">
        <v>103</v>
      </c>
      <c r="D3282">
        <v>8.5943767636444696E-3</v>
      </c>
    </row>
    <row r="3283" spans="1:4" hidden="1" x14ac:dyDescent="0.3">
      <c r="A3283">
        <v>3281</v>
      </c>
      <c r="B3283" t="s">
        <v>4344</v>
      </c>
      <c r="C3283" t="s">
        <v>105</v>
      </c>
      <c r="D3283">
        <v>3.11503269329167E-3</v>
      </c>
    </row>
    <row r="3284" spans="1:4" hidden="1" x14ac:dyDescent="0.3">
      <c r="A3284">
        <v>3282</v>
      </c>
      <c r="B3284" t="s">
        <v>4345</v>
      </c>
      <c r="C3284" t="s">
        <v>107</v>
      </c>
      <c r="D3284">
        <v>1.0960917888325801E-2</v>
      </c>
    </row>
    <row r="3285" spans="1:4" hidden="1" x14ac:dyDescent="0.3">
      <c r="A3285">
        <v>3283</v>
      </c>
      <c r="B3285" s="1" t="s">
        <v>4346</v>
      </c>
      <c r="C3285" t="s">
        <v>109</v>
      </c>
      <c r="D3285" s="1" t="s">
        <v>4347</v>
      </c>
    </row>
    <row r="3286" spans="1:4" hidden="1" x14ac:dyDescent="0.3">
      <c r="A3286">
        <v>3284</v>
      </c>
      <c r="B3286" t="s">
        <v>4348</v>
      </c>
      <c r="C3286" t="s">
        <v>208</v>
      </c>
      <c r="D3286">
        <v>146354360.943654</v>
      </c>
    </row>
    <row r="3287" spans="1:4" hidden="1" x14ac:dyDescent="0.3">
      <c r="A3287">
        <v>3285</v>
      </c>
      <c r="B3287" t="s">
        <v>4349</v>
      </c>
      <c r="C3287" t="s">
        <v>210</v>
      </c>
      <c r="D3287">
        <v>2029.80424173542</v>
      </c>
    </row>
    <row r="3288" spans="1:4" hidden="1" x14ac:dyDescent="0.3">
      <c r="A3288">
        <v>3286</v>
      </c>
      <c r="B3288" t="s">
        <v>4350</v>
      </c>
      <c r="C3288" t="s">
        <v>212</v>
      </c>
      <c r="D3288">
        <v>950.16023374828899</v>
      </c>
    </row>
    <row r="3289" spans="1:4" hidden="1" x14ac:dyDescent="0.3">
      <c r="A3289">
        <v>3287</v>
      </c>
      <c r="B3289" s="1" t="s">
        <v>4351</v>
      </c>
      <c r="C3289" t="s">
        <v>214</v>
      </c>
      <c r="D3289" s="1" t="s">
        <v>4352</v>
      </c>
    </row>
    <row r="3290" spans="1:4" hidden="1" x14ac:dyDescent="0.3">
      <c r="A3290">
        <v>3288</v>
      </c>
      <c r="B3290" t="s">
        <v>4353</v>
      </c>
      <c r="C3290" t="s">
        <v>217</v>
      </c>
      <c r="D3290">
        <v>74146128.980035603</v>
      </c>
    </row>
    <row r="3291" spans="1:4" hidden="1" x14ac:dyDescent="0.3">
      <c r="A3291">
        <v>3289</v>
      </c>
      <c r="B3291" t="s">
        <v>4354</v>
      </c>
      <c r="C3291" t="s">
        <v>219</v>
      </c>
      <c r="D3291">
        <v>34708126.919159397</v>
      </c>
    </row>
    <row r="3292" spans="1:4" hidden="1" x14ac:dyDescent="0.3">
      <c r="A3292">
        <v>3290</v>
      </c>
      <c r="B3292" t="s">
        <v>4355</v>
      </c>
      <c r="C3292" t="s">
        <v>221</v>
      </c>
      <c r="D3292">
        <v>37496098.596996598</v>
      </c>
    </row>
    <row r="3293" spans="1:4" hidden="1" x14ac:dyDescent="0.3">
      <c r="A3293">
        <v>3291</v>
      </c>
      <c r="B3293" s="1" t="s">
        <v>4356</v>
      </c>
      <c r="C3293" t="s">
        <v>223</v>
      </c>
      <c r="D3293" s="1" t="s">
        <v>4357</v>
      </c>
    </row>
    <row r="3294" spans="1:4" hidden="1" x14ac:dyDescent="0.3">
      <c r="A3294">
        <v>3292</v>
      </c>
      <c r="B3294" t="s">
        <v>4358</v>
      </c>
      <c r="C3294" t="s">
        <v>226</v>
      </c>
      <c r="D3294">
        <v>103012322.467868</v>
      </c>
    </row>
    <row r="3295" spans="1:4" hidden="1" x14ac:dyDescent="0.3">
      <c r="A3295">
        <v>3293</v>
      </c>
      <c r="B3295" t="s">
        <v>4359</v>
      </c>
      <c r="C3295" t="s">
        <v>228</v>
      </c>
      <c r="D3295">
        <v>2820.0372962504598</v>
      </c>
    </row>
    <row r="3296" spans="1:4" hidden="1" x14ac:dyDescent="0.3">
      <c r="A3296">
        <v>3294</v>
      </c>
      <c r="B3296" s="1" t="s">
        <v>4360</v>
      </c>
      <c r="C3296" t="s">
        <v>230</v>
      </c>
      <c r="D3296" s="1" t="s">
        <v>4361</v>
      </c>
    </row>
    <row r="3297" spans="1:4" hidden="1" x14ac:dyDescent="0.3">
      <c r="A3297">
        <v>3295</v>
      </c>
      <c r="B3297" t="s">
        <v>4362</v>
      </c>
      <c r="C3297" t="s">
        <v>112</v>
      </c>
      <c r="D3297">
        <v>-629.43616839529795</v>
      </c>
    </row>
    <row r="3298" spans="1:4" hidden="1" x14ac:dyDescent="0.3">
      <c r="A3298">
        <v>3296</v>
      </c>
      <c r="B3298" t="s">
        <v>4363</v>
      </c>
      <c r="C3298" t="s">
        <v>114</v>
      </c>
      <c r="D3298">
        <v>-159.55382184014701</v>
      </c>
    </row>
    <row r="3299" spans="1:4" hidden="1" x14ac:dyDescent="0.3">
      <c r="A3299">
        <v>3297</v>
      </c>
      <c r="B3299" s="1" t="s">
        <v>4364</v>
      </c>
      <c r="C3299" t="s">
        <v>116</v>
      </c>
      <c r="D3299" s="1" t="s">
        <v>4365</v>
      </c>
    </row>
    <row r="3300" spans="1:4" hidden="1" x14ac:dyDescent="0.3">
      <c r="A3300">
        <v>3298</v>
      </c>
      <c r="B3300" t="s">
        <v>4366</v>
      </c>
      <c r="C3300" t="s">
        <v>119</v>
      </c>
      <c r="D3300">
        <v>74146128.980035603</v>
      </c>
    </row>
    <row r="3301" spans="1:4" hidden="1" x14ac:dyDescent="0.3">
      <c r="A3301">
        <v>3299</v>
      </c>
      <c r="B3301" t="s">
        <v>4367</v>
      </c>
      <c r="C3301" t="s">
        <v>121</v>
      </c>
      <c r="D3301">
        <v>34708126.919159397</v>
      </c>
    </row>
    <row r="3302" spans="1:4" hidden="1" x14ac:dyDescent="0.3">
      <c r="A3302">
        <v>3300</v>
      </c>
      <c r="B3302" s="1" t="s">
        <v>4368</v>
      </c>
      <c r="C3302" t="s">
        <v>123</v>
      </c>
      <c r="D3302" s="1" t="s">
        <v>4369</v>
      </c>
    </row>
    <row r="3303" spans="1:4" hidden="1" x14ac:dyDescent="0.3">
      <c r="A3303">
        <v>3301</v>
      </c>
      <c r="B3303" t="s">
        <v>4370</v>
      </c>
      <c r="C3303" t="s">
        <v>126</v>
      </c>
      <c r="D3303">
        <v>0.71993107252686395</v>
      </c>
    </row>
    <row r="3304" spans="1:4" hidden="1" x14ac:dyDescent="0.3">
      <c r="A3304">
        <v>3302</v>
      </c>
      <c r="B3304" t="s">
        <v>4371</v>
      </c>
      <c r="C3304" t="s">
        <v>128</v>
      </c>
      <c r="D3304">
        <v>0.33700288042059501</v>
      </c>
    </row>
    <row r="3305" spans="1:4" hidden="1" x14ac:dyDescent="0.3">
      <c r="A3305">
        <v>3303</v>
      </c>
      <c r="B3305" s="1" t="s">
        <v>4372</v>
      </c>
      <c r="C3305" t="s">
        <v>130</v>
      </c>
      <c r="D3305" s="1" t="s">
        <v>4373</v>
      </c>
    </row>
    <row r="3306" spans="1:4" ht="72" x14ac:dyDescent="0.3">
      <c r="A3306">
        <v>3304</v>
      </c>
      <c r="B3306" s="1" t="s">
        <v>4374</v>
      </c>
      <c r="C3306" t="s">
        <v>4</v>
      </c>
      <c r="D3306" t="s">
        <v>4375</v>
      </c>
    </row>
    <row r="3307" spans="1:4" hidden="1" x14ac:dyDescent="0.3">
      <c r="A3307">
        <v>3305</v>
      </c>
      <c r="B3307" t="s">
        <v>4376</v>
      </c>
      <c r="C3307" t="s">
        <v>7</v>
      </c>
      <c r="D3307">
        <v>1712.19</v>
      </c>
    </row>
    <row r="3308" spans="1:4" hidden="1" x14ac:dyDescent="0.3">
      <c r="A3308">
        <v>3306</v>
      </c>
      <c r="B3308" s="1" t="s">
        <v>4377</v>
      </c>
      <c r="C3308" t="s">
        <v>9</v>
      </c>
      <c r="D3308" s="1" t="s">
        <v>4378</v>
      </c>
    </row>
    <row r="3309" spans="1:4" hidden="1" x14ac:dyDescent="0.3">
      <c r="A3309">
        <v>3307</v>
      </c>
      <c r="B3309" t="s">
        <v>4379</v>
      </c>
      <c r="C3309" t="s">
        <v>14</v>
      </c>
      <c r="D3309">
        <v>90.46484375</v>
      </c>
    </row>
    <row r="3310" spans="1:4" hidden="1" x14ac:dyDescent="0.3">
      <c r="A3310">
        <v>3308</v>
      </c>
      <c r="B3310" t="s">
        <v>4380</v>
      </c>
      <c r="C3310" t="s">
        <v>16</v>
      </c>
      <c r="D3310">
        <v>4.2663990648846397</v>
      </c>
    </row>
    <row r="3311" spans="1:4" hidden="1" x14ac:dyDescent="0.3">
      <c r="A3311">
        <v>3309</v>
      </c>
      <c r="B3311" s="1" t="s">
        <v>4381</v>
      </c>
      <c r="C3311" t="s">
        <v>140</v>
      </c>
      <c r="D3311" s="1" t="s">
        <v>4382</v>
      </c>
    </row>
    <row r="3312" spans="1:4" hidden="1" x14ac:dyDescent="0.3">
      <c r="A3312">
        <v>3310</v>
      </c>
      <c r="B3312" t="s">
        <v>4383</v>
      </c>
      <c r="C3312" t="s">
        <v>22</v>
      </c>
      <c r="D3312">
        <v>61.9</v>
      </c>
    </row>
    <row r="3313" spans="1:4" hidden="1" x14ac:dyDescent="0.3">
      <c r="A3313">
        <v>3311</v>
      </c>
      <c r="B3313" t="s">
        <v>4384</v>
      </c>
      <c r="C3313" t="s">
        <v>24</v>
      </c>
      <c r="D3313">
        <v>5.58212542259293</v>
      </c>
    </row>
    <row r="3314" spans="1:4" hidden="1" x14ac:dyDescent="0.3">
      <c r="A3314">
        <v>3312</v>
      </c>
      <c r="B3314" s="1" t="s">
        <v>4385</v>
      </c>
      <c r="C3314" t="s">
        <v>145</v>
      </c>
      <c r="D3314" s="1" t="s">
        <v>4386</v>
      </c>
    </row>
    <row r="3315" spans="1:4" hidden="1" x14ac:dyDescent="0.3">
      <c r="A3315">
        <v>3313</v>
      </c>
      <c r="B3315" t="s">
        <v>4387</v>
      </c>
      <c r="C3315" t="s">
        <v>35</v>
      </c>
      <c r="D3315">
        <v>-0.64445065779644695</v>
      </c>
    </row>
    <row r="3316" spans="1:4" hidden="1" x14ac:dyDescent="0.3">
      <c r="A3316">
        <v>3314</v>
      </c>
      <c r="B3316" t="s">
        <v>4388</v>
      </c>
      <c r="C3316" t="s">
        <v>149</v>
      </c>
      <c r="D3316">
        <v>0.53941692008366604</v>
      </c>
    </row>
    <row r="3317" spans="1:4" hidden="1" x14ac:dyDescent="0.3">
      <c r="A3317">
        <v>3315</v>
      </c>
      <c r="B3317" s="1" t="s">
        <v>4389</v>
      </c>
      <c r="C3317" t="s">
        <v>151</v>
      </c>
      <c r="D3317" s="1" t="s">
        <v>4390</v>
      </c>
    </row>
    <row r="3318" spans="1:4" hidden="1" x14ac:dyDescent="0.3">
      <c r="A3318">
        <v>3316</v>
      </c>
      <c r="B3318" t="s">
        <v>4391</v>
      </c>
      <c r="C3318" t="s">
        <v>30</v>
      </c>
      <c r="D3318">
        <v>0.69748405870868702</v>
      </c>
    </row>
    <row r="3319" spans="1:4" hidden="1" x14ac:dyDescent="0.3">
      <c r="A3319">
        <v>3317</v>
      </c>
      <c r="B3319" t="s">
        <v>4392</v>
      </c>
      <c r="C3319" t="s">
        <v>32</v>
      </c>
      <c r="D3319">
        <v>0.42182386731551302</v>
      </c>
    </row>
    <row r="3320" spans="1:4" hidden="1" x14ac:dyDescent="0.3">
      <c r="A3320">
        <v>3318</v>
      </c>
      <c r="B3320" s="1" t="s">
        <v>4393</v>
      </c>
      <c r="C3320" t="s">
        <v>155</v>
      </c>
      <c r="D3320" s="1" t="s">
        <v>4394</v>
      </c>
    </row>
    <row r="3321" spans="1:4" hidden="1" x14ac:dyDescent="0.3">
      <c r="A3321">
        <v>3319</v>
      </c>
      <c r="B3321" t="s">
        <v>4395</v>
      </c>
      <c r="C3321" t="s">
        <v>40</v>
      </c>
      <c r="D3321">
        <v>0.94696659908775904</v>
      </c>
    </row>
    <row r="3322" spans="1:4" hidden="1" x14ac:dyDescent="0.3">
      <c r="A3322">
        <v>3320</v>
      </c>
      <c r="B3322" t="s">
        <v>4396</v>
      </c>
      <c r="C3322" t="s">
        <v>42</v>
      </c>
      <c r="D3322">
        <v>0.43202973417124602</v>
      </c>
    </row>
    <row r="3323" spans="1:4" hidden="1" x14ac:dyDescent="0.3">
      <c r="A3323">
        <v>3321</v>
      </c>
      <c r="B3323" s="1" t="s">
        <v>4397</v>
      </c>
      <c r="C3323" t="s">
        <v>159</v>
      </c>
      <c r="D3323" s="1" t="s">
        <v>4398</v>
      </c>
    </row>
    <row r="3324" spans="1:4" hidden="1" x14ac:dyDescent="0.3">
      <c r="A3324">
        <v>3322</v>
      </c>
      <c r="B3324" t="s">
        <v>4399</v>
      </c>
      <c r="C3324" t="s">
        <v>161</v>
      </c>
      <c r="D3324">
        <v>1.00864201894528</v>
      </c>
    </row>
    <row r="3325" spans="1:4" hidden="1" x14ac:dyDescent="0.3">
      <c r="A3325">
        <v>3323</v>
      </c>
      <c r="B3325" t="s">
        <v>4400</v>
      </c>
      <c r="C3325" t="s">
        <v>163</v>
      </c>
      <c r="D3325">
        <v>1.00359608636473</v>
      </c>
    </row>
    <row r="3326" spans="1:4" hidden="1" x14ac:dyDescent="0.3">
      <c r="A3326">
        <v>3324</v>
      </c>
      <c r="B3326" s="1" t="s">
        <v>4401</v>
      </c>
      <c r="C3326" t="s">
        <v>165</v>
      </c>
      <c r="D3326" s="1" t="s">
        <v>4402</v>
      </c>
    </row>
    <row r="3327" spans="1:4" hidden="1" x14ac:dyDescent="0.3">
      <c r="A3327">
        <v>3325</v>
      </c>
      <c r="B3327" t="s">
        <v>4403</v>
      </c>
      <c r="C3327" t="s">
        <v>168</v>
      </c>
      <c r="D3327">
        <v>0.99770753684590396</v>
      </c>
    </row>
    <row r="3328" spans="1:4" hidden="1" x14ac:dyDescent="0.3">
      <c r="A3328">
        <v>3326</v>
      </c>
      <c r="B3328" t="s">
        <v>4404</v>
      </c>
      <c r="C3328" t="s">
        <v>170</v>
      </c>
      <c r="D3328">
        <v>1.0031415363234499</v>
      </c>
    </row>
    <row r="3329" spans="1:4" hidden="1" x14ac:dyDescent="0.3">
      <c r="A3329">
        <v>3327</v>
      </c>
      <c r="B3329" s="1" t="s">
        <v>4405</v>
      </c>
      <c r="C3329" t="s">
        <v>172</v>
      </c>
      <c r="D3329" s="1" t="s">
        <v>4406</v>
      </c>
    </row>
    <row r="3330" spans="1:4" hidden="1" x14ac:dyDescent="0.3">
      <c r="A3330">
        <v>3328</v>
      </c>
      <c r="B3330" s="1" t="s">
        <v>4407</v>
      </c>
      <c r="C3330" t="s">
        <v>55</v>
      </c>
      <c r="D3330" s="1" t="s">
        <v>4408</v>
      </c>
    </row>
    <row r="3331" spans="1:4" hidden="1" x14ac:dyDescent="0.3">
      <c r="A3331">
        <v>3329</v>
      </c>
      <c r="B3331" s="1" t="s">
        <v>4409</v>
      </c>
      <c r="C3331" t="s">
        <v>52</v>
      </c>
      <c r="D3331" s="1" t="s">
        <v>4410</v>
      </c>
    </row>
    <row r="3332" spans="1:4" hidden="1" x14ac:dyDescent="0.3">
      <c r="A3332">
        <v>3330</v>
      </c>
      <c r="B3332" s="1" t="s">
        <v>4411</v>
      </c>
      <c r="C3332" t="s">
        <v>58</v>
      </c>
      <c r="D3332" s="1" t="s">
        <v>4412</v>
      </c>
    </row>
    <row r="3333" spans="1:4" hidden="1" x14ac:dyDescent="0.3">
      <c r="A3333">
        <v>3331</v>
      </c>
      <c r="B3333" t="s">
        <v>4413</v>
      </c>
      <c r="C3333" t="s">
        <v>61</v>
      </c>
      <c r="D3333">
        <v>147712652.08342701</v>
      </c>
    </row>
    <row r="3334" spans="1:4" hidden="1" x14ac:dyDescent="0.3">
      <c r="A3334">
        <v>3332</v>
      </c>
      <c r="B3334" t="s">
        <v>4414</v>
      </c>
      <c r="C3334" t="s">
        <v>63</v>
      </c>
      <c r="D3334">
        <v>74786901.231400594</v>
      </c>
    </row>
    <row r="3335" spans="1:4" hidden="1" x14ac:dyDescent="0.3">
      <c r="A3335">
        <v>3333</v>
      </c>
      <c r="B3335" t="s">
        <v>4415</v>
      </c>
      <c r="C3335" t="s">
        <v>65</v>
      </c>
      <c r="D3335">
        <v>34832940.341118902</v>
      </c>
    </row>
    <row r="3336" spans="1:4" hidden="1" x14ac:dyDescent="0.3">
      <c r="A3336">
        <v>3334</v>
      </c>
      <c r="B3336" s="1" t="s">
        <v>4416</v>
      </c>
      <c r="C3336" t="s">
        <v>67</v>
      </c>
      <c r="D3336" s="1" t="s">
        <v>4417</v>
      </c>
    </row>
    <row r="3337" spans="1:4" hidden="1" x14ac:dyDescent="0.3">
      <c r="A3337">
        <v>3335</v>
      </c>
      <c r="B3337" s="1" t="s">
        <v>4418</v>
      </c>
      <c r="C3337" t="s">
        <v>70</v>
      </c>
      <c r="D3337" s="1" t="s">
        <v>4419</v>
      </c>
    </row>
    <row r="3338" spans="1:4" hidden="1" x14ac:dyDescent="0.3">
      <c r="A3338">
        <v>3336</v>
      </c>
      <c r="B3338" t="s">
        <v>4420</v>
      </c>
      <c r="C3338" t="s">
        <v>73</v>
      </c>
      <c r="D3338">
        <v>0.999789071682604</v>
      </c>
    </row>
    <row r="3339" spans="1:4" hidden="1" x14ac:dyDescent="0.3">
      <c r="A3339">
        <v>3337</v>
      </c>
      <c r="B3339" t="s">
        <v>74</v>
      </c>
      <c r="C3339" t="s">
        <v>75</v>
      </c>
      <c r="D3339">
        <v>2.7397260273972599E-3</v>
      </c>
    </row>
    <row r="3340" spans="1:4" hidden="1" x14ac:dyDescent="0.3">
      <c r="A3340">
        <v>3338</v>
      </c>
      <c r="B3340" t="s">
        <v>76</v>
      </c>
      <c r="C3340" t="s">
        <v>77</v>
      </c>
      <c r="D3340">
        <v>0</v>
      </c>
    </row>
    <row r="3341" spans="1:4" hidden="1" x14ac:dyDescent="0.3">
      <c r="A3341">
        <v>3339</v>
      </c>
      <c r="B3341" t="s">
        <v>78</v>
      </c>
      <c r="C3341" t="s">
        <v>79</v>
      </c>
      <c r="D3341">
        <v>0</v>
      </c>
    </row>
    <row r="3342" spans="1:4" hidden="1" x14ac:dyDescent="0.3">
      <c r="A3342">
        <v>3340</v>
      </c>
      <c r="B3342" s="1" t="s">
        <v>4421</v>
      </c>
      <c r="C3342" t="s">
        <v>81</v>
      </c>
      <c r="D3342" s="1" t="s">
        <v>4422</v>
      </c>
    </row>
    <row r="3343" spans="1:4" hidden="1" x14ac:dyDescent="0.3">
      <c r="A3343">
        <v>3341</v>
      </c>
      <c r="B3343" t="s">
        <v>4423</v>
      </c>
      <c r="C3343" t="s">
        <v>84</v>
      </c>
      <c r="D3343">
        <v>0.99976410483126499</v>
      </c>
    </row>
    <row r="3344" spans="1:4" hidden="1" x14ac:dyDescent="0.3">
      <c r="A3344">
        <v>3342</v>
      </c>
      <c r="B3344" s="1" t="s">
        <v>4424</v>
      </c>
      <c r="C3344" t="s">
        <v>86</v>
      </c>
      <c r="D3344" s="1" t="s">
        <v>4425</v>
      </c>
    </row>
    <row r="3345" spans="1:4" hidden="1" x14ac:dyDescent="0.3">
      <c r="A3345">
        <v>3343</v>
      </c>
      <c r="B3345" t="s">
        <v>4426</v>
      </c>
      <c r="C3345" t="s">
        <v>89</v>
      </c>
      <c r="D3345">
        <v>103017715.07577001</v>
      </c>
    </row>
    <row r="3346" spans="1:4" hidden="1" x14ac:dyDescent="0.3">
      <c r="A3346">
        <v>3344</v>
      </c>
      <c r="B3346" s="1" t="s">
        <v>4427</v>
      </c>
      <c r="C3346" t="s">
        <v>91</v>
      </c>
      <c r="D3346" s="1" t="s">
        <v>4361</v>
      </c>
    </row>
    <row r="3347" spans="1:4" hidden="1" x14ac:dyDescent="0.3">
      <c r="A3347">
        <v>3345</v>
      </c>
      <c r="B3347" t="s">
        <v>4428</v>
      </c>
      <c r="C3347" t="s">
        <v>94</v>
      </c>
      <c r="D3347">
        <v>74786901.231400594</v>
      </c>
    </row>
    <row r="3348" spans="1:4" hidden="1" x14ac:dyDescent="0.3">
      <c r="A3348">
        <v>3346</v>
      </c>
      <c r="B3348" t="s">
        <v>4429</v>
      </c>
      <c r="C3348" t="s">
        <v>96</v>
      </c>
      <c r="D3348">
        <v>34832940.341118902</v>
      </c>
    </row>
    <row r="3349" spans="1:4" hidden="1" x14ac:dyDescent="0.3">
      <c r="A3349">
        <v>3347</v>
      </c>
      <c r="B3349" t="s">
        <v>4430</v>
      </c>
      <c r="C3349" t="s">
        <v>98</v>
      </c>
      <c r="D3349">
        <v>38092810.510907598</v>
      </c>
    </row>
    <row r="3350" spans="1:4" hidden="1" x14ac:dyDescent="0.3">
      <c r="A3350">
        <v>3348</v>
      </c>
      <c r="B3350" s="1" t="s">
        <v>4431</v>
      </c>
      <c r="C3350" t="s">
        <v>100</v>
      </c>
      <c r="D3350" s="1" t="s">
        <v>4432</v>
      </c>
    </row>
    <row r="3351" spans="1:4" hidden="1" x14ac:dyDescent="0.3">
      <c r="A3351">
        <v>3349</v>
      </c>
      <c r="B3351" t="s">
        <v>4433</v>
      </c>
      <c r="C3351" t="s">
        <v>103</v>
      </c>
      <c r="D3351">
        <v>8.6066306033002801E-3</v>
      </c>
    </row>
    <row r="3352" spans="1:4" hidden="1" x14ac:dyDescent="0.3">
      <c r="A3352">
        <v>3350</v>
      </c>
      <c r="B3352" t="s">
        <v>4434</v>
      </c>
      <c r="C3352" t="s">
        <v>105</v>
      </c>
      <c r="D3352">
        <v>3.1376958402653701E-3</v>
      </c>
    </row>
    <row r="3353" spans="1:4" hidden="1" x14ac:dyDescent="0.3">
      <c r="A3353">
        <v>3351</v>
      </c>
      <c r="B3353" t="s">
        <v>4435</v>
      </c>
      <c r="C3353" t="s">
        <v>107</v>
      </c>
      <c r="D3353">
        <v>1.11262479387352E-2</v>
      </c>
    </row>
    <row r="3354" spans="1:4" hidden="1" x14ac:dyDescent="0.3">
      <c r="A3354">
        <v>3352</v>
      </c>
      <c r="B3354" s="1" t="s">
        <v>4436</v>
      </c>
      <c r="C3354" t="s">
        <v>109</v>
      </c>
      <c r="D3354" s="1" t="s">
        <v>4437</v>
      </c>
    </row>
    <row r="3355" spans="1:4" hidden="1" x14ac:dyDescent="0.3">
      <c r="A3355">
        <v>3353</v>
      </c>
      <c r="B3355" t="s">
        <v>4438</v>
      </c>
      <c r="C3355" t="s">
        <v>208</v>
      </c>
      <c r="D3355">
        <v>147711775.21531701</v>
      </c>
    </row>
    <row r="3356" spans="1:4" hidden="1" x14ac:dyDescent="0.3">
      <c r="A3356">
        <v>3354</v>
      </c>
      <c r="B3356" t="s">
        <v>4439</v>
      </c>
      <c r="C3356" t="s">
        <v>210</v>
      </c>
      <c r="D3356">
        <v>1867.5721845637199</v>
      </c>
    </row>
    <row r="3357" spans="1:4" hidden="1" x14ac:dyDescent="0.3">
      <c r="A3357">
        <v>3355</v>
      </c>
      <c r="B3357" t="s">
        <v>4440</v>
      </c>
      <c r="C3357" t="s">
        <v>212</v>
      </c>
      <c r="D3357">
        <v>869.84984433044099</v>
      </c>
    </row>
    <row r="3358" spans="1:4" hidden="1" x14ac:dyDescent="0.3">
      <c r="A3358">
        <v>3356</v>
      </c>
      <c r="B3358" s="1" t="s">
        <v>4441</v>
      </c>
      <c r="C3358" t="s">
        <v>214</v>
      </c>
      <c r="D3358" s="1" t="s">
        <v>4442</v>
      </c>
    </row>
    <row r="3359" spans="1:4" hidden="1" x14ac:dyDescent="0.3">
      <c r="A3359">
        <v>3357</v>
      </c>
      <c r="B3359" t="s">
        <v>4443</v>
      </c>
      <c r="C3359" t="s">
        <v>217</v>
      </c>
      <c r="D3359">
        <v>74784425.473992601</v>
      </c>
    </row>
    <row r="3360" spans="1:4" hidden="1" x14ac:dyDescent="0.3">
      <c r="A3360">
        <v>3358</v>
      </c>
      <c r="B3360" t="s">
        <v>4444</v>
      </c>
      <c r="C3360" t="s">
        <v>219</v>
      </c>
      <c r="D3360">
        <v>34831971.366124399</v>
      </c>
    </row>
    <row r="3361" spans="1:4" hidden="1" x14ac:dyDescent="0.3">
      <c r="A3361">
        <v>3359</v>
      </c>
      <c r="B3361" t="s">
        <v>4445</v>
      </c>
      <c r="C3361" t="s">
        <v>221</v>
      </c>
      <c r="D3361">
        <v>38091689.699220903</v>
      </c>
    </row>
    <row r="3362" spans="1:4" hidden="1" x14ac:dyDescent="0.3">
      <c r="A3362">
        <v>3360</v>
      </c>
      <c r="B3362" s="1" t="s">
        <v>4446</v>
      </c>
      <c r="C3362" t="s">
        <v>223</v>
      </c>
      <c r="D3362" s="1" t="s">
        <v>4447</v>
      </c>
    </row>
    <row r="3363" spans="1:4" hidden="1" x14ac:dyDescent="0.3">
      <c r="A3363">
        <v>3361</v>
      </c>
      <c r="B3363" t="s">
        <v>4448</v>
      </c>
      <c r="C3363" t="s">
        <v>226</v>
      </c>
      <c r="D3363">
        <v>103015142.505164</v>
      </c>
    </row>
    <row r="3364" spans="1:4" hidden="1" x14ac:dyDescent="0.3">
      <c r="A3364">
        <v>3362</v>
      </c>
      <c r="B3364" t="s">
        <v>4449</v>
      </c>
      <c r="C3364" t="s">
        <v>228</v>
      </c>
      <c r="D3364">
        <v>2572.5706056058398</v>
      </c>
    </row>
    <row r="3365" spans="1:4" hidden="1" x14ac:dyDescent="0.3">
      <c r="A3365">
        <v>3363</v>
      </c>
      <c r="B3365" s="1" t="s">
        <v>4450</v>
      </c>
      <c r="C3365" t="s">
        <v>230</v>
      </c>
      <c r="D3365" s="1" t="s">
        <v>4451</v>
      </c>
    </row>
    <row r="3366" spans="1:4" hidden="1" x14ac:dyDescent="0.3">
      <c r="A3366">
        <v>3364</v>
      </c>
      <c r="B3366" t="s">
        <v>4452</v>
      </c>
      <c r="C3366" t="s">
        <v>112</v>
      </c>
      <c r="D3366">
        <v>-608.18522346284999</v>
      </c>
    </row>
    <row r="3367" spans="1:4" hidden="1" x14ac:dyDescent="0.3">
      <c r="A3367">
        <v>3365</v>
      </c>
      <c r="B3367" t="s">
        <v>4453</v>
      </c>
      <c r="C3367" t="s">
        <v>114</v>
      </c>
      <c r="D3367">
        <v>-99.125150260699002</v>
      </c>
    </row>
    <row r="3368" spans="1:4" hidden="1" x14ac:dyDescent="0.3">
      <c r="A3368">
        <v>3366</v>
      </c>
      <c r="B3368" s="1" t="s">
        <v>4454</v>
      </c>
      <c r="C3368" t="s">
        <v>116</v>
      </c>
      <c r="D3368" s="1" t="s">
        <v>4455</v>
      </c>
    </row>
    <row r="3369" spans="1:4" hidden="1" x14ac:dyDescent="0.3">
      <c r="A3369">
        <v>3367</v>
      </c>
      <c r="B3369" t="s">
        <v>4456</v>
      </c>
      <c r="C3369" t="s">
        <v>119</v>
      </c>
      <c r="D3369">
        <v>74784425.473992601</v>
      </c>
    </row>
    <row r="3370" spans="1:4" hidden="1" x14ac:dyDescent="0.3">
      <c r="A3370">
        <v>3368</v>
      </c>
      <c r="B3370" t="s">
        <v>4457</v>
      </c>
      <c r="C3370" t="s">
        <v>121</v>
      </c>
      <c r="D3370">
        <v>34831971.366124399</v>
      </c>
    </row>
    <row r="3371" spans="1:4" hidden="1" x14ac:dyDescent="0.3">
      <c r="A3371">
        <v>3369</v>
      </c>
      <c r="B3371" s="1" t="s">
        <v>4458</v>
      </c>
      <c r="C3371" t="s">
        <v>123</v>
      </c>
      <c r="D3371" s="1" t="s">
        <v>4459</v>
      </c>
    </row>
    <row r="3372" spans="1:4" hidden="1" x14ac:dyDescent="0.3">
      <c r="A3372">
        <v>3370</v>
      </c>
      <c r="B3372" t="s">
        <v>4460</v>
      </c>
      <c r="C3372" t="s">
        <v>126</v>
      </c>
      <c r="D3372">
        <v>0.72612694699115499</v>
      </c>
    </row>
    <row r="3373" spans="1:4" hidden="1" x14ac:dyDescent="0.3">
      <c r="A3373">
        <v>3371</v>
      </c>
      <c r="B3373" t="s">
        <v>4461</v>
      </c>
      <c r="C3373" t="s">
        <v>128</v>
      </c>
      <c r="D3373">
        <v>0.33820455082005102</v>
      </c>
    </row>
    <row r="3374" spans="1:4" hidden="1" x14ac:dyDescent="0.3">
      <c r="A3374">
        <v>3372</v>
      </c>
      <c r="B3374" s="1" t="s">
        <v>4462</v>
      </c>
      <c r="C3374" t="s">
        <v>130</v>
      </c>
      <c r="D3374" s="1" t="s">
        <v>4463</v>
      </c>
    </row>
    <row r="3375" spans="1:4" ht="72" x14ac:dyDescent="0.3">
      <c r="A3375">
        <v>3373</v>
      </c>
      <c r="B3375" s="1" t="s">
        <v>4464</v>
      </c>
      <c r="C3375" t="s">
        <v>4</v>
      </c>
      <c r="D3375" t="s">
        <v>4465</v>
      </c>
    </row>
    <row r="3376" spans="1:4" hidden="1" x14ac:dyDescent="0.3">
      <c r="A3376">
        <v>3374</v>
      </c>
      <c r="B3376" t="s">
        <v>4466</v>
      </c>
      <c r="C3376" t="s">
        <v>7</v>
      </c>
      <c r="D3376">
        <v>1702.14</v>
      </c>
    </row>
    <row r="3377" spans="1:4" hidden="1" x14ac:dyDescent="0.3">
      <c r="A3377">
        <v>3375</v>
      </c>
      <c r="B3377" s="1" t="s">
        <v>4467</v>
      </c>
      <c r="C3377" t="s">
        <v>9</v>
      </c>
      <c r="D3377" s="1" t="s">
        <v>4468</v>
      </c>
    </row>
    <row r="3378" spans="1:4" hidden="1" x14ac:dyDescent="0.3">
      <c r="A3378">
        <v>3376</v>
      </c>
      <c r="B3378" t="s">
        <v>4469</v>
      </c>
      <c r="C3378" t="s">
        <v>14</v>
      </c>
      <c r="D3378">
        <v>90.05078125</v>
      </c>
    </row>
    <row r="3379" spans="1:4" hidden="1" x14ac:dyDescent="0.3">
      <c r="A3379">
        <v>3377</v>
      </c>
      <c r="B3379" t="s">
        <v>4470</v>
      </c>
      <c r="C3379" t="s">
        <v>16</v>
      </c>
      <c r="D3379">
        <v>4.2580070524395603</v>
      </c>
    </row>
    <row r="3380" spans="1:4" hidden="1" x14ac:dyDescent="0.3">
      <c r="A3380">
        <v>3378</v>
      </c>
      <c r="B3380" s="1" t="s">
        <v>4471</v>
      </c>
      <c r="C3380" t="s">
        <v>140</v>
      </c>
      <c r="D3380" s="1" t="s">
        <v>4472</v>
      </c>
    </row>
    <row r="3381" spans="1:4" hidden="1" x14ac:dyDescent="0.3">
      <c r="A3381">
        <v>3379</v>
      </c>
      <c r="B3381" t="s">
        <v>3663</v>
      </c>
      <c r="C3381" t="s">
        <v>22</v>
      </c>
      <c r="D3381">
        <v>61.7</v>
      </c>
    </row>
    <row r="3382" spans="1:4" hidden="1" x14ac:dyDescent="0.3">
      <c r="A3382">
        <v>3380</v>
      </c>
      <c r="B3382" t="s">
        <v>4473</v>
      </c>
      <c r="C3382" t="s">
        <v>24</v>
      </c>
      <c r="D3382">
        <v>5.5093508155795901</v>
      </c>
    </row>
    <row r="3383" spans="1:4" hidden="1" x14ac:dyDescent="0.3">
      <c r="A3383">
        <v>3381</v>
      </c>
      <c r="B3383" s="1" t="s">
        <v>4474</v>
      </c>
      <c r="C3383" t="s">
        <v>145</v>
      </c>
      <c r="D3383" s="1" t="s">
        <v>4475</v>
      </c>
    </row>
    <row r="3384" spans="1:4" hidden="1" x14ac:dyDescent="0.3">
      <c r="A3384">
        <v>3382</v>
      </c>
      <c r="B3384" t="s">
        <v>4476</v>
      </c>
      <c r="C3384" t="s">
        <v>35</v>
      </c>
      <c r="D3384">
        <v>8.0775132910917397E-2</v>
      </c>
    </row>
    <row r="3385" spans="1:4" hidden="1" x14ac:dyDescent="0.3">
      <c r="A3385">
        <v>3383</v>
      </c>
      <c r="B3385" t="s">
        <v>4477</v>
      </c>
      <c r="C3385" t="s">
        <v>149</v>
      </c>
      <c r="D3385">
        <v>0.53785961592698395</v>
      </c>
    </row>
    <row r="3386" spans="1:4" hidden="1" x14ac:dyDescent="0.3">
      <c r="A3386">
        <v>3384</v>
      </c>
      <c r="B3386" s="1" t="s">
        <v>4478</v>
      </c>
      <c r="C3386" t="s">
        <v>151</v>
      </c>
      <c r="D3386" s="1" t="s">
        <v>4479</v>
      </c>
    </row>
    <row r="3387" spans="1:4" hidden="1" x14ac:dyDescent="0.3">
      <c r="A3387">
        <v>3385</v>
      </c>
      <c r="B3387" t="s">
        <v>4480</v>
      </c>
      <c r="C3387" t="s">
        <v>30</v>
      </c>
      <c r="D3387">
        <v>0.39148384285118498</v>
      </c>
    </row>
    <row r="3388" spans="1:4" hidden="1" x14ac:dyDescent="0.3">
      <c r="A3388">
        <v>3386</v>
      </c>
      <c r="B3388" t="s">
        <v>4481</v>
      </c>
      <c r="C3388" t="s">
        <v>32</v>
      </c>
      <c r="D3388">
        <v>0.42137575998525401</v>
      </c>
    </row>
    <row r="3389" spans="1:4" hidden="1" x14ac:dyDescent="0.3">
      <c r="A3389">
        <v>3387</v>
      </c>
      <c r="B3389" s="1" t="s">
        <v>4482</v>
      </c>
      <c r="C3389" t="s">
        <v>155</v>
      </c>
      <c r="D3389" s="1" t="s">
        <v>4483</v>
      </c>
    </row>
    <row r="3390" spans="1:4" hidden="1" x14ac:dyDescent="0.3">
      <c r="A3390">
        <v>3388</v>
      </c>
      <c r="B3390" t="s">
        <v>4484</v>
      </c>
      <c r="C3390" t="s">
        <v>40</v>
      </c>
      <c r="D3390">
        <v>0.52774102423789704</v>
      </c>
    </row>
    <row r="3391" spans="1:4" hidden="1" x14ac:dyDescent="0.3">
      <c r="A3391">
        <v>3389</v>
      </c>
      <c r="B3391" t="s">
        <v>4485</v>
      </c>
      <c r="C3391" t="s">
        <v>42</v>
      </c>
      <c r="D3391">
        <v>0.43784543898230599</v>
      </c>
    </row>
    <row r="3392" spans="1:4" hidden="1" x14ac:dyDescent="0.3">
      <c r="A3392">
        <v>3390</v>
      </c>
      <c r="B3392" s="1" t="s">
        <v>4486</v>
      </c>
      <c r="C3392" t="s">
        <v>159</v>
      </c>
      <c r="D3392" s="1" t="s">
        <v>4487</v>
      </c>
    </row>
    <row r="3393" spans="1:4" hidden="1" x14ac:dyDescent="0.3">
      <c r="A3393">
        <v>3391</v>
      </c>
      <c r="B3393" t="s">
        <v>4488</v>
      </c>
      <c r="C3393" t="s">
        <v>161</v>
      </c>
      <c r="D3393">
        <v>0.99413032432148296</v>
      </c>
    </row>
    <row r="3394" spans="1:4" hidden="1" x14ac:dyDescent="0.3">
      <c r="A3394">
        <v>3392</v>
      </c>
      <c r="B3394" t="s">
        <v>4489</v>
      </c>
      <c r="C3394" t="s">
        <v>163</v>
      </c>
      <c r="D3394">
        <v>0.99554049435126002</v>
      </c>
    </row>
    <row r="3395" spans="1:4" hidden="1" x14ac:dyDescent="0.3">
      <c r="A3395">
        <v>3393</v>
      </c>
      <c r="B3395" s="1" t="s">
        <v>4490</v>
      </c>
      <c r="C3395" t="s">
        <v>165</v>
      </c>
      <c r="D3395" s="1" t="s">
        <v>4491</v>
      </c>
    </row>
    <row r="3396" spans="1:4" hidden="1" x14ac:dyDescent="0.3">
      <c r="A3396">
        <v>3394</v>
      </c>
      <c r="B3396" t="s">
        <v>4492</v>
      </c>
      <c r="C3396" t="s">
        <v>168</v>
      </c>
      <c r="D3396">
        <v>0.99898838051189098</v>
      </c>
    </row>
    <row r="3397" spans="1:4" hidden="1" x14ac:dyDescent="0.3">
      <c r="A3397">
        <v>3395</v>
      </c>
      <c r="B3397" t="s">
        <v>4493</v>
      </c>
      <c r="C3397" t="s">
        <v>170</v>
      </c>
      <c r="D3397">
        <v>0.99968483625816096</v>
      </c>
    </row>
    <row r="3398" spans="1:4" hidden="1" x14ac:dyDescent="0.3">
      <c r="A3398">
        <v>3396</v>
      </c>
      <c r="B3398" s="1" t="s">
        <v>4494</v>
      </c>
      <c r="C3398" t="s">
        <v>172</v>
      </c>
      <c r="D3398" s="1" t="s">
        <v>4495</v>
      </c>
    </row>
    <row r="3399" spans="1:4" hidden="1" x14ac:dyDescent="0.3">
      <c r="A3399">
        <v>3397</v>
      </c>
      <c r="B3399" s="1" t="s">
        <v>4496</v>
      </c>
      <c r="C3399" t="s">
        <v>55</v>
      </c>
      <c r="D3399" s="1" t="s">
        <v>4497</v>
      </c>
    </row>
    <row r="3400" spans="1:4" hidden="1" x14ac:dyDescent="0.3">
      <c r="A3400">
        <v>3398</v>
      </c>
      <c r="B3400" s="1" t="s">
        <v>4498</v>
      </c>
      <c r="C3400" t="s">
        <v>52</v>
      </c>
      <c r="D3400" s="1" t="s">
        <v>4499</v>
      </c>
    </row>
    <row r="3401" spans="1:4" hidden="1" x14ac:dyDescent="0.3">
      <c r="A3401">
        <v>3399</v>
      </c>
      <c r="B3401" s="1" t="s">
        <v>4500</v>
      </c>
      <c r="C3401" t="s">
        <v>58</v>
      </c>
      <c r="D3401" s="1" t="s">
        <v>4501</v>
      </c>
    </row>
    <row r="3402" spans="1:4" hidden="1" x14ac:dyDescent="0.3">
      <c r="A3402">
        <v>3400</v>
      </c>
      <c r="B3402" t="s">
        <v>4502</v>
      </c>
      <c r="C3402" t="s">
        <v>61</v>
      </c>
      <c r="D3402">
        <v>146959819.54077601</v>
      </c>
    </row>
    <row r="3403" spans="1:4" hidden="1" x14ac:dyDescent="0.3">
      <c r="A3403">
        <v>3401</v>
      </c>
      <c r="B3403" t="s">
        <v>4503</v>
      </c>
      <c r="C3403" t="s">
        <v>63</v>
      </c>
      <c r="D3403">
        <v>74345465.150656</v>
      </c>
    </row>
    <row r="3404" spans="1:4" hidden="1" x14ac:dyDescent="0.3">
      <c r="A3404">
        <v>3402</v>
      </c>
      <c r="B3404" t="s">
        <v>4504</v>
      </c>
      <c r="C3404" t="s">
        <v>65</v>
      </c>
      <c r="D3404">
        <v>34676637.993060403</v>
      </c>
    </row>
    <row r="3405" spans="1:4" hidden="1" x14ac:dyDescent="0.3">
      <c r="A3405">
        <v>3403</v>
      </c>
      <c r="B3405" s="1" t="s">
        <v>4505</v>
      </c>
      <c r="C3405" t="s">
        <v>67</v>
      </c>
      <c r="D3405" s="1" t="s">
        <v>4506</v>
      </c>
    </row>
    <row r="3406" spans="1:4" hidden="1" x14ac:dyDescent="0.3">
      <c r="A3406">
        <v>3404</v>
      </c>
      <c r="B3406" s="1" t="s">
        <v>4507</v>
      </c>
      <c r="C3406" t="s">
        <v>70</v>
      </c>
      <c r="D3406" s="1" t="s">
        <v>4508</v>
      </c>
    </row>
    <row r="3407" spans="1:4" hidden="1" x14ac:dyDescent="0.3">
      <c r="A3407">
        <v>3405</v>
      </c>
      <c r="B3407" t="s">
        <v>4509</v>
      </c>
      <c r="C3407" t="s">
        <v>73</v>
      </c>
      <c r="D3407">
        <v>0.99976410483126499</v>
      </c>
    </row>
    <row r="3408" spans="1:4" hidden="1" x14ac:dyDescent="0.3">
      <c r="A3408">
        <v>3406</v>
      </c>
      <c r="B3408" t="s">
        <v>74</v>
      </c>
      <c r="C3408" t="s">
        <v>75</v>
      </c>
      <c r="D3408">
        <v>2.7397260273972599E-3</v>
      </c>
    </row>
    <row r="3409" spans="1:4" hidden="1" x14ac:dyDescent="0.3">
      <c r="A3409">
        <v>3407</v>
      </c>
      <c r="B3409" t="s">
        <v>76</v>
      </c>
      <c r="C3409" t="s">
        <v>77</v>
      </c>
      <c r="D3409">
        <v>0</v>
      </c>
    </row>
    <row r="3410" spans="1:4" hidden="1" x14ac:dyDescent="0.3">
      <c r="A3410">
        <v>3408</v>
      </c>
      <c r="B3410" t="s">
        <v>78</v>
      </c>
      <c r="C3410" t="s">
        <v>79</v>
      </c>
      <c r="D3410">
        <v>0</v>
      </c>
    </row>
    <row r="3411" spans="1:4" hidden="1" x14ac:dyDescent="0.3">
      <c r="A3411">
        <v>3409</v>
      </c>
      <c r="B3411" s="1" t="s">
        <v>4510</v>
      </c>
      <c r="C3411" t="s">
        <v>81</v>
      </c>
      <c r="D3411" s="1" t="s">
        <v>4511</v>
      </c>
    </row>
    <row r="3412" spans="1:4" hidden="1" x14ac:dyDescent="0.3">
      <c r="A3412">
        <v>3410</v>
      </c>
      <c r="B3412" t="s">
        <v>4512</v>
      </c>
      <c r="C3412" t="s">
        <v>84</v>
      </c>
      <c r="D3412">
        <v>0.99977748723126203</v>
      </c>
    </row>
    <row r="3413" spans="1:4" hidden="1" x14ac:dyDescent="0.3">
      <c r="A3413">
        <v>3411</v>
      </c>
      <c r="B3413" s="1" t="s">
        <v>4513</v>
      </c>
      <c r="C3413" t="s">
        <v>86</v>
      </c>
      <c r="D3413" s="1" t="s">
        <v>4514</v>
      </c>
    </row>
    <row r="3414" spans="1:4" hidden="1" x14ac:dyDescent="0.3">
      <c r="A3414">
        <v>3412</v>
      </c>
      <c r="B3414" t="s">
        <v>4515</v>
      </c>
      <c r="C3414" t="s">
        <v>89</v>
      </c>
      <c r="D3414">
        <v>103016336.14466999</v>
      </c>
    </row>
    <row r="3415" spans="1:4" hidden="1" x14ac:dyDescent="0.3">
      <c r="A3415">
        <v>3413</v>
      </c>
      <c r="B3415" s="1" t="s">
        <v>4516</v>
      </c>
      <c r="C3415" t="s">
        <v>91</v>
      </c>
      <c r="D3415" s="1" t="s">
        <v>4451</v>
      </c>
    </row>
    <row r="3416" spans="1:4" hidden="1" x14ac:dyDescent="0.3">
      <c r="A3416">
        <v>3414</v>
      </c>
      <c r="B3416" t="s">
        <v>4517</v>
      </c>
      <c r="C3416" t="s">
        <v>94</v>
      </c>
      <c r="D3416">
        <v>74345465.150656</v>
      </c>
    </row>
    <row r="3417" spans="1:4" hidden="1" x14ac:dyDescent="0.3">
      <c r="A3417">
        <v>3415</v>
      </c>
      <c r="B3417" t="s">
        <v>4518</v>
      </c>
      <c r="C3417" t="s">
        <v>96</v>
      </c>
      <c r="D3417">
        <v>34676637.993060403</v>
      </c>
    </row>
    <row r="3418" spans="1:4" hidden="1" x14ac:dyDescent="0.3">
      <c r="A3418">
        <v>3416</v>
      </c>
      <c r="B3418" t="s">
        <v>4519</v>
      </c>
      <c r="C3418" t="s">
        <v>98</v>
      </c>
      <c r="D3418">
        <v>37937716.397059597</v>
      </c>
    </row>
    <row r="3419" spans="1:4" hidden="1" x14ac:dyDescent="0.3">
      <c r="A3419">
        <v>3417</v>
      </c>
      <c r="B3419" s="1" t="s">
        <v>4520</v>
      </c>
      <c r="C3419" t="s">
        <v>100</v>
      </c>
      <c r="D3419" s="1" t="s">
        <v>4521</v>
      </c>
    </row>
    <row r="3420" spans="1:4" hidden="1" x14ac:dyDescent="0.3">
      <c r="A3420">
        <v>3418</v>
      </c>
      <c r="B3420" t="s">
        <v>4522</v>
      </c>
      <c r="C3420" t="s">
        <v>103</v>
      </c>
      <c r="D3420">
        <v>8.6601540067851694E-3</v>
      </c>
    </row>
    <row r="3421" spans="1:4" hidden="1" x14ac:dyDescent="0.3">
      <c r="A3421">
        <v>3419</v>
      </c>
      <c r="B3421" t="s">
        <v>4523</v>
      </c>
      <c r="C3421" t="s">
        <v>105</v>
      </c>
      <c r="D3421">
        <v>3.1534478902413999E-3</v>
      </c>
    </row>
    <row r="3422" spans="1:4" hidden="1" x14ac:dyDescent="0.3">
      <c r="A3422">
        <v>3420</v>
      </c>
      <c r="B3422" t="s">
        <v>4524</v>
      </c>
      <c r="C3422" t="s">
        <v>107</v>
      </c>
      <c r="D3422">
        <v>1.11193522019564E-2</v>
      </c>
    </row>
    <row r="3423" spans="1:4" hidden="1" x14ac:dyDescent="0.3">
      <c r="A3423">
        <v>3421</v>
      </c>
      <c r="B3423" s="1" t="s">
        <v>4525</v>
      </c>
      <c r="C3423" t="s">
        <v>109</v>
      </c>
      <c r="D3423" s="1" t="s">
        <v>4526</v>
      </c>
    </row>
    <row r="3424" spans="1:4" hidden="1" x14ac:dyDescent="0.3">
      <c r="A3424">
        <v>3422</v>
      </c>
      <c r="B3424" t="s">
        <v>4527</v>
      </c>
      <c r="C3424" t="s">
        <v>208</v>
      </c>
      <c r="D3424">
        <v>146960290.56720701</v>
      </c>
    </row>
    <row r="3425" spans="1:4" hidden="1" x14ac:dyDescent="0.3">
      <c r="A3425">
        <v>3423</v>
      </c>
      <c r="B3425" t="s">
        <v>4528</v>
      </c>
      <c r="C3425" t="s">
        <v>210</v>
      </c>
      <c r="D3425">
        <v>-995.16017269049405</v>
      </c>
    </row>
    <row r="3426" spans="1:4" hidden="1" x14ac:dyDescent="0.3">
      <c r="A3426">
        <v>3424</v>
      </c>
      <c r="B3426" t="s">
        <v>4529</v>
      </c>
      <c r="C3426" t="s">
        <v>212</v>
      </c>
      <c r="D3426">
        <v>-464.16690516126903</v>
      </c>
    </row>
    <row r="3427" spans="1:4" hidden="1" x14ac:dyDescent="0.3">
      <c r="A3427">
        <v>3425</v>
      </c>
      <c r="B3427" s="1" t="s">
        <v>4530</v>
      </c>
      <c r="C3427" t="s">
        <v>214</v>
      </c>
      <c r="D3427" s="1" t="s">
        <v>4531</v>
      </c>
    </row>
    <row r="3428" spans="1:4" hidden="1" x14ac:dyDescent="0.3">
      <c r="A3428">
        <v>3426</v>
      </c>
      <c r="B3428" t="s">
        <v>4532</v>
      </c>
      <c r="C3428" t="s">
        <v>217</v>
      </c>
      <c r="D3428">
        <v>74346809.022098899</v>
      </c>
    </row>
    <row r="3429" spans="1:4" hidden="1" x14ac:dyDescent="0.3">
      <c r="A3429">
        <v>3427</v>
      </c>
      <c r="B3429" t="s">
        <v>4533</v>
      </c>
      <c r="C3429" t="s">
        <v>219</v>
      </c>
      <c r="D3429">
        <v>34677159.717018098</v>
      </c>
    </row>
    <row r="3430" spans="1:4" hidden="1" x14ac:dyDescent="0.3">
      <c r="A3430">
        <v>3428</v>
      </c>
      <c r="B3430" t="s">
        <v>4534</v>
      </c>
      <c r="C3430" t="s">
        <v>221</v>
      </c>
      <c r="D3430">
        <v>37938288.973522902</v>
      </c>
    </row>
    <row r="3431" spans="1:4" hidden="1" x14ac:dyDescent="0.3">
      <c r="A3431">
        <v>3429</v>
      </c>
      <c r="B3431" s="1" t="s">
        <v>4535</v>
      </c>
      <c r="C3431" t="s">
        <v>223</v>
      </c>
      <c r="D3431" s="1" t="s">
        <v>4536</v>
      </c>
    </row>
    <row r="3432" spans="1:4" hidden="1" x14ac:dyDescent="0.3">
      <c r="A3432">
        <v>3430</v>
      </c>
      <c r="B3432" t="s">
        <v>4537</v>
      </c>
      <c r="C3432" t="s">
        <v>226</v>
      </c>
      <c r="D3432">
        <v>103017715.07577001</v>
      </c>
    </row>
    <row r="3433" spans="1:4" hidden="1" x14ac:dyDescent="0.3">
      <c r="A3433">
        <v>3431</v>
      </c>
      <c r="B3433" t="s">
        <v>4538</v>
      </c>
      <c r="C3433" t="s">
        <v>228</v>
      </c>
      <c r="D3433">
        <v>-1378.93109971284</v>
      </c>
    </row>
    <row r="3434" spans="1:4" hidden="1" x14ac:dyDescent="0.3">
      <c r="A3434">
        <v>3432</v>
      </c>
      <c r="B3434" s="1" t="s">
        <v>4539</v>
      </c>
      <c r="C3434" t="s">
        <v>230</v>
      </c>
      <c r="D3434" s="1" t="s">
        <v>4540</v>
      </c>
    </row>
    <row r="3435" spans="1:4" hidden="1" x14ac:dyDescent="0.3">
      <c r="A3435">
        <v>3433</v>
      </c>
      <c r="B3435" t="s">
        <v>4541</v>
      </c>
      <c r="C3435" t="s">
        <v>112</v>
      </c>
      <c r="D3435">
        <v>348.71127022570101</v>
      </c>
    </row>
    <row r="3436" spans="1:4" hidden="1" x14ac:dyDescent="0.3">
      <c r="A3436">
        <v>3434</v>
      </c>
      <c r="B3436" t="s">
        <v>4542</v>
      </c>
      <c r="C3436" t="s">
        <v>114</v>
      </c>
      <c r="D3436">
        <v>57.557052512164098</v>
      </c>
    </row>
    <row r="3437" spans="1:4" hidden="1" x14ac:dyDescent="0.3">
      <c r="A3437">
        <v>3435</v>
      </c>
      <c r="B3437" s="1" t="s">
        <v>4543</v>
      </c>
      <c r="C3437" t="s">
        <v>116</v>
      </c>
      <c r="D3437" s="1" t="s">
        <v>4544</v>
      </c>
    </row>
    <row r="3438" spans="1:4" hidden="1" x14ac:dyDescent="0.3">
      <c r="A3438">
        <v>3436</v>
      </c>
      <c r="B3438" t="s">
        <v>4545</v>
      </c>
      <c r="C3438" t="s">
        <v>119</v>
      </c>
      <c r="D3438">
        <v>74346809.022098899</v>
      </c>
    </row>
    <row r="3439" spans="1:4" hidden="1" x14ac:dyDescent="0.3">
      <c r="A3439">
        <v>3437</v>
      </c>
      <c r="B3439" t="s">
        <v>4546</v>
      </c>
      <c r="C3439" t="s">
        <v>121</v>
      </c>
      <c r="D3439">
        <v>34677159.717018098</v>
      </c>
    </row>
    <row r="3440" spans="1:4" hidden="1" x14ac:dyDescent="0.3">
      <c r="A3440">
        <v>3438</v>
      </c>
      <c r="B3440" s="1" t="s">
        <v>4547</v>
      </c>
      <c r="C3440" t="s">
        <v>123</v>
      </c>
      <c r="D3440" s="1" t="s">
        <v>4548</v>
      </c>
    </row>
    <row r="3441" spans="1:4" hidden="1" x14ac:dyDescent="0.3">
      <c r="A3441">
        <v>3439</v>
      </c>
      <c r="B3441" t="s">
        <v>4549</v>
      </c>
      <c r="C3441" t="s">
        <v>126</v>
      </c>
      <c r="D3441">
        <v>0.72185017657982098</v>
      </c>
    </row>
    <row r="3442" spans="1:4" hidden="1" x14ac:dyDescent="0.3">
      <c r="A3442">
        <v>3440</v>
      </c>
      <c r="B3442" t="s">
        <v>4550</v>
      </c>
      <c r="C3442" t="s">
        <v>128</v>
      </c>
      <c r="D3442">
        <v>0.33668847653670902</v>
      </c>
    </row>
    <row r="3443" spans="1:4" hidden="1" x14ac:dyDescent="0.3">
      <c r="A3443">
        <v>3441</v>
      </c>
      <c r="B3443" s="1" t="s">
        <v>4551</v>
      </c>
      <c r="C3443" t="s">
        <v>130</v>
      </c>
      <c r="D3443" s="1" t="s">
        <v>4552</v>
      </c>
    </row>
    <row r="3444" spans="1:4" ht="72" x14ac:dyDescent="0.3">
      <c r="A3444">
        <v>3442</v>
      </c>
      <c r="B3444" s="1" t="s">
        <v>4553</v>
      </c>
      <c r="C3444" t="s">
        <v>4</v>
      </c>
      <c r="D3444" t="s">
        <v>4554</v>
      </c>
    </row>
    <row r="3445" spans="1:4" hidden="1" x14ac:dyDescent="0.3">
      <c r="A3445">
        <v>3443</v>
      </c>
      <c r="B3445" t="s">
        <v>4555</v>
      </c>
      <c r="C3445" t="s">
        <v>7</v>
      </c>
      <c r="D3445">
        <v>1718.37</v>
      </c>
    </row>
    <row r="3446" spans="1:4" hidden="1" x14ac:dyDescent="0.3">
      <c r="A3446">
        <v>3444</v>
      </c>
      <c r="B3446" s="1" t="s">
        <v>4556</v>
      </c>
      <c r="C3446" t="s">
        <v>9</v>
      </c>
      <c r="D3446" s="1" t="s">
        <v>4557</v>
      </c>
    </row>
    <row r="3447" spans="1:4" hidden="1" x14ac:dyDescent="0.3">
      <c r="A3447">
        <v>3445</v>
      </c>
      <c r="B3447" t="s">
        <v>4558</v>
      </c>
      <c r="C3447" t="s">
        <v>14</v>
      </c>
      <c r="D3447">
        <v>90.28515625</v>
      </c>
    </row>
    <row r="3448" spans="1:4" hidden="1" x14ac:dyDescent="0.3">
      <c r="A3448">
        <v>3446</v>
      </c>
      <c r="B3448" t="s">
        <v>4559</v>
      </c>
      <c r="C3448" t="s">
        <v>16</v>
      </c>
      <c r="D3448">
        <v>4.2617556465423103</v>
      </c>
    </row>
    <row r="3449" spans="1:4" hidden="1" x14ac:dyDescent="0.3">
      <c r="A3449">
        <v>3447</v>
      </c>
      <c r="B3449" s="1" t="s">
        <v>4560</v>
      </c>
      <c r="C3449" t="s">
        <v>140</v>
      </c>
      <c r="D3449" s="1" t="s">
        <v>4561</v>
      </c>
    </row>
    <row r="3450" spans="1:4" hidden="1" x14ac:dyDescent="0.3">
      <c r="A3450">
        <v>3448</v>
      </c>
      <c r="B3450" t="s">
        <v>4562</v>
      </c>
      <c r="C3450" t="s">
        <v>22</v>
      </c>
      <c r="D3450">
        <v>62.05</v>
      </c>
    </row>
    <row r="3451" spans="1:4" hidden="1" x14ac:dyDescent="0.3">
      <c r="A3451">
        <v>3449</v>
      </c>
      <c r="B3451" t="s">
        <v>4563</v>
      </c>
      <c r="C3451" t="s">
        <v>24</v>
      </c>
      <c r="D3451">
        <v>5.5269393599727996</v>
      </c>
    </row>
    <row r="3452" spans="1:4" hidden="1" x14ac:dyDescent="0.3">
      <c r="A3452">
        <v>3450</v>
      </c>
      <c r="B3452" s="1" t="s">
        <v>4564</v>
      </c>
      <c r="C3452" t="s">
        <v>145</v>
      </c>
      <c r="D3452" s="1" t="s">
        <v>4565</v>
      </c>
    </row>
    <row r="3453" spans="1:4" hidden="1" x14ac:dyDescent="0.3">
      <c r="A3453">
        <v>3451</v>
      </c>
      <c r="B3453" t="s">
        <v>4566</v>
      </c>
      <c r="C3453" t="s">
        <v>35</v>
      </c>
      <c r="D3453">
        <v>0.121796813362818</v>
      </c>
    </row>
    <row r="3454" spans="1:4" hidden="1" x14ac:dyDescent="0.3">
      <c r="A3454">
        <v>3452</v>
      </c>
      <c r="B3454" t="s">
        <v>4567</v>
      </c>
      <c r="C3454" t="s">
        <v>149</v>
      </c>
      <c r="D3454">
        <v>0.53610490996799998</v>
      </c>
    </row>
    <row r="3455" spans="1:4" hidden="1" x14ac:dyDescent="0.3">
      <c r="A3455">
        <v>3453</v>
      </c>
      <c r="B3455" s="1" t="s">
        <v>4568</v>
      </c>
      <c r="C3455" t="s">
        <v>151</v>
      </c>
      <c r="D3455" s="1" t="s">
        <v>4569</v>
      </c>
    </row>
    <row r="3456" spans="1:4" hidden="1" x14ac:dyDescent="0.3">
      <c r="A3456">
        <v>3454</v>
      </c>
      <c r="B3456" t="s">
        <v>4570</v>
      </c>
      <c r="C3456" t="s">
        <v>30</v>
      </c>
      <c r="D3456">
        <v>0.37845376639753198</v>
      </c>
    </row>
    <row r="3457" spans="1:4" hidden="1" x14ac:dyDescent="0.3">
      <c r="A3457">
        <v>3455</v>
      </c>
      <c r="B3457" t="s">
        <v>4571</v>
      </c>
      <c r="C3457" t="s">
        <v>32</v>
      </c>
      <c r="D3457">
        <v>0.424583737027729</v>
      </c>
    </row>
    <row r="3458" spans="1:4" hidden="1" x14ac:dyDescent="0.3">
      <c r="A3458">
        <v>3456</v>
      </c>
      <c r="B3458" s="1" t="s">
        <v>4572</v>
      </c>
      <c r="C3458" t="s">
        <v>155</v>
      </c>
      <c r="D3458" s="1" t="s">
        <v>4573</v>
      </c>
    </row>
    <row r="3459" spans="1:4" hidden="1" x14ac:dyDescent="0.3">
      <c r="A3459">
        <v>3457</v>
      </c>
      <c r="B3459" t="s">
        <v>4574</v>
      </c>
      <c r="C3459" t="s">
        <v>40</v>
      </c>
      <c r="D3459">
        <v>0.49974942023964902</v>
      </c>
    </row>
    <row r="3460" spans="1:4" hidden="1" x14ac:dyDescent="0.3">
      <c r="A3460">
        <v>3458</v>
      </c>
      <c r="B3460" t="s">
        <v>4575</v>
      </c>
      <c r="C3460" t="s">
        <v>42</v>
      </c>
      <c r="D3460">
        <v>0.44072281287812698</v>
      </c>
    </row>
    <row r="3461" spans="1:4" hidden="1" x14ac:dyDescent="0.3">
      <c r="A3461">
        <v>3459</v>
      </c>
      <c r="B3461" s="1" t="s">
        <v>4576</v>
      </c>
      <c r="C3461" t="s">
        <v>159</v>
      </c>
      <c r="D3461" s="1" t="s">
        <v>4577</v>
      </c>
    </row>
    <row r="3462" spans="1:4" hidden="1" x14ac:dyDescent="0.3">
      <c r="A3462">
        <v>3460</v>
      </c>
      <c r="B3462" t="s">
        <v>4578</v>
      </c>
      <c r="C3462" t="s">
        <v>161</v>
      </c>
      <c r="D3462">
        <v>1.00953505587084</v>
      </c>
    </row>
    <row r="3463" spans="1:4" hidden="1" x14ac:dyDescent="0.3">
      <c r="A3463">
        <v>3461</v>
      </c>
      <c r="B3463" t="s">
        <v>4579</v>
      </c>
      <c r="C3463" t="s">
        <v>163</v>
      </c>
      <c r="D3463">
        <v>1.0025249353574399</v>
      </c>
    </row>
    <row r="3464" spans="1:4" hidden="1" x14ac:dyDescent="0.3">
      <c r="A3464">
        <v>3462</v>
      </c>
      <c r="B3464" s="1" t="s">
        <v>4580</v>
      </c>
      <c r="C3464" t="s">
        <v>165</v>
      </c>
      <c r="D3464" s="1" t="s">
        <v>4581</v>
      </c>
    </row>
    <row r="3465" spans="1:4" hidden="1" x14ac:dyDescent="0.3">
      <c r="A3465">
        <v>3463</v>
      </c>
      <c r="B3465" t="s">
        <v>4582</v>
      </c>
      <c r="C3465" t="s">
        <v>168</v>
      </c>
      <c r="D3465">
        <v>0.99885899470874195</v>
      </c>
    </row>
    <row r="3466" spans="1:4" hidden="1" x14ac:dyDescent="0.3">
      <c r="A3466">
        <v>3464</v>
      </c>
      <c r="B3466" t="s">
        <v>4583</v>
      </c>
      <c r="C3466" t="s">
        <v>170</v>
      </c>
      <c r="D3466">
        <v>1.0022569521253799</v>
      </c>
    </row>
    <row r="3467" spans="1:4" hidden="1" x14ac:dyDescent="0.3">
      <c r="A3467">
        <v>3465</v>
      </c>
      <c r="B3467" s="1" t="s">
        <v>4584</v>
      </c>
      <c r="C3467" t="s">
        <v>172</v>
      </c>
      <c r="D3467" s="1" t="s">
        <v>4585</v>
      </c>
    </row>
    <row r="3468" spans="1:4" hidden="1" x14ac:dyDescent="0.3">
      <c r="A3468">
        <v>3466</v>
      </c>
      <c r="B3468" s="1" t="s">
        <v>4586</v>
      </c>
      <c r="C3468" t="s">
        <v>55</v>
      </c>
      <c r="D3468" s="1" t="s">
        <v>4587</v>
      </c>
    </row>
    <row r="3469" spans="1:4" hidden="1" x14ac:dyDescent="0.3">
      <c r="A3469">
        <v>3467</v>
      </c>
      <c r="B3469" s="1" t="s">
        <v>4588</v>
      </c>
      <c r="C3469" t="s">
        <v>52</v>
      </c>
      <c r="D3469" s="1" t="s">
        <v>4589</v>
      </c>
    </row>
    <row r="3470" spans="1:4" hidden="1" x14ac:dyDescent="0.3">
      <c r="A3470">
        <v>3468</v>
      </c>
      <c r="B3470" s="1" t="s">
        <v>4590</v>
      </c>
      <c r="C3470" t="s">
        <v>58</v>
      </c>
      <c r="D3470" s="1" t="s">
        <v>4591</v>
      </c>
    </row>
    <row r="3471" spans="1:4" hidden="1" x14ac:dyDescent="0.3">
      <c r="A3471">
        <v>3469</v>
      </c>
      <c r="B3471" t="s">
        <v>4592</v>
      </c>
      <c r="C3471" t="s">
        <v>61</v>
      </c>
      <c r="D3471">
        <v>147966212.41051999</v>
      </c>
    </row>
    <row r="3472" spans="1:4" hidden="1" x14ac:dyDescent="0.3">
      <c r="A3472">
        <v>3470</v>
      </c>
      <c r="B3472" t="s">
        <v>4593</v>
      </c>
      <c r="C3472" t="s">
        <v>63</v>
      </c>
      <c r="D3472">
        <v>75055709.999943703</v>
      </c>
    </row>
    <row r="3473" spans="1:4" hidden="1" x14ac:dyDescent="0.3">
      <c r="A3473">
        <v>3471</v>
      </c>
      <c r="B3473" t="s">
        <v>4594</v>
      </c>
      <c r="C3473" t="s">
        <v>65</v>
      </c>
      <c r="D3473">
        <v>34764717.3036834</v>
      </c>
    </row>
    <row r="3474" spans="1:4" hidden="1" x14ac:dyDescent="0.3">
      <c r="A3474">
        <v>3472</v>
      </c>
      <c r="B3474" s="1" t="s">
        <v>4595</v>
      </c>
      <c r="C3474" t="s">
        <v>67</v>
      </c>
      <c r="D3474" s="1" t="s">
        <v>4596</v>
      </c>
    </row>
    <row r="3475" spans="1:4" hidden="1" x14ac:dyDescent="0.3">
      <c r="A3475">
        <v>3473</v>
      </c>
      <c r="B3475" s="1" t="s">
        <v>4597</v>
      </c>
      <c r="C3475" t="s">
        <v>70</v>
      </c>
      <c r="D3475" s="1" t="s">
        <v>4598</v>
      </c>
    </row>
    <row r="3476" spans="1:4" hidden="1" x14ac:dyDescent="0.3">
      <c r="A3476">
        <v>3474</v>
      </c>
      <c r="B3476" t="s">
        <v>4599</v>
      </c>
      <c r="C3476" t="s">
        <v>73</v>
      </c>
      <c r="D3476">
        <v>0.99977748723126203</v>
      </c>
    </row>
    <row r="3477" spans="1:4" hidden="1" x14ac:dyDescent="0.3">
      <c r="A3477">
        <v>3475</v>
      </c>
      <c r="B3477" t="s">
        <v>74</v>
      </c>
      <c r="C3477" t="s">
        <v>75</v>
      </c>
      <c r="D3477">
        <v>2.7397260273972599E-3</v>
      </c>
    </row>
    <row r="3478" spans="1:4" hidden="1" x14ac:dyDescent="0.3">
      <c r="A3478">
        <v>3476</v>
      </c>
      <c r="B3478" t="s">
        <v>76</v>
      </c>
      <c r="C3478" t="s">
        <v>77</v>
      </c>
      <c r="D3478">
        <v>0</v>
      </c>
    </row>
    <row r="3479" spans="1:4" hidden="1" x14ac:dyDescent="0.3">
      <c r="A3479">
        <v>3477</v>
      </c>
      <c r="B3479" t="s">
        <v>78</v>
      </c>
      <c r="C3479" t="s">
        <v>79</v>
      </c>
      <c r="D3479">
        <v>0</v>
      </c>
    </row>
    <row r="3480" spans="1:4" hidden="1" x14ac:dyDescent="0.3">
      <c r="A3480">
        <v>3478</v>
      </c>
      <c r="B3480" s="1" t="s">
        <v>4600</v>
      </c>
      <c r="C3480" t="s">
        <v>81</v>
      </c>
      <c r="D3480" s="1" t="s">
        <v>4601</v>
      </c>
    </row>
    <row r="3481" spans="1:4" hidden="1" x14ac:dyDescent="0.3">
      <c r="A3481">
        <v>3479</v>
      </c>
      <c r="B3481" t="s">
        <v>4602</v>
      </c>
      <c r="C3481" t="s">
        <v>84</v>
      </c>
      <c r="D3481">
        <v>0.99977339341749105</v>
      </c>
    </row>
    <row r="3482" spans="1:4" hidden="1" x14ac:dyDescent="0.3">
      <c r="A3482">
        <v>3480</v>
      </c>
      <c r="B3482" s="1" t="s">
        <v>4603</v>
      </c>
      <c r="C3482" t="s">
        <v>86</v>
      </c>
      <c r="D3482" s="1" t="s">
        <v>4604</v>
      </c>
    </row>
    <row r="3483" spans="1:4" hidden="1" x14ac:dyDescent="0.3">
      <c r="A3483">
        <v>3481</v>
      </c>
      <c r="B3483" t="s">
        <v>4605</v>
      </c>
      <c r="C3483" t="s">
        <v>89</v>
      </c>
      <c r="D3483">
        <v>103016757.969954</v>
      </c>
    </row>
    <row r="3484" spans="1:4" hidden="1" x14ac:dyDescent="0.3">
      <c r="A3484">
        <v>3482</v>
      </c>
      <c r="B3484" s="1" t="s">
        <v>4606</v>
      </c>
      <c r="C3484" t="s">
        <v>91</v>
      </c>
      <c r="D3484" s="1" t="s">
        <v>4540</v>
      </c>
    </row>
    <row r="3485" spans="1:4" hidden="1" x14ac:dyDescent="0.3">
      <c r="A3485">
        <v>3483</v>
      </c>
      <c r="B3485" t="s">
        <v>4607</v>
      </c>
      <c r="C3485" t="s">
        <v>94</v>
      </c>
      <c r="D3485">
        <v>75055709.999943703</v>
      </c>
    </row>
    <row r="3486" spans="1:4" hidden="1" x14ac:dyDescent="0.3">
      <c r="A3486">
        <v>3484</v>
      </c>
      <c r="B3486" t="s">
        <v>4608</v>
      </c>
      <c r="C3486" t="s">
        <v>96</v>
      </c>
      <c r="D3486">
        <v>34764717.3036834</v>
      </c>
    </row>
    <row r="3487" spans="1:4" hidden="1" x14ac:dyDescent="0.3">
      <c r="A3487">
        <v>3485</v>
      </c>
      <c r="B3487" t="s">
        <v>4609</v>
      </c>
      <c r="C3487" t="s">
        <v>98</v>
      </c>
      <c r="D3487">
        <v>38145785.106892899</v>
      </c>
    </row>
    <row r="3488" spans="1:4" hidden="1" x14ac:dyDescent="0.3">
      <c r="A3488">
        <v>3486</v>
      </c>
      <c r="B3488" s="1" t="s">
        <v>4610</v>
      </c>
      <c r="C3488" t="s">
        <v>100</v>
      </c>
      <c r="D3488" s="1" t="s">
        <v>4611</v>
      </c>
    </row>
    <row r="3489" spans="1:4" hidden="1" x14ac:dyDescent="0.3">
      <c r="A3489">
        <v>3487</v>
      </c>
      <c r="B3489" t="s">
        <v>4612</v>
      </c>
      <c r="C3489" t="s">
        <v>103</v>
      </c>
      <c r="D3489">
        <v>8.6605696407847793E-3</v>
      </c>
    </row>
    <row r="3490" spans="1:4" hidden="1" x14ac:dyDescent="0.3">
      <c r="A3490">
        <v>3488</v>
      </c>
      <c r="B3490" t="s">
        <v>4613</v>
      </c>
      <c r="C3490" t="s">
        <v>105</v>
      </c>
      <c r="D3490">
        <v>3.1656441414335298E-3</v>
      </c>
    </row>
    <row r="3491" spans="1:4" hidden="1" x14ac:dyDescent="0.3">
      <c r="A3491">
        <v>3489</v>
      </c>
      <c r="B3491" t="s">
        <v>4614</v>
      </c>
      <c r="C3491" t="s">
        <v>107</v>
      </c>
      <c r="D3491">
        <v>1.1134504317090999E-2</v>
      </c>
    </row>
    <row r="3492" spans="1:4" hidden="1" x14ac:dyDescent="0.3">
      <c r="A3492">
        <v>3490</v>
      </c>
      <c r="B3492" s="1" t="s">
        <v>4615</v>
      </c>
      <c r="C3492" t="s">
        <v>109</v>
      </c>
      <c r="D3492" s="1" t="s">
        <v>4616</v>
      </c>
    </row>
    <row r="3493" spans="1:4" hidden="1" x14ac:dyDescent="0.3">
      <c r="A3493">
        <v>3491</v>
      </c>
      <c r="B3493" t="s">
        <v>4617</v>
      </c>
      <c r="C3493" t="s">
        <v>208</v>
      </c>
      <c r="D3493">
        <v>147966068.540672</v>
      </c>
    </row>
    <row r="3494" spans="1:4" hidden="1" x14ac:dyDescent="0.3">
      <c r="A3494">
        <v>3492</v>
      </c>
      <c r="B3494" t="s">
        <v>4618</v>
      </c>
      <c r="C3494" t="s">
        <v>210</v>
      </c>
      <c r="D3494">
        <v>307.33204659031298</v>
      </c>
    </row>
    <row r="3495" spans="1:4" hidden="1" x14ac:dyDescent="0.3">
      <c r="A3495">
        <v>3493</v>
      </c>
      <c r="B3495" t="s">
        <v>4619</v>
      </c>
      <c r="C3495" t="s">
        <v>212</v>
      </c>
      <c r="D3495">
        <v>142.35188754689699</v>
      </c>
    </row>
    <row r="3496" spans="1:4" hidden="1" x14ac:dyDescent="0.3">
      <c r="A3496">
        <v>3494</v>
      </c>
      <c r="B3496" s="1" t="s">
        <v>4620</v>
      </c>
      <c r="C3496" t="s">
        <v>214</v>
      </c>
      <c r="D3496" s="1" t="s">
        <v>4621</v>
      </c>
    </row>
    <row r="3497" spans="1:4" hidden="1" x14ac:dyDescent="0.3">
      <c r="A3497">
        <v>3495</v>
      </c>
      <c r="B3497" t="s">
        <v>4622</v>
      </c>
      <c r="C3497" t="s">
        <v>217</v>
      </c>
      <c r="D3497">
        <v>75055295.706480607</v>
      </c>
    </row>
    <row r="3498" spans="1:4" hidden="1" x14ac:dyDescent="0.3">
      <c r="A3498">
        <v>3496</v>
      </c>
      <c r="B3498" t="s">
        <v>4623</v>
      </c>
      <c r="C3498" t="s">
        <v>219</v>
      </c>
      <c r="D3498">
        <v>34764558.830568798</v>
      </c>
    </row>
    <row r="3499" spans="1:4" hidden="1" x14ac:dyDescent="0.3">
      <c r="A3499">
        <v>3497</v>
      </c>
      <c r="B3499" t="s">
        <v>4624</v>
      </c>
      <c r="C3499" t="s">
        <v>221</v>
      </c>
      <c r="D3499">
        <v>38145608.123278297</v>
      </c>
    </row>
    <row r="3500" spans="1:4" hidden="1" x14ac:dyDescent="0.3">
      <c r="A3500">
        <v>3498</v>
      </c>
      <c r="B3500" s="1" t="s">
        <v>4625</v>
      </c>
      <c r="C3500" t="s">
        <v>223</v>
      </c>
      <c r="D3500" s="1" t="s">
        <v>4626</v>
      </c>
    </row>
    <row r="3501" spans="1:4" hidden="1" x14ac:dyDescent="0.3">
      <c r="A3501">
        <v>3499</v>
      </c>
      <c r="B3501" t="s">
        <v>4627</v>
      </c>
      <c r="C3501" t="s">
        <v>226</v>
      </c>
      <c r="D3501">
        <v>103016336.14466999</v>
      </c>
    </row>
    <row r="3502" spans="1:4" hidden="1" x14ac:dyDescent="0.3">
      <c r="A3502">
        <v>3500</v>
      </c>
      <c r="B3502" t="s">
        <v>4628</v>
      </c>
      <c r="C3502" t="s">
        <v>228</v>
      </c>
      <c r="D3502">
        <v>421.82528389990301</v>
      </c>
    </row>
    <row r="3503" spans="1:4" hidden="1" x14ac:dyDescent="0.3">
      <c r="A3503">
        <v>3501</v>
      </c>
      <c r="B3503" s="1" t="s">
        <v>4629</v>
      </c>
      <c r="C3503" t="s">
        <v>230</v>
      </c>
      <c r="D3503" s="1" t="s">
        <v>4630</v>
      </c>
    </row>
    <row r="3504" spans="1:4" hidden="1" x14ac:dyDescent="0.3">
      <c r="A3504">
        <v>3502</v>
      </c>
      <c r="B3504" t="s">
        <v>4631</v>
      </c>
      <c r="C3504" t="s">
        <v>112</v>
      </c>
      <c r="D3504">
        <v>-106.961416463581</v>
      </c>
    </row>
    <row r="3505" spans="1:4" hidden="1" x14ac:dyDescent="0.3">
      <c r="A3505">
        <v>3503</v>
      </c>
      <c r="B3505" t="s">
        <v>4632</v>
      </c>
      <c r="C3505" t="s">
        <v>114</v>
      </c>
      <c r="D3505">
        <v>-16.121227073046601</v>
      </c>
    </row>
    <row r="3506" spans="1:4" hidden="1" x14ac:dyDescent="0.3">
      <c r="A3506">
        <v>3504</v>
      </c>
      <c r="B3506" s="1" t="s">
        <v>4633</v>
      </c>
      <c r="C3506" t="s">
        <v>116</v>
      </c>
      <c r="D3506" s="1" t="s">
        <v>4634</v>
      </c>
    </row>
    <row r="3507" spans="1:4" hidden="1" x14ac:dyDescent="0.3">
      <c r="A3507">
        <v>3505</v>
      </c>
      <c r="B3507" t="s">
        <v>4635</v>
      </c>
      <c r="C3507" t="s">
        <v>119</v>
      </c>
      <c r="D3507">
        <v>75055295.706480607</v>
      </c>
    </row>
    <row r="3508" spans="1:4" hidden="1" x14ac:dyDescent="0.3">
      <c r="A3508">
        <v>3506</v>
      </c>
      <c r="B3508" t="s">
        <v>4636</v>
      </c>
      <c r="C3508" t="s">
        <v>121</v>
      </c>
      <c r="D3508">
        <v>34764558.830568798</v>
      </c>
    </row>
    <row r="3509" spans="1:4" hidden="1" x14ac:dyDescent="0.3">
      <c r="A3509">
        <v>3507</v>
      </c>
      <c r="B3509" s="1" t="s">
        <v>4637</v>
      </c>
      <c r="C3509" t="s">
        <v>123</v>
      </c>
      <c r="D3509" s="1" t="s">
        <v>4638</v>
      </c>
    </row>
    <row r="3510" spans="1:4" hidden="1" x14ac:dyDescent="0.3">
      <c r="A3510">
        <v>3508</v>
      </c>
      <c r="B3510" t="s">
        <v>4639</v>
      </c>
      <c r="C3510" t="s">
        <v>126</v>
      </c>
      <c r="D3510">
        <v>0.72874177431544296</v>
      </c>
    </row>
    <row r="3511" spans="1:4" hidden="1" x14ac:dyDescent="0.3">
      <c r="A3511">
        <v>3509</v>
      </c>
      <c r="B3511" t="s">
        <v>4640</v>
      </c>
      <c r="C3511" t="s">
        <v>128</v>
      </c>
      <c r="D3511">
        <v>0.337542954791061</v>
      </c>
    </row>
    <row r="3512" spans="1:4" hidden="1" x14ac:dyDescent="0.3">
      <c r="A3512">
        <v>3510</v>
      </c>
      <c r="B3512" s="1" t="s">
        <v>4641</v>
      </c>
      <c r="C3512" t="s">
        <v>130</v>
      </c>
      <c r="D3512" s="1" t="s">
        <v>4642</v>
      </c>
    </row>
    <row r="3513" spans="1:4" ht="72" x14ac:dyDescent="0.3">
      <c r="A3513">
        <v>3511</v>
      </c>
      <c r="B3513" s="1" t="s">
        <v>4643</v>
      </c>
      <c r="C3513" t="s">
        <v>4</v>
      </c>
      <c r="D3513" t="s">
        <v>4644</v>
      </c>
    </row>
    <row r="3514" spans="1:4" hidden="1" x14ac:dyDescent="0.3">
      <c r="A3514">
        <v>3512</v>
      </c>
      <c r="B3514" t="s">
        <v>4645</v>
      </c>
      <c r="C3514" t="s">
        <v>7</v>
      </c>
      <c r="D3514">
        <v>1708.46</v>
      </c>
    </row>
    <row r="3515" spans="1:4" hidden="1" x14ac:dyDescent="0.3">
      <c r="A3515">
        <v>3513</v>
      </c>
      <c r="B3515" s="1" t="s">
        <v>4646</v>
      </c>
      <c r="C3515" t="s">
        <v>9</v>
      </c>
      <c r="D3515" s="1" t="s">
        <v>4647</v>
      </c>
    </row>
    <row r="3516" spans="1:4" hidden="1" x14ac:dyDescent="0.3">
      <c r="A3516">
        <v>3514</v>
      </c>
      <c r="B3516" t="s">
        <v>4648</v>
      </c>
      <c r="C3516" t="s">
        <v>14</v>
      </c>
      <c r="D3516">
        <v>90.09375</v>
      </c>
    </row>
    <row r="3517" spans="1:4" hidden="1" x14ac:dyDescent="0.3">
      <c r="A3517">
        <v>3515</v>
      </c>
      <c r="B3517" t="s">
        <v>4649</v>
      </c>
      <c r="C3517" t="s">
        <v>16</v>
      </c>
      <c r="D3517">
        <v>4.2608038389992702</v>
      </c>
    </row>
    <row r="3518" spans="1:4" hidden="1" x14ac:dyDescent="0.3">
      <c r="A3518">
        <v>3516</v>
      </c>
      <c r="B3518" s="1" t="s">
        <v>4650</v>
      </c>
      <c r="C3518" t="s">
        <v>140</v>
      </c>
      <c r="D3518" s="1" t="s">
        <v>4651</v>
      </c>
    </row>
    <row r="3519" spans="1:4" hidden="1" x14ac:dyDescent="0.3">
      <c r="A3519">
        <v>3517</v>
      </c>
      <c r="B3519" t="s">
        <v>4652</v>
      </c>
      <c r="C3519" t="s">
        <v>22</v>
      </c>
      <c r="D3519">
        <v>62.2</v>
      </c>
    </row>
    <row r="3520" spans="1:4" hidden="1" x14ac:dyDescent="0.3">
      <c r="A3520">
        <v>3518</v>
      </c>
      <c r="B3520" t="s">
        <v>4653</v>
      </c>
      <c r="C3520" t="s">
        <v>24</v>
      </c>
      <c r="D3520">
        <v>5.51524330726782</v>
      </c>
    </row>
    <row r="3521" spans="1:4" hidden="1" x14ac:dyDescent="0.3">
      <c r="A3521">
        <v>3519</v>
      </c>
      <c r="B3521" s="1" t="s">
        <v>4654</v>
      </c>
      <c r="C3521" t="s">
        <v>145</v>
      </c>
      <c r="D3521" s="1" t="s">
        <v>4655</v>
      </c>
    </row>
    <row r="3522" spans="1:4" hidden="1" x14ac:dyDescent="0.3">
      <c r="A3522">
        <v>3520</v>
      </c>
      <c r="B3522" t="s">
        <v>4656</v>
      </c>
      <c r="C3522" t="s">
        <v>35</v>
      </c>
      <c r="D3522">
        <v>-0.80966776522353601</v>
      </c>
    </row>
    <row r="3523" spans="1:4" hidden="1" x14ac:dyDescent="0.3">
      <c r="A3523">
        <v>3521</v>
      </c>
      <c r="B3523" t="s">
        <v>4657</v>
      </c>
      <c r="C3523" t="s">
        <v>149</v>
      </c>
      <c r="D3523">
        <v>0.53606232764898099</v>
      </c>
    </row>
    <row r="3524" spans="1:4" hidden="1" x14ac:dyDescent="0.3">
      <c r="A3524">
        <v>3522</v>
      </c>
      <c r="B3524" s="1" t="s">
        <v>4658</v>
      </c>
      <c r="C3524" t="s">
        <v>151</v>
      </c>
      <c r="D3524" s="1" t="s">
        <v>4659</v>
      </c>
    </row>
    <row r="3525" spans="1:4" hidden="1" x14ac:dyDescent="0.3">
      <c r="A3525">
        <v>3523</v>
      </c>
      <c r="B3525" t="s">
        <v>4660</v>
      </c>
      <c r="C3525" t="s">
        <v>30</v>
      </c>
      <c r="D3525">
        <v>0.76793612899570596</v>
      </c>
    </row>
    <row r="3526" spans="1:4" hidden="1" x14ac:dyDescent="0.3">
      <c r="A3526">
        <v>3524</v>
      </c>
      <c r="B3526" t="s">
        <v>4661</v>
      </c>
      <c r="C3526" t="s">
        <v>32</v>
      </c>
      <c r="D3526">
        <v>0.42438951263639701</v>
      </c>
    </row>
    <row r="3527" spans="1:4" hidden="1" x14ac:dyDescent="0.3">
      <c r="A3527">
        <v>3525</v>
      </c>
      <c r="B3527" s="1" t="s">
        <v>4662</v>
      </c>
      <c r="C3527" t="s">
        <v>155</v>
      </c>
      <c r="D3527" s="1" t="s">
        <v>4663</v>
      </c>
    </row>
    <row r="3528" spans="1:4" hidden="1" x14ac:dyDescent="0.3">
      <c r="A3528">
        <v>3526</v>
      </c>
      <c r="B3528" t="s">
        <v>4664</v>
      </c>
      <c r="C3528" t="s">
        <v>40</v>
      </c>
      <c r="D3528">
        <v>1.0417316362278299</v>
      </c>
    </row>
    <row r="3529" spans="1:4" hidden="1" x14ac:dyDescent="0.3">
      <c r="A3529">
        <v>3527</v>
      </c>
      <c r="B3529" t="s">
        <v>4665</v>
      </c>
      <c r="C3529" t="s">
        <v>42</v>
      </c>
      <c r="D3529">
        <v>0.44106520861909299</v>
      </c>
    </row>
    <row r="3530" spans="1:4" hidden="1" x14ac:dyDescent="0.3">
      <c r="A3530">
        <v>3528</v>
      </c>
      <c r="B3530" s="1" t="s">
        <v>4666</v>
      </c>
      <c r="C3530" t="s">
        <v>159</v>
      </c>
      <c r="D3530" s="1" t="s">
        <v>4667</v>
      </c>
    </row>
    <row r="3531" spans="1:4" hidden="1" x14ac:dyDescent="0.3">
      <c r="A3531">
        <v>3529</v>
      </c>
      <c r="B3531" t="s">
        <v>4668</v>
      </c>
      <c r="C3531" t="s">
        <v>161</v>
      </c>
      <c r="D3531">
        <v>0.99423290676629605</v>
      </c>
    </row>
    <row r="3532" spans="1:4" hidden="1" x14ac:dyDescent="0.3">
      <c r="A3532">
        <v>3530</v>
      </c>
      <c r="B3532" t="s">
        <v>4669</v>
      </c>
      <c r="C3532" t="s">
        <v>163</v>
      </c>
      <c r="D3532">
        <v>0.9979654749829</v>
      </c>
    </row>
    <row r="3533" spans="1:4" hidden="1" x14ac:dyDescent="0.3">
      <c r="A3533">
        <v>3531</v>
      </c>
      <c r="B3533" s="1" t="s">
        <v>4670</v>
      </c>
      <c r="C3533" t="s">
        <v>165</v>
      </c>
      <c r="D3533" s="1" t="s">
        <v>4671</v>
      </c>
    </row>
    <row r="3534" spans="1:4" hidden="1" x14ac:dyDescent="0.3">
      <c r="A3534">
        <v>3532</v>
      </c>
      <c r="B3534" t="s">
        <v>4672</v>
      </c>
      <c r="C3534" t="s">
        <v>168</v>
      </c>
      <c r="D3534">
        <v>0.99997227902941799</v>
      </c>
    </row>
    <row r="3535" spans="1:4" hidden="1" x14ac:dyDescent="0.3">
      <c r="A3535">
        <v>3533</v>
      </c>
      <c r="B3535" t="s">
        <v>4673</v>
      </c>
      <c r="C3535" t="s">
        <v>170</v>
      </c>
      <c r="D3535">
        <v>0.99986366235533597</v>
      </c>
    </row>
    <row r="3536" spans="1:4" hidden="1" x14ac:dyDescent="0.3">
      <c r="A3536">
        <v>3534</v>
      </c>
      <c r="B3536" s="1" t="s">
        <v>4674</v>
      </c>
      <c r="C3536" t="s">
        <v>172</v>
      </c>
      <c r="D3536" s="1" t="s">
        <v>4675</v>
      </c>
    </row>
    <row r="3537" spans="1:4" hidden="1" x14ac:dyDescent="0.3">
      <c r="A3537">
        <v>3535</v>
      </c>
      <c r="B3537" s="1" t="s">
        <v>4676</v>
      </c>
      <c r="C3537" t="s">
        <v>55</v>
      </c>
      <c r="D3537" s="1" t="s">
        <v>4677</v>
      </c>
    </row>
    <row r="3538" spans="1:4" hidden="1" x14ac:dyDescent="0.3">
      <c r="A3538">
        <v>3536</v>
      </c>
      <c r="B3538" s="1" t="s">
        <v>4678</v>
      </c>
      <c r="C3538" t="s">
        <v>52</v>
      </c>
      <c r="D3538" s="1" t="s">
        <v>4679</v>
      </c>
    </row>
    <row r="3539" spans="1:4" hidden="1" x14ac:dyDescent="0.3">
      <c r="A3539">
        <v>3537</v>
      </c>
      <c r="B3539" s="1" t="s">
        <v>4680</v>
      </c>
      <c r="C3539" t="s">
        <v>58</v>
      </c>
      <c r="D3539" s="1" t="s">
        <v>4681</v>
      </c>
    </row>
    <row r="3540" spans="1:4" hidden="1" x14ac:dyDescent="0.3">
      <c r="A3540">
        <v>3538</v>
      </c>
      <c r="B3540" t="s">
        <v>4682</v>
      </c>
      <c r="C3540" t="s">
        <v>61</v>
      </c>
      <c r="D3540">
        <v>147539951.76423499</v>
      </c>
    </row>
    <row r="3541" spans="1:4" hidden="1" x14ac:dyDescent="0.3">
      <c r="A3541">
        <v>3539</v>
      </c>
      <c r="B3541" t="s">
        <v>4683</v>
      </c>
      <c r="C3541" t="s">
        <v>63</v>
      </c>
      <c r="D3541">
        <v>74622444.818458095</v>
      </c>
    </row>
    <row r="3542" spans="1:4" hidden="1" x14ac:dyDescent="0.3">
      <c r="A3542">
        <v>3540</v>
      </c>
      <c r="B3542" t="s">
        <v>4684</v>
      </c>
      <c r="C3542" t="s">
        <v>65</v>
      </c>
      <c r="D3542">
        <v>34693829.465919502</v>
      </c>
    </row>
    <row r="3543" spans="1:4" hidden="1" x14ac:dyDescent="0.3">
      <c r="A3543">
        <v>3541</v>
      </c>
      <c r="B3543" s="1" t="s">
        <v>4685</v>
      </c>
      <c r="C3543" t="s">
        <v>67</v>
      </c>
      <c r="D3543" s="1" t="s">
        <v>4686</v>
      </c>
    </row>
    <row r="3544" spans="1:4" hidden="1" x14ac:dyDescent="0.3">
      <c r="A3544">
        <v>3542</v>
      </c>
      <c r="B3544" s="1" t="s">
        <v>4687</v>
      </c>
      <c r="C3544" t="s">
        <v>70</v>
      </c>
      <c r="D3544" s="1" t="s">
        <v>4688</v>
      </c>
    </row>
    <row r="3545" spans="1:4" hidden="1" x14ac:dyDescent="0.3">
      <c r="A3545">
        <v>3543</v>
      </c>
      <c r="B3545" t="s">
        <v>4689</v>
      </c>
      <c r="C3545" t="s">
        <v>73</v>
      </c>
      <c r="D3545">
        <v>0.99977339341749105</v>
      </c>
    </row>
    <row r="3546" spans="1:4" hidden="1" x14ac:dyDescent="0.3">
      <c r="A3546">
        <v>3544</v>
      </c>
      <c r="B3546" t="s">
        <v>74</v>
      </c>
      <c r="C3546" t="s">
        <v>75</v>
      </c>
      <c r="D3546">
        <v>2.7397260273972599E-3</v>
      </c>
    </row>
    <row r="3547" spans="1:4" hidden="1" x14ac:dyDescent="0.3">
      <c r="A3547">
        <v>3545</v>
      </c>
      <c r="B3547" t="s">
        <v>76</v>
      </c>
      <c r="C3547" t="s">
        <v>77</v>
      </c>
      <c r="D3547">
        <v>0</v>
      </c>
    </row>
    <row r="3548" spans="1:4" hidden="1" x14ac:dyDescent="0.3">
      <c r="A3548">
        <v>3546</v>
      </c>
      <c r="B3548" t="s">
        <v>78</v>
      </c>
      <c r="C3548" t="s">
        <v>79</v>
      </c>
      <c r="D3548">
        <v>0</v>
      </c>
    </row>
    <row r="3549" spans="1:4" hidden="1" x14ac:dyDescent="0.3">
      <c r="A3549">
        <v>3547</v>
      </c>
      <c r="B3549" s="1" t="s">
        <v>4690</v>
      </c>
      <c r="C3549" t="s">
        <v>81</v>
      </c>
      <c r="D3549" s="1" t="s">
        <v>4691</v>
      </c>
    </row>
    <row r="3550" spans="1:4" hidden="1" x14ac:dyDescent="0.3">
      <c r="A3550">
        <v>3548</v>
      </c>
      <c r="B3550" t="s">
        <v>4692</v>
      </c>
      <c r="C3550" t="s">
        <v>84</v>
      </c>
      <c r="D3550">
        <v>0.999773946178936</v>
      </c>
    </row>
    <row r="3551" spans="1:4" hidden="1" x14ac:dyDescent="0.3">
      <c r="A3551">
        <v>3549</v>
      </c>
      <c r="B3551" s="1" t="s">
        <v>4693</v>
      </c>
      <c r="C3551" t="s">
        <v>86</v>
      </c>
      <c r="D3551" s="1" t="s">
        <v>4694</v>
      </c>
    </row>
    <row r="3552" spans="1:4" hidden="1" x14ac:dyDescent="0.3">
      <c r="A3552">
        <v>3550</v>
      </c>
      <c r="B3552" t="s">
        <v>4695</v>
      </c>
      <c r="C3552" t="s">
        <v>89</v>
      </c>
      <c r="D3552">
        <v>103016701.01338699</v>
      </c>
    </row>
    <row r="3553" spans="1:4" hidden="1" x14ac:dyDescent="0.3">
      <c r="A3553">
        <v>3551</v>
      </c>
      <c r="B3553" s="1" t="s">
        <v>4696</v>
      </c>
      <c r="C3553" t="s">
        <v>91</v>
      </c>
      <c r="D3553" s="1" t="s">
        <v>4630</v>
      </c>
    </row>
    <row r="3554" spans="1:4" hidden="1" x14ac:dyDescent="0.3">
      <c r="A3554">
        <v>3552</v>
      </c>
      <c r="B3554" t="s">
        <v>4697</v>
      </c>
      <c r="C3554" t="s">
        <v>94</v>
      </c>
      <c r="D3554">
        <v>74622444.818458095</v>
      </c>
    </row>
    <row r="3555" spans="1:4" hidden="1" x14ac:dyDescent="0.3">
      <c r="A3555">
        <v>3553</v>
      </c>
      <c r="B3555" t="s">
        <v>4698</v>
      </c>
      <c r="C3555" t="s">
        <v>96</v>
      </c>
      <c r="D3555">
        <v>34693829.465919502</v>
      </c>
    </row>
    <row r="3556" spans="1:4" hidden="1" x14ac:dyDescent="0.3">
      <c r="A3556">
        <v>3554</v>
      </c>
      <c r="B3556" t="s">
        <v>4699</v>
      </c>
      <c r="C3556" t="s">
        <v>98</v>
      </c>
      <c r="D3556">
        <v>38223677.4798574</v>
      </c>
    </row>
    <row r="3557" spans="1:4" hidden="1" x14ac:dyDescent="0.3">
      <c r="A3557">
        <v>3555</v>
      </c>
      <c r="B3557" s="1" t="s">
        <v>4700</v>
      </c>
      <c r="C3557" t="s">
        <v>100</v>
      </c>
      <c r="D3557" s="1" t="s">
        <v>4701</v>
      </c>
    </row>
    <row r="3558" spans="1:4" hidden="1" x14ac:dyDescent="0.3">
      <c r="A3558">
        <v>3556</v>
      </c>
      <c r="B3558" t="s">
        <v>4702</v>
      </c>
      <c r="C3558" t="s">
        <v>103</v>
      </c>
      <c r="D3558">
        <v>8.6773868069410197E-3</v>
      </c>
    </row>
    <row r="3559" spans="1:4" hidden="1" x14ac:dyDescent="0.3">
      <c r="A3559">
        <v>3557</v>
      </c>
      <c r="B3559" t="s">
        <v>4703</v>
      </c>
      <c r="C3559" t="s">
        <v>105</v>
      </c>
      <c r="D3559">
        <v>3.1677645427258001E-3</v>
      </c>
    </row>
    <row r="3560" spans="1:4" hidden="1" x14ac:dyDescent="0.3">
      <c r="A3560">
        <v>3558</v>
      </c>
      <c r="B3560" t="s">
        <v>4704</v>
      </c>
      <c r="C3560" t="s">
        <v>107</v>
      </c>
      <c r="D3560">
        <v>1.10576637657089E-2</v>
      </c>
    </row>
    <row r="3561" spans="1:4" hidden="1" x14ac:dyDescent="0.3">
      <c r="A3561">
        <v>3559</v>
      </c>
      <c r="B3561" s="1" t="s">
        <v>4705</v>
      </c>
      <c r="C3561" t="s">
        <v>109</v>
      </c>
      <c r="D3561" s="1" t="s">
        <v>4706</v>
      </c>
    </row>
    <row r="3562" spans="1:4" hidden="1" x14ac:dyDescent="0.3">
      <c r="A3562">
        <v>3560</v>
      </c>
      <c r="B3562" t="s">
        <v>4707</v>
      </c>
      <c r="C3562" t="s">
        <v>208</v>
      </c>
      <c r="D3562">
        <v>147539971.22869399</v>
      </c>
    </row>
    <row r="3563" spans="1:4" hidden="1" x14ac:dyDescent="0.3">
      <c r="A3563">
        <v>3561</v>
      </c>
      <c r="B3563" t="s">
        <v>4708</v>
      </c>
      <c r="C3563" t="s">
        <v>210</v>
      </c>
      <c r="D3563">
        <v>-41.2577676030878</v>
      </c>
    </row>
    <row r="3564" spans="1:4" hidden="1" x14ac:dyDescent="0.3">
      <c r="A3564">
        <v>3562</v>
      </c>
      <c r="B3564" t="s">
        <v>4709</v>
      </c>
      <c r="C3564" t="s">
        <v>212</v>
      </c>
      <c r="D3564">
        <v>-19.181759294773101</v>
      </c>
    </row>
    <row r="3565" spans="1:4" hidden="1" x14ac:dyDescent="0.3">
      <c r="A3565">
        <v>3563</v>
      </c>
      <c r="B3565" s="1" t="s">
        <v>4710</v>
      </c>
      <c r="C3565" t="s">
        <v>214</v>
      </c>
      <c r="D3565" s="1" t="s">
        <v>4711</v>
      </c>
    </row>
    <row r="3566" spans="1:4" hidden="1" x14ac:dyDescent="0.3">
      <c r="A3566">
        <v>3564</v>
      </c>
      <c r="B3566" t="s">
        <v>4712</v>
      </c>
      <c r="C3566" t="s">
        <v>217</v>
      </c>
      <c r="D3566">
        <v>74622500.476647794</v>
      </c>
    </row>
    <row r="3567" spans="1:4" hidden="1" x14ac:dyDescent="0.3">
      <c r="A3567">
        <v>3565</v>
      </c>
      <c r="B3567" t="s">
        <v>4713</v>
      </c>
      <c r="C3567" t="s">
        <v>219</v>
      </c>
      <c r="D3567">
        <v>34693851.007343903</v>
      </c>
    </row>
    <row r="3568" spans="1:4" hidden="1" x14ac:dyDescent="0.3">
      <c r="A3568">
        <v>3566</v>
      </c>
      <c r="B3568" t="s">
        <v>4714</v>
      </c>
      <c r="C3568" t="s">
        <v>221</v>
      </c>
      <c r="D3568">
        <v>38223701.317594901</v>
      </c>
    </row>
    <row r="3569" spans="1:4" hidden="1" x14ac:dyDescent="0.3">
      <c r="A3569">
        <v>3567</v>
      </c>
      <c r="B3569" s="1" t="s">
        <v>4715</v>
      </c>
      <c r="C3569" t="s">
        <v>223</v>
      </c>
      <c r="D3569" s="1" t="s">
        <v>4716</v>
      </c>
    </row>
    <row r="3570" spans="1:4" hidden="1" x14ac:dyDescent="0.3">
      <c r="A3570">
        <v>3568</v>
      </c>
      <c r="B3570" t="s">
        <v>4717</v>
      </c>
      <c r="C3570" t="s">
        <v>226</v>
      </c>
      <c r="D3570">
        <v>103016757.969954</v>
      </c>
    </row>
    <row r="3571" spans="1:4" hidden="1" x14ac:dyDescent="0.3">
      <c r="A3571">
        <v>3569</v>
      </c>
      <c r="B3571" t="s">
        <v>4718</v>
      </c>
      <c r="C3571" t="s">
        <v>228</v>
      </c>
      <c r="D3571">
        <v>-56.956567153334603</v>
      </c>
    </row>
    <row r="3572" spans="1:4" hidden="1" x14ac:dyDescent="0.3">
      <c r="A3572">
        <v>3570</v>
      </c>
      <c r="B3572" s="1" t="s">
        <v>4719</v>
      </c>
      <c r="C3572" t="s">
        <v>230</v>
      </c>
      <c r="D3572" s="1" t="s">
        <v>4720</v>
      </c>
    </row>
    <row r="3573" spans="1:4" hidden="1" x14ac:dyDescent="0.3">
      <c r="A3573">
        <v>3571</v>
      </c>
      <c r="B3573" t="s">
        <v>4721</v>
      </c>
      <c r="C3573" t="s">
        <v>112</v>
      </c>
      <c r="D3573">
        <v>14.4004220792136</v>
      </c>
    </row>
    <row r="3574" spans="1:4" hidden="1" x14ac:dyDescent="0.3">
      <c r="A3574">
        <v>3572</v>
      </c>
      <c r="B3574" t="s">
        <v>4722</v>
      </c>
      <c r="C3574" t="s">
        <v>114</v>
      </c>
      <c r="D3574">
        <v>2.3596650972645499</v>
      </c>
    </row>
    <row r="3575" spans="1:4" hidden="1" x14ac:dyDescent="0.3">
      <c r="A3575">
        <v>3573</v>
      </c>
      <c r="B3575" s="1" t="s">
        <v>4723</v>
      </c>
      <c r="C3575" t="s">
        <v>116</v>
      </c>
      <c r="D3575" s="1" t="s">
        <v>4724</v>
      </c>
    </row>
    <row r="3576" spans="1:4" hidden="1" x14ac:dyDescent="0.3">
      <c r="A3576">
        <v>3574</v>
      </c>
      <c r="B3576" t="s">
        <v>4725</v>
      </c>
      <c r="C3576" t="s">
        <v>119</v>
      </c>
      <c r="D3576">
        <v>74622500.476647794</v>
      </c>
    </row>
    <row r="3577" spans="1:4" hidden="1" x14ac:dyDescent="0.3">
      <c r="A3577">
        <v>3575</v>
      </c>
      <c r="B3577" t="s">
        <v>4726</v>
      </c>
      <c r="C3577" t="s">
        <v>121</v>
      </c>
      <c r="D3577">
        <v>34693851.007343903</v>
      </c>
    </row>
    <row r="3578" spans="1:4" hidden="1" x14ac:dyDescent="0.3">
      <c r="A3578">
        <v>3576</v>
      </c>
      <c r="B3578" s="1" t="s">
        <v>4727</v>
      </c>
      <c r="C3578" t="s">
        <v>123</v>
      </c>
      <c r="D3578" s="1" t="s">
        <v>4728</v>
      </c>
    </row>
    <row r="3579" spans="1:4" hidden="1" x14ac:dyDescent="0.3">
      <c r="A3579">
        <v>3577</v>
      </c>
      <c r="B3579" t="s">
        <v>4729</v>
      </c>
      <c r="C3579" t="s">
        <v>126</v>
      </c>
      <c r="D3579">
        <v>0.72453622559043596</v>
      </c>
    </row>
    <row r="3580" spans="1:4" hidden="1" x14ac:dyDescent="0.3">
      <c r="A3580">
        <v>3578</v>
      </c>
      <c r="B3580" t="s">
        <v>4730</v>
      </c>
      <c r="C3580" t="s">
        <v>128</v>
      </c>
      <c r="D3580">
        <v>0.33685485878249599</v>
      </c>
    </row>
    <row r="3581" spans="1:4" hidden="1" x14ac:dyDescent="0.3">
      <c r="A3581">
        <v>3579</v>
      </c>
      <c r="B3581" s="1" t="s">
        <v>4731</v>
      </c>
      <c r="C3581" t="s">
        <v>130</v>
      </c>
      <c r="D3581" s="1" t="s">
        <v>4732</v>
      </c>
    </row>
    <row r="3582" spans="1:4" ht="72" x14ac:dyDescent="0.3">
      <c r="A3582">
        <v>3580</v>
      </c>
      <c r="B3582" s="1" t="s">
        <v>4733</v>
      </c>
      <c r="C3582" t="s">
        <v>4</v>
      </c>
      <c r="D3582" t="s">
        <v>4734</v>
      </c>
    </row>
    <row r="3583" spans="1:4" hidden="1" x14ac:dyDescent="0.3">
      <c r="A3583">
        <v>3581</v>
      </c>
      <c r="B3583" t="s">
        <v>4735</v>
      </c>
      <c r="C3583" t="s">
        <v>7</v>
      </c>
      <c r="D3583">
        <v>1716.83</v>
      </c>
    </row>
    <row r="3584" spans="1:4" hidden="1" x14ac:dyDescent="0.3">
      <c r="A3584">
        <v>3582</v>
      </c>
      <c r="B3584" s="1" t="s">
        <v>4736</v>
      </c>
      <c r="C3584" t="s">
        <v>9</v>
      </c>
      <c r="D3584" s="1" t="s">
        <v>4737</v>
      </c>
    </row>
    <row r="3585" spans="1:4" hidden="1" x14ac:dyDescent="0.3">
      <c r="A3585">
        <v>3583</v>
      </c>
      <c r="B3585" t="s">
        <v>4738</v>
      </c>
      <c r="C3585" t="s">
        <v>14</v>
      </c>
      <c r="D3585">
        <v>90.03125</v>
      </c>
    </row>
    <row r="3586" spans="1:4" hidden="1" x14ac:dyDescent="0.3">
      <c r="A3586">
        <v>3584</v>
      </c>
      <c r="B3586" t="s">
        <v>4739</v>
      </c>
      <c r="C3586" t="s">
        <v>16</v>
      </c>
      <c r="D3586">
        <v>4.2580594448661202</v>
      </c>
    </row>
    <row r="3587" spans="1:4" hidden="1" x14ac:dyDescent="0.3">
      <c r="A3587">
        <v>3585</v>
      </c>
      <c r="B3587" s="1" t="s">
        <v>4740</v>
      </c>
      <c r="C3587" t="s">
        <v>140</v>
      </c>
      <c r="D3587" s="1" t="s">
        <v>4741</v>
      </c>
    </row>
    <row r="3588" spans="1:4" hidden="1" x14ac:dyDescent="0.3">
      <c r="A3588">
        <v>3586</v>
      </c>
      <c r="B3588" t="s">
        <v>4742</v>
      </c>
      <c r="C3588" t="s">
        <v>22</v>
      </c>
      <c r="D3588">
        <v>62.3</v>
      </c>
    </row>
    <row r="3589" spans="1:4" hidden="1" x14ac:dyDescent="0.3">
      <c r="A3589">
        <v>3587</v>
      </c>
      <c r="B3589" t="s">
        <v>4743</v>
      </c>
      <c r="C3589" t="s">
        <v>24</v>
      </c>
      <c r="D3589">
        <v>5.48881086614744</v>
      </c>
    </row>
    <row r="3590" spans="1:4" hidden="1" x14ac:dyDescent="0.3">
      <c r="A3590">
        <v>3588</v>
      </c>
      <c r="B3590" s="1" t="s">
        <v>4744</v>
      </c>
      <c r="C3590" t="s">
        <v>145</v>
      </c>
      <c r="D3590" s="1" t="s">
        <v>4745</v>
      </c>
    </row>
    <row r="3591" spans="1:4" hidden="1" x14ac:dyDescent="0.3">
      <c r="A3591">
        <v>3589</v>
      </c>
      <c r="B3591" t="s">
        <v>4746</v>
      </c>
      <c r="C3591" t="s">
        <v>35</v>
      </c>
      <c r="D3591">
        <v>-0.283749883077829</v>
      </c>
    </row>
    <row r="3592" spans="1:4" hidden="1" x14ac:dyDescent="0.3">
      <c r="A3592">
        <v>3590</v>
      </c>
      <c r="B3592" t="s">
        <v>4747</v>
      </c>
      <c r="C3592" t="s">
        <v>149</v>
      </c>
      <c r="D3592">
        <v>0.53436305352595603</v>
      </c>
    </row>
    <row r="3593" spans="1:4" hidden="1" x14ac:dyDescent="0.3">
      <c r="A3593">
        <v>3591</v>
      </c>
      <c r="B3593" s="1" t="s">
        <v>4748</v>
      </c>
      <c r="C3593" t="s">
        <v>151</v>
      </c>
      <c r="D3593" s="1" t="s">
        <v>4749</v>
      </c>
    </row>
    <row r="3594" spans="1:4" hidden="1" x14ac:dyDescent="0.3">
      <c r="A3594">
        <v>3592</v>
      </c>
      <c r="B3594" t="s">
        <v>4750</v>
      </c>
      <c r="C3594" t="s">
        <v>30</v>
      </c>
      <c r="D3594">
        <v>0.54820902139163696</v>
      </c>
    </row>
    <row r="3595" spans="1:4" hidden="1" x14ac:dyDescent="0.3">
      <c r="A3595">
        <v>3593</v>
      </c>
      <c r="B3595" t="s">
        <v>4751</v>
      </c>
      <c r="C3595" t="s">
        <v>32</v>
      </c>
      <c r="D3595">
        <v>0.42596515474491498</v>
      </c>
    </row>
    <row r="3596" spans="1:4" hidden="1" x14ac:dyDescent="0.3">
      <c r="A3596">
        <v>3594</v>
      </c>
      <c r="B3596" s="1" t="s">
        <v>4752</v>
      </c>
      <c r="C3596" t="s">
        <v>155</v>
      </c>
      <c r="D3596" s="1" t="s">
        <v>4753</v>
      </c>
    </row>
    <row r="3597" spans="1:4" hidden="1" x14ac:dyDescent="0.3">
      <c r="A3597">
        <v>3595</v>
      </c>
      <c r="B3597" t="s">
        <v>4754</v>
      </c>
      <c r="C3597" t="s">
        <v>40</v>
      </c>
      <c r="D3597">
        <v>0.73554086168619204</v>
      </c>
    </row>
    <row r="3598" spans="1:4" hidden="1" x14ac:dyDescent="0.3">
      <c r="A3598">
        <v>3596</v>
      </c>
      <c r="B3598" t="s">
        <v>4755</v>
      </c>
      <c r="C3598" t="s">
        <v>42</v>
      </c>
      <c r="D3598">
        <v>0.44542171117250001</v>
      </c>
    </row>
    <row r="3599" spans="1:4" hidden="1" x14ac:dyDescent="0.3">
      <c r="A3599">
        <v>3597</v>
      </c>
      <c r="B3599" s="1" t="s">
        <v>4756</v>
      </c>
      <c r="C3599" t="s">
        <v>159</v>
      </c>
      <c r="D3599" s="1" t="s">
        <v>4757</v>
      </c>
    </row>
    <row r="3600" spans="1:4" hidden="1" x14ac:dyDescent="0.3">
      <c r="A3600">
        <v>3598</v>
      </c>
      <c r="B3600" t="s">
        <v>4758</v>
      </c>
      <c r="C3600" t="s">
        <v>161</v>
      </c>
      <c r="D3600">
        <v>1.0048991489411501</v>
      </c>
    </row>
    <row r="3601" spans="1:4" hidden="1" x14ac:dyDescent="0.3">
      <c r="A3601">
        <v>3599</v>
      </c>
      <c r="B3601" t="s">
        <v>4759</v>
      </c>
      <c r="C3601" t="s">
        <v>163</v>
      </c>
      <c r="D3601">
        <v>0.99930851886338701</v>
      </c>
    </row>
    <row r="3602" spans="1:4" hidden="1" x14ac:dyDescent="0.3">
      <c r="A3602">
        <v>3600</v>
      </c>
      <c r="B3602" s="1" t="s">
        <v>4760</v>
      </c>
      <c r="C3602" t="s">
        <v>165</v>
      </c>
      <c r="D3602" s="1" t="s">
        <v>4761</v>
      </c>
    </row>
    <row r="3603" spans="1:4" hidden="1" x14ac:dyDescent="0.3">
      <c r="A3603">
        <v>3601</v>
      </c>
      <c r="B3603" t="s">
        <v>4762</v>
      </c>
      <c r="C3603" t="s">
        <v>168</v>
      </c>
      <c r="D3603">
        <v>0.99889374663225705</v>
      </c>
    </row>
    <row r="3604" spans="1:4" hidden="1" x14ac:dyDescent="0.3">
      <c r="A3604">
        <v>3602</v>
      </c>
      <c r="B3604" t="s">
        <v>4763</v>
      </c>
      <c r="C3604" t="s">
        <v>170</v>
      </c>
      <c r="D3604">
        <v>1.0011061876646301</v>
      </c>
    </row>
    <row r="3605" spans="1:4" hidden="1" x14ac:dyDescent="0.3">
      <c r="A3605">
        <v>3603</v>
      </c>
      <c r="B3605" s="1" t="s">
        <v>4764</v>
      </c>
      <c r="C3605" t="s">
        <v>172</v>
      </c>
      <c r="D3605" s="1" t="s">
        <v>4765</v>
      </c>
    </row>
    <row r="3606" spans="1:4" hidden="1" x14ac:dyDescent="0.3">
      <c r="A3606">
        <v>3604</v>
      </c>
      <c r="B3606" s="1" t="s">
        <v>4766</v>
      </c>
      <c r="C3606" t="s">
        <v>55</v>
      </c>
      <c r="D3606" s="1" t="s">
        <v>4767</v>
      </c>
    </row>
    <row r="3607" spans="1:4" hidden="1" x14ac:dyDescent="0.3">
      <c r="A3607">
        <v>3605</v>
      </c>
      <c r="B3607" s="1" t="s">
        <v>4768</v>
      </c>
      <c r="C3607" t="s">
        <v>52</v>
      </c>
      <c r="D3607" s="1" t="s">
        <v>4769</v>
      </c>
    </row>
    <row r="3608" spans="1:4" hidden="1" x14ac:dyDescent="0.3">
      <c r="A3608">
        <v>3606</v>
      </c>
      <c r="B3608" s="1" t="s">
        <v>4770</v>
      </c>
      <c r="C3608" t="s">
        <v>58</v>
      </c>
      <c r="D3608" s="1" t="s">
        <v>4771</v>
      </c>
    </row>
    <row r="3609" spans="1:4" hidden="1" x14ac:dyDescent="0.3">
      <c r="A3609">
        <v>3607</v>
      </c>
      <c r="B3609" t="s">
        <v>4772</v>
      </c>
      <c r="C3609" t="s">
        <v>61</v>
      </c>
      <c r="D3609">
        <v>147923176.601448</v>
      </c>
    </row>
    <row r="3610" spans="1:4" hidden="1" x14ac:dyDescent="0.3">
      <c r="A3610">
        <v>3608</v>
      </c>
      <c r="B3610" t="s">
        <v>4773</v>
      </c>
      <c r="C3610" t="s">
        <v>63</v>
      </c>
      <c r="D3610">
        <v>74988087.220844001</v>
      </c>
    </row>
    <row r="3611" spans="1:4" hidden="1" x14ac:dyDescent="0.3">
      <c r="A3611">
        <v>3609</v>
      </c>
      <c r="B3611" t="s">
        <v>4774</v>
      </c>
      <c r="C3611" t="s">
        <v>65</v>
      </c>
      <c r="D3611">
        <v>34669860.863815904</v>
      </c>
    </row>
    <row r="3612" spans="1:4" hidden="1" x14ac:dyDescent="0.3">
      <c r="A3612">
        <v>3610</v>
      </c>
      <c r="B3612" s="1" t="s">
        <v>4775</v>
      </c>
      <c r="C3612" t="s">
        <v>67</v>
      </c>
      <c r="D3612" s="1" t="s">
        <v>4776</v>
      </c>
    </row>
    <row r="3613" spans="1:4" hidden="1" x14ac:dyDescent="0.3">
      <c r="A3613">
        <v>3611</v>
      </c>
      <c r="B3613" s="1" t="s">
        <v>4777</v>
      </c>
      <c r="C3613" t="s">
        <v>70</v>
      </c>
      <c r="D3613" s="1" t="s">
        <v>4778</v>
      </c>
    </row>
    <row r="3614" spans="1:4" hidden="1" x14ac:dyDescent="0.3">
      <c r="A3614">
        <v>3612</v>
      </c>
      <c r="B3614" t="s">
        <v>4779</v>
      </c>
      <c r="C3614" t="s">
        <v>73</v>
      </c>
      <c r="D3614">
        <v>0.999773946178936</v>
      </c>
    </row>
    <row r="3615" spans="1:4" hidden="1" x14ac:dyDescent="0.3">
      <c r="A3615">
        <v>3613</v>
      </c>
      <c r="B3615" t="s">
        <v>74</v>
      </c>
      <c r="C3615" t="s">
        <v>75</v>
      </c>
      <c r="D3615">
        <v>2.7397260273972599E-3</v>
      </c>
    </row>
    <row r="3616" spans="1:4" hidden="1" x14ac:dyDescent="0.3">
      <c r="A3616">
        <v>3614</v>
      </c>
      <c r="B3616" t="s">
        <v>76</v>
      </c>
      <c r="C3616" t="s">
        <v>77</v>
      </c>
      <c r="D3616">
        <v>0</v>
      </c>
    </row>
    <row r="3617" spans="1:4" hidden="1" x14ac:dyDescent="0.3">
      <c r="A3617">
        <v>3615</v>
      </c>
      <c r="B3617" t="s">
        <v>78</v>
      </c>
      <c r="C3617" t="s">
        <v>79</v>
      </c>
      <c r="D3617">
        <v>0</v>
      </c>
    </row>
    <row r="3618" spans="1:4" hidden="1" x14ac:dyDescent="0.3">
      <c r="A3618">
        <v>3616</v>
      </c>
      <c r="B3618" s="1" t="s">
        <v>4780</v>
      </c>
      <c r="C3618" t="s">
        <v>81</v>
      </c>
      <c r="D3618" s="1" t="s">
        <v>4781</v>
      </c>
    </row>
    <row r="3619" spans="1:4" hidden="1" x14ac:dyDescent="0.3">
      <c r="A3619">
        <v>3617</v>
      </c>
      <c r="B3619" t="s">
        <v>4782</v>
      </c>
      <c r="C3619" t="s">
        <v>84</v>
      </c>
      <c r="D3619">
        <v>0.99977222896236095</v>
      </c>
    </row>
    <row r="3620" spans="1:4" hidden="1" x14ac:dyDescent="0.3">
      <c r="A3620">
        <v>3618</v>
      </c>
      <c r="B3620" s="1" t="s">
        <v>4783</v>
      </c>
      <c r="C3620" t="s">
        <v>86</v>
      </c>
      <c r="D3620" s="1" t="s">
        <v>4784</v>
      </c>
    </row>
    <row r="3621" spans="1:4" hidden="1" x14ac:dyDescent="0.3">
      <c r="A3621">
        <v>3619</v>
      </c>
      <c r="B3621" t="s">
        <v>4785</v>
      </c>
      <c r="C3621" t="s">
        <v>89</v>
      </c>
      <c r="D3621">
        <v>103016877.955676</v>
      </c>
    </row>
    <row r="3622" spans="1:4" hidden="1" x14ac:dyDescent="0.3">
      <c r="A3622">
        <v>3620</v>
      </c>
      <c r="B3622" s="1" t="s">
        <v>4786</v>
      </c>
      <c r="C3622" t="s">
        <v>91</v>
      </c>
      <c r="D3622" s="1" t="s">
        <v>4720</v>
      </c>
    </row>
    <row r="3623" spans="1:4" hidden="1" x14ac:dyDescent="0.3">
      <c r="A3623">
        <v>3621</v>
      </c>
      <c r="B3623" t="s">
        <v>4787</v>
      </c>
      <c r="C3623" t="s">
        <v>94</v>
      </c>
      <c r="D3623">
        <v>74988087.220844001</v>
      </c>
    </row>
    <row r="3624" spans="1:4" hidden="1" x14ac:dyDescent="0.3">
      <c r="A3624">
        <v>3622</v>
      </c>
      <c r="B3624" t="s">
        <v>4788</v>
      </c>
      <c r="C3624" t="s">
        <v>96</v>
      </c>
      <c r="D3624">
        <v>34669860.863815904</v>
      </c>
    </row>
    <row r="3625" spans="1:4" hidden="1" x14ac:dyDescent="0.3">
      <c r="A3625">
        <v>3623</v>
      </c>
      <c r="B3625" t="s">
        <v>4789</v>
      </c>
      <c r="C3625" t="s">
        <v>98</v>
      </c>
      <c r="D3625">
        <v>38265228.516788699</v>
      </c>
    </row>
    <row r="3626" spans="1:4" hidden="1" x14ac:dyDescent="0.3">
      <c r="A3626">
        <v>3624</v>
      </c>
      <c r="B3626" s="1" t="s">
        <v>4790</v>
      </c>
      <c r="C3626" t="s">
        <v>100</v>
      </c>
      <c r="D3626" s="1" t="s">
        <v>4791</v>
      </c>
    </row>
    <row r="3627" spans="1:4" hidden="1" x14ac:dyDescent="0.3">
      <c r="A3627">
        <v>3625</v>
      </c>
      <c r="B3627" t="s">
        <v>4792</v>
      </c>
      <c r="C3627" t="s">
        <v>103</v>
      </c>
      <c r="D3627">
        <v>8.6780556316714708E-3</v>
      </c>
    </row>
    <row r="3628" spans="1:4" hidden="1" x14ac:dyDescent="0.3">
      <c r="A3628">
        <v>3626</v>
      </c>
      <c r="B3628" t="s">
        <v>4793</v>
      </c>
      <c r="C3628" t="s">
        <v>105</v>
      </c>
      <c r="D3628">
        <v>3.1681709300171701E-3</v>
      </c>
    </row>
    <row r="3629" spans="1:4" hidden="1" x14ac:dyDescent="0.3">
      <c r="A3629">
        <v>3627</v>
      </c>
      <c r="B3629" t="s">
        <v>4794</v>
      </c>
      <c r="C3629" t="s">
        <v>107</v>
      </c>
      <c r="D3629">
        <v>1.1014851625771699E-2</v>
      </c>
    </row>
    <row r="3630" spans="1:4" hidden="1" x14ac:dyDescent="0.3">
      <c r="A3630">
        <v>3628</v>
      </c>
      <c r="B3630" s="1" t="s">
        <v>4795</v>
      </c>
      <c r="C3630" t="s">
        <v>109</v>
      </c>
      <c r="D3630" s="1" t="s">
        <v>4796</v>
      </c>
    </row>
    <row r="3631" spans="1:4" hidden="1" x14ac:dyDescent="0.3">
      <c r="A3631">
        <v>3629</v>
      </c>
      <c r="B3631" t="s">
        <v>4797</v>
      </c>
      <c r="C3631" t="s">
        <v>208</v>
      </c>
      <c r="D3631">
        <v>147923116.21860999</v>
      </c>
    </row>
    <row r="3632" spans="1:4" hidden="1" x14ac:dyDescent="0.3">
      <c r="A3632">
        <v>3630</v>
      </c>
      <c r="B3632" t="s">
        <v>4798</v>
      </c>
      <c r="C3632" t="s">
        <v>210</v>
      </c>
      <c r="D3632">
        <v>128.79982496813599</v>
      </c>
    </row>
    <row r="3633" spans="1:4" hidden="1" x14ac:dyDescent="0.3">
      <c r="A3633">
        <v>3631</v>
      </c>
      <c r="B3633" t="s">
        <v>4799</v>
      </c>
      <c r="C3633" t="s">
        <v>212</v>
      </c>
      <c r="D3633">
        <v>59.549109426632803</v>
      </c>
    </row>
    <row r="3634" spans="1:4" hidden="1" x14ac:dyDescent="0.3">
      <c r="A3634">
        <v>3632</v>
      </c>
      <c r="B3634" s="1" t="s">
        <v>4800</v>
      </c>
      <c r="C3634" t="s">
        <v>214</v>
      </c>
      <c r="D3634" s="1" t="s">
        <v>4801</v>
      </c>
    </row>
    <row r="3635" spans="1:4" hidden="1" x14ac:dyDescent="0.3">
      <c r="A3635">
        <v>3633</v>
      </c>
      <c r="B3635" t="s">
        <v>4802</v>
      </c>
      <c r="C3635" t="s">
        <v>217</v>
      </c>
      <c r="D3635">
        <v>74987913.581648096</v>
      </c>
    </row>
    <row r="3636" spans="1:4" hidden="1" x14ac:dyDescent="0.3">
      <c r="A3636">
        <v>3634</v>
      </c>
      <c r="B3636" t="s">
        <v>4803</v>
      </c>
      <c r="C3636" t="s">
        <v>219</v>
      </c>
      <c r="D3636">
        <v>34669794.564186297</v>
      </c>
    </row>
    <row r="3637" spans="1:4" hidden="1" x14ac:dyDescent="0.3">
      <c r="A3637">
        <v>3635</v>
      </c>
      <c r="B3637" t="s">
        <v>4804</v>
      </c>
      <c r="C3637" t="s">
        <v>221</v>
      </c>
      <c r="D3637">
        <v>38265153.9993148</v>
      </c>
    </row>
    <row r="3638" spans="1:4" hidden="1" x14ac:dyDescent="0.3">
      <c r="A3638">
        <v>3636</v>
      </c>
      <c r="B3638" s="1" t="s">
        <v>4805</v>
      </c>
      <c r="C3638" t="s">
        <v>223</v>
      </c>
      <c r="D3638" s="1" t="s">
        <v>4806</v>
      </c>
    </row>
    <row r="3639" spans="1:4" hidden="1" x14ac:dyDescent="0.3">
      <c r="A3639">
        <v>3637</v>
      </c>
      <c r="B3639" t="s">
        <v>4807</v>
      </c>
      <c r="C3639" t="s">
        <v>226</v>
      </c>
      <c r="D3639">
        <v>103016701.01338699</v>
      </c>
    </row>
    <row r="3640" spans="1:4" hidden="1" x14ac:dyDescent="0.3">
      <c r="A3640">
        <v>3638</v>
      </c>
      <c r="B3640" t="s">
        <v>4808</v>
      </c>
      <c r="C3640" t="s">
        <v>228</v>
      </c>
      <c r="D3640">
        <v>176.942288771271</v>
      </c>
    </row>
    <row r="3641" spans="1:4" hidden="1" x14ac:dyDescent="0.3">
      <c r="A3641">
        <v>3639</v>
      </c>
      <c r="B3641" s="1" t="s">
        <v>4809</v>
      </c>
      <c r="C3641" t="s">
        <v>230</v>
      </c>
      <c r="D3641" s="1" t="s">
        <v>4810</v>
      </c>
    </row>
    <row r="3642" spans="1:4" hidden="1" x14ac:dyDescent="0.3">
      <c r="A3642">
        <v>3640</v>
      </c>
      <c r="B3642" t="s">
        <v>4811</v>
      </c>
      <c r="C3642" t="s">
        <v>112</v>
      </c>
      <c r="D3642">
        <v>-44.839370950121904</v>
      </c>
    </row>
    <row r="3643" spans="1:4" hidden="1" x14ac:dyDescent="0.3">
      <c r="A3643">
        <v>3641</v>
      </c>
      <c r="B3643" t="s">
        <v>4812</v>
      </c>
      <c r="C3643" t="s">
        <v>114</v>
      </c>
      <c r="D3643">
        <v>-6.7505201295622204</v>
      </c>
    </row>
    <row r="3644" spans="1:4" hidden="1" x14ac:dyDescent="0.3">
      <c r="A3644">
        <v>3642</v>
      </c>
      <c r="B3644" s="1" t="s">
        <v>4813</v>
      </c>
      <c r="C3644" t="s">
        <v>116</v>
      </c>
      <c r="D3644" s="1" t="s">
        <v>4814</v>
      </c>
    </row>
    <row r="3645" spans="1:4" hidden="1" x14ac:dyDescent="0.3">
      <c r="A3645">
        <v>3643</v>
      </c>
      <c r="B3645" t="s">
        <v>4815</v>
      </c>
      <c r="C3645" t="s">
        <v>119</v>
      </c>
      <c r="D3645">
        <v>74987913.581648096</v>
      </c>
    </row>
    <row r="3646" spans="1:4" hidden="1" x14ac:dyDescent="0.3">
      <c r="A3646">
        <v>3644</v>
      </c>
      <c r="B3646" t="s">
        <v>4816</v>
      </c>
      <c r="C3646" t="s">
        <v>121</v>
      </c>
      <c r="D3646">
        <v>34669794.564186297</v>
      </c>
    </row>
    <row r="3647" spans="1:4" hidden="1" x14ac:dyDescent="0.3">
      <c r="A3647">
        <v>3645</v>
      </c>
      <c r="B3647" s="1" t="s">
        <v>4817</v>
      </c>
      <c r="C3647" t="s">
        <v>123</v>
      </c>
      <c r="D3647" s="1" t="s">
        <v>4818</v>
      </c>
    </row>
    <row r="3648" spans="1:4" hidden="1" x14ac:dyDescent="0.3">
      <c r="A3648">
        <v>3646</v>
      </c>
      <c r="B3648" t="s">
        <v>4819</v>
      </c>
      <c r="C3648" t="s">
        <v>126</v>
      </c>
      <c r="D3648">
        <v>0.72808580366032405</v>
      </c>
    </row>
    <row r="3649" spans="1:4" hidden="1" x14ac:dyDescent="0.3">
      <c r="A3649">
        <v>3647</v>
      </c>
      <c r="B3649" t="s">
        <v>4820</v>
      </c>
      <c r="C3649" t="s">
        <v>128</v>
      </c>
      <c r="D3649">
        <v>0.33662205057244898</v>
      </c>
    </row>
    <row r="3650" spans="1:4" hidden="1" x14ac:dyDescent="0.3">
      <c r="A3650">
        <v>3648</v>
      </c>
      <c r="B3650" s="1" t="s">
        <v>4821</v>
      </c>
      <c r="C3650" t="s">
        <v>130</v>
      </c>
      <c r="D3650" s="1" t="s">
        <v>4822</v>
      </c>
    </row>
    <row r="3651" spans="1:4" ht="72" x14ac:dyDescent="0.3">
      <c r="A3651">
        <v>3649</v>
      </c>
      <c r="B3651" s="1" t="s">
        <v>4823</v>
      </c>
      <c r="C3651" t="s">
        <v>4</v>
      </c>
      <c r="D3651" t="s">
        <v>4824</v>
      </c>
    </row>
    <row r="3652" spans="1:4" hidden="1" x14ac:dyDescent="0.3">
      <c r="A3652">
        <v>3650</v>
      </c>
      <c r="B3652" t="s">
        <v>4825</v>
      </c>
      <c r="C3652" t="s">
        <v>7</v>
      </c>
      <c r="D3652">
        <v>1702.17</v>
      </c>
    </row>
    <row r="3653" spans="1:4" hidden="1" x14ac:dyDescent="0.3">
      <c r="A3653">
        <v>3651</v>
      </c>
      <c r="B3653" s="1" t="s">
        <v>4826</v>
      </c>
      <c r="C3653" t="s">
        <v>9</v>
      </c>
      <c r="D3653" s="1" t="s">
        <v>4827</v>
      </c>
    </row>
    <row r="3654" spans="1:4" hidden="1" x14ac:dyDescent="0.3">
      <c r="A3654">
        <v>3652</v>
      </c>
      <c r="B3654" t="s">
        <v>4828</v>
      </c>
      <c r="C3654" t="s">
        <v>14</v>
      </c>
      <c r="D3654">
        <v>89.59375</v>
      </c>
    </row>
    <row r="3655" spans="1:4" hidden="1" x14ac:dyDescent="0.3">
      <c r="A3655">
        <v>3653</v>
      </c>
      <c r="B3655" t="s">
        <v>4829</v>
      </c>
      <c r="C3655" t="s">
        <v>16</v>
      </c>
      <c r="D3655">
        <v>4.2527168807432396</v>
      </c>
    </row>
    <row r="3656" spans="1:4" hidden="1" x14ac:dyDescent="0.3">
      <c r="A3656">
        <v>3654</v>
      </c>
      <c r="B3656" s="1" t="s">
        <v>4830</v>
      </c>
      <c r="C3656" t="s">
        <v>140</v>
      </c>
      <c r="D3656" s="1" t="s">
        <v>4831</v>
      </c>
    </row>
    <row r="3657" spans="1:4" hidden="1" x14ac:dyDescent="0.3">
      <c r="A3657">
        <v>3655</v>
      </c>
      <c r="B3657" t="s">
        <v>4832</v>
      </c>
      <c r="C3657" t="s">
        <v>22</v>
      </c>
      <c r="D3657">
        <v>62.85</v>
      </c>
    </row>
    <row r="3658" spans="1:4" hidden="1" x14ac:dyDescent="0.3">
      <c r="A3658">
        <v>3656</v>
      </c>
      <c r="B3658" t="s">
        <v>4833</v>
      </c>
      <c r="C3658" t="s">
        <v>24</v>
      </c>
      <c r="D3658">
        <v>5.3971896069171503</v>
      </c>
    </row>
    <row r="3659" spans="1:4" hidden="1" x14ac:dyDescent="0.3">
      <c r="A3659">
        <v>3657</v>
      </c>
      <c r="B3659" s="1" t="s">
        <v>4834</v>
      </c>
      <c r="C3659" t="s">
        <v>145</v>
      </c>
      <c r="D3659" s="1" t="s">
        <v>4835</v>
      </c>
    </row>
    <row r="3660" spans="1:4" hidden="1" x14ac:dyDescent="0.3">
      <c r="A3660">
        <v>3658</v>
      </c>
      <c r="B3660" t="s">
        <v>4836</v>
      </c>
      <c r="C3660" t="s">
        <v>35</v>
      </c>
      <c r="D3660">
        <v>0.147315477300346</v>
      </c>
    </row>
    <row r="3661" spans="1:4" hidden="1" x14ac:dyDescent="0.3">
      <c r="A3661">
        <v>3659</v>
      </c>
      <c r="B3661" t="s">
        <v>4837</v>
      </c>
      <c r="C3661" t="s">
        <v>149</v>
      </c>
      <c r="D3661">
        <v>0.53120687265112199</v>
      </c>
    </row>
    <row r="3662" spans="1:4" hidden="1" x14ac:dyDescent="0.3">
      <c r="A3662">
        <v>3660</v>
      </c>
      <c r="B3662" s="1" t="s">
        <v>4838</v>
      </c>
      <c r="C3662" t="s">
        <v>151</v>
      </c>
      <c r="D3662" s="1" t="s">
        <v>4839</v>
      </c>
    </row>
    <row r="3663" spans="1:4" hidden="1" x14ac:dyDescent="0.3">
      <c r="A3663">
        <v>3661</v>
      </c>
      <c r="B3663" t="s">
        <v>4840</v>
      </c>
      <c r="C3663" t="s">
        <v>30</v>
      </c>
      <c r="D3663">
        <v>0.36534052097946501</v>
      </c>
    </row>
    <row r="3664" spans="1:4" hidden="1" x14ac:dyDescent="0.3">
      <c r="A3664">
        <v>3662</v>
      </c>
      <c r="B3664" t="s">
        <v>4841</v>
      </c>
      <c r="C3664" t="s">
        <v>32</v>
      </c>
      <c r="D3664">
        <v>0.42702205677935701</v>
      </c>
    </row>
    <row r="3665" spans="1:4" hidden="1" x14ac:dyDescent="0.3">
      <c r="A3665">
        <v>3663</v>
      </c>
      <c r="B3665" s="1" t="s">
        <v>4842</v>
      </c>
      <c r="C3665" t="s">
        <v>155</v>
      </c>
      <c r="D3665" s="1" t="s">
        <v>4843</v>
      </c>
    </row>
    <row r="3666" spans="1:4" hidden="1" x14ac:dyDescent="0.3">
      <c r="A3666">
        <v>3664</v>
      </c>
      <c r="B3666" t="s">
        <v>4844</v>
      </c>
      <c r="C3666" t="s">
        <v>40</v>
      </c>
      <c r="D3666">
        <v>0.48734400172018699</v>
      </c>
    </row>
    <row r="3667" spans="1:4" hidden="1" x14ac:dyDescent="0.3">
      <c r="A3667">
        <v>3665</v>
      </c>
      <c r="B3667" t="s">
        <v>4845</v>
      </c>
      <c r="C3667" t="s">
        <v>42</v>
      </c>
      <c r="D3667">
        <v>0.45548370789429199</v>
      </c>
    </row>
    <row r="3668" spans="1:4" hidden="1" x14ac:dyDescent="0.3">
      <c r="A3668">
        <v>3666</v>
      </c>
      <c r="B3668" s="1" t="s">
        <v>4846</v>
      </c>
      <c r="C3668" t="s">
        <v>159</v>
      </c>
      <c r="D3668" s="1" t="s">
        <v>4847</v>
      </c>
    </row>
    <row r="3669" spans="1:4" hidden="1" x14ac:dyDescent="0.3">
      <c r="A3669">
        <v>3667</v>
      </c>
      <c r="B3669" t="s">
        <v>4848</v>
      </c>
      <c r="C3669" t="s">
        <v>161</v>
      </c>
      <c r="D3669">
        <v>0.99146100662267</v>
      </c>
    </row>
    <row r="3670" spans="1:4" hidden="1" x14ac:dyDescent="0.3">
      <c r="A3670">
        <v>3668</v>
      </c>
      <c r="B3670" t="s">
        <v>4849</v>
      </c>
      <c r="C3670" t="s">
        <v>163</v>
      </c>
      <c r="D3670">
        <v>0.995303364010934</v>
      </c>
    </row>
    <row r="3671" spans="1:4" hidden="1" x14ac:dyDescent="0.3">
      <c r="A3671">
        <v>3669</v>
      </c>
      <c r="B3671" s="1" t="s">
        <v>4850</v>
      </c>
      <c r="C3671" t="s">
        <v>165</v>
      </c>
      <c r="D3671" s="1" t="s">
        <v>4851</v>
      </c>
    </row>
    <row r="3672" spans="1:4" hidden="1" x14ac:dyDescent="0.3">
      <c r="A3672">
        <v>3670</v>
      </c>
      <c r="B3672" t="s">
        <v>4852</v>
      </c>
      <c r="C3672" t="s">
        <v>168</v>
      </c>
      <c r="D3672">
        <v>0.99794300255889101</v>
      </c>
    </row>
    <row r="3673" spans="1:4" hidden="1" x14ac:dyDescent="0.3">
      <c r="A3673">
        <v>3671</v>
      </c>
      <c r="B3673" t="s">
        <v>4853</v>
      </c>
      <c r="C3673" t="s">
        <v>170</v>
      </c>
      <c r="D3673">
        <v>1.00074118363336</v>
      </c>
    </row>
    <row r="3674" spans="1:4" hidden="1" x14ac:dyDescent="0.3">
      <c r="A3674">
        <v>3672</v>
      </c>
      <c r="B3674" s="1" t="s">
        <v>4854</v>
      </c>
      <c r="C3674" t="s">
        <v>172</v>
      </c>
      <c r="D3674" s="1" t="s">
        <v>4855</v>
      </c>
    </row>
    <row r="3675" spans="1:4" hidden="1" x14ac:dyDescent="0.3">
      <c r="A3675">
        <v>3673</v>
      </c>
      <c r="B3675" s="1" t="s">
        <v>4856</v>
      </c>
      <c r="C3675" t="s">
        <v>55</v>
      </c>
      <c r="D3675" s="1" t="s">
        <v>4857</v>
      </c>
    </row>
    <row r="3676" spans="1:4" hidden="1" x14ac:dyDescent="0.3">
      <c r="A3676">
        <v>3674</v>
      </c>
      <c r="B3676" s="1" t="s">
        <v>4858</v>
      </c>
      <c r="C3676" t="s">
        <v>52</v>
      </c>
      <c r="D3676" s="1" t="s">
        <v>4859</v>
      </c>
    </row>
    <row r="3677" spans="1:4" hidden="1" x14ac:dyDescent="0.3">
      <c r="A3677">
        <v>3675</v>
      </c>
      <c r="B3677" s="1" t="s">
        <v>4860</v>
      </c>
      <c r="C3677" t="s">
        <v>58</v>
      </c>
      <c r="D3677" s="1" t="s">
        <v>4861</v>
      </c>
    </row>
    <row r="3678" spans="1:4" hidden="1" x14ac:dyDescent="0.3">
      <c r="A3678">
        <v>3676</v>
      </c>
      <c r="B3678" t="s">
        <v>4862</v>
      </c>
      <c r="C3678" t="s">
        <v>61</v>
      </c>
      <c r="D3678">
        <v>147378453.22193199</v>
      </c>
    </row>
    <row r="3679" spans="1:4" hidden="1" x14ac:dyDescent="0.3">
      <c r="A3679">
        <v>3677</v>
      </c>
      <c r="B3679" t="s">
        <v>4863</v>
      </c>
      <c r="C3679" t="s">
        <v>63</v>
      </c>
      <c r="D3679">
        <v>74347592.284194693</v>
      </c>
    </row>
    <row r="3680" spans="1:4" hidden="1" x14ac:dyDescent="0.3">
      <c r="A3680">
        <v>3678</v>
      </c>
      <c r="B3680" t="s">
        <v>4864</v>
      </c>
      <c r="C3680" t="s">
        <v>65</v>
      </c>
      <c r="D3680">
        <v>34506963.159302697</v>
      </c>
    </row>
    <row r="3681" spans="1:4" hidden="1" x14ac:dyDescent="0.3">
      <c r="A3681">
        <v>3679</v>
      </c>
      <c r="B3681" s="1" t="s">
        <v>4865</v>
      </c>
      <c r="C3681" t="s">
        <v>67</v>
      </c>
      <c r="D3681" s="1" t="s">
        <v>4866</v>
      </c>
    </row>
    <row r="3682" spans="1:4" hidden="1" x14ac:dyDescent="0.3">
      <c r="A3682">
        <v>3680</v>
      </c>
      <c r="B3682" s="1" t="s">
        <v>4867</v>
      </c>
      <c r="C3682" t="s">
        <v>70</v>
      </c>
      <c r="D3682" s="1" t="s">
        <v>4868</v>
      </c>
    </row>
    <row r="3683" spans="1:4" hidden="1" x14ac:dyDescent="0.3">
      <c r="A3683">
        <v>3681</v>
      </c>
      <c r="B3683" t="s">
        <v>4869</v>
      </c>
      <c r="C3683" t="s">
        <v>73</v>
      </c>
      <c r="D3683">
        <v>0.99977222896236095</v>
      </c>
    </row>
    <row r="3684" spans="1:4" hidden="1" x14ac:dyDescent="0.3">
      <c r="A3684">
        <v>3682</v>
      </c>
      <c r="B3684" t="s">
        <v>74</v>
      </c>
      <c r="C3684" t="s">
        <v>75</v>
      </c>
      <c r="D3684">
        <v>2.7397260273972599E-3</v>
      </c>
    </row>
    <row r="3685" spans="1:4" hidden="1" x14ac:dyDescent="0.3">
      <c r="A3685">
        <v>3683</v>
      </c>
      <c r="B3685" t="s">
        <v>76</v>
      </c>
      <c r="C3685" t="s">
        <v>77</v>
      </c>
      <c r="D3685">
        <v>0</v>
      </c>
    </row>
    <row r="3686" spans="1:4" hidden="1" x14ac:dyDescent="0.3">
      <c r="A3686">
        <v>3684</v>
      </c>
      <c r="B3686" t="s">
        <v>78</v>
      </c>
      <c r="C3686" t="s">
        <v>79</v>
      </c>
      <c r="D3686">
        <v>0</v>
      </c>
    </row>
    <row r="3687" spans="1:4" hidden="1" x14ac:dyDescent="0.3">
      <c r="A3687">
        <v>3685</v>
      </c>
      <c r="B3687" s="1" t="s">
        <v>4870</v>
      </c>
      <c r="C3687" t="s">
        <v>81</v>
      </c>
      <c r="D3687" s="1" t="s">
        <v>4871</v>
      </c>
    </row>
    <row r="3688" spans="1:4" hidden="1" x14ac:dyDescent="0.3">
      <c r="A3688">
        <v>3686</v>
      </c>
      <c r="B3688" t="s">
        <v>4872</v>
      </c>
      <c r="C3688" t="s">
        <v>84</v>
      </c>
      <c r="D3688">
        <v>0.99974827151175405</v>
      </c>
    </row>
    <row r="3689" spans="1:4" hidden="1" x14ac:dyDescent="0.3">
      <c r="A3689">
        <v>3687</v>
      </c>
      <c r="B3689" s="1" t="s">
        <v>4873</v>
      </c>
      <c r="C3689" t="s">
        <v>86</v>
      </c>
      <c r="D3689" s="1" t="s">
        <v>4874</v>
      </c>
    </row>
    <row r="3690" spans="1:4" hidden="1" x14ac:dyDescent="0.3">
      <c r="A3690">
        <v>3688</v>
      </c>
      <c r="B3690" t="s">
        <v>4875</v>
      </c>
      <c r="C3690" t="s">
        <v>89</v>
      </c>
      <c r="D3690">
        <v>103019346.598869</v>
      </c>
    </row>
    <row r="3691" spans="1:4" hidden="1" x14ac:dyDescent="0.3">
      <c r="A3691">
        <v>3689</v>
      </c>
      <c r="B3691" s="1" t="s">
        <v>4876</v>
      </c>
      <c r="C3691" t="s">
        <v>91</v>
      </c>
      <c r="D3691" s="1" t="s">
        <v>4810</v>
      </c>
    </row>
    <row r="3692" spans="1:4" hidden="1" x14ac:dyDescent="0.3">
      <c r="A3692">
        <v>3690</v>
      </c>
      <c r="B3692" t="s">
        <v>4877</v>
      </c>
      <c r="C3692" t="s">
        <v>94</v>
      </c>
      <c r="D3692">
        <v>74347592.284194693</v>
      </c>
    </row>
    <row r="3693" spans="1:4" hidden="1" x14ac:dyDescent="0.3">
      <c r="A3693">
        <v>3691</v>
      </c>
      <c r="B3693" t="s">
        <v>4878</v>
      </c>
      <c r="C3693" t="s">
        <v>96</v>
      </c>
      <c r="D3693">
        <v>34506963.159302697</v>
      </c>
    </row>
    <row r="3694" spans="1:4" hidden="1" x14ac:dyDescent="0.3">
      <c r="A3694">
        <v>3692</v>
      </c>
      <c r="B3694" t="s">
        <v>4879</v>
      </c>
      <c r="C3694" t="s">
        <v>98</v>
      </c>
      <c r="D3694">
        <v>38523897.778434902</v>
      </c>
    </row>
    <row r="3695" spans="1:4" hidden="1" x14ac:dyDescent="0.3">
      <c r="A3695">
        <v>3693</v>
      </c>
      <c r="B3695" s="1" t="s">
        <v>4880</v>
      </c>
      <c r="C3695" t="s">
        <v>100</v>
      </c>
      <c r="D3695" s="1" t="s">
        <v>4881</v>
      </c>
    </row>
    <row r="3696" spans="1:4" hidden="1" x14ac:dyDescent="0.3">
      <c r="A3696">
        <v>3694</v>
      </c>
      <c r="B3696" t="s">
        <v>4882</v>
      </c>
      <c r="C3696" t="s">
        <v>103</v>
      </c>
      <c r="D3696">
        <v>8.6621896948963998E-3</v>
      </c>
    </row>
    <row r="3697" spans="1:4" hidden="1" x14ac:dyDescent="0.3">
      <c r="A3697">
        <v>3695</v>
      </c>
      <c r="B3697" t="s">
        <v>4883</v>
      </c>
      <c r="C3697" t="s">
        <v>105</v>
      </c>
      <c r="D3697">
        <v>3.1726442231140499E-3</v>
      </c>
    </row>
    <row r="3698" spans="1:4" hidden="1" x14ac:dyDescent="0.3">
      <c r="A3698">
        <v>3696</v>
      </c>
      <c r="B3698" t="s">
        <v>4884</v>
      </c>
      <c r="C3698" t="s">
        <v>107</v>
      </c>
      <c r="D3698">
        <v>1.10213662424559E-2</v>
      </c>
    </row>
    <row r="3699" spans="1:4" hidden="1" x14ac:dyDescent="0.3">
      <c r="A3699">
        <v>3697</v>
      </c>
      <c r="B3699" s="1" t="s">
        <v>4885</v>
      </c>
      <c r="C3699" t="s">
        <v>109</v>
      </c>
      <c r="D3699" s="1" t="s">
        <v>4886</v>
      </c>
    </row>
    <row r="3700" spans="1:4" hidden="1" x14ac:dyDescent="0.3">
      <c r="A3700">
        <v>3698</v>
      </c>
      <c r="B3700" t="s">
        <v>4887</v>
      </c>
      <c r="C3700" t="s">
        <v>208</v>
      </c>
      <c r="D3700">
        <v>147377610.097121</v>
      </c>
    </row>
    <row r="3701" spans="1:4" hidden="1" x14ac:dyDescent="0.3">
      <c r="A3701">
        <v>3699</v>
      </c>
      <c r="B3701" t="s">
        <v>4888</v>
      </c>
      <c r="C3701" t="s">
        <v>210</v>
      </c>
      <c r="D3701">
        <v>1781.5714285997001</v>
      </c>
    </row>
    <row r="3702" spans="1:4" hidden="1" x14ac:dyDescent="0.3">
      <c r="A3702">
        <v>3700</v>
      </c>
      <c r="B3702" t="s">
        <v>4889</v>
      </c>
      <c r="C3702" t="s">
        <v>212</v>
      </c>
      <c r="D3702">
        <v>826.88417164441898</v>
      </c>
    </row>
    <row r="3703" spans="1:4" hidden="1" x14ac:dyDescent="0.3">
      <c r="A3703">
        <v>3701</v>
      </c>
      <c r="B3703" s="1" t="s">
        <v>4890</v>
      </c>
      <c r="C3703" t="s">
        <v>214</v>
      </c>
      <c r="D3703" s="1" t="s">
        <v>4891</v>
      </c>
    </row>
    <row r="3704" spans="1:4" hidden="1" x14ac:dyDescent="0.3">
      <c r="A3704">
        <v>3702</v>
      </c>
      <c r="B3704" t="s">
        <v>4892</v>
      </c>
      <c r="C3704" t="s">
        <v>217</v>
      </c>
      <c r="D3704">
        <v>74345262.589045301</v>
      </c>
    </row>
    <row r="3705" spans="1:4" hidden="1" x14ac:dyDescent="0.3">
      <c r="A3705">
        <v>3703</v>
      </c>
      <c r="B3705" t="s">
        <v>4893</v>
      </c>
      <c r="C3705" t="s">
        <v>219</v>
      </c>
      <c r="D3705">
        <v>34506009.629907504</v>
      </c>
    </row>
    <row r="3706" spans="1:4" hidden="1" x14ac:dyDescent="0.3">
      <c r="A3706">
        <v>3704</v>
      </c>
      <c r="B3706" t="s">
        <v>4894</v>
      </c>
      <c r="C3706" t="s">
        <v>221</v>
      </c>
      <c r="D3706">
        <v>38522806.281958804</v>
      </c>
    </row>
    <row r="3707" spans="1:4" hidden="1" x14ac:dyDescent="0.3">
      <c r="A3707">
        <v>3705</v>
      </c>
      <c r="B3707" s="1" t="s">
        <v>4895</v>
      </c>
      <c r="C3707" t="s">
        <v>223</v>
      </c>
      <c r="D3707" s="1" t="s">
        <v>4896</v>
      </c>
    </row>
    <row r="3708" spans="1:4" hidden="1" x14ac:dyDescent="0.3">
      <c r="A3708">
        <v>3706</v>
      </c>
      <c r="B3708" t="s">
        <v>4897</v>
      </c>
      <c r="C3708" t="s">
        <v>226</v>
      </c>
      <c r="D3708">
        <v>103016877.955676</v>
      </c>
    </row>
    <row r="3709" spans="1:4" hidden="1" x14ac:dyDescent="0.3">
      <c r="A3709">
        <v>3707</v>
      </c>
      <c r="B3709" t="s">
        <v>4898</v>
      </c>
      <c r="C3709" t="s">
        <v>228</v>
      </c>
      <c r="D3709">
        <v>2468.6431930959202</v>
      </c>
    </row>
    <row r="3710" spans="1:4" hidden="1" x14ac:dyDescent="0.3">
      <c r="A3710">
        <v>3708</v>
      </c>
      <c r="B3710" s="1" t="s">
        <v>4899</v>
      </c>
      <c r="C3710" t="s">
        <v>230</v>
      </c>
      <c r="D3710" s="1" t="s">
        <v>4900</v>
      </c>
    </row>
    <row r="3711" spans="1:4" hidden="1" x14ac:dyDescent="0.3">
      <c r="A3711">
        <v>3709</v>
      </c>
      <c r="B3711" t="s">
        <v>4901</v>
      </c>
      <c r="C3711" t="s">
        <v>112</v>
      </c>
      <c r="D3711">
        <v>-548.12372076067504</v>
      </c>
    </row>
    <row r="3712" spans="1:4" hidden="1" x14ac:dyDescent="0.3">
      <c r="A3712">
        <v>3710</v>
      </c>
      <c r="B3712" t="s">
        <v>4902</v>
      </c>
      <c r="C3712" t="s">
        <v>114</v>
      </c>
      <c r="D3712">
        <v>-126.64522352866101</v>
      </c>
    </row>
    <row r="3713" spans="1:4" hidden="1" x14ac:dyDescent="0.3">
      <c r="A3713">
        <v>3711</v>
      </c>
      <c r="B3713" s="1" t="s">
        <v>4903</v>
      </c>
      <c r="C3713" t="s">
        <v>116</v>
      </c>
      <c r="D3713" s="1" t="s">
        <v>4904</v>
      </c>
    </row>
    <row r="3714" spans="1:4" hidden="1" x14ac:dyDescent="0.3">
      <c r="A3714">
        <v>3712</v>
      </c>
      <c r="B3714" t="s">
        <v>4905</v>
      </c>
      <c r="C3714" t="s">
        <v>119</v>
      </c>
      <c r="D3714">
        <v>74345262.589045301</v>
      </c>
    </row>
    <row r="3715" spans="1:4" hidden="1" x14ac:dyDescent="0.3">
      <c r="A3715">
        <v>3713</v>
      </c>
      <c r="B3715" t="s">
        <v>4906</v>
      </c>
      <c r="C3715" t="s">
        <v>121</v>
      </c>
      <c r="D3715">
        <v>34506009.629907504</v>
      </c>
    </row>
    <row r="3716" spans="1:4" hidden="1" x14ac:dyDescent="0.3">
      <c r="A3716">
        <v>3714</v>
      </c>
      <c r="B3716" s="1" t="s">
        <v>4907</v>
      </c>
      <c r="C3716" t="s">
        <v>123</v>
      </c>
      <c r="D3716" s="1" t="s">
        <v>4908</v>
      </c>
    </row>
    <row r="3717" spans="1:4" hidden="1" x14ac:dyDescent="0.3">
      <c r="A3717">
        <v>3715</v>
      </c>
      <c r="B3717" t="s">
        <v>4909</v>
      </c>
      <c r="C3717" t="s">
        <v>126</v>
      </c>
      <c r="D3717">
        <v>0.72186212198976096</v>
      </c>
    </row>
    <row r="3718" spans="1:4" hidden="1" x14ac:dyDescent="0.3">
      <c r="A3718">
        <v>3716</v>
      </c>
      <c r="B3718" t="s">
        <v>4910</v>
      </c>
      <c r="C3718" t="s">
        <v>128</v>
      </c>
      <c r="D3718">
        <v>0.33503925422296399</v>
      </c>
    </row>
    <row r="3719" spans="1:4" hidden="1" x14ac:dyDescent="0.3">
      <c r="A3719">
        <v>3717</v>
      </c>
      <c r="B3719" s="1" t="s">
        <v>4911</v>
      </c>
      <c r="C3719" t="s">
        <v>130</v>
      </c>
      <c r="D3719" s="1" t="s">
        <v>4912</v>
      </c>
    </row>
    <row r="3720" spans="1:4" ht="72" x14ac:dyDescent="0.3">
      <c r="A3720">
        <v>3718</v>
      </c>
      <c r="B3720" s="1" t="s">
        <v>4913</v>
      </c>
      <c r="C3720" t="s">
        <v>4</v>
      </c>
      <c r="D3720" t="s">
        <v>4914</v>
      </c>
    </row>
    <row r="3721" spans="1:4" hidden="1" x14ac:dyDescent="0.3">
      <c r="A3721">
        <v>3719</v>
      </c>
      <c r="B3721" t="s">
        <v>4915</v>
      </c>
      <c r="C3721" t="s">
        <v>7</v>
      </c>
      <c r="D3721">
        <v>1697.32</v>
      </c>
    </row>
    <row r="3722" spans="1:4" hidden="1" x14ac:dyDescent="0.3">
      <c r="A3722">
        <v>3720</v>
      </c>
      <c r="B3722" s="1" t="s">
        <v>4916</v>
      </c>
      <c r="C3722" t="s">
        <v>9</v>
      </c>
      <c r="D3722" s="1" t="s">
        <v>4917</v>
      </c>
    </row>
    <row r="3723" spans="1:4" hidden="1" x14ac:dyDescent="0.3">
      <c r="A3723">
        <v>3721</v>
      </c>
      <c r="B3723" t="s">
        <v>4918</v>
      </c>
      <c r="C3723" t="s">
        <v>14</v>
      </c>
      <c r="D3723">
        <v>89.5390625</v>
      </c>
    </row>
    <row r="3724" spans="1:4" hidden="1" x14ac:dyDescent="0.3">
      <c r="A3724">
        <v>3722</v>
      </c>
      <c r="B3724" t="s">
        <v>4919</v>
      </c>
      <c r="C3724" t="s">
        <v>16</v>
      </c>
      <c r="D3724">
        <v>4.2535911490884599</v>
      </c>
    </row>
    <row r="3725" spans="1:4" hidden="1" x14ac:dyDescent="0.3">
      <c r="A3725">
        <v>3723</v>
      </c>
      <c r="B3725" s="1" t="s">
        <v>4920</v>
      </c>
      <c r="C3725" t="s">
        <v>140</v>
      </c>
      <c r="D3725" s="1" t="s">
        <v>4921</v>
      </c>
    </row>
    <row r="3726" spans="1:4" hidden="1" x14ac:dyDescent="0.3">
      <c r="A3726">
        <v>3724</v>
      </c>
      <c r="B3726" t="s">
        <v>4113</v>
      </c>
      <c r="C3726" t="s">
        <v>22</v>
      </c>
      <c r="D3726">
        <v>61.4</v>
      </c>
    </row>
    <row r="3727" spans="1:4" hidden="1" x14ac:dyDescent="0.3">
      <c r="A3727">
        <v>3725</v>
      </c>
      <c r="B3727" t="s">
        <v>4922</v>
      </c>
      <c r="C3727" t="s">
        <v>24</v>
      </c>
      <c r="D3727">
        <v>5.4583466471168904</v>
      </c>
    </row>
    <row r="3728" spans="1:4" hidden="1" x14ac:dyDescent="0.3">
      <c r="A3728">
        <v>3726</v>
      </c>
      <c r="B3728" s="1" t="s">
        <v>4923</v>
      </c>
      <c r="C3728" t="s">
        <v>145</v>
      </c>
      <c r="D3728" s="1" t="s">
        <v>4924</v>
      </c>
    </row>
    <row r="3729" spans="1:4" hidden="1" x14ac:dyDescent="0.3">
      <c r="A3729">
        <v>3727</v>
      </c>
      <c r="B3729" t="s">
        <v>4925</v>
      </c>
      <c r="C3729" t="s">
        <v>35</v>
      </c>
      <c r="D3729">
        <v>0.32496129426449399</v>
      </c>
    </row>
    <row r="3730" spans="1:4" hidden="1" x14ac:dyDescent="0.3">
      <c r="A3730">
        <v>3728</v>
      </c>
      <c r="B3730" t="s">
        <v>4926</v>
      </c>
      <c r="C3730" t="s">
        <v>149</v>
      </c>
      <c r="D3730">
        <v>0.53249419719511504</v>
      </c>
    </row>
    <row r="3731" spans="1:4" hidden="1" x14ac:dyDescent="0.3">
      <c r="A3731">
        <v>3729</v>
      </c>
      <c r="B3731" s="1" t="s">
        <v>4927</v>
      </c>
      <c r="C3731" t="s">
        <v>151</v>
      </c>
      <c r="D3731" s="1" t="s">
        <v>4928</v>
      </c>
    </row>
    <row r="3732" spans="1:4" hidden="1" x14ac:dyDescent="0.3">
      <c r="A3732">
        <v>3730</v>
      </c>
      <c r="B3732" t="s">
        <v>4929</v>
      </c>
      <c r="C3732" t="s">
        <v>30</v>
      </c>
      <c r="D3732">
        <v>0.290088017304373</v>
      </c>
    </row>
    <row r="3733" spans="1:4" hidden="1" x14ac:dyDescent="0.3">
      <c r="A3733">
        <v>3731</v>
      </c>
      <c r="B3733" t="s">
        <v>4930</v>
      </c>
      <c r="C3733" t="s">
        <v>32</v>
      </c>
      <c r="D3733">
        <v>0.42783330806016201</v>
      </c>
    </row>
    <row r="3734" spans="1:4" hidden="1" x14ac:dyDescent="0.3">
      <c r="A3734">
        <v>3732</v>
      </c>
      <c r="B3734" s="1" t="s">
        <v>4931</v>
      </c>
      <c r="C3734" t="s">
        <v>155</v>
      </c>
      <c r="D3734" s="1" t="s">
        <v>4932</v>
      </c>
    </row>
    <row r="3735" spans="1:4" hidden="1" x14ac:dyDescent="0.3">
      <c r="A3735">
        <v>3733</v>
      </c>
      <c r="B3735" t="s">
        <v>4933</v>
      </c>
      <c r="C3735" t="s">
        <v>40</v>
      </c>
      <c r="D3735">
        <v>0.38495068843113101</v>
      </c>
    </row>
    <row r="3736" spans="1:4" hidden="1" x14ac:dyDescent="0.3">
      <c r="A3736">
        <v>3734</v>
      </c>
      <c r="B3736" t="s">
        <v>4934</v>
      </c>
      <c r="C3736" t="s">
        <v>42</v>
      </c>
      <c r="D3736">
        <v>0.45012142885048601</v>
      </c>
    </row>
    <row r="3737" spans="1:4" hidden="1" x14ac:dyDescent="0.3">
      <c r="A3737">
        <v>3735</v>
      </c>
      <c r="B3737" s="1" t="s">
        <v>4935</v>
      </c>
      <c r="C3737" t="s">
        <v>159</v>
      </c>
      <c r="D3737" s="1" t="s">
        <v>4936</v>
      </c>
    </row>
    <row r="3738" spans="1:4" hidden="1" x14ac:dyDescent="0.3">
      <c r="A3738">
        <v>3736</v>
      </c>
      <c r="B3738" t="s">
        <v>4937</v>
      </c>
      <c r="C3738" t="s">
        <v>161</v>
      </c>
      <c r="D3738">
        <v>0.99715069587644001</v>
      </c>
    </row>
    <row r="3739" spans="1:4" hidden="1" x14ac:dyDescent="0.3">
      <c r="A3739">
        <v>3737</v>
      </c>
      <c r="B3739" t="s">
        <v>4938</v>
      </c>
      <c r="C3739" t="s">
        <v>163</v>
      </c>
      <c r="D3739">
        <v>0.99942658223113301</v>
      </c>
    </row>
    <row r="3740" spans="1:4" hidden="1" x14ac:dyDescent="0.3">
      <c r="A3740">
        <v>3738</v>
      </c>
      <c r="B3740" s="1" t="s">
        <v>4939</v>
      </c>
      <c r="C3740" t="s">
        <v>165</v>
      </c>
      <c r="D3740" s="1" t="s">
        <v>4940</v>
      </c>
    </row>
    <row r="3741" spans="1:4" hidden="1" x14ac:dyDescent="0.3">
      <c r="A3741">
        <v>3739</v>
      </c>
      <c r="B3741" t="s">
        <v>4941</v>
      </c>
      <c r="C3741" t="s">
        <v>168</v>
      </c>
      <c r="D3741">
        <v>1.0008407254218701</v>
      </c>
    </row>
    <row r="3742" spans="1:4" hidden="1" x14ac:dyDescent="0.3">
      <c r="A3742">
        <v>3740</v>
      </c>
      <c r="B3742" t="s">
        <v>4942</v>
      </c>
      <c r="C3742" t="s">
        <v>170</v>
      </c>
      <c r="D3742">
        <v>1.00056849246089</v>
      </c>
    </row>
    <row r="3743" spans="1:4" hidden="1" x14ac:dyDescent="0.3">
      <c r="A3743">
        <v>3741</v>
      </c>
      <c r="B3743" s="1" t="s">
        <v>4943</v>
      </c>
      <c r="C3743" t="s">
        <v>172</v>
      </c>
      <c r="D3743" s="1" t="s">
        <v>4944</v>
      </c>
    </row>
    <row r="3744" spans="1:4" hidden="1" x14ac:dyDescent="0.3">
      <c r="A3744">
        <v>3742</v>
      </c>
      <c r="B3744" s="1" t="s">
        <v>4945</v>
      </c>
      <c r="C3744" t="s">
        <v>55</v>
      </c>
      <c r="D3744" s="1" t="s">
        <v>4946</v>
      </c>
    </row>
    <row r="3745" spans="1:4" hidden="1" x14ac:dyDescent="0.3">
      <c r="A3745">
        <v>3743</v>
      </c>
      <c r="B3745" s="1" t="s">
        <v>4947</v>
      </c>
      <c r="C3745" t="s">
        <v>52</v>
      </c>
      <c r="D3745" s="1" t="s">
        <v>4948</v>
      </c>
    </row>
    <row r="3746" spans="1:4" hidden="1" x14ac:dyDescent="0.3">
      <c r="A3746">
        <v>3744</v>
      </c>
      <c r="B3746" s="1" t="s">
        <v>4949</v>
      </c>
      <c r="C3746" t="s">
        <v>58</v>
      </c>
      <c r="D3746" s="1" t="s">
        <v>4950</v>
      </c>
    </row>
    <row r="3747" spans="1:4" hidden="1" x14ac:dyDescent="0.3">
      <c r="A3747">
        <v>3745</v>
      </c>
      <c r="B3747" t="s">
        <v>4951</v>
      </c>
      <c r="C3747" t="s">
        <v>61</v>
      </c>
      <c r="D3747">
        <v>146358513.629605</v>
      </c>
    </row>
    <row r="3748" spans="1:4" hidden="1" x14ac:dyDescent="0.3">
      <c r="A3748">
        <v>3746</v>
      </c>
      <c r="B3748" t="s">
        <v>4952</v>
      </c>
      <c r="C3748" t="s">
        <v>63</v>
      </c>
      <c r="D3748">
        <v>74133430.325783193</v>
      </c>
    </row>
    <row r="3749" spans="1:4" hidden="1" x14ac:dyDescent="0.3">
      <c r="A3749">
        <v>3747</v>
      </c>
      <c r="B3749" t="s">
        <v>4953</v>
      </c>
      <c r="C3749" t="s">
        <v>65</v>
      </c>
      <c r="D3749">
        <v>34486223.270852998</v>
      </c>
    </row>
    <row r="3750" spans="1:4" hidden="1" x14ac:dyDescent="0.3">
      <c r="A3750">
        <v>3748</v>
      </c>
      <c r="B3750" s="1" t="s">
        <v>4954</v>
      </c>
      <c r="C3750" t="s">
        <v>67</v>
      </c>
      <c r="D3750" s="1" t="s">
        <v>4955</v>
      </c>
    </row>
    <row r="3751" spans="1:4" hidden="1" x14ac:dyDescent="0.3">
      <c r="A3751">
        <v>3749</v>
      </c>
      <c r="B3751" s="1" t="s">
        <v>4956</v>
      </c>
      <c r="C3751" t="s">
        <v>70</v>
      </c>
      <c r="D3751" s="1" t="s">
        <v>4957</v>
      </c>
    </row>
    <row r="3752" spans="1:4" hidden="1" x14ac:dyDescent="0.3">
      <c r="A3752">
        <v>3750</v>
      </c>
      <c r="B3752" t="s">
        <v>4958</v>
      </c>
      <c r="C3752" t="s">
        <v>73</v>
      </c>
      <c r="D3752">
        <v>0.99974827151175405</v>
      </c>
    </row>
    <row r="3753" spans="1:4" hidden="1" x14ac:dyDescent="0.3">
      <c r="A3753">
        <v>3751</v>
      </c>
      <c r="B3753" t="s">
        <v>74</v>
      </c>
      <c r="C3753" t="s">
        <v>75</v>
      </c>
      <c r="D3753">
        <v>2.7397260273972599E-3</v>
      </c>
    </row>
    <row r="3754" spans="1:4" hidden="1" x14ac:dyDescent="0.3">
      <c r="A3754">
        <v>3752</v>
      </c>
      <c r="B3754" t="s">
        <v>76</v>
      </c>
      <c r="C3754" t="s">
        <v>77</v>
      </c>
      <c r="D3754">
        <v>0</v>
      </c>
    </row>
    <row r="3755" spans="1:4" hidden="1" x14ac:dyDescent="0.3">
      <c r="A3755">
        <v>3753</v>
      </c>
      <c r="B3755" t="s">
        <v>78</v>
      </c>
      <c r="C3755" t="s">
        <v>79</v>
      </c>
      <c r="D3755">
        <v>0</v>
      </c>
    </row>
    <row r="3756" spans="1:4" hidden="1" x14ac:dyDescent="0.3">
      <c r="A3756">
        <v>3754</v>
      </c>
      <c r="B3756" s="1" t="s">
        <v>4959</v>
      </c>
      <c r="C3756" t="s">
        <v>81</v>
      </c>
      <c r="D3756" s="1" t="s">
        <v>4960</v>
      </c>
    </row>
    <row r="3757" spans="1:4" hidden="1" x14ac:dyDescent="0.3">
      <c r="A3757">
        <v>3755</v>
      </c>
      <c r="B3757" t="s">
        <v>4961</v>
      </c>
      <c r="C3757" t="s">
        <v>84</v>
      </c>
      <c r="D3757">
        <v>0.99973899538382804</v>
      </c>
    </row>
    <row r="3758" spans="1:4" hidden="1" x14ac:dyDescent="0.3">
      <c r="A3758">
        <v>3756</v>
      </c>
      <c r="B3758" s="1" t="s">
        <v>4962</v>
      </c>
      <c r="C3758" t="s">
        <v>86</v>
      </c>
      <c r="D3758" s="1" t="s">
        <v>4963</v>
      </c>
    </row>
    <row r="3759" spans="1:4" hidden="1" x14ac:dyDescent="0.3">
      <c r="A3759">
        <v>3757</v>
      </c>
      <c r="B3759" t="s">
        <v>4964</v>
      </c>
      <c r="C3759" t="s">
        <v>89</v>
      </c>
      <c r="D3759">
        <v>103020302.46899299</v>
      </c>
    </row>
    <row r="3760" spans="1:4" hidden="1" x14ac:dyDescent="0.3">
      <c r="A3760">
        <v>3758</v>
      </c>
      <c r="B3760" s="1" t="s">
        <v>4965</v>
      </c>
      <c r="C3760" t="s">
        <v>91</v>
      </c>
      <c r="D3760" s="1" t="s">
        <v>4900</v>
      </c>
    </row>
    <row r="3761" spans="1:4" hidden="1" x14ac:dyDescent="0.3">
      <c r="A3761">
        <v>3759</v>
      </c>
      <c r="B3761" t="s">
        <v>4966</v>
      </c>
      <c r="C3761" t="s">
        <v>94</v>
      </c>
      <c r="D3761">
        <v>74133430.325783193</v>
      </c>
    </row>
    <row r="3762" spans="1:4" hidden="1" x14ac:dyDescent="0.3">
      <c r="A3762">
        <v>3760</v>
      </c>
      <c r="B3762" t="s">
        <v>4967</v>
      </c>
      <c r="C3762" t="s">
        <v>96</v>
      </c>
      <c r="D3762">
        <v>34486223.270852998</v>
      </c>
    </row>
    <row r="3763" spans="1:4" hidden="1" x14ac:dyDescent="0.3">
      <c r="A3763">
        <v>3761</v>
      </c>
      <c r="B3763" t="s">
        <v>4968</v>
      </c>
      <c r="C3763" t="s">
        <v>98</v>
      </c>
      <c r="D3763">
        <v>37738860.032968901</v>
      </c>
    </row>
    <row r="3764" spans="1:4" hidden="1" x14ac:dyDescent="0.3">
      <c r="A3764">
        <v>3762</v>
      </c>
      <c r="B3764" s="1" t="s">
        <v>4969</v>
      </c>
      <c r="C3764" t="s">
        <v>100</v>
      </c>
      <c r="D3764" s="1" t="s">
        <v>4970</v>
      </c>
    </row>
    <row r="3765" spans="1:4" hidden="1" x14ac:dyDescent="0.3">
      <c r="A3765">
        <v>3763</v>
      </c>
      <c r="B3765" t="s">
        <v>4971</v>
      </c>
      <c r="C3765" t="s">
        <v>103</v>
      </c>
      <c r="D3765">
        <v>8.6628977035093698E-3</v>
      </c>
    </row>
    <row r="3766" spans="1:4" hidden="1" x14ac:dyDescent="0.3">
      <c r="A3766">
        <v>3764</v>
      </c>
      <c r="B3766" t="s">
        <v>4972</v>
      </c>
      <c r="C3766" t="s">
        <v>105</v>
      </c>
      <c r="D3766">
        <v>3.1664424541240702E-3</v>
      </c>
    </row>
    <row r="3767" spans="1:4" hidden="1" x14ac:dyDescent="0.3">
      <c r="A3767">
        <v>3765</v>
      </c>
      <c r="B3767" t="s">
        <v>4973</v>
      </c>
      <c r="C3767" t="s">
        <v>107</v>
      </c>
      <c r="D3767">
        <v>1.1246239719842401E-2</v>
      </c>
    </row>
    <row r="3768" spans="1:4" hidden="1" x14ac:dyDescent="0.3">
      <c r="A3768">
        <v>3766</v>
      </c>
      <c r="B3768" s="1" t="s">
        <v>4974</v>
      </c>
      <c r="C3768" t="s">
        <v>109</v>
      </c>
      <c r="D3768" s="1" t="s">
        <v>4975</v>
      </c>
    </row>
    <row r="3769" spans="1:4" hidden="1" x14ac:dyDescent="0.3">
      <c r="A3769">
        <v>3767</v>
      </c>
      <c r="B3769" t="s">
        <v>4976</v>
      </c>
      <c r="C3769" t="s">
        <v>208</v>
      </c>
      <c r="D3769">
        <v>146358186.94463599</v>
      </c>
    </row>
    <row r="3770" spans="1:4" hidden="1" x14ac:dyDescent="0.3">
      <c r="A3770">
        <v>3768</v>
      </c>
      <c r="B3770" t="s">
        <v>4977</v>
      </c>
      <c r="C3770" t="s">
        <v>210</v>
      </c>
      <c r="D3770">
        <v>687.84221243598495</v>
      </c>
    </row>
    <row r="3771" spans="1:4" hidden="1" x14ac:dyDescent="0.3">
      <c r="A3771">
        <v>3769</v>
      </c>
      <c r="B3771" t="s">
        <v>4978</v>
      </c>
      <c r="C3771" t="s">
        <v>212</v>
      </c>
      <c r="D3771">
        <v>319.978674084158</v>
      </c>
    </row>
    <row r="3772" spans="1:4" hidden="1" x14ac:dyDescent="0.3">
      <c r="A3772">
        <v>3770</v>
      </c>
      <c r="B3772" s="1" t="s">
        <v>4979</v>
      </c>
      <c r="C3772" t="s">
        <v>214</v>
      </c>
      <c r="D3772" s="1" t="s">
        <v>4980</v>
      </c>
    </row>
    <row r="3773" spans="1:4" hidden="1" x14ac:dyDescent="0.3">
      <c r="A3773">
        <v>3771</v>
      </c>
      <c r="B3773" t="s">
        <v>4981</v>
      </c>
      <c r="C3773" t="s">
        <v>217</v>
      </c>
      <c r="D3773">
        <v>74132513.904836699</v>
      </c>
    </row>
    <row r="3774" spans="1:4" hidden="1" x14ac:dyDescent="0.3">
      <c r="A3774">
        <v>3772</v>
      </c>
      <c r="B3774" t="s">
        <v>4982</v>
      </c>
      <c r="C3774" t="s">
        <v>219</v>
      </c>
      <c r="D3774">
        <v>34485850.209436901</v>
      </c>
    </row>
    <row r="3775" spans="1:4" hidden="1" x14ac:dyDescent="0.3">
      <c r="A3775">
        <v>3773</v>
      </c>
      <c r="B3775" t="s">
        <v>4983</v>
      </c>
      <c r="C3775" t="s">
        <v>221</v>
      </c>
      <c r="D3775">
        <v>37738464.851255998</v>
      </c>
    </row>
    <row r="3776" spans="1:4" hidden="1" x14ac:dyDescent="0.3">
      <c r="A3776">
        <v>3774</v>
      </c>
      <c r="B3776" s="1" t="s">
        <v>4984</v>
      </c>
      <c r="C3776" t="s">
        <v>223</v>
      </c>
      <c r="D3776" s="1" t="s">
        <v>4985</v>
      </c>
    </row>
    <row r="3777" spans="1:4" hidden="1" x14ac:dyDescent="0.3">
      <c r="A3777">
        <v>3775</v>
      </c>
      <c r="B3777" t="s">
        <v>4986</v>
      </c>
      <c r="C3777" t="s">
        <v>226</v>
      </c>
      <c r="D3777">
        <v>103019346.598869</v>
      </c>
    </row>
    <row r="3778" spans="1:4" hidden="1" x14ac:dyDescent="0.3">
      <c r="A3778">
        <v>3776</v>
      </c>
      <c r="B3778" t="s">
        <v>4987</v>
      </c>
      <c r="C3778" t="s">
        <v>228</v>
      </c>
      <c r="D3778">
        <v>955.87012439966202</v>
      </c>
    </row>
    <row r="3779" spans="1:4" hidden="1" x14ac:dyDescent="0.3">
      <c r="A3779">
        <v>3777</v>
      </c>
      <c r="B3779" s="1" t="s">
        <v>4988</v>
      </c>
      <c r="C3779" t="s">
        <v>230</v>
      </c>
      <c r="D3779" s="1" t="s">
        <v>4989</v>
      </c>
    </row>
    <row r="3780" spans="1:4" hidden="1" x14ac:dyDescent="0.3">
      <c r="A3780">
        <v>3778</v>
      </c>
      <c r="B3780" t="s">
        <v>4990</v>
      </c>
      <c r="C3780" t="s">
        <v>112</v>
      </c>
      <c r="D3780">
        <v>-228.578734106441</v>
      </c>
    </row>
    <row r="3781" spans="1:4" hidden="1" x14ac:dyDescent="0.3">
      <c r="A3781">
        <v>3779</v>
      </c>
      <c r="B3781" t="s">
        <v>4991</v>
      </c>
      <c r="C3781" t="s">
        <v>114</v>
      </c>
      <c r="D3781">
        <v>-53.082742037195203</v>
      </c>
    </row>
    <row r="3782" spans="1:4" hidden="1" x14ac:dyDescent="0.3">
      <c r="A3782">
        <v>3780</v>
      </c>
      <c r="B3782" s="1" t="s">
        <v>4992</v>
      </c>
      <c r="C3782" t="s">
        <v>116</v>
      </c>
      <c r="D3782" s="1" t="s">
        <v>4993</v>
      </c>
    </row>
    <row r="3783" spans="1:4" hidden="1" x14ac:dyDescent="0.3">
      <c r="A3783">
        <v>3781</v>
      </c>
      <c r="B3783" t="s">
        <v>4994</v>
      </c>
      <c r="C3783" t="s">
        <v>119</v>
      </c>
      <c r="D3783">
        <v>74132513.904836699</v>
      </c>
    </row>
    <row r="3784" spans="1:4" hidden="1" x14ac:dyDescent="0.3">
      <c r="A3784">
        <v>3782</v>
      </c>
      <c r="B3784" t="s">
        <v>4995</v>
      </c>
      <c r="C3784" t="s">
        <v>121</v>
      </c>
      <c r="D3784">
        <v>34485850.209436901</v>
      </c>
    </row>
    <row r="3785" spans="1:4" hidden="1" x14ac:dyDescent="0.3">
      <c r="A3785">
        <v>3783</v>
      </c>
      <c r="B3785" s="1" t="s">
        <v>4996</v>
      </c>
      <c r="C3785" t="s">
        <v>123</v>
      </c>
      <c r="D3785" s="1" t="s">
        <v>4997</v>
      </c>
    </row>
    <row r="3786" spans="1:4" hidden="1" x14ac:dyDescent="0.3">
      <c r="A3786">
        <v>3784</v>
      </c>
      <c r="B3786" t="s">
        <v>4998</v>
      </c>
      <c r="C3786" t="s">
        <v>126</v>
      </c>
      <c r="D3786">
        <v>0.71978584928693401</v>
      </c>
    </row>
    <row r="3787" spans="1:4" hidden="1" x14ac:dyDescent="0.3">
      <c r="A3787">
        <v>3785</v>
      </c>
      <c r="B3787" t="s">
        <v>4999</v>
      </c>
      <c r="C3787" t="s">
        <v>128</v>
      </c>
      <c r="D3787">
        <v>0.33483859745058597</v>
      </c>
    </row>
    <row r="3788" spans="1:4" hidden="1" x14ac:dyDescent="0.3">
      <c r="A3788">
        <v>3786</v>
      </c>
      <c r="B3788" s="1" t="s">
        <v>5000</v>
      </c>
      <c r="C3788" t="s">
        <v>130</v>
      </c>
      <c r="D3788" s="1" t="s">
        <v>5001</v>
      </c>
    </row>
    <row r="3789" spans="1:4" ht="72" x14ac:dyDescent="0.3">
      <c r="A3789">
        <v>3787</v>
      </c>
      <c r="B3789" s="1" t="s">
        <v>5002</v>
      </c>
      <c r="C3789" t="s">
        <v>4</v>
      </c>
      <c r="D3789" t="s">
        <v>5003</v>
      </c>
    </row>
    <row r="3790" spans="1:4" hidden="1" x14ac:dyDescent="0.3">
      <c r="A3790">
        <v>3788</v>
      </c>
      <c r="B3790" t="s">
        <v>5004</v>
      </c>
      <c r="C3790" t="s">
        <v>7</v>
      </c>
      <c r="D3790">
        <v>1665.11</v>
      </c>
    </row>
    <row r="3791" spans="1:4" hidden="1" x14ac:dyDescent="0.3">
      <c r="A3791">
        <v>3789</v>
      </c>
      <c r="B3791" s="1" t="s">
        <v>5005</v>
      </c>
      <c r="C3791" t="s">
        <v>9</v>
      </c>
      <c r="D3791" s="1" t="s">
        <v>5006</v>
      </c>
    </row>
    <row r="3792" spans="1:4" hidden="1" x14ac:dyDescent="0.3">
      <c r="A3792">
        <v>3790</v>
      </c>
      <c r="B3792" t="s">
        <v>5007</v>
      </c>
      <c r="C3792" t="s">
        <v>14</v>
      </c>
      <c r="D3792">
        <v>89.375</v>
      </c>
    </row>
    <row r="3793" spans="1:4" hidden="1" x14ac:dyDescent="0.3">
      <c r="A3793">
        <v>3791</v>
      </c>
      <c r="B3793" t="s">
        <v>5008</v>
      </c>
      <c r="C3793" t="s">
        <v>16</v>
      </c>
      <c r="D3793">
        <v>4.2511526949096696</v>
      </c>
    </row>
    <row r="3794" spans="1:4" hidden="1" x14ac:dyDescent="0.3">
      <c r="A3794">
        <v>3792</v>
      </c>
      <c r="B3794" s="1" t="s">
        <v>5009</v>
      </c>
      <c r="C3794" t="s">
        <v>140</v>
      </c>
      <c r="D3794" s="1" t="s">
        <v>5010</v>
      </c>
    </row>
    <row r="3795" spans="1:4" hidden="1" x14ac:dyDescent="0.3">
      <c r="A3795">
        <v>3793</v>
      </c>
      <c r="B3795" t="s">
        <v>5011</v>
      </c>
      <c r="C3795" t="s">
        <v>22</v>
      </c>
      <c r="D3795">
        <v>61.1</v>
      </c>
    </row>
    <row r="3796" spans="1:4" hidden="1" x14ac:dyDescent="0.3">
      <c r="A3796">
        <v>3794</v>
      </c>
      <c r="B3796" t="s">
        <v>5012</v>
      </c>
      <c r="C3796" t="s">
        <v>24</v>
      </c>
      <c r="D3796">
        <v>5.4505321333558401</v>
      </c>
    </row>
    <row r="3797" spans="1:4" hidden="1" x14ac:dyDescent="0.3">
      <c r="A3797">
        <v>3795</v>
      </c>
      <c r="B3797" s="1" t="s">
        <v>5013</v>
      </c>
      <c r="C3797" t="s">
        <v>145</v>
      </c>
      <c r="D3797" s="1" t="s">
        <v>5014</v>
      </c>
    </row>
    <row r="3798" spans="1:4" hidden="1" x14ac:dyDescent="0.3">
      <c r="A3798">
        <v>3796</v>
      </c>
      <c r="B3798" t="s">
        <v>5015</v>
      </c>
      <c r="C3798" t="s">
        <v>35</v>
      </c>
      <c r="D3798">
        <v>0.37805366228768</v>
      </c>
    </row>
    <row r="3799" spans="1:4" hidden="1" x14ac:dyDescent="0.3">
      <c r="A3799">
        <v>3797</v>
      </c>
      <c r="B3799" t="s">
        <v>5016</v>
      </c>
      <c r="C3799" t="s">
        <v>149</v>
      </c>
      <c r="D3799">
        <v>0.53412704388933996</v>
      </c>
    </row>
    <row r="3800" spans="1:4" hidden="1" x14ac:dyDescent="0.3">
      <c r="A3800">
        <v>3798</v>
      </c>
      <c r="B3800" s="1" t="s">
        <v>5017</v>
      </c>
      <c r="C3800" t="s">
        <v>151</v>
      </c>
      <c r="D3800" s="1" t="s">
        <v>5018</v>
      </c>
    </row>
    <row r="3801" spans="1:4" hidden="1" x14ac:dyDescent="0.3">
      <c r="A3801">
        <v>3799</v>
      </c>
      <c r="B3801" t="s">
        <v>5019</v>
      </c>
      <c r="C3801" t="s">
        <v>30</v>
      </c>
      <c r="D3801">
        <v>0.26337024006237197</v>
      </c>
    </row>
    <row r="3802" spans="1:4" hidden="1" x14ac:dyDescent="0.3">
      <c r="A3802">
        <v>3800</v>
      </c>
      <c r="B3802" t="s">
        <v>5020</v>
      </c>
      <c r="C3802" t="s">
        <v>32</v>
      </c>
      <c r="D3802">
        <v>0.42520442996567698</v>
      </c>
    </row>
    <row r="3803" spans="1:4" hidden="1" x14ac:dyDescent="0.3">
      <c r="A3803">
        <v>3801</v>
      </c>
      <c r="B3803" s="1" t="s">
        <v>5021</v>
      </c>
      <c r="C3803" t="s">
        <v>155</v>
      </c>
      <c r="D3803" s="1" t="s">
        <v>5022</v>
      </c>
    </row>
    <row r="3804" spans="1:4" hidden="1" x14ac:dyDescent="0.3">
      <c r="A3804">
        <v>3802</v>
      </c>
      <c r="B3804" t="s">
        <v>5023</v>
      </c>
      <c r="C3804" t="s">
        <v>40</v>
      </c>
      <c r="D3804">
        <v>0.35857609764994702</v>
      </c>
    </row>
    <row r="3805" spans="1:4" hidden="1" x14ac:dyDescent="0.3">
      <c r="A3805">
        <v>3803</v>
      </c>
      <c r="B3805" t="s">
        <v>5024</v>
      </c>
      <c r="C3805" t="s">
        <v>42</v>
      </c>
      <c r="D3805">
        <v>0.447009327866772</v>
      </c>
    </row>
    <row r="3806" spans="1:4" hidden="1" x14ac:dyDescent="0.3">
      <c r="A3806">
        <v>3804</v>
      </c>
      <c r="B3806" s="1" t="s">
        <v>5025</v>
      </c>
      <c r="C3806" t="s">
        <v>159</v>
      </c>
      <c r="D3806" s="1" t="s">
        <v>5026</v>
      </c>
    </row>
    <row r="3807" spans="1:4" hidden="1" x14ac:dyDescent="0.3">
      <c r="A3807">
        <v>3805</v>
      </c>
      <c r="B3807" t="s">
        <v>5027</v>
      </c>
      <c r="C3807" t="s">
        <v>161</v>
      </c>
      <c r="D3807">
        <v>0.981023024532792</v>
      </c>
    </row>
    <row r="3808" spans="1:4" hidden="1" x14ac:dyDescent="0.3">
      <c r="A3808">
        <v>3806</v>
      </c>
      <c r="B3808" t="s">
        <v>5028</v>
      </c>
      <c r="C3808" t="s">
        <v>163</v>
      </c>
      <c r="D3808">
        <v>0.99822479748998505</v>
      </c>
    </row>
    <row r="3809" spans="1:4" hidden="1" x14ac:dyDescent="0.3">
      <c r="A3809">
        <v>3807</v>
      </c>
      <c r="B3809" s="1" t="s">
        <v>5029</v>
      </c>
      <c r="C3809" t="s">
        <v>165</v>
      </c>
      <c r="D3809" s="1" t="s">
        <v>5030</v>
      </c>
    </row>
    <row r="3810" spans="1:4" hidden="1" x14ac:dyDescent="0.3">
      <c r="A3810">
        <v>3808</v>
      </c>
      <c r="B3810" t="s">
        <v>5031</v>
      </c>
      <c r="C3810" t="s">
        <v>168</v>
      </c>
      <c r="D3810">
        <v>1.00106548311713</v>
      </c>
    </row>
    <row r="3811" spans="1:4" hidden="1" x14ac:dyDescent="0.3">
      <c r="A3811">
        <v>3809</v>
      </c>
      <c r="B3811" t="s">
        <v>5032</v>
      </c>
      <c r="C3811" t="s">
        <v>170</v>
      </c>
      <c r="D3811">
        <v>0.99815883403220396</v>
      </c>
    </row>
    <row r="3812" spans="1:4" hidden="1" x14ac:dyDescent="0.3">
      <c r="A3812">
        <v>3810</v>
      </c>
      <c r="B3812" s="1" t="s">
        <v>5033</v>
      </c>
      <c r="C3812" t="s">
        <v>172</v>
      </c>
      <c r="D3812" s="1" t="s">
        <v>5034</v>
      </c>
    </row>
    <row r="3813" spans="1:4" hidden="1" x14ac:dyDescent="0.3">
      <c r="A3813">
        <v>3811</v>
      </c>
      <c r="B3813" s="1" t="s">
        <v>5035</v>
      </c>
      <c r="C3813" t="s">
        <v>55</v>
      </c>
      <c r="D3813" s="1" t="s">
        <v>5036</v>
      </c>
    </row>
    <row r="3814" spans="1:4" hidden="1" x14ac:dyDescent="0.3">
      <c r="A3814">
        <v>3812</v>
      </c>
      <c r="B3814" s="1" t="s">
        <v>5037</v>
      </c>
      <c r="C3814" t="s">
        <v>52</v>
      </c>
      <c r="D3814" s="1" t="s">
        <v>5038</v>
      </c>
    </row>
    <row r="3815" spans="1:4" hidden="1" x14ac:dyDescent="0.3">
      <c r="A3815">
        <v>3813</v>
      </c>
      <c r="B3815" s="1" t="s">
        <v>5039</v>
      </c>
      <c r="C3815" t="s">
        <v>58</v>
      </c>
      <c r="D3815" s="1" t="s">
        <v>5040</v>
      </c>
    </row>
    <row r="3816" spans="1:4" hidden="1" x14ac:dyDescent="0.3">
      <c r="A3816">
        <v>3814</v>
      </c>
      <c r="B3816" t="s">
        <v>5041</v>
      </c>
      <c r="C3816" t="s">
        <v>61</v>
      </c>
      <c r="D3816">
        <v>144715051.549615</v>
      </c>
    </row>
    <row r="3817" spans="1:4" hidden="1" x14ac:dyDescent="0.3">
      <c r="A3817">
        <v>3815</v>
      </c>
      <c r="B3817" t="s">
        <v>5042</v>
      </c>
      <c r="C3817" t="s">
        <v>63</v>
      </c>
      <c r="D3817">
        <v>72725703.007142201</v>
      </c>
    </row>
    <row r="3818" spans="1:4" hidden="1" x14ac:dyDescent="0.3">
      <c r="A3818">
        <v>3816</v>
      </c>
      <c r="B3818" t="s">
        <v>5043</v>
      </c>
      <c r="C3818" t="s">
        <v>65</v>
      </c>
      <c r="D3818">
        <v>34424630.841585197</v>
      </c>
    </row>
    <row r="3819" spans="1:4" hidden="1" x14ac:dyDescent="0.3">
      <c r="A3819">
        <v>3817</v>
      </c>
      <c r="B3819" s="1" t="s">
        <v>5044</v>
      </c>
      <c r="C3819" t="s">
        <v>67</v>
      </c>
      <c r="D3819" s="1" t="s">
        <v>5045</v>
      </c>
    </row>
    <row r="3820" spans="1:4" hidden="1" x14ac:dyDescent="0.3">
      <c r="A3820">
        <v>3818</v>
      </c>
      <c r="B3820" s="1" t="s">
        <v>5046</v>
      </c>
      <c r="C3820" t="s">
        <v>70</v>
      </c>
      <c r="D3820" s="1" t="s">
        <v>5047</v>
      </c>
    </row>
    <row r="3821" spans="1:4" hidden="1" x14ac:dyDescent="0.3">
      <c r="A3821">
        <v>3819</v>
      </c>
      <c r="B3821" t="s">
        <v>5048</v>
      </c>
      <c r="C3821" t="s">
        <v>73</v>
      </c>
      <c r="D3821">
        <v>0.99973899538382804</v>
      </c>
    </row>
    <row r="3822" spans="1:4" hidden="1" x14ac:dyDescent="0.3">
      <c r="A3822">
        <v>3820</v>
      </c>
      <c r="B3822" t="s">
        <v>74</v>
      </c>
      <c r="C3822" t="s">
        <v>75</v>
      </c>
      <c r="D3822">
        <v>2.7397260273972599E-3</v>
      </c>
    </row>
    <row r="3823" spans="1:4" hidden="1" x14ac:dyDescent="0.3">
      <c r="A3823">
        <v>3821</v>
      </c>
      <c r="B3823" t="s">
        <v>76</v>
      </c>
      <c r="C3823" t="s">
        <v>77</v>
      </c>
      <c r="D3823">
        <v>0</v>
      </c>
    </row>
    <row r="3824" spans="1:4" hidden="1" x14ac:dyDescent="0.3">
      <c r="A3824">
        <v>3822</v>
      </c>
      <c r="B3824" t="s">
        <v>78</v>
      </c>
      <c r="C3824" t="s">
        <v>79</v>
      </c>
      <c r="D3824">
        <v>0</v>
      </c>
    </row>
    <row r="3825" spans="1:4" hidden="1" x14ac:dyDescent="0.3">
      <c r="A3825">
        <v>3823</v>
      </c>
      <c r="B3825" s="1" t="s">
        <v>5049</v>
      </c>
      <c r="C3825" t="s">
        <v>81</v>
      </c>
      <c r="D3825" s="1" t="s">
        <v>5050</v>
      </c>
    </row>
    <row r="3826" spans="1:4" hidden="1" x14ac:dyDescent="0.3">
      <c r="A3826">
        <v>3824</v>
      </c>
      <c r="B3826" t="s">
        <v>5051</v>
      </c>
      <c r="C3826" t="s">
        <v>84</v>
      </c>
      <c r="D3826">
        <v>0.99971868353687698</v>
      </c>
    </row>
    <row r="3827" spans="1:4" hidden="1" x14ac:dyDescent="0.3">
      <c r="A3827">
        <v>3825</v>
      </c>
      <c r="B3827" s="1" t="s">
        <v>5052</v>
      </c>
      <c r="C3827" t="s">
        <v>86</v>
      </c>
      <c r="D3827" s="1" t="s">
        <v>5053</v>
      </c>
    </row>
    <row r="3828" spans="1:4" hidden="1" x14ac:dyDescent="0.3">
      <c r="A3828">
        <v>3826</v>
      </c>
      <c r="B3828" t="s">
        <v>5054</v>
      </c>
      <c r="C3828" t="s">
        <v>89</v>
      </c>
      <c r="D3828">
        <v>103022395.59044001</v>
      </c>
    </row>
    <row r="3829" spans="1:4" hidden="1" x14ac:dyDescent="0.3">
      <c r="A3829">
        <v>3827</v>
      </c>
      <c r="B3829" s="1" t="s">
        <v>5055</v>
      </c>
      <c r="C3829" t="s">
        <v>91</v>
      </c>
      <c r="D3829" s="1" t="s">
        <v>4989</v>
      </c>
    </row>
    <row r="3830" spans="1:4" hidden="1" x14ac:dyDescent="0.3">
      <c r="A3830">
        <v>3828</v>
      </c>
      <c r="B3830" t="s">
        <v>5056</v>
      </c>
      <c r="C3830" t="s">
        <v>94</v>
      </c>
      <c r="D3830">
        <v>72725703.007142201</v>
      </c>
    </row>
    <row r="3831" spans="1:4" hidden="1" x14ac:dyDescent="0.3">
      <c r="A3831">
        <v>3829</v>
      </c>
      <c r="B3831" t="s">
        <v>5057</v>
      </c>
      <c r="C3831" t="s">
        <v>96</v>
      </c>
      <c r="D3831">
        <v>34424630.841585197</v>
      </c>
    </row>
    <row r="3832" spans="1:4" hidden="1" x14ac:dyDescent="0.3">
      <c r="A3832">
        <v>3830</v>
      </c>
      <c r="B3832" t="s">
        <v>5058</v>
      </c>
      <c r="C3832" t="s">
        <v>98</v>
      </c>
      <c r="D3832">
        <v>37564717.700887598</v>
      </c>
    </row>
    <row r="3833" spans="1:4" hidden="1" x14ac:dyDescent="0.3">
      <c r="A3833">
        <v>3831</v>
      </c>
      <c r="B3833" s="1" t="s">
        <v>5059</v>
      </c>
      <c r="C3833" t="s">
        <v>100</v>
      </c>
      <c r="D3833" s="1" t="s">
        <v>5060</v>
      </c>
    </row>
    <row r="3834" spans="1:4" hidden="1" x14ac:dyDescent="0.3">
      <c r="A3834">
        <v>3832</v>
      </c>
      <c r="B3834" t="s">
        <v>5061</v>
      </c>
      <c r="C3834" t="s">
        <v>103</v>
      </c>
      <c r="D3834">
        <v>8.6637830941102608E-3</v>
      </c>
    </row>
    <row r="3835" spans="1:4" hidden="1" x14ac:dyDescent="0.3">
      <c r="A3835">
        <v>3833</v>
      </c>
      <c r="B3835" t="s">
        <v>5062</v>
      </c>
      <c r="C3835" t="s">
        <v>105</v>
      </c>
      <c r="D3835">
        <v>3.1444430776157001E-3</v>
      </c>
    </row>
    <row r="3836" spans="1:4" hidden="1" x14ac:dyDescent="0.3">
      <c r="A3836">
        <v>3834</v>
      </c>
      <c r="B3836" t="s">
        <v>5063</v>
      </c>
      <c r="C3836" t="s">
        <v>107</v>
      </c>
      <c r="D3836">
        <v>1.1240398622100901E-2</v>
      </c>
    </row>
    <row r="3837" spans="1:4" hidden="1" x14ac:dyDescent="0.3">
      <c r="A3837">
        <v>3835</v>
      </c>
      <c r="B3837" s="1" t="s">
        <v>5064</v>
      </c>
      <c r="C3837" t="s">
        <v>109</v>
      </c>
      <c r="D3837" s="1" t="s">
        <v>5065</v>
      </c>
    </row>
    <row r="3838" spans="1:4" hidden="1" x14ac:dyDescent="0.3">
      <c r="A3838">
        <v>3836</v>
      </c>
      <c r="B3838" t="s">
        <v>5066</v>
      </c>
      <c r="C3838" t="s">
        <v>208</v>
      </c>
      <c r="D3838">
        <v>144714338.23711199</v>
      </c>
    </row>
    <row r="3839" spans="1:4" hidden="1" x14ac:dyDescent="0.3">
      <c r="A3839">
        <v>3837</v>
      </c>
      <c r="B3839" t="s">
        <v>5067</v>
      </c>
      <c r="C3839" t="s">
        <v>210</v>
      </c>
      <c r="D3839">
        <v>1477.5696749936999</v>
      </c>
    </row>
    <row r="3840" spans="1:4" hidden="1" x14ac:dyDescent="0.3">
      <c r="A3840">
        <v>3838</v>
      </c>
      <c r="B3840" t="s">
        <v>5068</v>
      </c>
      <c r="C3840" t="s">
        <v>212</v>
      </c>
      <c r="D3840">
        <v>699.40795008746204</v>
      </c>
    </row>
    <row r="3841" spans="1:4" hidden="1" x14ac:dyDescent="0.3">
      <c r="A3841">
        <v>3839</v>
      </c>
      <c r="B3841" s="1" t="s">
        <v>5069</v>
      </c>
      <c r="C3841" t="s">
        <v>214</v>
      </c>
      <c r="D3841" s="1" t="s">
        <v>5070</v>
      </c>
    </row>
    <row r="3842" spans="1:4" hidden="1" x14ac:dyDescent="0.3">
      <c r="A3842">
        <v>3840</v>
      </c>
      <c r="B3842" t="s">
        <v>5071</v>
      </c>
      <c r="C3842" t="s">
        <v>217</v>
      </c>
      <c r="D3842">
        <v>72723766.275974095</v>
      </c>
    </row>
    <row r="3843" spans="1:4" hidden="1" x14ac:dyDescent="0.3">
      <c r="A3843">
        <v>3841</v>
      </c>
      <c r="B3843" t="s">
        <v>5072</v>
      </c>
      <c r="C3843" t="s">
        <v>219</v>
      </c>
      <c r="D3843">
        <v>34423811.719021298</v>
      </c>
    </row>
    <row r="3844" spans="1:4" hidden="1" x14ac:dyDescent="0.3">
      <c r="A3844">
        <v>3842</v>
      </c>
      <c r="B3844" t="s">
        <v>5073</v>
      </c>
      <c r="C3844" t="s">
        <v>221</v>
      </c>
      <c r="D3844">
        <v>37563820.059225798</v>
      </c>
    </row>
    <row r="3845" spans="1:4" hidden="1" x14ac:dyDescent="0.3">
      <c r="A3845">
        <v>3843</v>
      </c>
      <c r="B3845" s="1" t="s">
        <v>5074</v>
      </c>
      <c r="C3845" t="s">
        <v>223</v>
      </c>
      <c r="D3845" s="1" t="s">
        <v>5075</v>
      </c>
    </row>
    <row r="3846" spans="1:4" hidden="1" x14ac:dyDescent="0.3">
      <c r="A3846">
        <v>3844</v>
      </c>
      <c r="B3846" t="s">
        <v>5076</v>
      </c>
      <c r="C3846" t="s">
        <v>226</v>
      </c>
      <c r="D3846">
        <v>103020302.46899299</v>
      </c>
    </row>
    <row r="3847" spans="1:4" hidden="1" x14ac:dyDescent="0.3">
      <c r="A3847">
        <v>3845</v>
      </c>
      <c r="B3847" t="s">
        <v>5077</v>
      </c>
      <c r="C3847" t="s">
        <v>228</v>
      </c>
      <c r="D3847">
        <v>2093.1214461475602</v>
      </c>
    </row>
    <row r="3848" spans="1:4" hidden="1" x14ac:dyDescent="0.3">
      <c r="A3848">
        <v>3846</v>
      </c>
      <c r="B3848" s="1" t="s">
        <v>5078</v>
      </c>
      <c r="C3848" t="s">
        <v>230</v>
      </c>
      <c r="D3848" s="1" t="s">
        <v>5079</v>
      </c>
    </row>
    <row r="3849" spans="1:4" hidden="1" x14ac:dyDescent="0.3">
      <c r="A3849">
        <v>3847</v>
      </c>
      <c r="B3849" t="s">
        <v>5080</v>
      </c>
      <c r="C3849" t="s">
        <v>112</v>
      </c>
      <c r="D3849">
        <v>-459.16149309104298</v>
      </c>
    </row>
    <row r="3850" spans="1:4" hidden="1" x14ac:dyDescent="0.3">
      <c r="A3850">
        <v>3848</v>
      </c>
      <c r="B3850" t="s">
        <v>5081</v>
      </c>
      <c r="C3850" t="s">
        <v>114</v>
      </c>
      <c r="D3850">
        <v>-119.714613767758</v>
      </c>
    </row>
    <row r="3851" spans="1:4" hidden="1" x14ac:dyDescent="0.3">
      <c r="A3851">
        <v>3849</v>
      </c>
      <c r="B3851" s="1" t="s">
        <v>5082</v>
      </c>
      <c r="C3851" t="s">
        <v>116</v>
      </c>
      <c r="D3851" s="1" t="s">
        <v>5083</v>
      </c>
    </row>
    <row r="3852" spans="1:4" hidden="1" x14ac:dyDescent="0.3">
      <c r="A3852">
        <v>3850</v>
      </c>
      <c r="B3852" t="s">
        <v>5084</v>
      </c>
      <c r="C3852" t="s">
        <v>119</v>
      </c>
      <c r="D3852">
        <v>72723766.275974095</v>
      </c>
    </row>
    <row r="3853" spans="1:4" hidden="1" x14ac:dyDescent="0.3">
      <c r="A3853">
        <v>3851</v>
      </c>
      <c r="B3853" t="s">
        <v>5085</v>
      </c>
      <c r="C3853" t="s">
        <v>121</v>
      </c>
      <c r="D3853">
        <v>34423811.719021298</v>
      </c>
    </row>
    <row r="3854" spans="1:4" hidden="1" x14ac:dyDescent="0.3">
      <c r="A3854">
        <v>3852</v>
      </c>
      <c r="B3854" s="1" t="s">
        <v>5086</v>
      </c>
      <c r="C3854" t="s">
        <v>123</v>
      </c>
      <c r="D3854" s="1" t="s">
        <v>5087</v>
      </c>
    </row>
    <row r="3855" spans="1:4" hidden="1" x14ac:dyDescent="0.3">
      <c r="A3855">
        <v>3853</v>
      </c>
      <c r="B3855" t="s">
        <v>5088</v>
      </c>
      <c r="C3855" t="s">
        <v>126</v>
      </c>
      <c r="D3855">
        <v>0.70611548095079502</v>
      </c>
    </row>
    <row r="3856" spans="1:4" hidden="1" x14ac:dyDescent="0.3">
      <c r="A3856">
        <v>3854</v>
      </c>
      <c r="B3856" t="s">
        <v>5089</v>
      </c>
      <c r="C3856" t="s">
        <v>128</v>
      </c>
      <c r="D3856">
        <v>0.33423992750725801</v>
      </c>
    </row>
    <row r="3857" spans="1:4" hidden="1" x14ac:dyDescent="0.3">
      <c r="A3857">
        <v>3855</v>
      </c>
      <c r="B3857" s="1" t="s">
        <v>5090</v>
      </c>
      <c r="C3857" t="s">
        <v>130</v>
      </c>
      <c r="D3857" s="1" t="s">
        <v>5091</v>
      </c>
    </row>
    <row r="3858" spans="1:4" ht="72" x14ac:dyDescent="0.3">
      <c r="A3858">
        <v>3856</v>
      </c>
      <c r="B3858" s="1" t="s">
        <v>5092</v>
      </c>
      <c r="C3858" t="s">
        <v>4</v>
      </c>
      <c r="D3858" t="s">
        <v>5093</v>
      </c>
    </row>
    <row r="3859" spans="1:4" hidden="1" x14ac:dyDescent="0.3">
      <c r="A3859">
        <v>3857</v>
      </c>
      <c r="B3859" t="s">
        <v>5094</v>
      </c>
      <c r="C3859" t="s">
        <v>7</v>
      </c>
      <c r="D3859">
        <v>1675.06</v>
      </c>
    </row>
    <row r="3860" spans="1:4" hidden="1" x14ac:dyDescent="0.3">
      <c r="A3860">
        <v>3858</v>
      </c>
      <c r="B3860" s="1" t="s">
        <v>5095</v>
      </c>
      <c r="C3860" t="s">
        <v>9</v>
      </c>
      <c r="D3860" s="1" t="s">
        <v>5096</v>
      </c>
    </row>
    <row r="3861" spans="1:4" hidden="1" x14ac:dyDescent="0.3">
      <c r="A3861">
        <v>3859</v>
      </c>
      <c r="B3861" t="s">
        <v>5097</v>
      </c>
      <c r="C3861" t="s">
        <v>14</v>
      </c>
      <c r="D3861">
        <v>89.4921875</v>
      </c>
    </row>
    <row r="3862" spans="1:4" hidden="1" x14ac:dyDescent="0.3">
      <c r="A3862">
        <v>3860</v>
      </c>
      <c r="B3862" t="s">
        <v>5098</v>
      </c>
      <c r="C3862" t="s">
        <v>16</v>
      </c>
      <c r="D3862">
        <v>4.2508269965304297</v>
      </c>
    </row>
    <row r="3863" spans="1:4" hidden="1" x14ac:dyDescent="0.3">
      <c r="A3863">
        <v>3861</v>
      </c>
      <c r="B3863" s="1" t="s">
        <v>5099</v>
      </c>
      <c r="C3863" t="s">
        <v>140</v>
      </c>
      <c r="D3863" s="1" t="s">
        <v>5100</v>
      </c>
    </row>
    <row r="3864" spans="1:4" hidden="1" x14ac:dyDescent="0.3">
      <c r="A3864">
        <v>3862</v>
      </c>
      <c r="B3864" t="s">
        <v>5101</v>
      </c>
      <c r="C3864" t="s">
        <v>22</v>
      </c>
      <c r="D3864">
        <v>61.65</v>
      </c>
    </row>
    <row r="3865" spans="1:4" hidden="1" x14ac:dyDescent="0.3">
      <c r="A3865">
        <v>3863</v>
      </c>
      <c r="B3865" t="s">
        <v>5102</v>
      </c>
      <c r="C3865" t="s">
        <v>24</v>
      </c>
      <c r="D3865">
        <v>5.4458730538189002</v>
      </c>
    </row>
    <row r="3866" spans="1:4" hidden="1" x14ac:dyDescent="0.3">
      <c r="A3866">
        <v>3864</v>
      </c>
      <c r="B3866" s="1" t="s">
        <v>5103</v>
      </c>
      <c r="C3866" t="s">
        <v>145</v>
      </c>
      <c r="D3866" s="1" t="s">
        <v>5104</v>
      </c>
    </row>
    <row r="3867" spans="1:4" hidden="1" x14ac:dyDescent="0.3">
      <c r="A3867">
        <v>3865</v>
      </c>
      <c r="B3867" t="s">
        <v>5105</v>
      </c>
      <c r="C3867" t="s">
        <v>35</v>
      </c>
      <c r="D3867">
        <v>0.49882941211369403</v>
      </c>
    </row>
    <row r="3868" spans="1:4" hidden="1" x14ac:dyDescent="0.3">
      <c r="A3868">
        <v>3866</v>
      </c>
      <c r="B3868" t="s">
        <v>5106</v>
      </c>
      <c r="C3868" t="s">
        <v>149</v>
      </c>
      <c r="D3868">
        <v>0.540719344247517</v>
      </c>
    </row>
    <row r="3869" spans="1:4" hidden="1" x14ac:dyDescent="0.3">
      <c r="A3869">
        <v>3867</v>
      </c>
      <c r="B3869" s="1" t="s">
        <v>5107</v>
      </c>
      <c r="C3869" t="s">
        <v>151</v>
      </c>
      <c r="D3869" s="1" t="s">
        <v>5108</v>
      </c>
    </row>
    <row r="3870" spans="1:4" hidden="1" x14ac:dyDescent="0.3">
      <c r="A3870">
        <v>3868</v>
      </c>
      <c r="B3870" t="s">
        <v>5109</v>
      </c>
      <c r="C3870" t="s">
        <v>30</v>
      </c>
      <c r="D3870">
        <v>0.214220514713476</v>
      </c>
    </row>
    <row r="3871" spans="1:4" hidden="1" x14ac:dyDescent="0.3">
      <c r="A3871">
        <v>3869</v>
      </c>
      <c r="B3871" t="s">
        <v>5110</v>
      </c>
      <c r="C3871" t="s">
        <v>32</v>
      </c>
      <c r="D3871">
        <v>0.41320511919428698</v>
      </c>
    </row>
    <row r="3872" spans="1:4" hidden="1" x14ac:dyDescent="0.3">
      <c r="A3872">
        <v>3870</v>
      </c>
      <c r="B3872" s="1" t="s">
        <v>5111</v>
      </c>
      <c r="C3872" t="s">
        <v>155</v>
      </c>
      <c r="D3872" s="1" t="s">
        <v>5112</v>
      </c>
    </row>
    <row r="3873" spans="1:4" hidden="1" x14ac:dyDescent="0.3">
      <c r="A3873">
        <v>3871</v>
      </c>
      <c r="B3873" t="s">
        <v>5113</v>
      </c>
      <c r="C3873" t="s">
        <v>40</v>
      </c>
      <c r="D3873">
        <v>0.286950073172828</v>
      </c>
    </row>
    <row r="3874" spans="1:4" hidden="1" x14ac:dyDescent="0.3">
      <c r="A3874">
        <v>3872</v>
      </c>
      <c r="B3874" t="s">
        <v>5114</v>
      </c>
      <c r="C3874" t="s">
        <v>42</v>
      </c>
      <c r="D3874">
        <v>0.43618312747854499</v>
      </c>
    </row>
    <row r="3875" spans="1:4" hidden="1" x14ac:dyDescent="0.3">
      <c r="A3875">
        <v>3873</v>
      </c>
      <c r="B3875" s="1" t="s">
        <v>5115</v>
      </c>
      <c r="C3875" t="s">
        <v>159</v>
      </c>
      <c r="D3875" s="1" t="s">
        <v>5116</v>
      </c>
    </row>
    <row r="3876" spans="1:4" hidden="1" x14ac:dyDescent="0.3">
      <c r="A3876">
        <v>3874</v>
      </c>
      <c r="B3876" t="s">
        <v>5117</v>
      </c>
      <c r="C3876" t="s">
        <v>161</v>
      </c>
      <c r="D3876">
        <v>1.0059755811928299</v>
      </c>
    </row>
    <row r="3877" spans="1:4" hidden="1" x14ac:dyDescent="0.3">
      <c r="A3877">
        <v>3875</v>
      </c>
      <c r="B3877" t="s">
        <v>5118</v>
      </c>
      <c r="C3877" t="s">
        <v>163</v>
      </c>
      <c r="D3877">
        <v>1.00124817477015</v>
      </c>
    </row>
    <row r="3878" spans="1:4" hidden="1" x14ac:dyDescent="0.3">
      <c r="A3878">
        <v>3876</v>
      </c>
      <c r="B3878" s="1" t="s">
        <v>5119</v>
      </c>
      <c r="C3878" t="s">
        <v>165</v>
      </c>
      <c r="D3878" s="1" t="s">
        <v>5120</v>
      </c>
    </row>
    <row r="3879" spans="1:4" hidden="1" x14ac:dyDescent="0.3">
      <c r="A3879">
        <v>3877</v>
      </c>
      <c r="B3879" t="s">
        <v>5121</v>
      </c>
      <c r="C3879" t="s">
        <v>168</v>
      </c>
      <c r="D3879">
        <v>1.0042971019802001</v>
      </c>
    </row>
    <row r="3880" spans="1:4" hidden="1" x14ac:dyDescent="0.3">
      <c r="A3880">
        <v>3878</v>
      </c>
      <c r="B3880" t="s">
        <v>5122</v>
      </c>
      <c r="C3880" t="s">
        <v>170</v>
      </c>
      <c r="D3880">
        <v>0.99158063887601</v>
      </c>
    </row>
    <row r="3881" spans="1:4" hidden="1" x14ac:dyDescent="0.3">
      <c r="A3881">
        <v>3879</v>
      </c>
      <c r="B3881" s="1" t="s">
        <v>5123</v>
      </c>
      <c r="C3881" t="s">
        <v>172</v>
      </c>
      <c r="D3881" s="1" t="s">
        <v>5124</v>
      </c>
    </row>
    <row r="3882" spans="1:4" hidden="1" x14ac:dyDescent="0.3">
      <c r="A3882">
        <v>3880</v>
      </c>
      <c r="B3882" s="1" t="s">
        <v>5125</v>
      </c>
      <c r="C3882" t="s">
        <v>55</v>
      </c>
      <c r="D3882" s="1" t="s">
        <v>5126</v>
      </c>
    </row>
    <row r="3883" spans="1:4" hidden="1" x14ac:dyDescent="0.3">
      <c r="A3883">
        <v>3881</v>
      </c>
      <c r="B3883" s="1" t="s">
        <v>5127</v>
      </c>
      <c r="C3883" t="s">
        <v>52</v>
      </c>
      <c r="D3883" s="1" t="s">
        <v>5128</v>
      </c>
    </row>
    <row r="3884" spans="1:4" hidden="1" x14ac:dyDescent="0.3">
      <c r="A3884">
        <v>3882</v>
      </c>
      <c r="B3884" s="1" t="s">
        <v>5129</v>
      </c>
      <c r="C3884" t="s">
        <v>58</v>
      </c>
      <c r="D3884" s="1" t="s">
        <v>5130</v>
      </c>
    </row>
    <row r="3885" spans="1:4" hidden="1" x14ac:dyDescent="0.3">
      <c r="A3885">
        <v>3883</v>
      </c>
      <c r="B3885" t="s">
        <v>5131</v>
      </c>
      <c r="C3885" t="s">
        <v>61</v>
      </c>
      <c r="D3885">
        <v>145496744.29562199</v>
      </c>
    </row>
    <row r="3886" spans="1:4" hidden="1" x14ac:dyDescent="0.3">
      <c r="A3886">
        <v>3884</v>
      </c>
      <c r="B3886" t="s">
        <v>5132</v>
      </c>
      <c r="C3886" t="s">
        <v>63</v>
      </c>
      <c r="D3886">
        <v>73158333.046004906</v>
      </c>
    </row>
    <row r="3887" spans="1:4" hidden="1" x14ac:dyDescent="0.3">
      <c r="A3887">
        <v>3885</v>
      </c>
      <c r="B3887" t="s">
        <v>5133</v>
      </c>
      <c r="C3887" t="s">
        <v>65</v>
      </c>
      <c r="D3887">
        <v>34466778.652301699</v>
      </c>
    </row>
    <row r="3888" spans="1:4" hidden="1" x14ac:dyDescent="0.3">
      <c r="A3888">
        <v>3886</v>
      </c>
      <c r="B3888" s="1" t="s">
        <v>5134</v>
      </c>
      <c r="C3888" t="s">
        <v>67</v>
      </c>
      <c r="D3888" s="1" t="s">
        <v>5135</v>
      </c>
    </row>
    <row r="3889" spans="1:4" hidden="1" x14ac:dyDescent="0.3">
      <c r="A3889">
        <v>3887</v>
      </c>
      <c r="B3889" s="1" t="s">
        <v>5136</v>
      </c>
      <c r="C3889" t="s">
        <v>70</v>
      </c>
      <c r="D3889" s="1" t="s">
        <v>5137</v>
      </c>
    </row>
    <row r="3890" spans="1:4" hidden="1" x14ac:dyDescent="0.3">
      <c r="A3890">
        <v>3888</v>
      </c>
      <c r="B3890" t="s">
        <v>5138</v>
      </c>
      <c r="C3890" t="s">
        <v>73</v>
      </c>
      <c r="D3890">
        <v>0.99971868353687698</v>
      </c>
    </row>
    <row r="3891" spans="1:4" hidden="1" x14ac:dyDescent="0.3">
      <c r="A3891">
        <v>3889</v>
      </c>
      <c r="B3891" t="s">
        <v>74</v>
      </c>
      <c r="C3891" t="s">
        <v>75</v>
      </c>
      <c r="D3891">
        <v>2.7397260273972599E-3</v>
      </c>
    </row>
    <row r="3892" spans="1:4" hidden="1" x14ac:dyDescent="0.3">
      <c r="A3892">
        <v>3890</v>
      </c>
      <c r="B3892" t="s">
        <v>76</v>
      </c>
      <c r="C3892" t="s">
        <v>77</v>
      </c>
      <c r="D3892">
        <v>0</v>
      </c>
    </row>
    <row r="3893" spans="1:4" hidden="1" x14ac:dyDescent="0.3">
      <c r="A3893">
        <v>3891</v>
      </c>
      <c r="B3893" t="s">
        <v>78</v>
      </c>
      <c r="C3893" t="s">
        <v>79</v>
      </c>
      <c r="D3893">
        <v>0</v>
      </c>
    </row>
    <row r="3894" spans="1:4" hidden="1" x14ac:dyDescent="0.3">
      <c r="A3894">
        <v>3892</v>
      </c>
      <c r="B3894" s="1" t="s">
        <v>5139</v>
      </c>
      <c r="C3894" t="s">
        <v>81</v>
      </c>
      <c r="D3894" s="1" t="s">
        <v>5140</v>
      </c>
    </row>
    <row r="3895" spans="1:4" hidden="1" x14ac:dyDescent="0.3">
      <c r="A3895">
        <v>3893</v>
      </c>
      <c r="B3895" t="s">
        <v>5141</v>
      </c>
      <c r="C3895" t="s">
        <v>84</v>
      </c>
      <c r="D3895">
        <v>0.99970893078512701</v>
      </c>
    </row>
    <row r="3896" spans="1:4" hidden="1" x14ac:dyDescent="0.3">
      <c r="A3896">
        <v>3894</v>
      </c>
      <c r="B3896" s="1" t="s">
        <v>5142</v>
      </c>
      <c r="C3896" t="s">
        <v>86</v>
      </c>
      <c r="D3896" s="1" t="s">
        <v>5143</v>
      </c>
    </row>
    <row r="3897" spans="1:4" hidden="1" x14ac:dyDescent="0.3">
      <c r="A3897">
        <v>3895</v>
      </c>
      <c r="B3897" t="s">
        <v>5144</v>
      </c>
      <c r="C3897" t="s">
        <v>89</v>
      </c>
      <c r="D3897">
        <v>103023400.634826</v>
      </c>
    </row>
    <row r="3898" spans="1:4" hidden="1" x14ac:dyDescent="0.3">
      <c r="A3898">
        <v>3896</v>
      </c>
      <c r="B3898" s="1" t="s">
        <v>5145</v>
      </c>
      <c r="C3898" t="s">
        <v>91</v>
      </c>
      <c r="D3898" s="1" t="s">
        <v>5079</v>
      </c>
    </row>
    <row r="3899" spans="1:4" hidden="1" x14ac:dyDescent="0.3">
      <c r="A3899">
        <v>3897</v>
      </c>
      <c r="B3899" t="s">
        <v>5146</v>
      </c>
      <c r="C3899" t="s">
        <v>94</v>
      </c>
      <c r="D3899">
        <v>73158333.046004906</v>
      </c>
    </row>
    <row r="3900" spans="1:4" hidden="1" x14ac:dyDescent="0.3">
      <c r="A3900">
        <v>3898</v>
      </c>
      <c r="B3900" t="s">
        <v>5147</v>
      </c>
      <c r="C3900" t="s">
        <v>96</v>
      </c>
      <c r="D3900">
        <v>34466778.652301699</v>
      </c>
    </row>
    <row r="3901" spans="1:4" hidden="1" x14ac:dyDescent="0.3">
      <c r="A3901">
        <v>3899</v>
      </c>
      <c r="B3901" t="s">
        <v>5148</v>
      </c>
      <c r="C3901" t="s">
        <v>98</v>
      </c>
      <c r="D3901">
        <v>37871632.597315803</v>
      </c>
    </row>
    <row r="3902" spans="1:4" hidden="1" x14ac:dyDescent="0.3">
      <c r="A3902">
        <v>3900</v>
      </c>
      <c r="B3902" s="1" t="s">
        <v>5149</v>
      </c>
      <c r="C3902" t="s">
        <v>100</v>
      </c>
      <c r="D3902" s="1" t="s">
        <v>5150</v>
      </c>
    </row>
    <row r="3903" spans="1:4" hidden="1" x14ac:dyDescent="0.3">
      <c r="A3903">
        <v>3901</v>
      </c>
      <c r="B3903" t="s">
        <v>5151</v>
      </c>
      <c r="C3903" t="s">
        <v>103</v>
      </c>
      <c r="D3903">
        <v>8.7780816723004706E-3</v>
      </c>
    </row>
    <row r="3904" spans="1:4" hidden="1" x14ac:dyDescent="0.3">
      <c r="A3904">
        <v>3902</v>
      </c>
      <c r="B3904" t="s">
        <v>5152</v>
      </c>
      <c r="C3904" t="s">
        <v>105</v>
      </c>
      <c r="D3904">
        <v>3.1127593291665001E-3</v>
      </c>
    </row>
    <row r="3905" spans="1:4" hidden="1" x14ac:dyDescent="0.3">
      <c r="A3905">
        <v>3903</v>
      </c>
      <c r="B3905" t="s">
        <v>5153</v>
      </c>
      <c r="C3905" t="s">
        <v>107</v>
      </c>
      <c r="D3905">
        <v>1.1025671815901E-2</v>
      </c>
    </row>
    <row r="3906" spans="1:4" hidden="1" x14ac:dyDescent="0.3">
      <c r="A3906">
        <v>3904</v>
      </c>
      <c r="B3906" s="1" t="s">
        <v>5154</v>
      </c>
      <c r="C3906" t="s">
        <v>109</v>
      </c>
      <c r="D3906" s="1" t="s">
        <v>5155</v>
      </c>
    </row>
    <row r="3907" spans="1:4" hidden="1" x14ac:dyDescent="0.3">
      <c r="A3907">
        <v>3905</v>
      </c>
      <c r="B3907" t="s">
        <v>5156</v>
      </c>
      <c r="C3907" t="s">
        <v>208</v>
      </c>
      <c r="D3907">
        <v>145496401.106278</v>
      </c>
    </row>
    <row r="3908" spans="1:4" hidden="1" x14ac:dyDescent="0.3">
      <c r="A3908">
        <v>3906</v>
      </c>
      <c r="B3908" t="s">
        <v>5157</v>
      </c>
      <c r="C3908" t="s">
        <v>210</v>
      </c>
      <c r="D3908">
        <v>713.69353812030704</v>
      </c>
    </row>
    <row r="3909" spans="1:4" hidden="1" x14ac:dyDescent="0.3">
      <c r="A3909">
        <v>3907</v>
      </c>
      <c r="B3909" t="s">
        <v>5158</v>
      </c>
      <c r="C3909" t="s">
        <v>212</v>
      </c>
      <c r="D3909">
        <v>336.24014060302301</v>
      </c>
    </row>
    <row r="3910" spans="1:4" hidden="1" x14ac:dyDescent="0.3">
      <c r="A3910">
        <v>3908</v>
      </c>
      <c r="B3910" s="1" t="s">
        <v>5159</v>
      </c>
      <c r="C3910" t="s">
        <v>214</v>
      </c>
      <c r="D3910" s="1" t="s">
        <v>5160</v>
      </c>
    </row>
    <row r="3911" spans="1:4" hidden="1" x14ac:dyDescent="0.3">
      <c r="A3911">
        <v>3909</v>
      </c>
      <c r="B3911" t="s">
        <v>5161</v>
      </c>
      <c r="C3911" t="s">
        <v>217</v>
      </c>
      <c r="D3911">
        <v>73157383.907449707</v>
      </c>
    </row>
    <row r="3912" spans="1:4" hidden="1" x14ac:dyDescent="0.3">
      <c r="A3912">
        <v>3910</v>
      </c>
      <c r="B3912" t="s">
        <v>5162</v>
      </c>
      <c r="C3912" t="s">
        <v>219</v>
      </c>
      <c r="D3912">
        <v>34466402.926915303</v>
      </c>
    </row>
    <row r="3913" spans="1:4" hidden="1" x14ac:dyDescent="0.3">
      <c r="A3913">
        <v>3911</v>
      </c>
      <c r="B3913" t="s">
        <v>5163</v>
      </c>
      <c r="C3913" t="s">
        <v>221</v>
      </c>
      <c r="D3913">
        <v>37871194.882335298</v>
      </c>
    </row>
    <row r="3914" spans="1:4" hidden="1" x14ac:dyDescent="0.3">
      <c r="A3914">
        <v>3912</v>
      </c>
      <c r="B3914" s="1" t="s">
        <v>5164</v>
      </c>
      <c r="C3914" t="s">
        <v>223</v>
      </c>
      <c r="D3914" s="1" t="s">
        <v>5165</v>
      </c>
    </row>
    <row r="3915" spans="1:4" hidden="1" x14ac:dyDescent="0.3">
      <c r="A3915">
        <v>3913</v>
      </c>
      <c r="B3915" t="s">
        <v>5166</v>
      </c>
      <c r="C3915" t="s">
        <v>226</v>
      </c>
      <c r="D3915">
        <v>103022395.59044001</v>
      </c>
    </row>
    <row r="3916" spans="1:4" hidden="1" x14ac:dyDescent="0.3">
      <c r="A3916">
        <v>3914</v>
      </c>
      <c r="B3916" t="s">
        <v>5167</v>
      </c>
      <c r="C3916" t="s">
        <v>228</v>
      </c>
      <c r="D3916">
        <v>1005.04438632726</v>
      </c>
    </row>
    <row r="3917" spans="1:4" hidden="1" x14ac:dyDescent="0.3">
      <c r="A3917">
        <v>3915</v>
      </c>
      <c r="B3917" s="1" t="s">
        <v>5168</v>
      </c>
      <c r="C3917" t="s">
        <v>230</v>
      </c>
      <c r="D3917" s="1" t="s">
        <v>5169</v>
      </c>
    </row>
    <row r="3918" spans="1:4" hidden="1" x14ac:dyDescent="0.3">
      <c r="A3918">
        <v>3916</v>
      </c>
      <c r="B3918" t="s">
        <v>5170</v>
      </c>
      <c r="C3918" t="s">
        <v>112</v>
      </c>
      <c r="D3918">
        <v>-235.44501708081501</v>
      </c>
    </row>
    <row r="3919" spans="1:4" hidden="1" x14ac:dyDescent="0.3">
      <c r="A3919">
        <v>3917</v>
      </c>
      <c r="B3919" t="s">
        <v>5171</v>
      </c>
      <c r="C3919" t="s">
        <v>114</v>
      </c>
      <c r="D3919">
        <v>-39.485245787865701</v>
      </c>
    </row>
    <row r="3920" spans="1:4" hidden="1" x14ac:dyDescent="0.3">
      <c r="A3920">
        <v>3918</v>
      </c>
      <c r="B3920" s="1" t="s">
        <v>5172</v>
      </c>
      <c r="C3920" t="s">
        <v>116</v>
      </c>
      <c r="D3920" s="1" t="s">
        <v>5173</v>
      </c>
    </row>
    <row r="3921" spans="1:4" hidden="1" x14ac:dyDescent="0.3">
      <c r="A3921">
        <v>3919</v>
      </c>
      <c r="B3921" t="s">
        <v>5174</v>
      </c>
      <c r="C3921" t="s">
        <v>119</v>
      </c>
      <c r="D3921">
        <v>73157383.907449707</v>
      </c>
    </row>
    <row r="3922" spans="1:4" hidden="1" x14ac:dyDescent="0.3">
      <c r="A3922">
        <v>3920</v>
      </c>
      <c r="B3922" t="s">
        <v>5175</v>
      </c>
      <c r="C3922" t="s">
        <v>121</v>
      </c>
      <c r="D3922">
        <v>34466402.926915303</v>
      </c>
    </row>
    <row r="3923" spans="1:4" hidden="1" x14ac:dyDescent="0.3">
      <c r="A3923">
        <v>3921</v>
      </c>
      <c r="B3923" s="1" t="s">
        <v>5176</v>
      </c>
      <c r="C3923" t="s">
        <v>123</v>
      </c>
      <c r="D3923" s="1" t="s">
        <v>5177</v>
      </c>
    </row>
    <row r="3924" spans="1:4" hidden="1" x14ac:dyDescent="0.3">
      <c r="A3924">
        <v>3922</v>
      </c>
      <c r="B3924" t="s">
        <v>5178</v>
      </c>
      <c r="C3924" t="s">
        <v>126</v>
      </c>
      <c r="D3924">
        <v>0.71031821333737899</v>
      </c>
    </row>
    <row r="3925" spans="1:4" hidden="1" x14ac:dyDescent="0.3">
      <c r="A3925">
        <v>3923</v>
      </c>
      <c r="B3925" t="s">
        <v>5179</v>
      </c>
      <c r="C3925" t="s">
        <v>128</v>
      </c>
      <c r="D3925">
        <v>0.33464993469674398</v>
      </c>
    </row>
    <row r="3926" spans="1:4" hidden="1" x14ac:dyDescent="0.3">
      <c r="A3926">
        <v>3924</v>
      </c>
      <c r="B3926" s="1" t="s">
        <v>5180</v>
      </c>
      <c r="C3926" t="s">
        <v>130</v>
      </c>
      <c r="D3926" s="1" t="s">
        <v>5181</v>
      </c>
    </row>
    <row r="3927" spans="1:4" ht="72" x14ac:dyDescent="0.3">
      <c r="A3927">
        <v>3925</v>
      </c>
      <c r="B3927" s="1" t="s">
        <v>5182</v>
      </c>
      <c r="C3927" t="s">
        <v>4</v>
      </c>
      <c r="D3927" t="s">
        <v>5183</v>
      </c>
    </row>
    <row r="3928" spans="1:4" hidden="1" x14ac:dyDescent="0.3">
      <c r="A3928">
        <v>3926</v>
      </c>
      <c r="B3928" t="s">
        <v>5184</v>
      </c>
      <c r="C3928" t="s">
        <v>7</v>
      </c>
      <c r="D3928">
        <v>1675.84</v>
      </c>
    </row>
    <row r="3929" spans="1:4" hidden="1" x14ac:dyDescent="0.3">
      <c r="A3929">
        <v>3927</v>
      </c>
      <c r="B3929" s="1" t="s">
        <v>5185</v>
      </c>
      <c r="C3929" t="s">
        <v>9</v>
      </c>
      <c r="D3929" s="1" t="s">
        <v>5186</v>
      </c>
    </row>
    <row r="3930" spans="1:4" hidden="1" x14ac:dyDescent="0.3">
      <c r="A3930">
        <v>3928</v>
      </c>
      <c r="B3930" t="s">
        <v>5187</v>
      </c>
      <c r="C3930" t="s">
        <v>14</v>
      </c>
      <c r="D3930">
        <v>89.31640625</v>
      </c>
    </row>
    <row r="3931" spans="1:4" hidden="1" x14ac:dyDescent="0.3">
      <c r="A3931">
        <v>3929</v>
      </c>
      <c r="B3931" t="s">
        <v>5188</v>
      </c>
      <c r="C3931" t="s">
        <v>16</v>
      </c>
      <c r="D3931">
        <v>4.2484282041030399</v>
      </c>
    </row>
    <row r="3932" spans="1:4" hidden="1" x14ac:dyDescent="0.3">
      <c r="A3932">
        <v>3930</v>
      </c>
      <c r="B3932" s="1" t="s">
        <v>5189</v>
      </c>
      <c r="C3932" t="s">
        <v>140</v>
      </c>
      <c r="D3932" s="1" t="s">
        <v>5190</v>
      </c>
    </row>
    <row r="3933" spans="1:4" hidden="1" x14ac:dyDescent="0.3">
      <c r="A3933">
        <v>3931</v>
      </c>
      <c r="B3933" t="s">
        <v>5191</v>
      </c>
      <c r="C3933" t="s">
        <v>22</v>
      </c>
      <c r="D3933">
        <v>62.25</v>
      </c>
    </row>
    <row r="3934" spans="1:4" hidden="1" x14ac:dyDescent="0.3">
      <c r="A3934">
        <v>3932</v>
      </c>
      <c r="B3934" t="s">
        <v>5192</v>
      </c>
      <c r="C3934" t="s">
        <v>24</v>
      </c>
      <c r="D3934">
        <v>5.3940479926028004</v>
      </c>
    </row>
    <row r="3935" spans="1:4" hidden="1" x14ac:dyDescent="0.3">
      <c r="A3935">
        <v>3933</v>
      </c>
      <c r="B3935" s="1" t="s">
        <v>5193</v>
      </c>
      <c r="C3935" t="s">
        <v>145</v>
      </c>
      <c r="D3935" s="1" t="s">
        <v>5194</v>
      </c>
    </row>
    <row r="3936" spans="1:4" hidden="1" x14ac:dyDescent="0.3">
      <c r="A3936">
        <v>3934</v>
      </c>
      <c r="B3936" t="s">
        <v>4027</v>
      </c>
      <c r="C3936" t="s">
        <v>35</v>
      </c>
      <c r="D3936">
        <v>0</v>
      </c>
    </row>
    <row r="3937" spans="1:4" hidden="1" x14ac:dyDescent="0.3">
      <c r="A3937">
        <v>3935</v>
      </c>
      <c r="B3937" t="s">
        <v>5195</v>
      </c>
      <c r="C3937" t="s">
        <v>149</v>
      </c>
      <c r="D3937">
        <v>0.53962651911161896</v>
      </c>
    </row>
    <row r="3938" spans="1:4" hidden="1" x14ac:dyDescent="0.3">
      <c r="A3938">
        <v>3936</v>
      </c>
      <c r="B3938" s="1" t="s">
        <v>5196</v>
      </c>
      <c r="C3938" t="s">
        <v>151</v>
      </c>
      <c r="D3938" s="1" t="s">
        <v>5197</v>
      </c>
    </row>
    <row r="3939" spans="1:4" hidden="1" x14ac:dyDescent="0.3">
      <c r="A3939">
        <v>3937</v>
      </c>
      <c r="B3939" t="s">
        <v>5198</v>
      </c>
      <c r="C3939" t="s">
        <v>30</v>
      </c>
      <c r="D3939">
        <v>0.42691566094856198</v>
      </c>
    </row>
    <row r="3940" spans="1:4" hidden="1" x14ac:dyDescent="0.3">
      <c r="A3940">
        <v>3938</v>
      </c>
      <c r="B3940" t="s">
        <v>5199</v>
      </c>
      <c r="C3940" t="s">
        <v>32</v>
      </c>
      <c r="D3940">
        <v>0.41258622330253703</v>
      </c>
    </row>
    <row r="3941" spans="1:4" hidden="1" x14ac:dyDescent="0.3">
      <c r="A3941">
        <v>3939</v>
      </c>
      <c r="B3941" s="1" t="s">
        <v>5200</v>
      </c>
      <c r="C3941" t="s">
        <v>155</v>
      </c>
      <c r="D3941" s="1" t="s">
        <v>5201</v>
      </c>
    </row>
    <row r="3942" spans="1:4" hidden="1" x14ac:dyDescent="0.3">
      <c r="A3942">
        <v>3940</v>
      </c>
      <c r="B3942" t="s">
        <v>5202</v>
      </c>
      <c r="C3942" t="s">
        <v>40</v>
      </c>
      <c r="D3942">
        <v>0.57308433905143696</v>
      </c>
    </row>
    <row r="3943" spans="1:4" hidden="1" x14ac:dyDescent="0.3">
      <c r="A3943">
        <v>3941</v>
      </c>
      <c r="B3943" t="s">
        <v>5203</v>
      </c>
      <c r="C3943" t="s">
        <v>42</v>
      </c>
      <c r="D3943">
        <v>0.44054731365981897</v>
      </c>
    </row>
    <row r="3944" spans="1:4" hidden="1" x14ac:dyDescent="0.3">
      <c r="A3944">
        <v>3942</v>
      </c>
      <c r="B3944" s="1" t="s">
        <v>5204</v>
      </c>
      <c r="C3944" t="s">
        <v>159</v>
      </c>
      <c r="D3944" s="1" t="s">
        <v>5205</v>
      </c>
    </row>
    <row r="3945" spans="1:4" hidden="1" x14ac:dyDescent="0.3">
      <c r="A3945">
        <v>3943</v>
      </c>
      <c r="B3945" t="s">
        <v>5206</v>
      </c>
      <c r="C3945" t="s">
        <v>161</v>
      </c>
      <c r="D3945">
        <v>1.00046565496161</v>
      </c>
    </row>
    <row r="3946" spans="1:4" hidden="1" x14ac:dyDescent="0.3">
      <c r="A3946">
        <v>3944</v>
      </c>
      <c r="B3946" t="s">
        <v>5207</v>
      </c>
      <c r="C3946" t="s">
        <v>163</v>
      </c>
      <c r="D3946">
        <v>0.99809927125360298</v>
      </c>
    </row>
    <row r="3947" spans="1:4" hidden="1" x14ac:dyDescent="0.3">
      <c r="A3947">
        <v>3945</v>
      </c>
      <c r="B3947" s="1" t="s">
        <v>5208</v>
      </c>
      <c r="C3947" t="s">
        <v>165</v>
      </c>
      <c r="D3947" s="1" t="s">
        <v>5209</v>
      </c>
    </row>
    <row r="3948" spans="1:4" hidden="1" x14ac:dyDescent="0.3">
      <c r="A3948">
        <v>3946</v>
      </c>
      <c r="B3948" t="s">
        <v>5210</v>
      </c>
      <c r="C3948" t="s">
        <v>168</v>
      </c>
      <c r="D3948">
        <v>0.99929070460497604</v>
      </c>
    </row>
    <row r="3949" spans="1:4" hidden="1" x14ac:dyDescent="0.3">
      <c r="A3949">
        <v>3947</v>
      </c>
      <c r="B3949" t="s">
        <v>5211</v>
      </c>
      <c r="C3949" t="s">
        <v>170</v>
      </c>
      <c r="D3949">
        <v>0.99956206223474298</v>
      </c>
    </row>
    <row r="3950" spans="1:4" hidden="1" x14ac:dyDescent="0.3">
      <c r="A3950">
        <v>3948</v>
      </c>
      <c r="B3950" s="1" t="s">
        <v>5212</v>
      </c>
      <c r="C3950" t="s">
        <v>172</v>
      </c>
      <c r="D3950" s="1" t="s">
        <v>5213</v>
      </c>
    </row>
    <row r="3951" spans="1:4" hidden="1" x14ac:dyDescent="0.3">
      <c r="A3951">
        <v>3949</v>
      </c>
      <c r="B3951" s="1" t="s">
        <v>5214</v>
      </c>
      <c r="C3951" t="s">
        <v>55</v>
      </c>
      <c r="D3951" s="1" t="s">
        <v>5215</v>
      </c>
    </row>
    <row r="3952" spans="1:4" hidden="1" x14ac:dyDescent="0.3">
      <c r="A3952">
        <v>3950</v>
      </c>
      <c r="B3952" s="1" t="s">
        <v>5216</v>
      </c>
      <c r="C3952" t="s">
        <v>52</v>
      </c>
      <c r="D3952" s="1" t="s">
        <v>5217</v>
      </c>
    </row>
    <row r="3953" spans="1:4" hidden="1" x14ac:dyDescent="0.3">
      <c r="A3953">
        <v>3951</v>
      </c>
      <c r="B3953" s="1" t="s">
        <v>5218</v>
      </c>
      <c r="C3953" t="s">
        <v>58</v>
      </c>
      <c r="D3953" s="1" t="s">
        <v>5219</v>
      </c>
    </row>
    <row r="3954" spans="1:4" hidden="1" x14ac:dyDescent="0.3">
      <c r="A3954">
        <v>3952</v>
      </c>
      <c r="B3954" t="s">
        <v>5220</v>
      </c>
      <c r="C3954" t="s">
        <v>61</v>
      </c>
      <c r="D3954">
        <v>145772945.12952101</v>
      </c>
    </row>
    <row r="3955" spans="1:4" hidden="1" x14ac:dyDescent="0.3">
      <c r="A3955">
        <v>3953</v>
      </c>
      <c r="B3955" t="s">
        <v>5221</v>
      </c>
      <c r="C3955" t="s">
        <v>63</v>
      </c>
      <c r="D3955">
        <v>73191450.006244898</v>
      </c>
    </row>
    <row r="3956" spans="1:4" hidden="1" x14ac:dyDescent="0.3">
      <c r="A3956">
        <v>3954</v>
      </c>
      <c r="B3956" t="s">
        <v>5222</v>
      </c>
      <c r="C3956" t="s">
        <v>65</v>
      </c>
      <c r="D3956">
        <v>34400891.644087203</v>
      </c>
    </row>
    <row r="3957" spans="1:4" hidden="1" x14ac:dyDescent="0.3">
      <c r="A3957">
        <v>3955</v>
      </c>
      <c r="B3957" s="1" t="s">
        <v>5223</v>
      </c>
      <c r="C3957" t="s">
        <v>67</v>
      </c>
      <c r="D3957" s="1" t="s">
        <v>5224</v>
      </c>
    </row>
    <row r="3958" spans="1:4" hidden="1" x14ac:dyDescent="0.3">
      <c r="A3958">
        <v>3956</v>
      </c>
      <c r="B3958" s="1" t="s">
        <v>5225</v>
      </c>
      <c r="C3958" t="s">
        <v>70</v>
      </c>
      <c r="D3958" s="1" t="s">
        <v>5226</v>
      </c>
    </row>
    <row r="3959" spans="1:4" hidden="1" x14ac:dyDescent="0.3">
      <c r="A3959">
        <v>3957</v>
      </c>
      <c r="B3959" t="s">
        <v>5227</v>
      </c>
      <c r="C3959" t="s">
        <v>73</v>
      </c>
      <c r="D3959">
        <v>0.99970893078512701</v>
      </c>
    </row>
    <row r="3960" spans="1:4" hidden="1" x14ac:dyDescent="0.3">
      <c r="A3960">
        <v>3958</v>
      </c>
      <c r="B3960" t="s">
        <v>74</v>
      </c>
      <c r="C3960" t="s">
        <v>75</v>
      </c>
      <c r="D3960">
        <v>2.7397260273972599E-3</v>
      </c>
    </row>
    <row r="3961" spans="1:4" hidden="1" x14ac:dyDescent="0.3">
      <c r="A3961">
        <v>3959</v>
      </c>
      <c r="B3961" t="s">
        <v>76</v>
      </c>
      <c r="C3961" t="s">
        <v>77</v>
      </c>
      <c r="D3961">
        <v>0</v>
      </c>
    </row>
    <row r="3962" spans="1:4" hidden="1" x14ac:dyDescent="0.3">
      <c r="A3962">
        <v>3960</v>
      </c>
      <c r="B3962" t="s">
        <v>78</v>
      </c>
      <c r="C3962" t="s">
        <v>79</v>
      </c>
      <c r="D3962">
        <v>0</v>
      </c>
    </row>
    <row r="3963" spans="1:4" hidden="1" x14ac:dyDescent="0.3">
      <c r="A3963">
        <v>3961</v>
      </c>
      <c r="B3963" s="1" t="s">
        <v>5228</v>
      </c>
      <c r="C3963" t="s">
        <v>81</v>
      </c>
      <c r="D3963" s="1" t="s">
        <v>5229</v>
      </c>
    </row>
    <row r="3964" spans="1:4" hidden="1" x14ac:dyDescent="0.3">
      <c r="A3964">
        <v>3962</v>
      </c>
      <c r="B3964" t="s">
        <v>5230</v>
      </c>
      <c r="C3964" t="s">
        <v>84</v>
      </c>
      <c r="D3964">
        <v>0.999688290530102</v>
      </c>
    </row>
    <row r="3965" spans="1:4" hidden="1" x14ac:dyDescent="0.3">
      <c r="A3965">
        <v>3963</v>
      </c>
      <c r="B3965" s="1" t="s">
        <v>5231</v>
      </c>
      <c r="C3965" t="s">
        <v>86</v>
      </c>
      <c r="D3965" s="1" t="s">
        <v>5232</v>
      </c>
    </row>
    <row r="3966" spans="1:4" hidden="1" x14ac:dyDescent="0.3">
      <c r="A3966">
        <v>3964</v>
      </c>
      <c r="B3966" t="s">
        <v>5233</v>
      </c>
      <c r="C3966" t="s">
        <v>89</v>
      </c>
      <c r="D3966">
        <v>103025527.72712301</v>
      </c>
    </row>
    <row r="3967" spans="1:4" hidden="1" x14ac:dyDescent="0.3">
      <c r="A3967">
        <v>3965</v>
      </c>
      <c r="B3967" s="1" t="s">
        <v>5234</v>
      </c>
      <c r="C3967" t="s">
        <v>91</v>
      </c>
      <c r="D3967" s="1" t="s">
        <v>5169</v>
      </c>
    </row>
    <row r="3968" spans="1:4" hidden="1" x14ac:dyDescent="0.3">
      <c r="A3968">
        <v>3966</v>
      </c>
      <c r="B3968" t="s">
        <v>5235</v>
      </c>
      <c r="C3968" t="s">
        <v>94</v>
      </c>
      <c r="D3968">
        <v>73191450.006244898</v>
      </c>
    </row>
    <row r="3969" spans="1:4" hidden="1" x14ac:dyDescent="0.3">
      <c r="A3969">
        <v>3967</v>
      </c>
      <c r="B3969" t="s">
        <v>5236</v>
      </c>
      <c r="C3969" t="s">
        <v>96</v>
      </c>
      <c r="D3969">
        <v>34400891.644087203</v>
      </c>
    </row>
    <row r="3970" spans="1:4" hidden="1" x14ac:dyDescent="0.3">
      <c r="A3970">
        <v>3968</v>
      </c>
      <c r="B3970" t="s">
        <v>5237</v>
      </c>
      <c r="C3970" t="s">
        <v>98</v>
      </c>
      <c r="D3970">
        <v>38180603.479189597</v>
      </c>
    </row>
    <row r="3971" spans="1:4" hidden="1" x14ac:dyDescent="0.3">
      <c r="A3971">
        <v>3969</v>
      </c>
      <c r="B3971" s="1" t="s">
        <v>5238</v>
      </c>
      <c r="C3971" t="s">
        <v>100</v>
      </c>
      <c r="D3971" s="1" t="s">
        <v>5239</v>
      </c>
    </row>
    <row r="3972" spans="1:4" hidden="1" x14ac:dyDescent="0.3">
      <c r="A3972">
        <v>3970</v>
      </c>
      <c r="B3972" t="s">
        <v>5240</v>
      </c>
      <c r="C3972" t="s">
        <v>103</v>
      </c>
      <c r="D3972">
        <v>8.7935059202168993E-3</v>
      </c>
    </row>
    <row r="3973" spans="1:4" hidden="1" x14ac:dyDescent="0.3">
      <c r="A3973">
        <v>3971</v>
      </c>
      <c r="B3973" t="s">
        <v>5241</v>
      </c>
      <c r="C3973" t="s">
        <v>105</v>
      </c>
      <c r="D3973">
        <v>3.1112789749500299E-3</v>
      </c>
    </row>
    <row r="3974" spans="1:4" hidden="1" x14ac:dyDescent="0.3">
      <c r="A3974">
        <v>3972</v>
      </c>
      <c r="B3974" t="s">
        <v>5242</v>
      </c>
      <c r="C3974" t="s">
        <v>107</v>
      </c>
      <c r="D3974">
        <v>1.0954734294686399E-2</v>
      </c>
    </row>
    <row r="3975" spans="1:4" hidden="1" x14ac:dyDescent="0.3">
      <c r="A3975">
        <v>3973</v>
      </c>
      <c r="B3975" s="1" t="s">
        <v>5243</v>
      </c>
      <c r="C3975" t="s">
        <v>109</v>
      </c>
      <c r="D3975" s="1" t="s">
        <v>5244</v>
      </c>
    </row>
    <row r="3976" spans="1:4" hidden="1" x14ac:dyDescent="0.3">
      <c r="A3976">
        <v>3974</v>
      </c>
      <c r="B3976" t="s">
        <v>5245</v>
      </c>
      <c r="C3976" t="s">
        <v>208</v>
      </c>
      <c r="D3976">
        <v>145772219.67759699</v>
      </c>
    </row>
    <row r="3977" spans="1:4" hidden="1" x14ac:dyDescent="0.3">
      <c r="A3977">
        <v>3975</v>
      </c>
      <c r="B3977" t="s">
        <v>5246</v>
      </c>
      <c r="C3977" t="s">
        <v>210</v>
      </c>
      <c r="D3977">
        <v>1511.1197693085301</v>
      </c>
    </row>
    <row r="3978" spans="1:4" hidden="1" x14ac:dyDescent="0.3">
      <c r="A3978">
        <v>3976</v>
      </c>
      <c r="B3978" t="s">
        <v>5247</v>
      </c>
      <c r="C3978" t="s">
        <v>212</v>
      </c>
      <c r="D3978">
        <v>710.24820164381401</v>
      </c>
    </row>
    <row r="3979" spans="1:4" hidden="1" x14ac:dyDescent="0.3">
      <c r="A3979">
        <v>3977</v>
      </c>
      <c r="B3979" s="1" t="s">
        <v>5248</v>
      </c>
      <c r="C3979" t="s">
        <v>214</v>
      </c>
      <c r="D3979" s="1" t="s">
        <v>5249</v>
      </c>
    </row>
    <row r="3980" spans="1:4" hidden="1" x14ac:dyDescent="0.3">
      <c r="A3980">
        <v>3978</v>
      </c>
      <c r="B3980" t="s">
        <v>5250</v>
      </c>
      <c r="C3980" t="s">
        <v>217</v>
      </c>
      <c r="D3980">
        <v>73189441.558690399</v>
      </c>
    </row>
    <row r="3981" spans="1:4" hidden="1" x14ac:dyDescent="0.3">
      <c r="A3981">
        <v>3979</v>
      </c>
      <c r="B3981" t="s">
        <v>5251</v>
      </c>
      <c r="C3981" t="s">
        <v>219</v>
      </c>
      <c r="D3981">
        <v>34400098.722923398</v>
      </c>
    </row>
    <row r="3982" spans="1:4" hidden="1" x14ac:dyDescent="0.3">
      <c r="A3982">
        <v>3980</v>
      </c>
      <c r="B3982" t="s">
        <v>5252</v>
      </c>
      <c r="C3982" t="s">
        <v>221</v>
      </c>
      <c r="D3982">
        <v>38179669.744176202</v>
      </c>
    </row>
    <row r="3983" spans="1:4" hidden="1" x14ac:dyDescent="0.3">
      <c r="A3983">
        <v>3981</v>
      </c>
      <c r="B3983" s="1" t="s">
        <v>5253</v>
      </c>
      <c r="C3983" t="s">
        <v>223</v>
      </c>
      <c r="D3983" s="1" t="s">
        <v>5254</v>
      </c>
    </row>
    <row r="3984" spans="1:4" hidden="1" x14ac:dyDescent="0.3">
      <c r="A3984">
        <v>3982</v>
      </c>
      <c r="B3984" t="s">
        <v>5255</v>
      </c>
      <c r="C3984" t="s">
        <v>226</v>
      </c>
      <c r="D3984">
        <v>103023400.634826</v>
      </c>
    </row>
    <row r="3985" spans="1:4" hidden="1" x14ac:dyDescent="0.3">
      <c r="A3985">
        <v>3983</v>
      </c>
      <c r="B3985" t="s">
        <v>5256</v>
      </c>
      <c r="C3985" t="s">
        <v>228</v>
      </c>
      <c r="D3985">
        <v>2127.0922975391099</v>
      </c>
    </row>
    <row r="3986" spans="1:4" hidden="1" x14ac:dyDescent="0.3">
      <c r="A3986">
        <v>3984</v>
      </c>
      <c r="B3986" s="1" t="s">
        <v>5257</v>
      </c>
      <c r="C3986" t="s">
        <v>230</v>
      </c>
      <c r="D3986" s="1" t="s">
        <v>5258</v>
      </c>
    </row>
    <row r="3987" spans="1:4" hidden="1" x14ac:dyDescent="0.3">
      <c r="A3987">
        <v>3985</v>
      </c>
      <c r="B3987" t="s">
        <v>5259</v>
      </c>
      <c r="C3987" t="s">
        <v>112</v>
      </c>
      <c r="D3987">
        <v>-497.327785130704</v>
      </c>
    </row>
    <row r="3988" spans="1:4" hidden="1" x14ac:dyDescent="0.3">
      <c r="A3988">
        <v>3986</v>
      </c>
      <c r="B3988" t="s">
        <v>5260</v>
      </c>
      <c r="C3988" t="s">
        <v>114</v>
      </c>
      <c r="D3988">
        <v>-82.672962132415705</v>
      </c>
    </row>
    <row r="3989" spans="1:4" hidden="1" x14ac:dyDescent="0.3">
      <c r="A3989">
        <v>3987</v>
      </c>
      <c r="B3989" s="1" t="s">
        <v>5261</v>
      </c>
      <c r="C3989" t="s">
        <v>116</v>
      </c>
      <c r="D3989" s="1" t="s">
        <v>5262</v>
      </c>
    </row>
    <row r="3990" spans="1:4" hidden="1" x14ac:dyDescent="0.3">
      <c r="A3990">
        <v>3988</v>
      </c>
      <c r="B3990" t="s">
        <v>5263</v>
      </c>
      <c r="C3990" t="s">
        <v>119</v>
      </c>
      <c r="D3990">
        <v>73189441.558690399</v>
      </c>
    </row>
    <row r="3991" spans="1:4" hidden="1" x14ac:dyDescent="0.3">
      <c r="A3991">
        <v>3989</v>
      </c>
      <c r="B3991" t="s">
        <v>5264</v>
      </c>
      <c r="C3991" t="s">
        <v>121</v>
      </c>
      <c r="D3991">
        <v>34400098.722923398</v>
      </c>
    </row>
    <row r="3992" spans="1:4" hidden="1" x14ac:dyDescent="0.3">
      <c r="A3992">
        <v>3990</v>
      </c>
      <c r="B3992" s="1" t="s">
        <v>5265</v>
      </c>
      <c r="C3992" t="s">
        <v>123</v>
      </c>
      <c r="D3992" s="1" t="s">
        <v>5266</v>
      </c>
    </row>
    <row r="3993" spans="1:4" hidden="1" x14ac:dyDescent="0.3">
      <c r="A3993">
        <v>3991</v>
      </c>
      <c r="B3993" t="s">
        <v>5267</v>
      </c>
      <c r="C3993" t="s">
        <v>126</v>
      </c>
      <c r="D3993">
        <v>0.71063721507053301</v>
      </c>
    </row>
    <row r="3994" spans="1:4" hidden="1" x14ac:dyDescent="0.3">
      <c r="A3994">
        <v>3992</v>
      </c>
      <c r="B3994" t="s">
        <v>5268</v>
      </c>
      <c r="C3994" t="s">
        <v>128</v>
      </c>
      <c r="D3994">
        <v>0.33400979477356102</v>
      </c>
    </row>
    <row r="3995" spans="1:4" hidden="1" x14ac:dyDescent="0.3">
      <c r="A3995">
        <v>3993</v>
      </c>
      <c r="B3995" s="1" t="s">
        <v>5269</v>
      </c>
      <c r="C3995" t="s">
        <v>130</v>
      </c>
      <c r="D3995" s="1" t="s">
        <v>5270</v>
      </c>
    </row>
    <row r="3996" spans="1:4" ht="72" x14ac:dyDescent="0.3">
      <c r="A3996">
        <v>3994</v>
      </c>
      <c r="B3996" s="1" t="s">
        <v>5271</v>
      </c>
      <c r="C3996" t="s">
        <v>4</v>
      </c>
      <c r="D3996" t="s">
        <v>5272</v>
      </c>
    </row>
    <row r="3997" spans="1:4" hidden="1" x14ac:dyDescent="0.3">
      <c r="A3997">
        <v>3995</v>
      </c>
      <c r="B3997" t="s">
        <v>5273</v>
      </c>
      <c r="C3997" t="s">
        <v>7</v>
      </c>
      <c r="D3997">
        <v>1664.89</v>
      </c>
    </row>
    <row r="3998" spans="1:4" hidden="1" x14ac:dyDescent="0.3">
      <c r="A3998">
        <v>3996</v>
      </c>
      <c r="B3998" s="1" t="s">
        <v>5274</v>
      </c>
      <c r="C3998" t="s">
        <v>9</v>
      </c>
      <c r="D3998" s="1" t="s">
        <v>5275</v>
      </c>
    </row>
    <row r="3999" spans="1:4" hidden="1" x14ac:dyDescent="0.3">
      <c r="A3999">
        <v>3997</v>
      </c>
      <c r="B3999" t="s">
        <v>5276</v>
      </c>
      <c r="C3999" t="s">
        <v>14</v>
      </c>
      <c r="D3999">
        <v>89.1796875</v>
      </c>
    </row>
    <row r="4000" spans="1:4" hidden="1" x14ac:dyDescent="0.3">
      <c r="A4000">
        <v>3998</v>
      </c>
      <c r="B4000" t="s">
        <v>5277</v>
      </c>
      <c r="C4000" t="s">
        <v>16</v>
      </c>
      <c r="D4000">
        <v>4.2430464630641396</v>
      </c>
    </row>
    <row r="4001" spans="1:4" hidden="1" x14ac:dyDescent="0.3">
      <c r="A4001">
        <v>3999</v>
      </c>
      <c r="B4001" s="1" t="s">
        <v>5278</v>
      </c>
      <c r="C4001" t="s">
        <v>140</v>
      </c>
      <c r="D4001" s="1" t="s">
        <v>5279</v>
      </c>
    </row>
    <row r="4002" spans="1:4" hidden="1" x14ac:dyDescent="0.3">
      <c r="A4002">
        <v>4000</v>
      </c>
      <c r="B4002" t="s">
        <v>3573</v>
      </c>
      <c r="C4002" t="s">
        <v>22</v>
      </c>
      <c r="D4002">
        <v>62.95</v>
      </c>
    </row>
    <row r="4003" spans="1:4" hidden="1" x14ac:dyDescent="0.3">
      <c r="A4003">
        <v>4001</v>
      </c>
      <c r="B4003" t="s">
        <v>5280</v>
      </c>
      <c r="C4003" t="s">
        <v>24</v>
      </c>
      <c r="D4003">
        <v>5.2917141122033797</v>
      </c>
    </row>
    <row r="4004" spans="1:4" hidden="1" x14ac:dyDescent="0.3">
      <c r="A4004">
        <v>4002</v>
      </c>
      <c r="B4004" s="1" t="s">
        <v>5281</v>
      </c>
      <c r="C4004" t="s">
        <v>145</v>
      </c>
      <c r="D4004" s="1" t="s">
        <v>5282</v>
      </c>
    </row>
    <row r="4005" spans="1:4" hidden="1" x14ac:dyDescent="0.3">
      <c r="A4005">
        <v>4003</v>
      </c>
      <c r="B4005" t="s">
        <v>5283</v>
      </c>
      <c r="C4005" t="s">
        <v>35</v>
      </c>
      <c r="D4005">
        <v>-8.8370991107078203E-2</v>
      </c>
    </row>
    <row r="4006" spans="1:4" hidden="1" x14ac:dyDescent="0.3">
      <c r="A4006">
        <v>4004</v>
      </c>
      <c r="B4006" t="s">
        <v>5284</v>
      </c>
      <c r="C4006" t="s">
        <v>149</v>
      </c>
      <c r="D4006">
        <v>0.53855560626116605</v>
      </c>
    </row>
    <row r="4007" spans="1:4" hidden="1" x14ac:dyDescent="0.3">
      <c r="A4007">
        <v>4005</v>
      </c>
      <c r="B4007" s="1" t="s">
        <v>5285</v>
      </c>
      <c r="C4007" t="s">
        <v>151</v>
      </c>
      <c r="D4007" s="1" t="s">
        <v>5286</v>
      </c>
    </row>
    <row r="4008" spans="1:4" hidden="1" x14ac:dyDescent="0.3">
      <c r="A4008">
        <v>4006</v>
      </c>
      <c r="B4008" t="s">
        <v>5287</v>
      </c>
      <c r="C4008" t="s">
        <v>30</v>
      </c>
      <c r="D4008">
        <v>0.47671767075240401</v>
      </c>
    </row>
    <row r="4009" spans="1:4" hidden="1" x14ac:dyDescent="0.3">
      <c r="A4009">
        <v>4007</v>
      </c>
      <c r="B4009" t="s">
        <v>5288</v>
      </c>
      <c r="C4009" t="s">
        <v>32</v>
      </c>
      <c r="D4009">
        <v>0.40941829627847998</v>
      </c>
    </row>
    <row r="4010" spans="1:4" hidden="1" x14ac:dyDescent="0.3">
      <c r="A4010">
        <v>4008</v>
      </c>
      <c r="B4010" s="1" t="s">
        <v>5289</v>
      </c>
      <c r="C4010" t="s">
        <v>155</v>
      </c>
      <c r="D4010" s="1" t="s">
        <v>5290</v>
      </c>
    </row>
    <row r="4011" spans="1:4" hidden="1" x14ac:dyDescent="0.3">
      <c r="A4011">
        <v>4009</v>
      </c>
      <c r="B4011" t="s">
        <v>5291</v>
      </c>
      <c r="C4011" t="s">
        <v>40</v>
      </c>
      <c r="D4011">
        <v>0.61165332035467301</v>
      </c>
    </row>
    <row r="4012" spans="1:4" hidden="1" x14ac:dyDescent="0.3">
      <c r="A4012">
        <v>4010</v>
      </c>
      <c r="B4012" t="s">
        <v>5292</v>
      </c>
      <c r="C4012" t="s">
        <v>42</v>
      </c>
      <c r="D4012">
        <v>0.44740017961175199</v>
      </c>
    </row>
    <row r="4013" spans="1:4" hidden="1" x14ac:dyDescent="0.3">
      <c r="A4013">
        <v>4011</v>
      </c>
      <c r="B4013" s="1" t="s">
        <v>5293</v>
      </c>
      <c r="C4013" t="s">
        <v>159</v>
      </c>
      <c r="D4013" s="1" t="s">
        <v>5294</v>
      </c>
    </row>
    <row r="4014" spans="1:4" hidden="1" x14ac:dyDescent="0.3">
      <c r="A4014">
        <v>4012</v>
      </c>
      <c r="B4014" t="s">
        <v>5295</v>
      </c>
      <c r="C4014" t="s">
        <v>161</v>
      </c>
      <c r="D4014">
        <v>0.99346596333778803</v>
      </c>
    </row>
    <row r="4015" spans="1:4" hidden="1" x14ac:dyDescent="0.3">
      <c r="A4015">
        <v>4013</v>
      </c>
      <c r="B4015" t="s">
        <v>5296</v>
      </c>
      <c r="C4015" t="s">
        <v>163</v>
      </c>
      <c r="D4015">
        <v>0.99848126177032204</v>
      </c>
    </row>
    <row r="4016" spans="1:4" hidden="1" x14ac:dyDescent="0.3">
      <c r="A4016">
        <v>4014</v>
      </c>
      <c r="B4016" s="1" t="s">
        <v>5297</v>
      </c>
      <c r="C4016" t="s">
        <v>165</v>
      </c>
      <c r="D4016" s="1" t="s">
        <v>5298</v>
      </c>
    </row>
    <row r="4017" spans="1:4" hidden="1" x14ac:dyDescent="0.3">
      <c r="A4017">
        <v>4015</v>
      </c>
      <c r="B4017" t="s">
        <v>5299</v>
      </c>
      <c r="C4017" t="s">
        <v>168</v>
      </c>
      <c r="D4017">
        <v>0.99930443335629804</v>
      </c>
    </row>
    <row r="4018" spans="1:4" hidden="1" x14ac:dyDescent="0.3">
      <c r="A4018">
        <v>4016</v>
      </c>
      <c r="B4018" t="s">
        <v>5300</v>
      </c>
      <c r="C4018" t="s">
        <v>170</v>
      </c>
      <c r="D4018">
        <v>0.99775735670375498</v>
      </c>
    </row>
    <row r="4019" spans="1:4" hidden="1" x14ac:dyDescent="0.3">
      <c r="A4019">
        <v>4017</v>
      </c>
      <c r="B4019" s="1" t="s">
        <v>5301</v>
      </c>
      <c r="C4019" t="s">
        <v>172</v>
      </c>
      <c r="D4019" s="1" t="s">
        <v>5302</v>
      </c>
    </row>
    <row r="4020" spans="1:4" hidden="1" x14ac:dyDescent="0.3">
      <c r="A4020">
        <v>4018</v>
      </c>
      <c r="B4020" s="1" t="s">
        <v>5303</v>
      </c>
      <c r="C4020" t="s">
        <v>55</v>
      </c>
      <c r="D4020" s="1" t="s">
        <v>5304</v>
      </c>
    </row>
    <row r="4021" spans="1:4" hidden="1" x14ac:dyDescent="0.3">
      <c r="A4021">
        <v>4019</v>
      </c>
      <c r="B4021" s="1" t="s">
        <v>5305</v>
      </c>
      <c r="C4021" t="s">
        <v>52</v>
      </c>
      <c r="D4021" s="1" t="s">
        <v>5306</v>
      </c>
    </row>
    <row r="4022" spans="1:4" hidden="1" x14ac:dyDescent="0.3">
      <c r="A4022">
        <v>4020</v>
      </c>
      <c r="B4022" s="1" t="s">
        <v>5307</v>
      </c>
      <c r="C4022" t="s">
        <v>58</v>
      </c>
      <c r="D4022" s="1" t="s">
        <v>5308</v>
      </c>
    </row>
    <row r="4023" spans="1:4" hidden="1" x14ac:dyDescent="0.3">
      <c r="A4023">
        <v>4021</v>
      </c>
      <c r="B4023" t="s">
        <v>5309</v>
      </c>
      <c r="C4023" t="s">
        <v>61</v>
      </c>
      <c r="D4023">
        <v>145576077.64047199</v>
      </c>
    </row>
    <row r="4024" spans="1:4" hidden="1" x14ac:dyDescent="0.3">
      <c r="A4024">
        <v>4022</v>
      </c>
      <c r="B4024" t="s">
        <v>5310</v>
      </c>
      <c r="C4024" t="s">
        <v>63</v>
      </c>
      <c r="D4024">
        <v>72711219.064259201</v>
      </c>
    </row>
    <row r="4025" spans="1:4" hidden="1" x14ac:dyDescent="0.3">
      <c r="A4025">
        <v>4023</v>
      </c>
      <c r="B4025" t="s">
        <v>5311</v>
      </c>
      <c r="C4025" t="s">
        <v>65</v>
      </c>
      <c r="D4025">
        <v>34347853.977888197</v>
      </c>
    </row>
    <row r="4026" spans="1:4" hidden="1" x14ac:dyDescent="0.3">
      <c r="A4026">
        <v>4024</v>
      </c>
      <c r="B4026" s="1" t="s">
        <v>5312</v>
      </c>
      <c r="C4026" t="s">
        <v>67</v>
      </c>
      <c r="D4026" s="1" t="s">
        <v>5313</v>
      </c>
    </row>
    <row r="4027" spans="1:4" hidden="1" x14ac:dyDescent="0.3">
      <c r="A4027">
        <v>4025</v>
      </c>
      <c r="B4027" s="1" t="s">
        <v>5314</v>
      </c>
      <c r="C4027" t="s">
        <v>70</v>
      </c>
      <c r="D4027" s="1" t="s">
        <v>5315</v>
      </c>
    </row>
    <row r="4028" spans="1:4" hidden="1" x14ac:dyDescent="0.3">
      <c r="A4028">
        <v>4026</v>
      </c>
      <c r="B4028" t="s">
        <v>5316</v>
      </c>
      <c r="C4028" t="s">
        <v>73</v>
      </c>
      <c r="D4028">
        <v>0.999688290530102</v>
      </c>
    </row>
    <row r="4029" spans="1:4" hidden="1" x14ac:dyDescent="0.3">
      <c r="A4029">
        <v>4027</v>
      </c>
      <c r="B4029" t="s">
        <v>74</v>
      </c>
      <c r="C4029" t="s">
        <v>75</v>
      </c>
      <c r="D4029">
        <v>2.7397260273972599E-3</v>
      </c>
    </row>
    <row r="4030" spans="1:4" hidden="1" x14ac:dyDescent="0.3">
      <c r="A4030">
        <v>4028</v>
      </c>
      <c r="B4030" t="s">
        <v>76</v>
      </c>
      <c r="C4030" t="s">
        <v>77</v>
      </c>
      <c r="D4030">
        <v>0</v>
      </c>
    </row>
    <row r="4031" spans="1:4" hidden="1" x14ac:dyDescent="0.3">
      <c r="A4031">
        <v>4029</v>
      </c>
      <c r="B4031" t="s">
        <v>78</v>
      </c>
      <c r="C4031" t="s">
        <v>79</v>
      </c>
      <c r="D4031">
        <v>0</v>
      </c>
    </row>
    <row r="4032" spans="1:4" hidden="1" x14ac:dyDescent="0.3">
      <c r="A4032">
        <v>4030</v>
      </c>
      <c r="B4032" s="1" t="s">
        <v>5317</v>
      </c>
      <c r="C4032" t="s">
        <v>81</v>
      </c>
      <c r="D4032" s="1" t="s">
        <v>5318</v>
      </c>
    </row>
    <row r="4033" spans="1:4" hidden="1" x14ac:dyDescent="0.3">
      <c r="A4033">
        <v>4031</v>
      </c>
      <c r="B4033" t="s">
        <v>5319</v>
      </c>
      <c r="C4033" t="s">
        <v>84</v>
      </c>
      <c r="D4033">
        <v>0.99971134151758301</v>
      </c>
    </row>
    <row r="4034" spans="1:4" hidden="1" x14ac:dyDescent="0.3">
      <c r="A4034">
        <v>4032</v>
      </c>
      <c r="B4034" s="1" t="s">
        <v>5320</v>
      </c>
      <c r="C4034" t="s">
        <v>86</v>
      </c>
      <c r="D4034" s="1" t="s">
        <v>5321</v>
      </c>
    </row>
    <row r="4035" spans="1:4" hidden="1" x14ac:dyDescent="0.3">
      <c r="A4035">
        <v>4033</v>
      </c>
      <c r="B4035" t="s">
        <v>5322</v>
      </c>
      <c r="C4035" t="s">
        <v>89</v>
      </c>
      <c r="D4035">
        <v>103023152.201258</v>
      </c>
    </row>
    <row r="4036" spans="1:4" hidden="1" x14ac:dyDescent="0.3">
      <c r="A4036">
        <v>4034</v>
      </c>
      <c r="B4036" s="1" t="s">
        <v>5323</v>
      </c>
      <c r="C4036" t="s">
        <v>91</v>
      </c>
      <c r="D4036" s="1" t="s">
        <v>5258</v>
      </c>
    </row>
    <row r="4037" spans="1:4" hidden="1" x14ac:dyDescent="0.3">
      <c r="A4037">
        <v>4035</v>
      </c>
      <c r="B4037" t="s">
        <v>5324</v>
      </c>
      <c r="C4037" t="s">
        <v>94</v>
      </c>
      <c r="D4037">
        <v>72711219.064259201</v>
      </c>
    </row>
    <row r="4038" spans="1:4" hidden="1" x14ac:dyDescent="0.3">
      <c r="A4038">
        <v>4036</v>
      </c>
      <c r="B4038" t="s">
        <v>5325</v>
      </c>
      <c r="C4038" t="s">
        <v>96</v>
      </c>
      <c r="D4038">
        <v>34347853.977888197</v>
      </c>
    </row>
    <row r="4039" spans="1:4" hidden="1" x14ac:dyDescent="0.3">
      <c r="A4039">
        <v>4037</v>
      </c>
      <c r="B4039" t="s">
        <v>5326</v>
      </c>
      <c r="C4039" t="s">
        <v>98</v>
      </c>
      <c r="D4039">
        <v>38517004.5983252</v>
      </c>
    </row>
    <row r="4040" spans="1:4" hidden="1" x14ac:dyDescent="0.3">
      <c r="A4040">
        <v>4038</v>
      </c>
      <c r="B4040" s="1" t="s">
        <v>5327</v>
      </c>
      <c r="C4040" t="s">
        <v>100</v>
      </c>
      <c r="D4040" s="1" t="s">
        <v>5328</v>
      </c>
    </row>
    <row r="4041" spans="1:4" hidden="1" x14ac:dyDescent="0.3">
      <c r="A4041">
        <v>4039</v>
      </c>
      <c r="B4041" t="s">
        <v>5329</v>
      </c>
      <c r="C4041" t="s">
        <v>103</v>
      </c>
      <c r="D4041">
        <v>8.7943223095541395E-3</v>
      </c>
    </row>
    <row r="4042" spans="1:4" hidden="1" x14ac:dyDescent="0.3">
      <c r="A4042">
        <v>4040</v>
      </c>
      <c r="B4042" t="s">
        <v>5330</v>
      </c>
      <c r="C4042" t="s">
        <v>105</v>
      </c>
      <c r="D4042">
        <v>3.0925721341034901E-3</v>
      </c>
    </row>
    <row r="4043" spans="1:4" hidden="1" x14ac:dyDescent="0.3">
      <c r="A4043">
        <v>4041</v>
      </c>
      <c r="B4043" t="s">
        <v>5331</v>
      </c>
      <c r="C4043" t="s">
        <v>107</v>
      </c>
      <c r="D4043">
        <v>1.10200605466173E-2</v>
      </c>
    </row>
    <row r="4044" spans="1:4" hidden="1" x14ac:dyDescent="0.3">
      <c r="A4044">
        <v>4042</v>
      </c>
      <c r="B4044" s="1" t="s">
        <v>5332</v>
      </c>
      <c r="C4044" t="s">
        <v>109</v>
      </c>
      <c r="D4044" s="1" t="s">
        <v>5333</v>
      </c>
    </row>
    <row r="4045" spans="1:4" hidden="1" x14ac:dyDescent="0.3">
      <c r="A4045">
        <v>4043</v>
      </c>
      <c r="B4045" t="s">
        <v>5334</v>
      </c>
      <c r="C4045" t="s">
        <v>208</v>
      </c>
      <c r="D4045">
        <v>145576886.39888299</v>
      </c>
    </row>
    <row r="4046" spans="1:4" hidden="1" x14ac:dyDescent="0.3">
      <c r="A4046">
        <v>4044</v>
      </c>
      <c r="B4046" t="s">
        <v>5335</v>
      </c>
      <c r="C4046" t="s">
        <v>210</v>
      </c>
      <c r="D4046">
        <v>-1676.6016392228601</v>
      </c>
    </row>
    <row r="4047" spans="1:4" hidden="1" x14ac:dyDescent="0.3">
      <c r="A4047">
        <v>4045</v>
      </c>
      <c r="B4047" t="s">
        <v>5336</v>
      </c>
      <c r="C4047" t="s">
        <v>212</v>
      </c>
      <c r="D4047">
        <v>-792.00112867932398</v>
      </c>
    </row>
    <row r="4048" spans="1:4" hidden="1" x14ac:dyDescent="0.3">
      <c r="A4048">
        <v>4046</v>
      </c>
      <c r="B4048" s="1" t="s">
        <v>5337</v>
      </c>
      <c r="C4048" t="s">
        <v>214</v>
      </c>
      <c r="D4048" s="1" t="s">
        <v>5338</v>
      </c>
    </row>
    <row r="4049" spans="1:4" hidden="1" x14ac:dyDescent="0.3">
      <c r="A4049">
        <v>4047</v>
      </c>
      <c r="B4049" t="s">
        <v>5339</v>
      </c>
      <c r="C4049" t="s">
        <v>217</v>
      </c>
      <c r="D4049">
        <v>72713486.800428599</v>
      </c>
    </row>
    <row r="4050" spans="1:4" hidden="1" x14ac:dyDescent="0.3">
      <c r="A4050">
        <v>4048</v>
      </c>
      <c r="B4050" t="s">
        <v>5340</v>
      </c>
      <c r="C4050" t="s">
        <v>219</v>
      </c>
      <c r="D4050">
        <v>34348745.861206599</v>
      </c>
    </row>
    <row r="4051" spans="1:4" hidden="1" x14ac:dyDescent="0.3">
      <c r="A4051">
        <v>4049</v>
      </c>
      <c r="B4051" t="s">
        <v>5341</v>
      </c>
      <c r="C4051" t="s">
        <v>221</v>
      </c>
      <c r="D4051">
        <v>38518010.474561296</v>
      </c>
    </row>
    <row r="4052" spans="1:4" hidden="1" x14ac:dyDescent="0.3">
      <c r="A4052">
        <v>4050</v>
      </c>
      <c r="B4052" s="1" t="s">
        <v>5342</v>
      </c>
      <c r="C4052" t="s">
        <v>223</v>
      </c>
      <c r="D4052" s="1" t="s">
        <v>5343</v>
      </c>
    </row>
    <row r="4053" spans="1:4" hidden="1" x14ac:dyDescent="0.3">
      <c r="A4053">
        <v>4051</v>
      </c>
      <c r="B4053" t="s">
        <v>5344</v>
      </c>
      <c r="C4053" t="s">
        <v>226</v>
      </c>
      <c r="D4053">
        <v>103025527.72712301</v>
      </c>
    </row>
    <row r="4054" spans="1:4" hidden="1" x14ac:dyDescent="0.3">
      <c r="A4054">
        <v>4052</v>
      </c>
      <c r="B4054" t="s">
        <v>5345</v>
      </c>
      <c r="C4054" t="s">
        <v>228</v>
      </c>
      <c r="D4054">
        <v>-2375.5258655548</v>
      </c>
    </row>
    <row r="4055" spans="1:4" hidden="1" x14ac:dyDescent="0.3">
      <c r="A4055">
        <v>4053</v>
      </c>
      <c r="B4055" s="1" t="s">
        <v>5346</v>
      </c>
      <c r="C4055" t="s">
        <v>230</v>
      </c>
      <c r="D4055" s="1" t="s">
        <v>5347</v>
      </c>
    </row>
    <row r="4056" spans="1:4" hidden="1" x14ac:dyDescent="0.3">
      <c r="A4056">
        <v>4054</v>
      </c>
      <c r="B4056" t="s">
        <v>5348</v>
      </c>
      <c r="C4056" t="s">
        <v>112</v>
      </c>
      <c r="D4056">
        <v>591.13453017875702</v>
      </c>
    </row>
    <row r="4057" spans="1:4" hidden="1" x14ac:dyDescent="0.3">
      <c r="A4057">
        <v>4055</v>
      </c>
      <c r="B4057" t="s">
        <v>5349</v>
      </c>
      <c r="C4057" t="s">
        <v>114</v>
      </c>
      <c r="D4057">
        <v>99.882189688457601</v>
      </c>
    </row>
    <row r="4058" spans="1:4" hidden="1" x14ac:dyDescent="0.3">
      <c r="A4058">
        <v>4056</v>
      </c>
      <c r="B4058" s="1" t="s">
        <v>5350</v>
      </c>
      <c r="C4058" t="s">
        <v>116</v>
      </c>
      <c r="D4058" s="1" t="s">
        <v>5351</v>
      </c>
    </row>
    <row r="4059" spans="1:4" hidden="1" x14ac:dyDescent="0.3">
      <c r="A4059">
        <v>4057</v>
      </c>
      <c r="B4059" t="s">
        <v>5352</v>
      </c>
      <c r="C4059" t="s">
        <v>119</v>
      </c>
      <c r="D4059">
        <v>72713486.800428599</v>
      </c>
    </row>
    <row r="4060" spans="1:4" hidden="1" x14ac:dyDescent="0.3">
      <c r="A4060">
        <v>4058</v>
      </c>
      <c r="B4060" t="s">
        <v>5353</v>
      </c>
      <c r="C4060" t="s">
        <v>121</v>
      </c>
      <c r="D4060">
        <v>34348745.861206599</v>
      </c>
    </row>
    <row r="4061" spans="1:4" hidden="1" x14ac:dyDescent="0.3">
      <c r="A4061">
        <v>4059</v>
      </c>
      <c r="B4061" s="1" t="s">
        <v>5354</v>
      </c>
      <c r="C4061" t="s">
        <v>123</v>
      </c>
      <c r="D4061" s="1" t="s">
        <v>5355</v>
      </c>
    </row>
    <row r="4062" spans="1:4" hidden="1" x14ac:dyDescent="0.3">
      <c r="A4062">
        <v>4060</v>
      </c>
      <c r="B4062" t="s">
        <v>5356</v>
      </c>
      <c r="C4062" t="s">
        <v>126</v>
      </c>
      <c r="D4062">
        <v>0.70598504885443203</v>
      </c>
    </row>
    <row r="4063" spans="1:4" hidden="1" x14ac:dyDescent="0.3">
      <c r="A4063">
        <v>4061</v>
      </c>
      <c r="B4063" t="s">
        <v>5357</v>
      </c>
      <c r="C4063" t="s">
        <v>128</v>
      </c>
      <c r="D4063">
        <v>0.33349660553988902</v>
      </c>
    </row>
    <row r="4064" spans="1:4" hidden="1" x14ac:dyDescent="0.3">
      <c r="A4064">
        <v>4062</v>
      </c>
      <c r="B4064" s="1" t="s">
        <v>5358</v>
      </c>
      <c r="C4064" t="s">
        <v>130</v>
      </c>
      <c r="D4064" s="1" t="s">
        <v>5359</v>
      </c>
    </row>
    <row r="4065" spans="1:4" ht="72" x14ac:dyDescent="0.3">
      <c r="A4065">
        <v>4063</v>
      </c>
      <c r="B4065" s="1" t="s">
        <v>5360</v>
      </c>
      <c r="C4065" t="s">
        <v>4</v>
      </c>
      <c r="D4065" t="s">
        <v>5361</v>
      </c>
    </row>
    <row r="4066" spans="1:4" hidden="1" x14ac:dyDescent="0.3">
      <c r="A4066">
        <v>4064</v>
      </c>
      <c r="B4066" t="s">
        <v>5362</v>
      </c>
      <c r="C4066" t="s">
        <v>7</v>
      </c>
      <c r="D4066">
        <v>1673.89</v>
      </c>
    </row>
    <row r="4067" spans="1:4" hidden="1" x14ac:dyDescent="0.3">
      <c r="A4067">
        <v>4065</v>
      </c>
      <c r="B4067" s="1" t="s">
        <v>5363</v>
      </c>
      <c r="C4067" t="s">
        <v>9</v>
      </c>
      <c r="D4067" s="1" t="s">
        <v>5364</v>
      </c>
    </row>
    <row r="4068" spans="1:4" hidden="1" x14ac:dyDescent="0.3">
      <c r="A4068">
        <v>4066</v>
      </c>
      <c r="B4068" t="s">
        <v>5365</v>
      </c>
      <c r="C4068" t="s">
        <v>14</v>
      </c>
      <c r="D4068">
        <v>89.01953125</v>
      </c>
    </row>
    <row r="4069" spans="1:4" hidden="1" x14ac:dyDescent="0.3">
      <c r="A4069">
        <v>4067</v>
      </c>
      <c r="B4069" t="s">
        <v>5366</v>
      </c>
      <c r="C4069" t="s">
        <v>16</v>
      </c>
      <c r="D4069">
        <v>4.2478239717673203</v>
      </c>
    </row>
    <row r="4070" spans="1:4" hidden="1" x14ac:dyDescent="0.3">
      <c r="A4070">
        <v>4068</v>
      </c>
      <c r="B4070" s="1" t="s">
        <v>5367</v>
      </c>
      <c r="C4070" t="s">
        <v>140</v>
      </c>
      <c r="D4070" s="1" t="s">
        <v>5368</v>
      </c>
    </row>
    <row r="4071" spans="1:4" hidden="1" x14ac:dyDescent="0.3">
      <c r="A4071">
        <v>4069</v>
      </c>
      <c r="B4071" t="s">
        <v>4562</v>
      </c>
      <c r="C4071" t="s">
        <v>22</v>
      </c>
      <c r="D4071">
        <v>62.05</v>
      </c>
    </row>
    <row r="4072" spans="1:4" hidden="1" x14ac:dyDescent="0.3">
      <c r="A4072">
        <v>4070</v>
      </c>
      <c r="B4072" t="s">
        <v>5369</v>
      </c>
      <c r="C4072" t="s">
        <v>24</v>
      </c>
      <c r="D4072">
        <v>5.37347665339089</v>
      </c>
    </row>
    <row r="4073" spans="1:4" hidden="1" x14ac:dyDescent="0.3">
      <c r="A4073">
        <v>4071</v>
      </c>
      <c r="B4073" s="1" t="s">
        <v>5370</v>
      </c>
      <c r="C4073" t="s">
        <v>145</v>
      </c>
      <c r="D4073" s="1" t="s">
        <v>5371</v>
      </c>
    </row>
    <row r="4074" spans="1:4" hidden="1" x14ac:dyDescent="0.3">
      <c r="A4074">
        <v>4072</v>
      </c>
      <c r="B4074" t="s">
        <v>5372</v>
      </c>
      <c r="C4074" t="s">
        <v>35</v>
      </c>
      <c r="D4074">
        <v>-0.452781184163219</v>
      </c>
    </row>
    <row r="4075" spans="1:4" hidden="1" x14ac:dyDescent="0.3">
      <c r="A4075">
        <v>4073</v>
      </c>
      <c r="B4075" t="s">
        <v>5373</v>
      </c>
      <c r="C4075" t="s">
        <v>149</v>
      </c>
      <c r="D4075">
        <v>0.54010605722375704</v>
      </c>
    </row>
    <row r="4076" spans="1:4" hidden="1" x14ac:dyDescent="0.3">
      <c r="A4076">
        <v>4074</v>
      </c>
      <c r="B4076" s="1" t="s">
        <v>5374</v>
      </c>
      <c r="C4076" t="s">
        <v>151</v>
      </c>
      <c r="D4076" s="1" t="s">
        <v>5375</v>
      </c>
    </row>
    <row r="4077" spans="1:4" hidden="1" x14ac:dyDescent="0.3">
      <c r="A4077">
        <v>4075</v>
      </c>
      <c r="B4077" t="s">
        <v>5376</v>
      </c>
      <c r="C4077" t="s">
        <v>30</v>
      </c>
      <c r="D4077">
        <v>0.62922928219006502</v>
      </c>
    </row>
    <row r="4078" spans="1:4" hidden="1" x14ac:dyDescent="0.3">
      <c r="A4078">
        <v>4076</v>
      </c>
      <c r="B4078" t="s">
        <v>5377</v>
      </c>
      <c r="C4078" t="s">
        <v>32</v>
      </c>
      <c r="D4078">
        <v>0.41028508830683602</v>
      </c>
    </row>
    <row r="4079" spans="1:4" hidden="1" x14ac:dyDescent="0.3">
      <c r="A4079">
        <v>4077</v>
      </c>
      <c r="B4079" s="1" t="s">
        <v>5378</v>
      </c>
      <c r="C4079" t="s">
        <v>155</v>
      </c>
      <c r="D4079" s="1" t="s">
        <v>5379</v>
      </c>
    </row>
    <row r="4080" spans="1:4" hidden="1" x14ac:dyDescent="0.3">
      <c r="A4080">
        <v>4078</v>
      </c>
      <c r="B4080" t="s">
        <v>5380</v>
      </c>
      <c r="C4080" t="s">
        <v>40</v>
      </c>
      <c r="D4080">
        <v>0.82355190197315398</v>
      </c>
    </row>
    <row r="4081" spans="1:4" hidden="1" x14ac:dyDescent="0.3">
      <c r="A4081">
        <v>4079</v>
      </c>
      <c r="B4081" t="s">
        <v>5381</v>
      </c>
      <c r="C4081" t="s">
        <v>42</v>
      </c>
      <c r="D4081">
        <v>0.44120312706364201</v>
      </c>
    </row>
    <row r="4082" spans="1:4" hidden="1" x14ac:dyDescent="0.3">
      <c r="A4082">
        <v>4080</v>
      </c>
      <c r="B4082" s="1" t="s">
        <v>5382</v>
      </c>
      <c r="C4082" t="s">
        <v>159</v>
      </c>
      <c r="D4082" s="1" t="s">
        <v>5383</v>
      </c>
    </row>
    <row r="4083" spans="1:4" hidden="1" x14ac:dyDescent="0.3">
      <c r="A4083">
        <v>4081</v>
      </c>
      <c r="B4083" t="s">
        <v>5384</v>
      </c>
      <c r="C4083" t="s">
        <v>161</v>
      </c>
      <c r="D4083">
        <v>1.0054057625428701</v>
      </c>
    </row>
    <row r="4084" spans="1:4" hidden="1" x14ac:dyDescent="0.3">
      <c r="A4084">
        <v>4082</v>
      </c>
      <c r="B4084" t="s">
        <v>5385</v>
      </c>
      <c r="C4084" t="s">
        <v>163</v>
      </c>
      <c r="D4084">
        <v>0.99833682087105002</v>
      </c>
    </row>
    <row r="4085" spans="1:4" hidden="1" x14ac:dyDescent="0.3">
      <c r="A4085">
        <v>4083</v>
      </c>
      <c r="B4085" s="1" t="s">
        <v>5386</v>
      </c>
      <c r="C4085" t="s">
        <v>165</v>
      </c>
      <c r="D4085" s="1" t="s">
        <v>5387</v>
      </c>
    </row>
    <row r="4086" spans="1:4" hidden="1" x14ac:dyDescent="0.3">
      <c r="A4086">
        <v>4084</v>
      </c>
      <c r="B4086" t="s">
        <v>5388</v>
      </c>
      <c r="C4086" t="s">
        <v>168</v>
      </c>
      <c r="D4086">
        <v>1.0010077315088699</v>
      </c>
    </row>
    <row r="4087" spans="1:4" hidden="1" x14ac:dyDescent="0.3">
      <c r="A4087">
        <v>4085</v>
      </c>
      <c r="B4087" t="s">
        <v>5389</v>
      </c>
      <c r="C4087" t="s">
        <v>170</v>
      </c>
      <c r="D4087">
        <v>1.00061499984117</v>
      </c>
    </row>
    <row r="4088" spans="1:4" hidden="1" x14ac:dyDescent="0.3">
      <c r="A4088">
        <v>4086</v>
      </c>
      <c r="B4088" s="1" t="s">
        <v>5390</v>
      </c>
      <c r="C4088" t="s">
        <v>172</v>
      </c>
      <c r="D4088" s="1" t="s">
        <v>5391</v>
      </c>
    </row>
    <row r="4089" spans="1:4" hidden="1" x14ac:dyDescent="0.3">
      <c r="A4089">
        <v>4087</v>
      </c>
      <c r="B4089" s="1" t="s">
        <v>5392</v>
      </c>
      <c r="C4089" t="s">
        <v>55</v>
      </c>
      <c r="D4089" s="1" t="s">
        <v>5393</v>
      </c>
    </row>
    <row r="4090" spans="1:4" hidden="1" x14ac:dyDescent="0.3">
      <c r="A4090">
        <v>4088</v>
      </c>
      <c r="B4090" s="1" t="s">
        <v>5394</v>
      </c>
      <c r="C4090" t="s">
        <v>52</v>
      </c>
      <c r="D4090" s="1" t="s">
        <v>5395</v>
      </c>
    </row>
    <row r="4091" spans="1:4" hidden="1" x14ac:dyDescent="0.3">
      <c r="A4091">
        <v>4089</v>
      </c>
      <c r="B4091" s="1" t="s">
        <v>5396</v>
      </c>
      <c r="C4091" t="s">
        <v>58</v>
      </c>
      <c r="D4091" s="1" t="s">
        <v>5397</v>
      </c>
    </row>
    <row r="4092" spans="1:4" hidden="1" x14ac:dyDescent="0.3">
      <c r="A4092">
        <v>4090</v>
      </c>
      <c r="B4092" t="s">
        <v>5398</v>
      </c>
      <c r="C4092" t="s">
        <v>61</v>
      </c>
      <c r="D4092">
        <v>145454345.01936701</v>
      </c>
    </row>
    <row r="4093" spans="1:4" hidden="1" x14ac:dyDescent="0.3">
      <c r="A4093">
        <v>4091</v>
      </c>
      <c r="B4093" t="s">
        <v>5399</v>
      </c>
      <c r="C4093" t="s">
        <v>63</v>
      </c>
      <c r="D4093">
        <v>73106558.643735901</v>
      </c>
    </row>
    <row r="4094" spans="1:4" hidden="1" x14ac:dyDescent="0.3">
      <c r="A4094">
        <v>4092</v>
      </c>
      <c r="B4094" t="s">
        <v>5400</v>
      </c>
      <c r="C4094" t="s">
        <v>65</v>
      </c>
      <c r="D4094">
        <v>34291617.743984699</v>
      </c>
    </row>
    <row r="4095" spans="1:4" hidden="1" x14ac:dyDescent="0.3">
      <c r="A4095">
        <v>4093</v>
      </c>
      <c r="B4095" s="1" t="s">
        <v>5401</v>
      </c>
      <c r="C4095" t="s">
        <v>67</v>
      </c>
      <c r="D4095" s="1" t="s">
        <v>5402</v>
      </c>
    </row>
    <row r="4096" spans="1:4" hidden="1" x14ac:dyDescent="0.3">
      <c r="A4096">
        <v>4094</v>
      </c>
      <c r="B4096" s="1" t="s">
        <v>5403</v>
      </c>
      <c r="C4096" t="s">
        <v>70</v>
      </c>
      <c r="D4096" s="1" t="s">
        <v>5404</v>
      </c>
    </row>
    <row r="4097" spans="1:4" hidden="1" x14ac:dyDescent="0.3">
      <c r="A4097">
        <v>4095</v>
      </c>
      <c r="B4097" t="s">
        <v>5405</v>
      </c>
      <c r="C4097" t="s">
        <v>73</v>
      </c>
      <c r="D4097">
        <v>0.99971134151758301</v>
      </c>
    </row>
    <row r="4098" spans="1:4" hidden="1" x14ac:dyDescent="0.3">
      <c r="A4098">
        <v>4096</v>
      </c>
      <c r="B4098" t="s">
        <v>74</v>
      </c>
      <c r="C4098" t="s">
        <v>75</v>
      </c>
      <c r="D4098">
        <v>2.7397260273972599E-3</v>
      </c>
    </row>
    <row r="4099" spans="1:4" hidden="1" x14ac:dyDescent="0.3">
      <c r="A4099">
        <v>4097</v>
      </c>
      <c r="B4099" t="s">
        <v>76</v>
      </c>
      <c r="C4099" t="s">
        <v>77</v>
      </c>
      <c r="D4099">
        <v>0</v>
      </c>
    </row>
    <row r="4100" spans="1:4" hidden="1" x14ac:dyDescent="0.3">
      <c r="A4100">
        <v>4098</v>
      </c>
      <c r="B4100" t="s">
        <v>78</v>
      </c>
      <c r="C4100" t="s">
        <v>79</v>
      </c>
      <c r="D4100">
        <v>0</v>
      </c>
    </row>
    <row r="4101" spans="1:4" hidden="1" x14ac:dyDescent="0.3">
      <c r="A4101">
        <v>4099</v>
      </c>
      <c r="B4101" s="1" t="s">
        <v>5406</v>
      </c>
      <c r="C4101" t="s">
        <v>81</v>
      </c>
      <c r="D4101" s="1" t="s">
        <v>5407</v>
      </c>
    </row>
    <row r="4102" spans="1:4" hidden="1" x14ac:dyDescent="0.3">
      <c r="A4102">
        <v>4100</v>
      </c>
      <c r="B4102" t="s">
        <v>5408</v>
      </c>
      <c r="C4102" t="s">
        <v>84</v>
      </c>
      <c r="D4102">
        <v>0.99969851604871995</v>
      </c>
    </row>
    <row r="4103" spans="1:4" hidden="1" x14ac:dyDescent="0.3">
      <c r="A4103">
        <v>4101</v>
      </c>
      <c r="B4103" s="1" t="s">
        <v>5409</v>
      </c>
      <c r="C4103" t="s">
        <v>86</v>
      </c>
      <c r="D4103" s="1" t="s">
        <v>5410</v>
      </c>
    </row>
    <row r="4104" spans="1:4" hidden="1" x14ac:dyDescent="0.3">
      <c r="A4104">
        <v>4102</v>
      </c>
      <c r="B4104" t="s">
        <v>5411</v>
      </c>
      <c r="C4104" t="s">
        <v>89</v>
      </c>
      <c r="D4104">
        <v>103024473.919966</v>
      </c>
    </row>
    <row r="4105" spans="1:4" hidden="1" x14ac:dyDescent="0.3">
      <c r="A4105">
        <v>4103</v>
      </c>
      <c r="B4105" s="1" t="s">
        <v>5412</v>
      </c>
      <c r="C4105" t="s">
        <v>91</v>
      </c>
      <c r="D4105" s="1" t="s">
        <v>5347</v>
      </c>
    </row>
    <row r="4106" spans="1:4" hidden="1" x14ac:dyDescent="0.3">
      <c r="A4106">
        <v>4104</v>
      </c>
      <c r="B4106" t="s">
        <v>5413</v>
      </c>
      <c r="C4106" t="s">
        <v>94</v>
      </c>
      <c r="D4106">
        <v>73106558.643735901</v>
      </c>
    </row>
    <row r="4107" spans="1:4" hidden="1" x14ac:dyDescent="0.3">
      <c r="A4107">
        <v>4105</v>
      </c>
      <c r="B4107" t="s">
        <v>5414</v>
      </c>
      <c r="C4107" t="s">
        <v>96</v>
      </c>
      <c r="D4107">
        <v>34291617.743984699</v>
      </c>
    </row>
    <row r="4108" spans="1:4" hidden="1" x14ac:dyDescent="0.3">
      <c r="A4108">
        <v>4106</v>
      </c>
      <c r="B4108" t="s">
        <v>5415</v>
      </c>
      <c r="C4108" t="s">
        <v>98</v>
      </c>
      <c r="D4108">
        <v>38056168.631646901</v>
      </c>
    </row>
    <row r="4109" spans="1:4" hidden="1" x14ac:dyDescent="0.3">
      <c r="A4109">
        <v>4107</v>
      </c>
      <c r="B4109" s="1" t="s">
        <v>5416</v>
      </c>
      <c r="C4109" t="s">
        <v>100</v>
      </c>
      <c r="D4109" s="1" t="s">
        <v>5417</v>
      </c>
    </row>
    <row r="4110" spans="1:4" hidden="1" x14ac:dyDescent="0.3">
      <c r="A4110">
        <v>4108</v>
      </c>
      <c r="B4110" t="s">
        <v>5418</v>
      </c>
      <c r="C4110" t="s">
        <v>103</v>
      </c>
      <c r="D4110">
        <v>8.7644534392572193E-3</v>
      </c>
    </row>
    <row r="4111" spans="1:4" hidden="1" x14ac:dyDescent="0.3">
      <c r="A4111">
        <v>4109</v>
      </c>
      <c r="B4111" t="s">
        <v>5419</v>
      </c>
      <c r="C4111" t="s">
        <v>105</v>
      </c>
      <c r="D4111">
        <v>3.0920666248776701E-3</v>
      </c>
    </row>
    <row r="4112" spans="1:4" hidden="1" x14ac:dyDescent="0.3">
      <c r="A4112">
        <v>4110</v>
      </c>
      <c r="B4112" t="s">
        <v>5420</v>
      </c>
      <c r="C4112" t="s">
        <v>107</v>
      </c>
      <c r="D4112">
        <v>1.1103398781832601E-2</v>
      </c>
    </row>
    <row r="4113" spans="1:4" hidden="1" x14ac:dyDescent="0.3">
      <c r="A4113">
        <v>4111</v>
      </c>
      <c r="B4113" s="1" t="s">
        <v>5421</v>
      </c>
      <c r="C4113" t="s">
        <v>109</v>
      </c>
      <c r="D4113" s="1" t="s">
        <v>5422</v>
      </c>
    </row>
    <row r="4114" spans="1:4" hidden="1" x14ac:dyDescent="0.3">
      <c r="A4114">
        <v>4112</v>
      </c>
      <c r="B4114" t="s">
        <v>5423</v>
      </c>
      <c r="C4114" t="s">
        <v>208</v>
      </c>
      <c r="D4114">
        <v>145453894.14456201</v>
      </c>
    </row>
    <row r="4115" spans="1:4" hidden="1" x14ac:dyDescent="0.3">
      <c r="A4115">
        <v>4113</v>
      </c>
      <c r="B4115" t="s">
        <v>5424</v>
      </c>
      <c r="C4115" t="s">
        <v>210</v>
      </c>
      <c r="D4115">
        <v>937.89236335354997</v>
      </c>
    </row>
    <row r="4116" spans="1:4" hidden="1" x14ac:dyDescent="0.3">
      <c r="A4116">
        <v>4114</v>
      </c>
      <c r="B4116" t="s">
        <v>5425</v>
      </c>
      <c r="C4116" t="s">
        <v>212</v>
      </c>
      <c r="D4116">
        <v>439.93236331216798</v>
      </c>
    </row>
    <row r="4117" spans="1:4" hidden="1" x14ac:dyDescent="0.3">
      <c r="A4117">
        <v>4115</v>
      </c>
      <c r="B4117" s="1" t="s">
        <v>5426</v>
      </c>
      <c r="C4117" t="s">
        <v>214</v>
      </c>
      <c r="D4117" s="1" t="s">
        <v>5427</v>
      </c>
    </row>
    <row r="4118" spans="1:4" hidden="1" x14ac:dyDescent="0.3">
      <c r="A4118">
        <v>4116</v>
      </c>
      <c r="B4118" t="s">
        <v>5428</v>
      </c>
      <c r="C4118" t="s">
        <v>217</v>
      </c>
      <c r="D4118">
        <v>73105288.693866104</v>
      </c>
    </row>
    <row r="4119" spans="1:4" hidden="1" x14ac:dyDescent="0.3">
      <c r="A4119">
        <v>4117</v>
      </c>
      <c r="B4119" t="s">
        <v>5429</v>
      </c>
      <c r="C4119" t="s">
        <v>219</v>
      </c>
      <c r="D4119">
        <v>34291123.035391599</v>
      </c>
    </row>
    <row r="4120" spans="1:4" hidden="1" x14ac:dyDescent="0.3">
      <c r="A4120">
        <v>4118</v>
      </c>
      <c r="B4120" t="s">
        <v>5430</v>
      </c>
      <c r="C4120" t="s">
        <v>221</v>
      </c>
      <c r="D4120">
        <v>38055616.362262599</v>
      </c>
    </row>
    <row r="4121" spans="1:4" hidden="1" x14ac:dyDescent="0.3">
      <c r="A4121">
        <v>4119</v>
      </c>
      <c r="B4121" s="1" t="s">
        <v>5431</v>
      </c>
      <c r="C4121" t="s">
        <v>223</v>
      </c>
      <c r="D4121" s="1" t="s">
        <v>5432</v>
      </c>
    </row>
    <row r="4122" spans="1:4" hidden="1" x14ac:dyDescent="0.3">
      <c r="A4122">
        <v>4120</v>
      </c>
      <c r="B4122" t="s">
        <v>5433</v>
      </c>
      <c r="C4122" t="s">
        <v>226</v>
      </c>
      <c r="D4122">
        <v>103023152.201258</v>
      </c>
    </row>
    <row r="4123" spans="1:4" hidden="1" x14ac:dyDescent="0.3">
      <c r="A4123">
        <v>4121</v>
      </c>
      <c r="B4123" t="s">
        <v>5434</v>
      </c>
      <c r="C4123" t="s">
        <v>228</v>
      </c>
      <c r="D4123">
        <v>1321.7187076956</v>
      </c>
    </row>
    <row r="4124" spans="1:4" hidden="1" x14ac:dyDescent="0.3">
      <c r="A4124">
        <v>4122</v>
      </c>
      <c r="B4124" s="1" t="s">
        <v>5435</v>
      </c>
      <c r="C4124" t="s">
        <v>230</v>
      </c>
      <c r="D4124" s="1" t="s">
        <v>5436</v>
      </c>
    </row>
    <row r="4125" spans="1:4" hidden="1" x14ac:dyDescent="0.3">
      <c r="A4125">
        <v>4123</v>
      </c>
      <c r="B4125" t="s">
        <v>5437</v>
      </c>
      <c r="C4125" t="s">
        <v>112</v>
      </c>
      <c r="D4125">
        <v>-332.057506423159</v>
      </c>
    </row>
    <row r="4126" spans="1:4" hidden="1" x14ac:dyDescent="0.3">
      <c r="A4126">
        <v>4124</v>
      </c>
      <c r="B4126" t="s">
        <v>5438</v>
      </c>
      <c r="C4126" t="s">
        <v>114</v>
      </c>
      <c r="D4126">
        <v>-54.776229724640302</v>
      </c>
    </row>
    <row r="4127" spans="1:4" hidden="1" x14ac:dyDescent="0.3">
      <c r="A4127">
        <v>4125</v>
      </c>
      <c r="B4127" s="1" t="s">
        <v>5439</v>
      </c>
      <c r="C4127" t="s">
        <v>116</v>
      </c>
      <c r="D4127" s="1" t="s">
        <v>5440</v>
      </c>
    </row>
    <row r="4128" spans="1:4" hidden="1" x14ac:dyDescent="0.3">
      <c r="A4128">
        <v>4126</v>
      </c>
      <c r="B4128" t="s">
        <v>5441</v>
      </c>
      <c r="C4128" t="s">
        <v>119</v>
      </c>
      <c r="D4128">
        <v>73105288.693866104</v>
      </c>
    </row>
    <row r="4129" spans="1:4" hidden="1" x14ac:dyDescent="0.3">
      <c r="A4129">
        <v>4127</v>
      </c>
      <c r="B4129" t="s">
        <v>5442</v>
      </c>
      <c r="C4129" t="s">
        <v>121</v>
      </c>
      <c r="D4129">
        <v>34291123.035391599</v>
      </c>
    </row>
    <row r="4130" spans="1:4" hidden="1" x14ac:dyDescent="0.3">
      <c r="A4130">
        <v>4128</v>
      </c>
      <c r="B4130" s="1" t="s">
        <v>5443</v>
      </c>
      <c r="C4130" t="s">
        <v>123</v>
      </c>
      <c r="D4130" s="1" t="s">
        <v>5444</v>
      </c>
    </row>
    <row r="4131" spans="1:4" hidden="1" x14ac:dyDescent="0.3">
      <c r="A4131">
        <v>4129</v>
      </c>
      <c r="B4131" t="s">
        <v>5445</v>
      </c>
      <c r="C4131" t="s">
        <v>126</v>
      </c>
      <c r="D4131">
        <v>0.70981457904759604</v>
      </c>
    </row>
    <row r="4132" spans="1:4" hidden="1" x14ac:dyDescent="0.3">
      <c r="A4132">
        <v>4130</v>
      </c>
      <c r="B4132" t="s">
        <v>5446</v>
      </c>
      <c r="C4132" t="s">
        <v>128</v>
      </c>
      <c r="D4132">
        <v>0.33294908613743202</v>
      </c>
    </row>
    <row r="4133" spans="1:4" hidden="1" x14ac:dyDescent="0.3">
      <c r="A4133">
        <v>4131</v>
      </c>
      <c r="B4133" s="1" t="s">
        <v>5447</v>
      </c>
      <c r="C4133" t="s">
        <v>130</v>
      </c>
      <c r="D4133" s="1" t="s">
        <v>5448</v>
      </c>
    </row>
    <row r="4134" spans="1:4" ht="72" x14ac:dyDescent="0.3">
      <c r="A4134">
        <v>4132</v>
      </c>
      <c r="B4134" s="1" t="s">
        <v>5449</v>
      </c>
      <c r="C4134" t="s">
        <v>4</v>
      </c>
      <c r="D4134" t="s">
        <v>5450</v>
      </c>
    </row>
    <row r="4135" spans="1:4" hidden="1" x14ac:dyDescent="0.3">
      <c r="A4135">
        <v>4133</v>
      </c>
      <c r="B4135" t="s">
        <v>5451</v>
      </c>
      <c r="C4135" t="s">
        <v>7</v>
      </c>
      <c r="D4135">
        <v>1671.22</v>
      </c>
    </row>
    <row r="4136" spans="1:4" hidden="1" x14ac:dyDescent="0.3">
      <c r="A4136">
        <v>4134</v>
      </c>
      <c r="B4136" s="1" t="s">
        <v>5452</v>
      </c>
      <c r="C4136" t="s">
        <v>9</v>
      </c>
      <c r="D4136" s="1" t="s">
        <v>5453</v>
      </c>
    </row>
    <row r="4137" spans="1:4" hidden="1" x14ac:dyDescent="0.3">
      <c r="A4137">
        <v>4135</v>
      </c>
      <c r="B4137" t="s">
        <v>5454</v>
      </c>
      <c r="C4137" t="s">
        <v>14</v>
      </c>
      <c r="D4137">
        <v>88.63671875</v>
      </c>
    </row>
    <row r="4138" spans="1:4" hidden="1" x14ac:dyDescent="0.3">
      <c r="A4138">
        <v>4136</v>
      </c>
      <c r="B4138" t="s">
        <v>5455</v>
      </c>
      <c r="C4138" t="s">
        <v>16</v>
      </c>
      <c r="D4138">
        <v>4.2352942896961299</v>
      </c>
    </row>
    <row r="4139" spans="1:4" hidden="1" x14ac:dyDescent="0.3">
      <c r="A4139">
        <v>4137</v>
      </c>
      <c r="B4139" s="1" t="s">
        <v>5456</v>
      </c>
      <c r="C4139" t="s">
        <v>140</v>
      </c>
      <c r="D4139" s="1" t="s">
        <v>5457</v>
      </c>
    </row>
    <row r="4140" spans="1:4" hidden="1" x14ac:dyDescent="0.3">
      <c r="A4140">
        <v>4138</v>
      </c>
      <c r="B4140" t="s">
        <v>5458</v>
      </c>
      <c r="C4140" t="s">
        <v>22</v>
      </c>
      <c r="D4140">
        <v>61.35</v>
      </c>
    </row>
    <row r="4141" spans="1:4" hidden="1" x14ac:dyDescent="0.3">
      <c r="A4141">
        <v>4139</v>
      </c>
      <c r="B4141" t="s">
        <v>5459</v>
      </c>
      <c r="C4141" t="s">
        <v>24</v>
      </c>
      <c r="D4141">
        <v>5.2848668165155903</v>
      </c>
    </row>
    <row r="4142" spans="1:4" hidden="1" x14ac:dyDescent="0.3">
      <c r="A4142">
        <v>4140</v>
      </c>
      <c r="B4142" s="1" t="s">
        <v>5460</v>
      </c>
      <c r="C4142" t="s">
        <v>145</v>
      </c>
      <c r="D4142" s="1" t="s">
        <v>5461</v>
      </c>
    </row>
    <row r="4143" spans="1:4" hidden="1" x14ac:dyDescent="0.3">
      <c r="A4143">
        <v>4141</v>
      </c>
      <c r="B4143" t="s">
        <v>5462</v>
      </c>
      <c r="C4143" t="s">
        <v>35</v>
      </c>
      <c r="D4143">
        <v>0.549660069320971</v>
      </c>
    </row>
    <row r="4144" spans="1:4" hidden="1" x14ac:dyDescent="0.3">
      <c r="A4144">
        <v>4142</v>
      </c>
      <c r="B4144" t="s">
        <v>5463</v>
      </c>
      <c r="C4144" t="s">
        <v>149</v>
      </c>
      <c r="D4144">
        <v>0.53323560810724802</v>
      </c>
    </row>
    <row r="4145" spans="1:4" hidden="1" x14ac:dyDescent="0.3">
      <c r="A4145">
        <v>4143</v>
      </c>
      <c r="B4145" s="1" t="s">
        <v>5464</v>
      </c>
      <c r="C4145" t="s">
        <v>151</v>
      </c>
      <c r="D4145" s="1" t="s">
        <v>5465</v>
      </c>
    </row>
    <row r="4146" spans="1:4" hidden="1" x14ac:dyDescent="0.3">
      <c r="A4146">
        <v>4144</v>
      </c>
      <c r="B4146" t="s">
        <v>5466</v>
      </c>
      <c r="C4146" t="s">
        <v>30</v>
      </c>
      <c r="D4146">
        <v>0.19611892206252399</v>
      </c>
    </row>
    <row r="4147" spans="1:4" hidden="1" x14ac:dyDescent="0.3">
      <c r="A4147">
        <v>4145</v>
      </c>
      <c r="B4147" t="s">
        <v>5467</v>
      </c>
      <c r="C4147" t="s">
        <v>32</v>
      </c>
      <c r="D4147">
        <v>0.41822858428913801</v>
      </c>
    </row>
    <row r="4148" spans="1:4" hidden="1" x14ac:dyDescent="0.3">
      <c r="A4148">
        <v>4146</v>
      </c>
      <c r="B4148" s="1" t="s">
        <v>5468</v>
      </c>
      <c r="C4148" t="s">
        <v>155</v>
      </c>
      <c r="D4148" s="1" t="s">
        <v>5469</v>
      </c>
    </row>
    <row r="4149" spans="1:4" hidden="1" x14ac:dyDescent="0.3">
      <c r="A4149">
        <v>4147</v>
      </c>
      <c r="B4149" t="s">
        <v>5470</v>
      </c>
      <c r="C4149" t="s">
        <v>40</v>
      </c>
      <c r="D4149">
        <v>0.25422100861650299</v>
      </c>
    </row>
    <row r="4150" spans="1:4" hidden="1" x14ac:dyDescent="0.3">
      <c r="A4150">
        <v>4148</v>
      </c>
      <c r="B4150" t="s">
        <v>5471</v>
      </c>
      <c r="C4150" t="s">
        <v>42</v>
      </c>
      <c r="D4150">
        <v>0.45711504392346303</v>
      </c>
    </row>
    <row r="4151" spans="1:4" hidden="1" x14ac:dyDescent="0.3">
      <c r="A4151">
        <v>4149</v>
      </c>
      <c r="B4151" s="1" t="s">
        <v>5472</v>
      </c>
      <c r="C4151" t="s">
        <v>159</v>
      </c>
      <c r="D4151" s="1" t="s">
        <v>5473</v>
      </c>
    </row>
    <row r="4152" spans="1:4" hidden="1" x14ac:dyDescent="0.3">
      <c r="A4152">
        <v>4150</v>
      </c>
      <c r="B4152" t="s">
        <v>5474</v>
      </c>
      <c r="C4152" t="s">
        <v>161</v>
      </c>
      <c r="D4152">
        <v>0.99840491310659596</v>
      </c>
    </row>
    <row r="4153" spans="1:4" hidden="1" x14ac:dyDescent="0.3">
      <c r="A4153">
        <v>4151</v>
      </c>
      <c r="B4153" t="s">
        <v>5475</v>
      </c>
      <c r="C4153" t="s">
        <v>163</v>
      </c>
      <c r="D4153">
        <v>0.99576119445939903</v>
      </c>
    </row>
    <row r="4154" spans="1:4" hidden="1" x14ac:dyDescent="0.3">
      <c r="A4154">
        <v>4152</v>
      </c>
      <c r="B4154" s="1" t="s">
        <v>5476</v>
      </c>
      <c r="C4154" t="s">
        <v>165</v>
      </c>
      <c r="D4154" s="1" t="s">
        <v>5477</v>
      </c>
    </row>
    <row r="4155" spans="1:4" hidden="1" x14ac:dyDescent="0.3">
      <c r="A4155">
        <v>4153</v>
      </c>
      <c r="B4155" t="s">
        <v>5478</v>
      </c>
      <c r="C4155" t="s">
        <v>168</v>
      </c>
      <c r="D4155">
        <v>0.99553897662808</v>
      </c>
    </row>
    <row r="4156" spans="1:4" hidden="1" x14ac:dyDescent="0.3">
      <c r="A4156">
        <v>4154</v>
      </c>
      <c r="B4156" t="s">
        <v>5479</v>
      </c>
      <c r="C4156" t="s">
        <v>170</v>
      </c>
      <c r="D4156">
        <v>1.0056325462476801</v>
      </c>
    </row>
    <row r="4157" spans="1:4" hidden="1" x14ac:dyDescent="0.3">
      <c r="A4157">
        <v>4155</v>
      </c>
      <c r="B4157" s="1" t="s">
        <v>5480</v>
      </c>
      <c r="C4157" t="s">
        <v>172</v>
      </c>
      <c r="D4157" s="1" t="s">
        <v>5481</v>
      </c>
    </row>
    <row r="4158" spans="1:4" hidden="1" x14ac:dyDescent="0.3">
      <c r="A4158">
        <v>4156</v>
      </c>
      <c r="B4158" s="1" t="s">
        <v>5482</v>
      </c>
      <c r="C4158" t="s">
        <v>55</v>
      </c>
      <c r="D4158" s="1" t="s">
        <v>5483</v>
      </c>
    </row>
    <row r="4159" spans="1:4" hidden="1" x14ac:dyDescent="0.3">
      <c r="A4159">
        <v>4157</v>
      </c>
      <c r="B4159" s="1" t="s">
        <v>5484</v>
      </c>
      <c r="C4159" t="s">
        <v>52</v>
      </c>
      <c r="D4159" s="1" t="s">
        <v>5485</v>
      </c>
    </row>
    <row r="4160" spans="1:4" hidden="1" x14ac:dyDescent="0.3">
      <c r="A4160">
        <v>4158</v>
      </c>
      <c r="B4160" s="1" t="s">
        <v>5486</v>
      </c>
      <c r="C4160" t="s">
        <v>58</v>
      </c>
      <c r="D4160" s="1" t="s">
        <v>5487</v>
      </c>
    </row>
    <row r="4161" spans="1:4" hidden="1" x14ac:dyDescent="0.3">
      <c r="A4161">
        <v>4159</v>
      </c>
      <c r="B4161" t="s">
        <v>5488</v>
      </c>
      <c r="C4161" t="s">
        <v>61</v>
      </c>
      <c r="D4161">
        <v>144744952.88416901</v>
      </c>
    </row>
    <row r="4162" spans="1:4" hidden="1" x14ac:dyDescent="0.3">
      <c r="A4162">
        <v>4160</v>
      </c>
      <c r="B4162" t="s">
        <v>5489</v>
      </c>
      <c r="C4162" t="s">
        <v>63</v>
      </c>
      <c r="D4162">
        <v>72988679.406031996</v>
      </c>
    </row>
    <row r="4163" spans="1:4" hidden="1" x14ac:dyDescent="0.3">
      <c r="A4163">
        <v>4161</v>
      </c>
      <c r="B4163" t="s">
        <v>5490</v>
      </c>
      <c r="C4163" t="s">
        <v>65</v>
      </c>
      <c r="D4163">
        <v>34145769.633075804</v>
      </c>
    </row>
    <row r="4164" spans="1:4" hidden="1" x14ac:dyDescent="0.3">
      <c r="A4164">
        <v>4162</v>
      </c>
      <c r="B4164" s="1" t="s">
        <v>5491</v>
      </c>
      <c r="C4164" t="s">
        <v>67</v>
      </c>
      <c r="D4164" s="1" t="s">
        <v>5492</v>
      </c>
    </row>
    <row r="4165" spans="1:4" hidden="1" x14ac:dyDescent="0.3">
      <c r="A4165">
        <v>4163</v>
      </c>
      <c r="B4165" s="1" t="s">
        <v>5493</v>
      </c>
      <c r="C4165" t="s">
        <v>70</v>
      </c>
      <c r="D4165" s="1" t="s">
        <v>5494</v>
      </c>
    </row>
    <row r="4166" spans="1:4" hidden="1" x14ac:dyDescent="0.3">
      <c r="A4166">
        <v>4164</v>
      </c>
      <c r="B4166" t="s">
        <v>5495</v>
      </c>
      <c r="C4166" t="s">
        <v>73</v>
      </c>
      <c r="D4166">
        <v>0.99969851604871995</v>
      </c>
    </row>
    <row r="4167" spans="1:4" hidden="1" x14ac:dyDescent="0.3">
      <c r="A4167">
        <v>4165</v>
      </c>
      <c r="B4167" t="s">
        <v>74</v>
      </c>
      <c r="C4167" t="s">
        <v>75</v>
      </c>
      <c r="D4167">
        <v>2.7397260273972599E-3</v>
      </c>
    </row>
    <row r="4168" spans="1:4" hidden="1" x14ac:dyDescent="0.3">
      <c r="A4168">
        <v>4166</v>
      </c>
      <c r="B4168" t="s">
        <v>76</v>
      </c>
      <c r="C4168" t="s">
        <v>77</v>
      </c>
      <c r="D4168">
        <v>0</v>
      </c>
    </row>
    <row r="4169" spans="1:4" hidden="1" x14ac:dyDescent="0.3">
      <c r="A4169">
        <v>4167</v>
      </c>
      <c r="B4169" t="s">
        <v>78</v>
      </c>
      <c r="C4169" t="s">
        <v>79</v>
      </c>
      <c r="D4169">
        <v>0</v>
      </c>
    </row>
    <row r="4170" spans="1:4" hidden="1" x14ac:dyDescent="0.3">
      <c r="A4170">
        <v>4168</v>
      </c>
      <c r="B4170" s="1" t="s">
        <v>5496</v>
      </c>
      <c r="C4170" t="s">
        <v>81</v>
      </c>
      <c r="D4170" s="1" t="s">
        <v>5497</v>
      </c>
    </row>
    <row r="4171" spans="1:4" hidden="1" x14ac:dyDescent="0.3">
      <c r="A4171">
        <v>4169</v>
      </c>
      <c r="B4171" t="s">
        <v>5498</v>
      </c>
      <c r="C4171" t="s">
        <v>84</v>
      </c>
      <c r="D4171">
        <v>0.99969759053487195</v>
      </c>
    </row>
    <row r="4172" spans="1:4" hidden="1" x14ac:dyDescent="0.3">
      <c r="A4172">
        <v>4170</v>
      </c>
      <c r="B4172" s="1" t="s">
        <v>5499</v>
      </c>
      <c r="C4172" t="s">
        <v>86</v>
      </c>
      <c r="D4172" s="1" t="s">
        <v>5500</v>
      </c>
    </row>
    <row r="4173" spans="1:4" hidden="1" x14ac:dyDescent="0.3">
      <c r="A4173">
        <v>4171</v>
      </c>
      <c r="B4173" t="s">
        <v>5501</v>
      </c>
      <c r="C4173" t="s">
        <v>89</v>
      </c>
      <c r="D4173">
        <v>103024569.29938599</v>
      </c>
    </row>
    <row r="4174" spans="1:4" hidden="1" x14ac:dyDescent="0.3">
      <c r="A4174">
        <v>4172</v>
      </c>
      <c r="B4174" s="1" t="s">
        <v>5502</v>
      </c>
      <c r="C4174" t="s">
        <v>91</v>
      </c>
      <c r="D4174" s="1" t="s">
        <v>5436</v>
      </c>
    </row>
    <row r="4175" spans="1:4" hidden="1" x14ac:dyDescent="0.3">
      <c r="A4175">
        <v>4173</v>
      </c>
      <c r="B4175" t="s">
        <v>5503</v>
      </c>
      <c r="C4175" t="s">
        <v>94</v>
      </c>
      <c r="D4175">
        <v>72988679.406031996</v>
      </c>
    </row>
    <row r="4176" spans="1:4" hidden="1" x14ac:dyDescent="0.3">
      <c r="A4176">
        <v>4174</v>
      </c>
      <c r="B4176" t="s">
        <v>5504</v>
      </c>
      <c r="C4176" t="s">
        <v>96</v>
      </c>
      <c r="D4176">
        <v>34145769.633075804</v>
      </c>
    </row>
    <row r="4177" spans="1:4" hidden="1" x14ac:dyDescent="0.3">
      <c r="A4177">
        <v>4175</v>
      </c>
      <c r="B4177" t="s">
        <v>5505</v>
      </c>
      <c r="C4177" t="s">
        <v>98</v>
      </c>
      <c r="D4177">
        <v>37610503.845061697</v>
      </c>
    </row>
    <row r="4178" spans="1:4" hidden="1" x14ac:dyDescent="0.3">
      <c r="A4178">
        <v>4176</v>
      </c>
      <c r="B4178" s="1" t="s">
        <v>5506</v>
      </c>
      <c r="C4178" t="s">
        <v>100</v>
      </c>
      <c r="D4178" s="1" t="s">
        <v>5507</v>
      </c>
    </row>
    <row r="4179" spans="1:4" hidden="1" x14ac:dyDescent="0.3">
      <c r="A4179">
        <v>4177</v>
      </c>
      <c r="B4179" t="s">
        <v>5508</v>
      </c>
      <c r="C4179" t="s">
        <v>103</v>
      </c>
      <c r="D4179">
        <v>8.6388698132825598E-3</v>
      </c>
    </row>
    <row r="4180" spans="1:4" hidden="1" x14ac:dyDescent="0.3">
      <c r="A4180">
        <v>4178</v>
      </c>
      <c r="B4180" t="s">
        <v>5509</v>
      </c>
      <c r="C4180" t="s">
        <v>105</v>
      </c>
      <c r="D4180">
        <v>3.1084586167649101E-3</v>
      </c>
    </row>
    <row r="4181" spans="1:4" hidden="1" x14ac:dyDescent="0.3">
      <c r="A4181">
        <v>4179</v>
      </c>
      <c r="B4181" t="s">
        <v>5510</v>
      </c>
      <c r="C4181" t="s">
        <v>107</v>
      </c>
      <c r="D4181">
        <v>1.1150927341708399E-2</v>
      </c>
    </row>
    <row r="4182" spans="1:4" hidden="1" x14ac:dyDescent="0.3">
      <c r="A4182">
        <v>4180</v>
      </c>
      <c r="B4182" s="1" t="s">
        <v>5511</v>
      </c>
      <c r="C4182" t="s">
        <v>109</v>
      </c>
      <c r="D4182" s="1" t="s">
        <v>5512</v>
      </c>
    </row>
    <row r="4183" spans="1:4" hidden="1" x14ac:dyDescent="0.3">
      <c r="A4183">
        <v>4181</v>
      </c>
      <c r="B4183" t="s">
        <v>5513</v>
      </c>
      <c r="C4183" t="s">
        <v>208</v>
      </c>
      <c r="D4183">
        <v>144744920.37662199</v>
      </c>
    </row>
    <row r="4184" spans="1:4" hidden="1" x14ac:dyDescent="0.3">
      <c r="A4184">
        <v>4182</v>
      </c>
      <c r="B4184" t="s">
        <v>5514</v>
      </c>
      <c r="C4184" t="s">
        <v>210</v>
      </c>
      <c r="D4184">
        <v>67.572383277109907</v>
      </c>
    </row>
    <row r="4185" spans="1:4" hidden="1" x14ac:dyDescent="0.3">
      <c r="A4185">
        <v>4183</v>
      </c>
      <c r="B4185" t="s">
        <v>5515</v>
      </c>
      <c r="C4185" t="s">
        <v>212</v>
      </c>
      <c r="D4185">
        <v>31.611909467430301</v>
      </c>
    </row>
    <row r="4186" spans="1:4" hidden="1" x14ac:dyDescent="0.3">
      <c r="A4186">
        <v>4184</v>
      </c>
      <c r="B4186" s="1" t="s">
        <v>5516</v>
      </c>
      <c r="C4186" t="s">
        <v>214</v>
      </c>
      <c r="D4186" s="1" t="s">
        <v>5517</v>
      </c>
    </row>
    <row r="4187" spans="1:4" hidden="1" x14ac:dyDescent="0.3">
      <c r="A4187">
        <v>4185</v>
      </c>
      <c r="B4187" t="s">
        <v>5518</v>
      </c>
      <c r="C4187" t="s">
        <v>217</v>
      </c>
      <c r="D4187">
        <v>72988587.793020606</v>
      </c>
    </row>
    <row r="4188" spans="1:4" hidden="1" x14ac:dyDescent="0.3">
      <c r="A4188">
        <v>4186</v>
      </c>
      <c r="B4188" t="s">
        <v>5519</v>
      </c>
      <c r="C4188" t="s">
        <v>219</v>
      </c>
      <c r="D4188">
        <v>34145734.064261697</v>
      </c>
    </row>
    <row r="4189" spans="1:4" hidden="1" x14ac:dyDescent="0.3">
      <c r="A4189">
        <v>4187</v>
      </c>
      <c r="B4189" t="s">
        <v>5520</v>
      </c>
      <c r="C4189" t="s">
        <v>221</v>
      </c>
      <c r="D4189">
        <v>37610464.515512198</v>
      </c>
    </row>
    <row r="4190" spans="1:4" hidden="1" x14ac:dyDescent="0.3">
      <c r="A4190">
        <v>4188</v>
      </c>
      <c r="B4190" s="1" t="s">
        <v>5521</v>
      </c>
      <c r="C4190" t="s">
        <v>223</v>
      </c>
      <c r="D4190" s="1" t="s">
        <v>5522</v>
      </c>
    </row>
    <row r="4191" spans="1:4" hidden="1" x14ac:dyDescent="0.3">
      <c r="A4191">
        <v>4189</v>
      </c>
      <c r="B4191" t="s">
        <v>5523</v>
      </c>
      <c r="C4191" t="s">
        <v>226</v>
      </c>
      <c r="D4191">
        <v>103024473.919966</v>
      </c>
    </row>
    <row r="4192" spans="1:4" hidden="1" x14ac:dyDescent="0.3">
      <c r="A4192">
        <v>4190</v>
      </c>
      <c r="B4192" t="s">
        <v>5524</v>
      </c>
      <c r="C4192" t="s">
        <v>228</v>
      </c>
      <c r="D4192">
        <v>95.379420936107607</v>
      </c>
    </row>
    <row r="4193" spans="1:4" hidden="1" x14ac:dyDescent="0.3">
      <c r="A4193">
        <v>4191</v>
      </c>
      <c r="B4193" s="1" t="s">
        <v>5525</v>
      </c>
      <c r="C4193" t="s">
        <v>230</v>
      </c>
      <c r="D4193" s="1" t="s">
        <v>5526</v>
      </c>
    </row>
    <row r="4194" spans="1:4" hidden="1" x14ac:dyDescent="0.3">
      <c r="A4194">
        <v>4192</v>
      </c>
      <c r="B4194" t="s">
        <v>5527</v>
      </c>
      <c r="C4194" t="s">
        <v>112</v>
      </c>
      <c r="D4194">
        <v>-24.040628090516201</v>
      </c>
    </row>
    <row r="4195" spans="1:4" hidden="1" x14ac:dyDescent="0.3">
      <c r="A4195">
        <v>4193</v>
      </c>
      <c r="B4195" t="s">
        <v>5528</v>
      </c>
      <c r="C4195" t="s">
        <v>114</v>
      </c>
      <c r="D4195">
        <v>-3.9569046680285398</v>
      </c>
    </row>
    <row r="4196" spans="1:4" hidden="1" x14ac:dyDescent="0.3">
      <c r="A4196">
        <v>4194</v>
      </c>
      <c r="B4196" s="1" t="s">
        <v>5529</v>
      </c>
      <c r="C4196" t="s">
        <v>116</v>
      </c>
      <c r="D4196" s="1" t="s">
        <v>5530</v>
      </c>
    </row>
    <row r="4197" spans="1:4" hidden="1" x14ac:dyDescent="0.3">
      <c r="A4197">
        <v>4195</v>
      </c>
      <c r="B4197" t="s">
        <v>5531</v>
      </c>
      <c r="C4197" t="s">
        <v>119</v>
      </c>
      <c r="D4197">
        <v>72988587.793020606</v>
      </c>
    </row>
    <row r="4198" spans="1:4" hidden="1" x14ac:dyDescent="0.3">
      <c r="A4198">
        <v>4196</v>
      </c>
      <c r="B4198" t="s">
        <v>5532</v>
      </c>
      <c r="C4198" t="s">
        <v>121</v>
      </c>
      <c r="D4198">
        <v>34145734.064261697</v>
      </c>
    </row>
    <row r="4199" spans="1:4" hidden="1" x14ac:dyDescent="0.3">
      <c r="A4199">
        <v>4197</v>
      </c>
      <c r="B4199" s="1" t="s">
        <v>5533</v>
      </c>
      <c r="C4199" t="s">
        <v>123</v>
      </c>
      <c r="D4199" s="1" t="s">
        <v>5534</v>
      </c>
    </row>
    <row r="4200" spans="1:4" hidden="1" x14ac:dyDescent="0.3">
      <c r="A4200">
        <v>4198</v>
      </c>
      <c r="B4200" t="s">
        <v>5535</v>
      </c>
      <c r="C4200" t="s">
        <v>126</v>
      </c>
      <c r="D4200">
        <v>0.70867303788871905</v>
      </c>
    </row>
    <row r="4201" spans="1:4" hidden="1" x14ac:dyDescent="0.3">
      <c r="A4201">
        <v>4199</v>
      </c>
      <c r="B4201" t="s">
        <v>5536</v>
      </c>
      <c r="C4201" t="s">
        <v>128</v>
      </c>
      <c r="D4201">
        <v>0.33153348793213</v>
      </c>
    </row>
    <row r="4202" spans="1:4" hidden="1" x14ac:dyDescent="0.3">
      <c r="A4202">
        <v>4200</v>
      </c>
      <c r="B4202" s="1" t="s">
        <v>5537</v>
      </c>
      <c r="C4202" t="s">
        <v>130</v>
      </c>
      <c r="D4202" s="1" t="s">
        <v>5538</v>
      </c>
    </row>
    <row r="4203" spans="1:4" ht="72" x14ac:dyDescent="0.3">
      <c r="A4203">
        <v>4201</v>
      </c>
      <c r="B4203" s="1" t="s">
        <v>5539</v>
      </c>
      <c r="C4203" t="s">
        <v>4</v>
      </c>
      <c r="D4203" t="s">
        <v>5540</v>
      </c>
    </row>
    <row r="4204" spans="1:4" hidden="1" x14ac:dyDescent="0.3">
      <c r="A4204">
        <v>4202</v>
      </c>
      <c r="B4204" t="s">
        <v>5541</v>
      </c>
      <c r="C4204" t="s">
        <v>7</v>
      </c>
      <c r="D4204">
        <v>1643.94</v>
      </c>
    </row>
    <row r="4205" spans="1:4" hidden="1" x14ac:dyDescent="0.3">
      <c r="A4205">
        <v>4203</v>
      </c>
      <c r="B4205" s="1" t="s">
        <v>5542</v>
      </c>
      <c r="C4205" t="s">
        <v>9</v>
      </c>
      <c r="D4205" s="1" t="s">
        <v>5543</v>
      </c>
    </row>
    <row r="4206" spans="1:4" hidden="1" x14ac:dyDescent="0.3">
      <c r="A4206">
        <v>4204</v>
      </c>
      <c r="B4206" t="s">
        <v>5544</v>
      </c>
      <c r="C4206" t="s">
        <v>14</v>
      </c>
      <c r="D4206">
        <v>88.4375</v>
      </c>
    </row>
    <row r="4207" spans="1:4" hidden="1" x14ac:dyDescent="0.3">
      <c r="A4207">
        <v>4205</v>
      </c>
      <c r="B4207" t="s">
        <v>5545</v>
      </c>
      <c r="C4207" t="s">
        <v>16</v>
      </c>
      <c r="D4207">
        <v>4.2366030327467996</v>
      </c>
    </row>
    <row r="4208" spans="1:4" hidden="1" x14ac:dyDescent="0.3">
      <c r="A4208">
        <v>4206</v>
      </c>
      <c r="B4208" s="1" t="s">
        <v>5546</v>
      </c>
      <c r="C4208" t="s">
        <v>140</v>
      </c>
      <c r="D4208" s="1" t="s">
        <v>5547</v>
      </c>
    </row>
    <row r="4209" spans="1:4" hidden="1" x14ac:dyDescent="0.3">
      <c r="A4209">
        <v>4207</v>
      </c>
      <c r="B4209" t="s">
        <v>5548</v>
      </c>
      <c r="C4209" t="s">
        <v>22</v>
      </c>
      <c r="D4209">
        <v>60.95</v>
      </c>
    </row>
    <row r="4210" spans="1:4" hidden="1" x14ac:dyDescent="0.3">
      <c r="A4210">
        <v>4208</v>
      </c>
      <c r="B4210" t="s">
        <v>5549</v>
      </c>
      <c r="C4210" t="s">
        <v>24</v>
      </c>
      <c r="D4210">
        <v>5.3138296035538204</v>
      </c>
    </row>
    <row r="4211" spans="1:4" hidden="1" x14ac:dyDescent="0.3">
      <c r="A4211">
        <v>4209</v>
      </c>
      <c r="B4211" s="1" t="s">
        <v>5550</v>
      </c>
      <c r="C4211" t="s">
        <v>145</v>
      </c>
      <c r="D4211" s="1" t="s">
        <v>5551</v>
      </c>
    </row>
    <row r="4212" spans="1:4" hidden="1" x14ac:dyDescent="0.3">
      <c r="A4212">
        <v>4210</v>
      </c>
      <c r="B4212" t="s">
        <v>5552</v>
      </c>
      <c r="C4212" t="s">
        <v>35</v>
      </c>
      <c r="D4212">
        <v>0.44546109921696603</v>
      </c>
    </row>
    <row r="4213" spans="1:4" hidden="1" x14ac:dyDescent="0.3">
      <c r="A4213">
        <v>4211</v>
      </c>
      <c r="B4213" t="s">
        <v>5553</v>
      </c>
      <c r="C4213" t="s">
        <v>149</v>
      </c>
      <c r="D4213">
        <v>0.53689907391261704</v>
      </c>
    </row>
    <row r="4214" spans="1:4" hidden="1" x14ac:dyDescent="0.3">
      <c r="A4214">
        <v>4212</v>
      </c>
      <c r="B4214" s="1" t="s">
        <v>5554</v>
      </c>
      <c r="C4214" t="s">
        <v>151</v>
      </c>
      <c r="D4214" s="1" t="s">
        <v>5555</v>
      </c>
    </row>
    <row r="4215" spans="1:4" hidden="1" x14ac:dyDescent="0.3">
      <c r="A4215">
        <v>4213</v>
      </c>
      <c r="B4215" t="s">
        <v>5556</v>
      </c>
      <c r="C4215" t="s">
        <v>30</v>
      </c>
      <c r="D4215">
        <v>0.24166147864833401</v>
      </c>
    </row>
    <row r="4216" spans="1:4" hidden="1" x14ac:dyDescent="0.3">
      <c r="A4216">
        <v>4214</v>
      </c>
      <c r="B4216" t="s">
        <v>5557</v>
      </c>
      <c r="C4216" t="s">
        <v>32</v>
      </c>
      <c r="D4216">
        <v>0.41286642713342597</v>
      </c>
    </row>
    <row r="4217" spans="1:4" hidden="1" x14ac:dyDescent="0.3">
      <c r="A4217">
        <v>4215</v>
      </c>
      <c r="B4217" s="1" t="s">
        <v>5558</v>
      </c>
      <c r="C4217" t="s">
        <v>155</v>
      </c>
      <c r="D4217" s="1" t="s">
        <v>5559</v>
      </c>
    </row>
    <row r="4218" spans="1:4" hidden="1" x14ac:dyDescent="0.3">
      <c r="A4218">
        <v>4216</v>
      </c>
      <c r="B4218" t="s">
        <v>5560</v>
      </c>
      <c r="C4218" t="s">
        <v>40</v>
      </c>
      <c r="D4218">
        <v>0.31287742213469899</v>
      </c>
    </row>
    <row r="4219" spans="1:4" hidden="1" x14ac:dyDescent="0.3">
      <c r="A4219">
        <v>4217</v>
      </c>
      <c r="B4219" t="s">
        <v>5561</v>
      </c>
      <c r="C4219" t="s">
        <v>42</v>
      </c>
      <c r="D4219">
        <v>0.44968102096061502</v>
      </c>
    </row>
    <row r="4220" spans="1:4" hidden="1" x14ac:dyDescent="0.3">
      <c r="A4220">
        <v>4218</v>
      </c>
      <c r="B4220" s="1" t="s">
        <v>5562</v>
      </c>
      <c r="C4220" t="s">
        <v>159</v>
      </c>
      <c r="D4220" s="1" t="s">
        <v>5563</v>
      </c>
    </row>
    <row r="4221" spans="1:4" hidden="1" x14ac:dyDescent="0.3">
      <c r="A4221">
        <v>4219</v>
      </c>
      <c r="B4221" t="s">
        <v>5564</v>
      </c>
      <c r="C4221" t="s">
        <v>161</v>
      </c>
      <c r="D4221">
        <v>0.98367659554098197</v>
      </c>
    </row>
    <row r="4222" spans="1:4" hidden="1" x14ac:dyDescent="0.3">
      <c r="A4222">
        <v>4220</v>
      </c>
      <c r="B4222" t="s">
        <v>5565</v>
      </c>
      <c r="C4222" t="s">
        <v>163</v>
      </c>
      <c r="D4222">
        <v>0.99786900272243695</v>
      </c>
    </row>
    <row r="4223" spans="1:4" hidden="1" x14ac:dyDescent="0.3">
      <c r="A4223">
        <v>4221</v>
      </c>
      <c r="B4223" s="1" t="s">
        <v>5566</v>
      </c>
      <c r="C4223" t="s">
        <v>165</v>
      </c>
      <c r="D4223" s="1" t="s">
        <v>5567</v>
      </c>
    </row>
    <row r="4224" spans="1:4" hidden="1" x14ac:dyDescent="0.3">
      <c r="A4224">
        <v>4222</v>
      </c>
      <c r="B4224" t="s">
        <v>5568</v>
      </c>
      <c r="C4224" t="s">
        <v>168</v>
      </c>
      <c r="D4224">
        <v>1.0023893691132599</v>
      </c>
    </row>
    <row r="4225" spans="1:4" hidden="1" x14ac:dyDescent="0.3">
      <c r="A4225">
        <v>4223</v>
      </c>
      <c r="B4225" t="s">
        <v>5569</v>
      </c>
      <c r="C4225" t="s">
        <v>170</v>
      </c>
      <c r="D4225">
        <v>0.996219116427977</v>
      </c>
    </row>
    <row r="4226" spans="1:4" hidden="1" x14ac:dyDescent="0.3">
      <c r="A4226">
        <v>4224</v>
      </c>
      <c r="B4226" s="1" t="s">
        <v>5570</v>
      </c>
      <c r="C4226" t="s">
        <v>172</v>
      </c>
      <c r="D4226" s="1" t="s">
        <v>5571</v>
      </c>
    </row>
    <row r="4227" spans="1:4" hidden="1" x14ac:dyDescent="0.3">
      <c r="A4227">
        <v>4225</v>
      </c>
      <c r="B4227" s="1" t="s">
        <v>5572</v>
      </c>
      <c r="C4227" t="s">
        <v>55</v>
      </c>
      <c r="D4227" s="1" t="s">
        <v>5573</v>
      </c>
    </row>
    <row r="4228" spans="1:4" hidden="1" x14ac:dyDescent="0.3">
      <c r="A4228">
        <v>4226</v>
      </c>
      <c r="B4228" s="1" t="s">
        <v>5574</v>
      </c>
      <c r="C4228" t="s">
        <v>52</v>
      </c>
      <c r="D4228" s="1" t="s">
        <v>5575</v>
      </c>
    </row>
    <row r="4229" spans="1:4" hidden="1" x14ac:dyDescent="0.3">
      <c r="A4229">
        <v>4227</v>
      </c>
      <c r="B4229" s="1" t="s">
        <v>5576</v>
      </c>
      <c r="C4229" t="s">
        <v>58</v>
      </c>
      <c r="D4229" s="1" t="s">
        <v>5577</v>
      </c>
    </row>
    <row r="4230" spans="1:4" hidden="1" x14ac:dyDescent="0.3">
      <c r="A4230">
        <v>4228</v>
      </c>
      <c r="B4230" t="s">
        <v>5578</v>
      </c>
      <c r="C4230" t="s">
        <v>61</v>
      </c>
      <c r="D4230">
        <v>143271176.54368499</v>
      </c>
    </row>
    <row r="4231" spans="1:4" hidden="1" x14ac:dyDescent="0.3">
      <c r="A4231">
        <v>4229</v>
      </c>
      <c r="B4231" t="s">
        <v>5579</v>
      </c>
      <c r="C4231" t="s">
        <v>63</v>
      </c>
      <c r="D4231">
        <v>71797165.553582594</v>
      </c>
    </row>
    <row r="4232" spans="1:4" hidden="1" x14ac:dyDescent="0.3">
      <c r="A4232">
        <v>4230</v>
      </c>
      <c r="B4232" t="s">
        <v>5580</v>
      </c>
      <c r="C4232" t="s">
        <v>65</v>
      </c>
      <c r="D4232">
        <v>34072969.597930297</v>
      </c>
    </row>
    <row r="4233" spans="1:4" hidden="1" x14ac:dyDescent="0.3">
      <c r="A4233">
        <v>4231</v>
      </c>
      <c r="B4233" s="1" t="s">
        <v>5581</v>
      </c>
      <c r="C4233" t="s">
        <v>67</v>
      </c>
      <c r="D4233" s="1" t="s">
        <v>5582</v>
      </c>
    </row>
    <row r="4234" spans="1:4" hidden="1" x14ac:dyDescent="0.3">
      <c r="A4234">
        <v>4232</v>
      </c>
      <c r="B4234" s="1" t="s">
        <v>5583</v>
      </c>
      <c r="C4234" t="s">
        <v>70</v>
      </c>
      <c r="D4234" s="1" t="s">
        <v>5584</v>
      </c>
    </row>
    <row r="4235" spans="1:4" hidden="1" x14ac:dyDescent="0.3">
      <c r="A4235">
        <v>4233</v>
      </c>
      <c r="B4235" t="s">
        <v>5585</v>
      </c>
      <c r="C4235" t="s">
        <v>73</v>
      </c>
      <c r="D4235">
        <v>0.99969759053487195</v>
      </c>
    </row>
    <row r="4236" spans="1:4" hidden="1" x14ac:dyDescent="0.3">
      <c r="A4236">
        <v>4234</v>
      </c>
      <c r="B4236" t="s">
        <v>74</v>
      </c>
      <c r="C4236" t="s">
        <v>75</v>
      </c>
      <c r="D4236">
        <v>2.7397260273972599E-3</v>
      </c>
    </row>
    <row r="4237" spans="1:4" hidden="1" x14ac:dyDescent="0.3">
      <c r="A4237">
        <v>4235</v>
      </c>
      <c r="B4237" t="s">
        <v>76</v>
      </c>
      <c r="C4237" t="s">
        <v>77</v>
      </c>
      <c r="D4237">
        <v>0</v>
      </c>
    </row>
    <row r="4238" spans="1:4" hidden="1" x14ac:dyDescent="0.3">
      <c r="A4238">
        <v>4236</v>
      </c>
      <c r="B4238" t="s">
        <v>78</v>
      </c>
      <c r="C4238" t="s">
        <v>79</v>
      </c>
      <c r="D4238">
        <v>0</v>
      </c>
    </row>
    <row r="4239" spans="1:4" hidden="1" x14ac:dyDescent="0.3">
      <c r="A4239">
        <v>4237</v>
      </c>
      <c r="B4239" s="1" t="s">
        <v>5586</v>
      </c>
      <c r="C4239" t="s">
        <v>81</v>
      </c>
      <c r="D4239" s="1" t="s">
        <v>5587</v>
      </c>
    </row>
    <row r="4240" spans="1:4" hidden="1" x14ac:dyDescent="0.3">
      <c r="A4240">
        <v>4238</v>
      </c>
      <c r="B4240" t="s">
        <v>5588</v>
      </c>
      <c r="C4240" t="s">
        <v>84</v>
      </c>
      <c r="D4240">
        <v>0.99972196835586302</v>
      </c>
    </row>
    <row r="4241" spans="1:4" hidden="1" x14ac:dyDescent="0.3">
      <c r="A4241">
        <v>4239</v>
      </c>
      <c r="B4241" s="1" t="s">
        <v>5589</v>
      </c>
      <c r="C4241" t="s">
        <v>86</v>
      </c>
      <c r="D4241" s="1" t="s">
        <v>5590</v>
      </c>
    </row>
    <row r="4242" spans="1:4" hidden="1" x14ac:dyDescent="0.3">
      <c r="A4242">
        <v>4240</v>
      </c>
      <c r="B4242" t="s">
        <v>5591</v>
      </c>
      <c r="C4242" t="s">
        <v>89</v>
      </c>
      <c r="D4242">
        <v>103022057.086404</v>
      </c>
    </row>
    <row r="4243" spans="1:4" hidden="1" x14ac:dyDescent="0.3">
      <c r="A4243">
        <v>4241</v>
      </c>
      <c r="B4243" s="1" t="s">
        <v>5592</v>
      </c>
      <c r="C4243" t="s">
        <v>91</v>
      </c>
      <c r="D4243" s="1" t="s">
        <v>5526</v>
      </c>
    </row>
    <row r="4244" spans="1:4" hidden="1" x14ac:dyDescent="0.3">
      <c r="A4244">
        <v>4242</v>
      </c>
      <c r="B4244" t="s">
        <v>5593</v>
      </c>
      <c r="C4244" t="s">
        <v>94</v>
      </c>
      <c r="D4244">
        <v>71797165.553582594</v>
      </c>
    </row>
    <row r="4245" spans="1:4" hidden="1" x14ac:dyDescent="0.3">
      <c r="A4245">
        <v>4243</v>
      </c>
      <c r="B4245" t="s">
        <v>5594</v>
      </c>
      <c r="C4245" t="s">
        <v>96</v>
      </c>
      <c r="D4245">
        <v>34072969.597930297</v>
      </c>
    </row>
    <row r="4246" spans="1:4" hidden="1" x14ac:dyDescent="0.3">
      <c r="A4246">
        <v>4244</v>
      </c>
      <c r="B4246" t="s">
        <v>5595</v>
      </c>
      <c r="C4246" t="s">
        <v>98</v>
      </c>
      <c r="D4246">
        <v>37401041.392172597</v>
      </c>
    </row>
    <row r="4247" spans="1:4" hidden="1" x14ac:dyDescent="0.3">
      <c r="A4247">
        <v>4245</v>
      </c>
      <c r="B4247" s="1" t="s">
        <v>5596</v>
      </c>
      <c r="C4247" t="s">
        <v>100</v>
      </c>
      <c r="D4247" s="1" t="s">
        <v>5597</v>
      </c>
    </row>
    <row r="4248" spans="1:4" hidden="1" x14ac:dyDescent="0.3">
      <c r="A4248">
        <v>4246</v>
      </c>
      <c r="B4248" t="s">
        <v>5598</v>
      </c>
      <c r="C4248" t="s">
        <v>103</v>
      </c>
      <c r="D4248">
        <v>8.6222101345749293E-3</v>
      </c>
    </row>
    <row r="4249" spans="1:4" hidden="1" x14ac:dyDescent="0.3">
      <c r="A4249">
        <v>4247</v>
      </c>
      <c r="B4249" t="s">
        <v>5599</v>
      </c>
      <c r="C4249" t="s">
        <v>105</v>
      </c>
      <c r="D4249">
        <v>3.0647532202555498E-3</v>
      </c>
    </row>
    <row r="4250" spans="1:4" hidden="1" x14ac:dyDescent="0.3">
      <c r="A4250">
        <v>4248</v>
      </c>
      <c r="B4250" t="s">
        <v>5600</v>
      </c>
      <c r="C4250" t="s">
        <v>107</v>
      </c>
      <c r="D4250">
        <v>1.11646100432264E-2</v>
      </c>
    </row>
    <row r="4251" spans="1:4" hidden="1" x14ac:dyDescent="0.3">
      <c r="A4251">
        <v>4249</v>
      </c>
      <c r="B4251" s="1" t="s">
        <v>5601</v>
      </c>
      <c r="C4251" t="s">
        <v>109</v>
      </c>
      <c r="D4251" s="1" t="s">
        <v>5602</v>
      </c>
    </row>
    <row r="4252" spans="1:4" hidden="1" x14ac:dyDescent="0.3">
      <c r="A4252">
        <v>4250</v>
      </c>
      <c r="B4252" t="s">
        <v>5603</v>
      </c>
      <c r="C4252" t="s">
        <v>208</v>
      </c>
      <c r="D4252">
        <v>143272030.672414</v>
      </c>
    </row>
    <row r="4253" spans="1:4" hidden="1" x14ac:dyDescent="0.3">
      <c r="A4253">
        <v>4251</v>
      </c>
      <c r="B4253" t="s">
        <v>5604</v>
      </c>
      <c r="C4253" t="s">
        <v>210</v>
      </c>
      <c r="D4253">
        <v>-1750.8031051190201</v>
      </c>
    </row>
    <row r="4254" spans="1:4" hidden="1" x14ac:dyDescent="0.3">
      <c r="A4254">
        <v>4252</v>
      </c>
      <c r="B4254" t="s">
        <v>5605</v>
      </c>
      <c r="C4254" t="s">
        <v>212</v>
      </c>
      <c r="D4254">
        <v>-830.87846932751995</v>
      </c>
    </row>
    <row r="4255" spans="1:4" hidden="1" x14ac:dyDescent="0.3">
      <c r="A4255">
        <v>4253</v>
      </c>
      <c r="B4255" s="1" t="s">
        <v>5606</v>
      </c>
      <c r="C4255" t="s">
        <v>214</v>
      </c>
      <c r="D4255" s="1" t="s">
        <v>5607</v>
      </c>
    </row>
    <row r="4256" spans="1:4" hidden="1" x14ac:dyDescent="0.3">
      <c r="A4256">
        <v>4254</v>
      </c>
      <c r="B4256" t="s">
        <v>5608</v>
      </c>
      <c r="C4256" t="s">
        <v>217</v>
      </c>
      <c r="D4256">
        <v>71799539.716051698</v>
      </c>
    </row>
    <row r="4257" spans="1:4" hidden="1" x14ac:dyDescent="0.3">
      <c r="A4257">
        <v>4255</v>
      </c>
      <c r="B4257" t="s">
        <v>5609</v>
      </c>
      <c r="C4257" t="s">
        <v>219</v>
      </c>
      <c r="D4257">
        <v>34073900.990504503</v>
      </c>
    </row>
    <row r="4258" spans="1:4" hidden="1" x14ac:dyDescent="0.3">
      <c r="A4258">
        <v>4256</v>
      </c>
      <c r="B4258" t="s">
        <v>5610</v>
      </c>
      <c r="C4258" t="s">
        <v>221</v>
      </c>
      <c r="D4258">
        <v>37402083.682307802</v>
      </c>
    </row>
    <row r="4259" spans="1:4" hidden="1" x14ac:dyDescent="0.3">
      <c r="A4259">
        <v>4257</v>
      </c>
      <c r="B4259" s="1" t="s">
        <v>5611</v>
      </c>
      <c r="C4259" t="s">
        <v>223</v>
      </c>
      <c r="D4259" s="1" t="s">
        <v>5612</v>
      </c>
    </row>
    <row r="4260" spans="1:4" hidden="1" x14ac:dyDescent="0.3">
      <c r="A4260">
        <v>4258</v>
      </c>
      <c r="B4260" t="s">
        <v>5613</v>
      </c>
      <c r="C4260" t="s">
        <v>226</v>
      </c>
      <c r="D4260">
        <v>103024569.29938599</v>
      </c>
    </row>
    <row r="4261" spans="1:4" hidden="1" x14ac:dyDescent="0.3">
      <c r="A4261">
        <v>4259</v>
      </c>
      <c r="B4261" t="s">
        <v>5614</v>
      </c>
      <c r="C4261" t="s">
        <v>228</v>
      </c>
      <c r="D4261">
        <v>-2512.2129827886802</v>
      </c>
    </row>
    <row r="4262" spans="1:4" hidden="1" x14ac:dyDescent="0.3">
      <c r="A4262">
        <v>4260</v>
      </c>
      <c r="B4262" s="1" t="s">
        <v>5615</v>
      </c>
      <c r="C4262" t="s">
        <v>230</v>
      </c>
      <c r="D4262" s="1" t="s">
        <v>5616</v>
      </c>
    </row>
    <row r="4263" spans="1:4" hidden="1" x14ac:dyDescent="0.3">
      <c r="A4263">
        <v>4261</v>
      </c>
      <c r="B4263" t="s">
        <v>5617</v>
      </c>
      <c r="C4263" t="s">
        <v>112</v>
      </c>
      <c r="D4263">
        <v>623.35936401686604</v>
      </c>
    </row>
    <row r="4264" spans="1:4" hidden="1" x14ac:dyDescent="0.3">
      <c r="A4264">
        <v>4262</v>
      </c>
      <c r="B4264" t="s">
        <v>5618</v>
      </c>
      <c r="C4264" t="s">
        <v>114</v>
      </c>
      <c r="D4264">
        <v>100.51410486464199</v>
      </c>
    </row>
    <row r="4265" spans="1:4" hidden="1" x14ac:dyDescent="0.3">
      <c r="A4265">
        <v>4263</v>
      </c>
      <c r="B4265" s="1" t="s">
        <v>5619</v>
      </c>
      <c r="C4265" t="s">
        <v>116</v>
      </c>
      <c r="D4265" s="1" t="s">
        <v>5620</v>
      </c>
    </row>
    <row r="4266" spans="1:4" hidden="1" x14ac:dyDescent="0.3">
      <c r="A4266">
        <v>4264</v>
      </c>
      <c r="B4266" t="s">
        <v>5621</v>
      </c>
      <c r="C4266" t="s">
        <v>119</v>
      </c>
      <c r="D4266">
        <v>71799539.716051698</v>
      </c>
    </row>
    <row r="4267" spans="1:4" hidden="1" x14ac:dyDescent="0.3">
      <c r="A4267">
        <v>4265</v>
      </c>
      <c r="B4267" t="s">
        <v>5622</v>
      </c>
      <c r="C4267" t="s">
        <v>121</v>
      </c>
      <c r="D4267">
        <v>34073900.990504503</v>
      </c>
    </row>
    <row r="4268" spans="1:4" hidden="1" x14ac:dyDescent="0.3">
      <c r="A4268">
        <v>4266</v>
      </c>
      <c r="B4268" s="1" t="s">
        <v>5623</v>
      </c>
      <c r="C4268" t="s">
        <v>123</v>
      </c>
      <c r="D4268" s="1" t="s">
        <v>5624</v>
      </c>
    </row>
    <row r="4269" spans="1:4" hidden="1" x14ac:dyDescent="0.3">
      <c r="A4269">
        <v>4267</v>
      </c>
      <c r="B4269" t="s">
        <v>5625</v>
      </c>
      <c r="C4269" t="s">
        <v>126</v>
      </c>
      <c r="D4269">
        <v>0.69711048830676403</v>
      </c>
    </row>
    <row r="4270" spans="1:4" hidden="1" x14ac:dyDescent="0.3">
      <c r="A4270">
        <v>4268</v>
      </c>
      <c r="B4270" t="s">
        <v>5626</v>
      </c>
      <c r="C4270" t="s">
        <v>128</v>
      </c>
      <c r="D4270">
        <v>0.33082766062212798</v>
      </c>
    </row>
    <row r="4271" spans="1:4" hidden="1" x14ac:dyDescent="0.3">
      <c r="A4271">
        <v>4269</v>
      </c>
      <c r="B4271" s="1" t="s">
        <v>5627</v>
      </c>
      <c r="C4271" t="s">
        <v>130</v>
      </c>
      <c r="D4271" s="1" t="s">
        <v>5628</v>
      </c>
    </row>
    <row r="4272" spans="1:4" ht="72" x14ac:dyDescent="0.3">
      <c r="A4272">
        <v>4270</v>
      </c>
      <c r="B4272" s="1" t="s">
        <v>5629</v>
      </c>
      <c r="C4272" t="s">
        <v>4</v>
      </c>
      <c r="D4272" t="s">
        <v>5630</v>
      </c>
    </row>
    <row r="4273" spans="1:4" hidden="1" x14ac:dyDescent="0.3">
      <c r="A4273">
        <v>4271</v>
      </c>
      <c r="B4273" t="s">
        <v>5631</v>
      </c>
      <c r="C4273" t="s">
        <v>7</v>
      </c>
      <c r="D4273">
        <v>1622.36</v>
      </c>
    </row>
    <row r="4274" spans="1:4" hidden="1" x14ac:dyDescent="0.3">
      <c r="A4274">
        <v>4272</v>
      </c>
      <c r="B4274" s="1" t="s">
        <v>5632</v>
      </c>
      <c r="C4274" t="s">
        <v>9</v>
      </c>
      <c r="D4274" s="1" t="s">
        <v>5633</v>
      </c>
    </row>
    <row r="4275" spans="1:4" hidden="1" x14ac:dyDescent="0.3">
      <c r="A4275">
        <v>4273</v>
      </c>
      <c r="B4275" t="s">
        <v>5634</v>
      </c>
      <c r="C4275" t="s">
        <v>14</v>
      </c>
      <c r="D4275">
        <v>87.93359375</v>
      </c>
    </row>
    <row r="4276" spans="1:4" hidden="1" x14ac:dyDescent="0.3">
      <c r="A4276">
        <v>4274</v>
      </c>
      <c r="B4276" t="s">
        <v>5635</v>
      </c>
      <c r="C4276" t="s">
        <v>16</v>
      </c>
      <c r="D4276">
        <v>4.2245947800493697</v>
      </c>
    </row>
    <row r="4277" spans="1:4" hidden="1" x14ac:dyDescent="0.3">
      <c r="A4277">
        <v>4275</v>
      </c>
      <c r="B4277" s="1" t="s">
        <v>5636</v>
      </c>
      <c r="C4277" t="s">
        <v>140</v>
      </c>
      <c r="D4277" s="1" t="s">
        <v>5637</v>
      </c>
    </row>
    <row r="4278" spans="1:4" hidden="1" x14ac:dyDescent="0.3">
      <c r="A4278">
        <v>4276</v>
      </c>
      <c r="B4278" t="s">
        <v>5638</v>
      </c>
      <c r="C4278" t="s">
        <v>22</v>
      </c>
      <c r="D4278">
        <v>59.15</v>
      </c>
    </row>
    <row r="4279" spans="1:4" hidden="1" x14ac:dyDescent="0.3">
      <c r="A4279">
        <v>4277</v>
      </c>
      <c r="B4279" t="s">
        <v>5639</v>
      </c>
      <c r="C4279" t="s">
        <v>24</v>
      </c>
      <c r="D4279">
        <v>5.2639182703439804</v>
      </c>
    </row>
    <row r="4280" spans="1:4" hidden="1" x14ac:dyDescent="0.3">
      <c r="A4280">
        <v>4278</v>
      </c>
      <c r="B4280" s="1" t="s">
        <v>5640</v>
      </c>
      <c r="C4280" t="s">
        <v>145</v>
      </c>
      <c r="D4280" s="1" t="s">
        <v>5641</v>
      </c>
    </row>
    <row r="4281" spans="1:4" hidden="1" x14ac:dyDescent="0.3">
      <c r="A4281">
        <v>4279</v>
      </c>
      <c r="B4281" t="s">
        <v>5642</v>
      </c>
      <c r="C4281" t="s">
        <v>35</v>
      </c>
      <c r="D4281">
        <v>0.23359760997940801</v>
      </c>
    </row>
    <row r="4282" spans="1:4" hidden="1" x14ac:dyDescent="0.3">
      <c r="A4282">
        <v>4280</v>
      </c>
      <c r="B4282" t="s">
        <v>5643</v>
      </c>
      <c r="C4282" t="s">
        <v>149</v>
      </c>
      <c r="D4282">
        <v>0.53619801492246999</v>
      </c>
    </row>
    <row r="4283" spans="1:4" hidden="1" x14ac:dyDescent="0.3">
      <c r="A4283">
        <v>4281</v>
      </c>
      <c r="B4283" s="1" t="s">
        <v>5644</v>
      </c>
      <c r="C4283" t="s">
        <v>151</v>
      </c>
      <c r="D4283" s="1" t="s">
        <v>5645</v>
      </c>
    </row>
    <row r="4284" spans="1:4" hidden="1" x14ac:dyDescent="0.3">
      <c r="A4284">
        <v>4282</v>
      </c>
      <c r="B4284" t="s">
        <v>5646</v>
      </c>
      <c r="C4284" t="s">
        <v>30</v>
      </c>
      <c r="D4284">
        <v>0.33652906517143899</v>
      </c>
    </row>
    <row r="4285" spans="1:4" hidden="1" x14ac:dyDescent="0.3">
      <c r="A4285">
        <v>4283</v>
      </c>
      <c r="B4285" t="s">
        <v>5647</v>
      </c>
      <c r="C4285" t="s">
        <v>32</v>
      </c>
      <c r="D4285">
        <v>0.41197212416829299</v>
      </c>
    </row>
    <row r="4286" spans="1:4" hidden="1" x14ac:dyDescent="0.3">
      <c r="A4286">
        <v>4284</v>
      </c>
      <c r="B4286" s="1" t="s">
        <v>5648</v>
      </c>
      <c r="C4286" t="s">
        <v>155</v>
      </c>
      <c r="D4286" s="1" t="s">
        <v>5649</v>
      </c>
    </row>
    <row r="4287" spans="1:4" hidden="1" x14ac:dyDescent="0.3">
      <c r="A4287">
        <v>4285</v>
      </c>
      <c r="B4287" t="s">
        <v>5650</v>
      </c>
      <c r="C4287" t="s">
        <v>40</v>
      </c>
      <c r="D4287">
        <v>0.42987332484915203</v>
      </c>
    </row>
    <row r="4288" spans="1:4" hidden="1" x14ac:dyDescent="0.3">
      <c r="A4288">
        <v>4286</v>
      </c>
      <c r="B4288" t="s">
        <v>5651</v>
      </c>
      <c r="C4288" t="s">
        <v>42</v>
      </c>
      <c r="D4288">
        <v>0.45301053553922299</v>
      </c>
    </row>
    <row r="4289" spans="1:4" hidden="1" x14ac:dyDescent="0.3">
      <c r="A4289">
        <v>4287</v>
      </c>
      <c r="B4289" s="1" t="s">
        <v>5652</v>
      </c>
      <c r="C4289" t="s">
        <v>159</v>
      </c>
      <c r="D4289" s="1" t="s">
        <v>5653</v>
      </c>
    </row>
    <row r="4290" spans="1:4" hidden="1" x14ac:dyDescent="0.3">
      <c r="A4290">
        <v>4288</v>
      </c>
      <c r="B4290" t="s">
        <v>5654</v>
      </c>
      <c r="C4290" t="s">
        <v>161</v>
      </c>
      <c r="D4290">
        <v>0.98687300023115099</v>
      </c>
    </row>
    <row r="4291" spans="1:4" hidden="1" x14ac:dyDescent="0.3">
      <c r="A4291">
        <v>4289</v>
      </c>
      <c r="B4291" t="s">
        <v>5655</v>
      </c>
      <c r="C4291" t="s">
        <v>163</v>
      </c>
      <c r="D4291">
        <v>0.99443302405079503</v>
      </c>
    </row>
    <row r="4292" spans="1:4" hidden="1" x14ac:dyDescent="0.3">
      <c r="A4292">
        <v>4290</v>
      </c>
      <c r="B4292" s="1" t="s">
        <v>5656</v>
      </c>
      <c r="C4292" t="s">
        <v>165</v>
      </c>
      <c r="D4292" s="1" t="s">
        <v>5657</v>
      </c>
    </row>
    <row r="4293" spans="1:4" hidden="1" x14ac:dyDescent="0.3">
      <c r="A4293">
        <v>4291</v>
      </c>
      <c r="B4293" t="s">
        <v>5658</v>
      </c>
      <c r="C4293" t="s">
        <v>168</v>
      </c>
      <c r="D4293">
        <v>0.99954384838793398</v>
      </c>
    </row>
    <row r="4294" spans="1:4" hidden="1" x14ac:dyDescent="0.3">
      <c r="A4294">
        <v>4292</v>
      </c>
      <c r="B4294" t="s">
        <v>5659</v>
      </c>
      <c r="C4294" t="s">
        <v>170</v>
      </c>
      <c r="D4294">
        <v>0.99936702936105004</v>
      </c>
    </row>
    <row r="4295" spans="1:4" hidden="1" x14ac:dyDescent="0.3">
      <c r="A4295">
        <v>4293</v>
      </c>
      <c r="B4295" s="1" t="s">
        <v>5660</v>
      </c>
      <c r="C4295" t="s">
        <v>172</v>
      </c>
      <c r="D4295" s="1" t="s">
        <v>5661</v>
      </c>
    </row>
    <row r="4296" spans="1:4" hidden="1" x14ac:dyDescent="0.3">
      <c r="A4296">
        <v>4294</v>
      </c>
      <c r="B4296" s="1" t="s">
        <v>5662</v>
      </c>
      <c r="C4296" t="s">
        <v>55</v>
      </c>
      <c r="D4296" s="1" t="s">
        <v>5663</v>
      </c>
    </row>
    <row r="4297" spans="1:4" hidden="1" x14ac:dyDescent="0.3">
      <c r="A4297">
        <v>4295</v>
      </c>
      <c r="B4297" s="1" t="s">
        <v>5664</v>
      </c>
      <c r="C4297" t="s">
        <v>52</v>
      </c>
      <c r="D4297" s="1" t="s">
        <v>5665</v>
      </c>
    </row>
    <row r="4298" spans="1:4" hidden="1" x14ac:dyDescent="0.3">
      <c r="A4298">
        <v>4296</v>
      </c>
      <c r="B4298" s="1" t="s">
        <v>5666</v>
      </c>
      <c r="C4298" t="s">
        <v>58</v>
      </c>
      <c r="D4298" s="1" t="s">
        <v>5667</v>
      </c>
    </row>
    <row r="4299" spans="1:4" hidden="1" x14ac:dyDescent="0.3">
      <c r="A4299">
        <v>4297</v>
      </c>
      <c r="B4299" t="s">
        <v>5668</v>
      </c>
      <c r="C4299" t="s">
        <v>61</v>
      </c>
      <c r="D4299">
        <v>141099155.742309</v>
      </c>
    </row>
    <row r="4300" spans="1:4" hidden="1" x14ac:dyDescent="0.3">
      <c r="A4300">
        <v>4298</v>
      </c>
      <c r="B4300" t="s">
        <v>5669</v>
      </c>
      <c r="C4300" t="s">
        <v>63</v>
      </c>
      <c r="D4300">
        <v>70857027.174795702</v>
      </c>
    </row>
    <row r="4301" spans="1:4" hidden="1" x14ac:dyDescent="0.3">
      <c r="A4301">
        <v>4299</v>
      </c>
      <c r="B4301" t="s">
        <v>5670</v>
      </c>
      <c r="C4301" t="s">
        <v>65</v>
      </c>
      <c r="D4301">
        <v>33884212.4031948</v>
      </c>
    </row>
    <row r="4302" spans="1:4" hidden="1" x14ac:dyDescent="0.3">
      <c r="A4302">
        <v>4300</v>
      </c>
      <c r="B4302" s="1" t="s">
        <v>5671</v>
      </c>
      <c r="C4302" t="s">
        <v>67</v>
      </c>
      <c r="D4302" s="1" t="s">
        <v>5672</v>
      </c>
    </row>
    <row r="4303" spans="1:4" hidden="1" x14ac:dyDescent="0.3">
      <c r="A4303">
        <v>4301</v>
      </c>
      <c r="B4303" s="1" t="s">
        <v>5673</v>
      </c>
      <c r="C4303" t="s">
        <v>70</v>
      </c>
      <c r="D4303" s="1" t="s">
        <v>5674</v>
      </c>
    </row>
    <row r="4304" spans="1:4" hidden="1" x14ac:dyDescent="0.3">
      <c r="A4304">
        <v>4302</v>
      </c>
      <c r="B4304" t="s">
        <v>5675</v>
      </c>
      <c r="C4304" t="s">
        <v>73</v>
      </c>
      <c r="D4304">
        <v>0.99972196835586302</v>
      </c>
    </row>
    <row r="4305" spans="1:4" hidden="1" x14ac:dyDescent="0.3">
      <c r="A4305">
        <v>4303</v>
      </c>
      <c r="B4305" t="s">
        <v>74</v>
      </c>
      <c r="C4305" t="s">
        <v>75</v>
      </c>
      <c r="D4305">
        <v>2.7397260273972599E-3</v>
      </c>
    </row>
    <row r="4306" spans="1:4" hidden="1" x14ac:dyDescent="0.3">
      <c r="A4306">
        <v>4304</v>
      </c>
      <c r="B4306" t="s">
        <v>76</v>
      </c>
      <c r="C4306" t="s">
        <v>77</v>
      </c>
      <c r="D4306">
        <v>0</v>
      </c>
    </row>
    <row r="4307" spans="1:4" hidden="1" x14ac:dyDescent="0.3">
      <c r="A4307">
        <v>4305</v>
      </c>
      <c r="B4307" t="s">
        <v>78</v>
      </c>
      <c r="C4307" t="s">
        <v>79</v>
      </c>
      <c r="D4307">
        <v>0</v>
      </c>
    </row>
    <row r="4308" spans="1:4" hidden="1" x14ac:dyDescent="0.3">
      <c r="A4308">
        <v>4306</v>
      </c>
      <c r="B4308" s="1" t="s">
        <v>5676</v>
      </c>
      <c r="C4308" t="s">
        <v>81</v>
      </c>
      <c r="D4308" s="1" t="s">
        <v>5677</v>
      </c>
    </row>
    <row r="4309" spans="1:4" hidden="1" x14ac:dyDescent="0.3">
      <c r="A4309">
        <v>4307</v>
      </c>
      <c r="B4309" t="s">
        <v>5678</v>
      </c>
      <c r="C4309" t="s">
        <v>84</v>
      </c>
      <c r="D4309">
        <v>0.99971798255772304</v>
      </c>
    </row>
    <row r="4310" spans="1:4" hidden="1" x14ac:dyDescent="0.3">
      <c r="A4310">
        <v>4308</v>
      </c>
      <c r="B4310" s="1" t="s">
        <v>5679</v>
      </c>
      <c r="C4310" t="s">
        <v>86</v>
      </c>
      <c r="D4310" s="1" t="s">
        <v>5680</v>
      </c>
    </row>
    <row r="4311" spans="1:4" hidden="1" x14ac:dyDescent="0.3">
      <c r="A4311">
        <v>4309</v>
      </c>
      <c r="B4311" t="s">
        <v>5681</v>
      </c>
      <c r="C4311" t="s">
        <v>89</v>
      </c>
      <c r="D4311">
        <v>103022467.827363</v>
      </c>
    </row>
    <row r="4312" spans="1:4" hidden="1" x14ac:dyDescent="0.3">
      <c r="A4312">
        <v>4310</v>
      </c>
      <c r="B4312" s="1" t="s">
        <v>5682</v>
      </c>
      <c r="C4312" t="s">
        <v>91</v>
      </c>
      <c r="D4312" s="1" t="s">
        <v>5616</v>
      </c>
    </row>
    <row r="4313" spans="1:4" hidden="1" x14ac:dyDescent="0.3">
      <c r="A4313">
        <v>4311</v>
      </c>
      <c r="B4313" t="s">
        <v>5683</v>
      </c>
      <c r="C4313" t="s">
        <v>94</v>
      </c>
      <c r="D4313">
        <v>70857027.174795702</v>
      </c>
    </row>
    <row r="4314" spans="1:4" hidden="1" x14ac:dyDescent="0.3">
      <c r="A4314">
        <v>4312</v>
      </c>
      <c r="B4314" t="s">
        <v>5684</v>
      </c>
      <c r="C4314" t="s">
        <v>96</v>
      </c>
      <c r="D4314">
        <v>33884212.4031948</v>
      </c>
    </row>
    <row r="4315" spans="1:4" hidden="1" x14ac:dyDescent="0.3">
      <c r="A4315">
        <v>4313</v>
      </c>
      <c r="B4315" t="s">
        <v>5685</v>
      </c>
      <c r="C4315" t="s">
        <v>98</v>
      </c>
      <c r="D4315">
        <v>36357916.164319202</v>
      </c>
    </row>
    <row r="4316" spans="1:4" hidden="1" x14ac:dyDescent="0.3">
      <c r="A4316">
        <v>4314</v>
      </c>
      <c r="B4316" s="1" t="s">
        <v>5686</v>
      </c>
      <c r="C4316" t="s">
        <v>100</v>
      </c>
      <c r="D4316" s="1" t="s">
        <v>5687</v>
      </c>
    </row>
    <row r="4317" spans="1:4" hidden="1" x14ac:dyDescent="0.3">
      <c r="A4317">
        <v>4315</v>
      </c>
      <c r="B4317" t="s">
        <v>5688</v>
      </c>
      <c r="C4317" t="s">
        <v>103</v>
      </c>
      <c r="D4317">
        <v>8.7083776868542503E-3</v>
      </c>
    </row>
    <row r="4318" spans="1:4" hidden="1" x14ac:dyDescent="0.3">
      <c r="A4318">
        <v>4316</v>
      </c>
      <c r="B4318" t="s">
        <v>5689</v>
      </c>
      <c r="C4318" t="s">
        <v>105</v>
      </c>
      <c r="D4318">
        <v>3.0973182558339299E-3</v>
      </c>
    </row>
    <row r="4319" spans="1:4" hidden="1" x14ac:dyDescent="0.3">
      <c r="A4319">
        <v>4317</v>
      </c>
      <c r="B4319" t="s">
        <v>5690</v>
      </c>
      <c r="C4319" t="s">
        <v>107</v>
      </c>
      <c r="D4319">
        <v>1.1486860520938599E-2</v>
      </c>
    </row>
    <row r="4320" spans="1:4" hidden="1" x14ac:dyDescent="0.3">
      <c r="A4320">
        <v>4318</v>
      </c>
      <c r="B4320" s="1" t="s">
        <v>5691</v>
      </c>
      <c r="C4320" t="s">
        <v>109</v>
      </c>
      <c r="D4320" s="1" t="s">
        <v>5692</v>
      </c>
    </row>
    <row r="4321" spans="1:4" hidden="1" x14ac:dyDescent="0.3">
      <c r="A4321">
        <v>4319</v>
      </c>
      <c r="B4321" t="s">
        <v>5693</v>
      </c>
      <c r="C4321" t="s">
        <v>208</v>
      </c>
      <c r="D4321">
        <v>141099015.59435901</v>
      </c>
    </row>
    <row r="4322" spans="1:4" hidden="1" x14ac:dyDescent="0.3">
      <c r="A4322">
        <v>4320</v>
      </c>
      <c r="B4322" t="s">
        <v>5694</v>
      </c>
      <c r="C4322" t="s">
        <v>210</v>
      </c>
      <c r="D4322">
        <v>282.499964606378</v>
      </c>
    </row>
    <row r="4323" spans="1:4" hidden="1" x14ac:dyDescent="0.3">
      <c r="A4323">
        <v>4321</v>
      </c>
      <c r="B4323" t="s">
        <v>5695</v>
      </c>
      <c r="C4323" t="s">
        <v>212</v>
      </c>
      <c r="D4323">
        <v>135.09309584453399</v>
      </c>
    </row>
    <row r="4324" spans="1:4" hidden="1" x14ac:dyDescent="0.3">
      <c r="A4324">
        <v>4322</v>
      </c>
      <c r="B4324" s="1" t="s">
        <v>5696</v>
      </c>
      <c r="C4324" t="s">
        <v>214</v>
      </c>
      <c r="D4324" s="1" t="s">
        <v>5697</v>
      </c>
    </row>
    <row r="4325" spans="1:4" hidden="1" x14ac:dyDescent="0.3">
      <c r="A4325">
        <v>4323</v>
      </c>
      <c r="B4325" t="s">
        <v>5698</v>
      </c>
      <c r="C4325" t="s">
        <v>217</v>
      </c>
      <c r="D4325">
        <v>70856647.714735001</v>
      </c>
    </row>
    <row r="4326" spans="1:4" hidden="1" x14ac:dyDescent="0.3">
      <c r="A4326">
        <v>4324</v>
      </c>
      <c r="B4326" t="s">
        <v>5699</v>
      </c>
      <c r="C4326" t="s">
        <v>219</v>
      </c>
      <c r="D4326">
        <v>33884053.452136099</v>
      </c>
    </row>
    <row r="4327" spans="1:4" hidden="1" x14ac:dyDescent="0.3">
      <c r="A4327">
        <v>4325</v>
      </c>
      <c r="B4327" t="s">
        <v>5700</v>
      </c>
      <c r="C4327" t="s">
        <v>221</v>
      </c>
      <c r="D4327">
        <v>36357751.878887899</v>
      </c>
    </row>
    <row r="4328" spans="1:4" hidden="1" x14ac:dyDescent="0.3">
      <c r="A4328">
        <v>4326</v>
      </c>
      <c r="B4328" s="1" t="s">
        <v>5701</v>
      </c>
      <c r="C4328" t="s">
        <v>223</v>
      </c>
      <c r="D4328" s="1" t="s">
        <v>5702</v>
      </c>
    </row>
    <row r="4329" spans="1:4" hidden="1" x14ac:dyDescent="0.3">
      <c r="A4329">
        <v>4327</v>
      </c>
      <c r="B4329" t="s">
        <v>5703</v>
      </c>
      <c r="C4329" t="s">
        <v>226</v>
      </c>
      <c r="D4329">
        <v>103022057.086404</v>
      </c>
    </row>
    <row r="4330" spans="1:4" hidden="1" x14ac:dyDescent="0.3">
      <c r="A4330">
        <v>4328</v>
      </c>
      <c r="B4330" t="s">
        <v>5704</v>
      </c>
      <c r="C4330" t="s">
        <v>228</v>
      </c>
      <c r="D4330">
        <v>410.74095965921799</v>
      </c>
    </row>
    <row r="4331" spans="1:4" hidden="1" x14ac:dyDescent="0.3">
      <c r="A4331">
        <v>4329</v>
      </c>
      <c r="B4331" s="1" t="s">
        <v>5705</v>
      </c>
      <c r="C4331" t="s">
        <v>230</v>
      </c>
      <c r="D4331" s="1" t="s">
        <v>5706</v>
      </c>
    </row>
    <row r="4332" spans="1:4" hidden="1" x14ac:dyDescent="0.3">
      <c r="A4332">
        <v>4330</v>
      </c>
      <c r="B4332" t="s">
        <v>5707</v>
      </c>
      <c r="C4332" t="s">
        <v>112</v>
      </c>
      <c r="D4332">
        <v>-96.960096097247103</v>
      </c>
    </row>
    <row r="4333" spans="1:4" hidden="1" x14ac:dyDescent="0.3">
      <c r="A4333">
        <v>4331</v>
      </c>
      <c r="B4333" t="s">
        <v>5708</v>
      </c>
      <c r="C4333" t="s">
        <v>114</v>
      </c>
      <c r="D4333">
        <v>-23.8579628406777</v>
      </c>
    </row>
    <row r="4334" spans="1:4" hidden="1" x14ac:dyDescent="0.3">
      <c r="A4334">
        <v>4332</v>
      </c>
      <c r="B4334" s="1" t="s">
        <v>5709</v>
      </c>
      <c r="C4334" t="s">
        <v>116</v>
      </c>
      <c r="D4334" s="1" t="s">
        <v>5710</v>
      </c>
    </row>
    <row r="4335" spans="1:4" hidden="1" x14ac:dyDescent="0.3">
      <c r="A4335">
        <v>4333</v>
      </c>
      <c r="B4335" t="s">
        <v>5711</v>
      </c>
      <c r="C4335" t="s">
        <v>119</v>
      </c>
      <c r="D4335">
        <v>70856647.714735001</v>
      </c>
    </row>
    <row r="4336" spans="1:4" hidden="1" x14ac:dyDescent="0.3">
      <c r="A4336">
        <v>4334</v>
      </c>
      <c r="B4336" t="s">
        <v>5712</v>
      </c>
      <c r="C4336" t="s">
        <v>121</v>
      </c>
      <c r="D4336">
        <v>33884053.452136099</v>
      </c>
    </row>
    <row r="4337" spans="1:4" hidden="1" x14ac:dyDescent="0.3">
      <c r="A4337">
        <v>4335</v>
      </c>
      <c r="B4337" s="1" t="s">
        <v>5713</v>
      </c>
      <c r="C4337" t="s">
        <v>123</v>
      </c>
      <c r="D4337" s="1" t="s">
        <v>5714</v>
      </c>
    </row>
    <row r="4338" spans="1:4" hidden="1" x14ac:dyDescent="0.3">
      <c r="A4338">
        <v>4336</v>
      </c>
      <c r="B4338" t="s">
        <v>5715</v>
      </c>
      <c r="C4338" t="s">
        <v>126</v>
      </c>
      <c r="D4338">
        <v>0.68797535369478002</v>
      </c>
    </row>
    <row r="4339" spans="1:4" hidden="1" x14ac:dyDescent="0.3">
      <c r="A4339">
        <v>4337</v>
      </c>
      <c r="B4339" t="s">
        <v>5716</v>
      </c>
      <c r="C4339" t="s">
        <v>128</v>
      </c>
      <c r="D4339">
        <v>0.32899374173326101</v>
      </c>
    </row>
    <row r="4340" spans="1:4" hidden="1" x14ac:dyDescent="0.3">
      <c r="A4340">
        <v>4338</v>
      </c>
      <c r="B4340" s="1" t="s">
        <v>5717</v>
      </c>
      <c r="C4340" t="s">
        <v>130</v>
      </c>
      <c r="D4340" s="1" t="s">
        <v>5718</v>
      </c>
    </row>
    <row r="4341" spans="1:4" ht="72" x14ac:dyDescent="0.3">
      <c r="A4341">
        <v>4339</v>
      </c>
      <c r="B4341" s="1" t="s">
        <v>5719</v>
      </c>
      <c r="C4341" t="s">
        <v>4</v>
      </c>
      <c r="D4341" t="s">
        <v>5720</v>
      </c>
    </row>
    <row r="4342" spans="1:4" hidden="1" x14ac:dyDescent="0.3">
      <c r="A4342">
        <v>4340</v>
      </c>
      <c r="B4342" t="s">
        <v>5721</v>
      </c>
      <c r="C4342" t="s">
        <v>7</v>
      </c>
      <c r="D4342">
        <v>1628.9</v>
      </c>
    </row>
    <row r="4343" spans="1:4" hidden="1" x14ac:dyDescent="0.3">
      <c r="A4343">
        <v>4341</v>
      </c>
      <c r="B4343" s="1" t="s">
        <v>5722</v>
      </c>
      <c r="C4343" t="s">
        <v>9</v>
      </c>
      <c r="D4343" s="1" t="s">
        <v>5723</v>
      </c>
    </row>
    <row r="4344" spans="1:4" hidden="1" x14ac:dyDescent="0.3">
      <c r="A4344">
        <v>4342</v>
      </c>
      <c r="B4344" t="s">
        <v>5724</v>
      </c>
      <c r="C4344" t="s">
        <v>14</v>
      </c>
      <c r="D4344">
        <v>88.01953125</v>
      </c>
    </row>
    <row r="4345" spans="1:4" hidden="1" x14ac:dyDescent="0.3">
      <c r="A4345">
        <v>4343</v>
      </c>
      <c r="B4345" t="s">
        <v>5725</v>
      </c>
      <c r="C4345" t="s">
        <v>16</v>
      </c>
      <c r="D4345">
        <v>4.2179214242208696</v>
      </c>
    </row>
    <row r="4346" spans="1:4" hidden="1" x14ac:dyDescent="0.3">
      <c r="A4346">
        <v>4344</v>
      </c>
      <c r="B4346" s="1" t="s">
        <v>5726</v>
      </c>
      <c r="C4346" t="s">
        <v>140</v>
      </c>
      <c r="D4346" s="1" t="s">
        <v>5727</v>
      </c>
    </row>
    <row r="4347" spans="1:4" hidden="1" x14ac:dyDescent="0.3">
      <c r="A4347">
        <v>4345</v>
      </c>
      <c r="B4347" t="s">
        <v>5728</v>
      </c>
      <c r="C4347" t="s">
        <v>22</v>
      </c>
      <c r="D4347">
        <v>56.65</v>
      </c>
    </row>
    <row r="4348" spans="1:4" hidden="1" x14ac:dyDescent="0.3">
      <c r="A4348">
        <v>4346</v>
      </c>
      <c r="B4348" t="s">
        <v>5729</v>
      </c>
      <c r="C4348" t="s">
        <v>24</v>
      </c>
      <c r="D4348">
        <v>5.29030699016824</v>
      </c>
    </row>
    <row r="4349" spans="1:4" hidden="1" x14ac:dyDescent="0.3">
      <c r="A4349">
        <v>4347</v>
      </c>
      <c r="B4349" s="1" t="s">
        <v>5730</v>
      </c>
      <c r="C4349" t="s">
        <v>145</v>
      </c>
      <c r="D4349" s="1" t="s">
        <v>5731</v>
      </c>
    </row>
    <row r="4350" spans="1:4" hidden="1" x14ac:dyDescent="0.3">
      <c r="A4350">
        <v>4348</v>
      </c>
      <c r="B4350" t="s">
        <v>5732</v>
      </c>
      <c r="C4350" t="s">
        <v>35</v>
      </c>
      <c r="D4350">
        <v>0.32230660420294599</v>
      </c>
    </row>
    <row r="4351" spans="1:4" hidden="1" x14ac:dyDescent="0.3">
      <c r="A4351">
        <v>4349</v>
      </c>
      <c r="B4351" t="s">
        <v>5733</v>
      </c>
      <c r="C4351" t="s">
        <v>149</v>
      </c>
      <c r="D4351">
        <v>0.53830528987146897</v>
      </c>
    </row>
    <row r="4352" spans="1:4" hidden="1" x14ac:dyDescent="0.3">
      <c r="A4352">
        <v>4350</v>
      </c>
      <c r="B4352" s="1" t="s">
        <v>5734</v>
      </c>
      <c r="C4352" t="s">
        <v>151</v>
      </c>
      <c r="D4352" s="1" t="s">
        <v>5735</v>
      </c>
    </row>
    <row r="4353" spans="1:4" hidden="1" x14ac:dyDescent="0.3">
      <c r="A4353">
        <v>4351</v>
      </c>
      <c r="B4353" t="s">
        <v>5736</v>
      </c>
      <c r="C4353" t="s">
        <v>30</v>
      </c>
      <c r="D4353">
        <v>0.29652940989787702</v>
      </c>
    </row>
    <row r="4354" spans="1:4" hidden="1" x14ac:dyDescent="0.3">
      <c r="A4354">
        <v>4352</v>
      </c>
      <c r="B4354" t="s">
        <v>5737</v>
      </c>
      <c r="C4354" t="s">
        <v>32</v>
      </c>
      <c r="D4354">
        <v>0.41122681501769198</v>
      </c>
    </row>
    <row r="4355" spans="1:4" hidden="1" x14ac:dyDescent="0.3">
      <c r="A4355">
        <v>4353</v>
      </c>
      <c r="B4355" s="1" t="s">
        <v>5738</v>
      </c>
      <c r="C4355" t="s">
        <v>155</v>
      </c>
      <c r="D4355" s="1" t="s">
        <v>5739</v>
      </c>
    </row>
    <row r="4356" spans="1:4" hidden="1" x14ac:dyDescent="0.3">
      <c r="A4356">
        <v>4354</v>
      </c>
      <c r="B4356" t="s">
        <v>5740</v>
      </c>
      <c r="C4356" t="s">
        <v>40</v>
      </c>
      <c r="D4356">
        <v>0.38116398589917599</v>
      </c>
    </row>
    <row r="4357" spans="1:4" hidden="1" x14ac:dyDescent="0.3">
      <c r="A4357">
        <v>4355</v>
      </c>
      <c r="B4357" t="s">
        <v>5741</v>
      </c>
      <c r="C4357" t="s">
        <v>42</v>
      </c>
      <c r="D4357">
        <v>0.44645509674425399</v>
      </c>
    </row>
    <row r="4358" spans="1:4" hidden="1" x14ac:dyDescent="0.3">
      <c r="A4358">
        <v>4356</v>
      </c>
      <c r="B4358" s="1" t="s">
        <v>5742</v>
      </c>
      <c r="C4358" t="s">
        <v>159</v>
      </c>
      <c r="D4358" s="1" t="s">
        <v>5743</v>
      </c>
    </row>
    <row r="4359" spans="1:4" hidden="1" x14ac:dyDescent="0.3">
      <c r="A4359">
        <v>4357</v>
      </c>
      <c r="B4359" t="s">
        <v>5744</v>
      </c>
      <c r="C4359" t="s">
        <v>161</v>
      </c>
      <c r="D4359">
        <v>1.0040311644764399</v>
      </c>
    </row>
    <row r="4360" spans="1:4" hidden="1" x14ac:dyDescent="0.3">
      <c r="A4360">
        <v>4358</v>
      </c>
      <c r="B4360" t="s">
        <v>5745</v>
      </c>
      <c r="C4360" t="s">
        <v>163</v>
      </c>
      <c r="D4360">
        <v>1.00086008791444</v>
      </c>
    </row>
    <row r="4361" spans="1:4" hidden="1" x14ac:dyDescent="0.3">
      <c r="A4361">
        <v>4359</v>
      </c>
      <c r="B4361" s="1" t="s">
        <v>5746</v>
      </c>
      <c r="C4361" t="s">
        <v>165</v>
      </c>
      <c r="D4361" s="1" t="s">
        <v>5747</v>
      </c>
    </row>
    <row r="4362" spans="1:4" hidden="1" x14ac:dyDescent="0.3">
      <c r="A4362">
        <v>4360</v>
      </c>
      <c r="B4362" t="s">
        <v>5748</v>
      </c>
      <c r="C4362" t="s">
        <v>168</v>
      </c>
      <c r="D4362">
        <v>1.00137174695483</v>
      </c>
    </row>
    <row r="4363" spans="1:4" hidden="1" x14ac:dyDescent="0.3">
      <c r="A4363">
        <v>4361</v>
      </c>
      <c r="B4363" t="s">
        <v>5749</v>
      </c>
      <c r="C4363" t="s">
        <v>170</v>
      </c>
      <c r="D4363">
        <v>0.99947215023735603</v>
      </c>
    </row>
    <row r="4364" spans="1:4" hidden="1" x14ac:dyDescent="0.3">
      <c r="A4364">
        <v>4362</v>
      </c>
      <c r="B4364" s="1" t="s">
        <v>5750</v>
      </c>
      <c r="C4364" t="s">
        <v>172</v>
      </c>
      <c r="D4364" s="1" t="s">
        <v>5751</v>
      </c>
    </row>
    <row r="4365" spans="1:4" hidden="1" x14ac:dyDescent="0.3">
      <c r="A4365">
        <v>4363</v>
      </c>
      <c r="B4365" s="1" t="s">
        <v>5752</v>
      </c>
      <c r="C4365" t="s">
        <v>55</v>
      </c>
      <c r="D4365" s="1" t="s">
        <v>5753</v>
      </c>
    </row>
    <row r="4366" spans="1:4" hidden="1" x14ac:dyDescent="0.3">
      <c r="A4366">
        <v>4364</v>
      </c>
      <c r="B4366" s="1" t="s">
        <v>5754</v>
      </c>
      <c r="C4366" t="s">
        <v>52</v>
      </c>
      <c r="D4366" s="1" t="s">
        <v>5755</v>
      </c>
    </row>
    <row r="4367" spans="1:4" hidden="1" x14ac:dyDescent="0.3">
      <c r="A4367">
        <v>4365</v>
      </c>
      <c r="B4367" s="1" t="s">
        <v>5756</v>
      </c>
      <c r="C4367" t="s">
        <v>58</v>
      </c>
      <c r="D4367" s="1" t="s">
        <v>5757</v>
      </c>
    </row>
    <row r="4368" spans="1:4" hidden="1" x14ac:dyDescent="0.3">
      <c r="A4368">
        <v>4366</v>
      </c>
      <c r="B4368" t="s">
        <v>5758</v>
      </c>
      <c r="C4368" t="s">
        <v>61</v>
      </c>
      <c r="D4368">
        <v>140017027.50264901</v>
      </c>
    </row>
    <row r="4369" spans="1:4" hidden="1" x14ac:dyDescent="0.3">
      <c r="A4369">
        <v>4367</v>
      </c>
      <c r="B4369" t="s">
        <v>5759</v>
      </c>
      <c r="C4369" t="s">
        <v>63</v>
      </c>
      <c r="D4369">
        <v>71142282.515922397</v>
      </c>
    </row>
    <row r="4370" spans="1:4" hidden="1" x14ac:dyDescent="0.3">
      <c r="A4370">
        <v>4368</v>
      </c>
      <c r="B4370" t="s">
        <v>5760</v>
      </c>
      <c r="C4370" t="s">
        <v>65</v>
      </c>
      <c r="D4370">
        <v>33913196.7170026</v>
      </c>
    </row>
    <row r="4371" spans="1:4" hidden="1" x14ac:dyDescent="0.3">
      <c r="A4371">
        <v>4369</v>
      </c>
      <c r="B4371" s="1" t="s">
        <v>5761</v>
      </c>
      <c r="C4371" t="s">
        <v>67</v>
      </c>
      <c r="D4371" s="1" t="s">
        <v>5762</v>
      </c>
    </row>
    <row r="4372" spans="1:4" hidden="1" x14ac:dyDescent="0.3">
      <c r="A4372">
        <v>4370</v>
      </c>
      <c r="B4372" s="1" t="s">
        <v>5763</v>
      </c>
      <c r="C4372" t="s">
        <v>70</v>
      </c>
      <c r="D4372" s="1" t="s">
        <v>5764</v>
      </c>
    </row>
    <row r="4373" spans="1:4" hidden="1" x14ac:dyDescent="0.3">
      <c r="A4373">
        <v>4371</v>
      </c>
      <c r="B4373" t="s">
        <v>5765</v>
      </c>
      <c r="C4373" t="s">
        <v>73</v>
      </c>
      <c r="D4373">
        <v>0.99971798255772304</v>
      </c>
    </row>
    <row r="4374" spans="1:4" hidden="1" x14ac:dyDescent="0.3">
      <c r="A4374">
        <v>4372</v>
      </c>
      <c r="B4374" t="s">
        <v>74</v>
      </c>
      <c r="C4374" t="s">
        <v>75</v>
      </c>
      <c r="D4374">
        <v>2.7397260273972599E-3</v>
      </c>
    </row>
    <row r="4375" spans="1:4" hidden="1" x14ac:dyDescent="0.3">
      <c r="A4375">
        <v>4373</v>
      </c>
      <c r="B4375" t="s">
        <v>76</v>
      </c>
      <c r="C4375" t="s">
        <v>77</v>
      </c>
      <c r="D4375">
        <v>0</v>
      </c>
    </row>
    <row r="4376" spans="1:4" hidden="1" x14ac:dyDescent="0.3">
      <c r="A4376">
        <v>4374</v>
      </c>
      <c r="B4376" t="s">
        <v>78</v>
      </c>
      <c r="C4376" t="s">
        <v>79</v>
      </c>
      <c r="D4376">
        <v>0</v>
      </c>
    </row>
    <row r="4377" spans="1:4" hidden="1" x14ac:dyDescent="0.3">
      <c r="A4377">
        <v>4375</v>
      </c>
      <c r="B4377" s="1" t="s">
        <v>5766</v>
      </c>
      <c r="C4377" t="s">
        <v>81</v>
      </c>
      <c r="D4377" s="1" t="s">
        <v>5767</v>
      </c>
    </row>
    <row r="4378" spans="1:4" hidden="1" x14ac:dyDescent="0.3">
      <c r="A4378">
        <v>4376</v>
      </c>
      <c r="B4378" t="s">
        <v>5768</v>
      </c>
      <c r="C4378" t="s">
        <v>84</v>
      </c>
      <c r="D4378">
        <v>0.99971850097107295</v>
      </c>
    </row>
    <row r="4379" spans="1:4" hidden="1" x14ac:dyDescent="0.3">
      <c r="A4379">
        <v>4377</v>
      </c>
      <c r="B4379" s="1" t="s">
        <v>5769</v>
      </c>
      <c r="C4379" t="s">
        <v>86</v>
      </c>
      <c r="D4379" s="1" t="s">
        <v>5770</v>
      </c>
    </row>
    <row r="4380" spans="1:4" hidden="1" x14ac:dyDescent="0.3">
      <c r="A4380">
        <v>4378</v>
      </c>
      <c r="B4380" t="s">
        <v>5771</v>
      </c>
      <c r="C4380" t="s">
        <v>89</v>
      </c>
      <c r="D4380">
        <v>103022414.404102</v>
      </c>
    </row>
    <row r="4381" spans="1:4" hidden="1" x14ac:dyDescent="0.3">
      <c r="A4381">
        <v>4379</v>
      </c>
      <c r="B4381" s="1" t="s">
        <v>5772</v>
      </c>
      <c r="C4381" t="s">
        <v>91</v>
      </c>
      <c r="D4381" s="1" t="s">
        <v>5706</v>
      </c>
    </row>
    <row r="4382" spans="1:4" hidden="1" x14ac:dyDescent="0.3">
      <c r="A4382">
        <v>4380</v>
      </c>
      <c r="B4382" t="s">
        <v>5773</v>
      </c>
      <c r="C4382" t="s">
        <v>94</v>
      </c>
      <c r="D4382">
        <v>71142282.515922397</v>
      </c>
    </row>
    <row r="4383" spans="1:4" hidden="1" x14ac:dyDescent="0.3">
      <c r="A4383">
        <v>4381</v>
      </c>
      <c r="B4383" t="s">
        <v>5774</v>
      </c>
      <c r="C4383" t="s">
        <v>96</v>
      </c>
      <c r="D4383">
        <v>33913196.7170026</v>
      </c>
    </row>
    <row r="4384" spans="1:4" hidden="1" x14ac:dyDescent="0.3">
      <c r="A4384">
        <v>4382</v>
      </c>
      <c r="B4384" t="s">
        <v>5775</v>
      </c>
      <c r="C4384" t="s">
        <v>98</v>
      </c>
      <c r="D4384">
        <v>34961548.269723997</v>
      </c>
    </row>
    <row r="4385" spans="1:4" hidden="1" x14ac:dyDescent="0.3">
      <c r="A4385">
        <v>4383</v>
      </c>
      <c r="B4385" s="1" t="s">
        <v>5776</v>
      </c>
      <c r="C4385" t="s">
        <v>100</v>
      </c>
      <c r="D4385" s="1" t="s">
        <v>5777</v>
      </c>
    </row>
    <row r="4386" spans="1:4" hidden="1" x14ac:dyDescent="0.3">
      <c r="A4386">
        <v>4384</v>
      </c>
      <c r="B4386" t="s">
        <v>5778</v>
      </c>
      <c r="C4386" t="s">
        <v>103</v>
      </c>
      <c r="D4386">
        <v>8.7677690638425197E-3</v>
      </c>
    </row>
    <row r="4387" spans="1:4" hidden="1" x14ac:dyDescent="0.3">
      <c r="A4387">
        <v>4385</v>
      </c>
      <c r="B4387" t="s">
        <v>5779</v>
      </c>
      <c r="C4387" t="s">
        <v>105</v>
      </c>
      <c r="D4387">
        <v>3.1002599611306102E-3</v>
      </c>
    </row>
    <row r="4388" spans="1:4" hidden="1" x14ac:dyDescent="0.3">
      <c r="A4388">
        <v>4386</v>
      </c>
      <c r="B4388" t="s">
        <v>5780</v>
      </c>
      <c r="C4388" t="s">
        <v>107</v>
      </c>
      <c r="D4388">
        <v>1.21445435689107E-2</v>
      </c>
    </row>
    <row r="4389" spans="1:4" hidden="1" x14ac:dyDescent="0.3">
      <c r="A4389">
        <v>4387</v>
      </c>
      <c r="B4389" s="1" t="s">
        <v>5781</v>
      </c>
      <c r="C4389" t="s">
        <v>109</v>
      </c>
      <c r="D4389" s="1" t="s">
        <v>5782</v>
      </c>
    </row>
    <row r="4390" spans="1:4" hidden="1" x14ac:dyDescent="0.3">
      <c r="A4390">
        <v>4388</v>
      </c>
      <c r="B4390" t="s">
        <v>5783</v>
      </c>
      <c r="C4390" t="s">
        <v>208</v>
      </c>
      <c r="D4390">
        <v>140017045.74626201</v>
      </c>
    </row>
    <row r="4391" spans="1:4" hidden="1" x14ac:dyDescent="0.3">
      <c r="A4391">
        <v>4389</v>
      </c>
      <c r="B4391" t="s">
        <v>5784</v>
      </c>
      <c r="C4391" t="s">
        <v>210</v>
      </c>
      <c r="D4391">
        <v>-36.891519257315998</v>
      </c>
    </row>
    <row r="4392" spans="1:4" hidden="1" x14ac:dyDescent="0.3">
      <c r="A4392">
        <v>4390</v>
      </c>
      <c r="B4392" t="s">
        <v>5785</v>
      </c>
      <c r="C4392" t="s">
        <v>212</v>
      </c>
      <c r="D4392">
        <v>-17.586014997681001</v>
      </c>
    </row>
    <row r="4393" spans="1:4" hidden="1" x14ac:dyDescent="0.3">
      <c r="A4393">
        <v>4391</v>
      </c>
      <c r="B4393" s="1" t="s">
        <v>5786</v>
      </c>
      <c r="C4393" t="s">
        <v>214</v>
      </c>
      <c r="D4393" s="1" t="s">
        <v>5787</v>
      </c>
    </row>
    <row r="4394" spans="1:4" hidden="1" x14ac:dyDescent="0.3">
      <c r="A4394">
        <v>4392</v>
      </c>
      <c r="B4394" t="s">
        <v>5788</v>
      </c>
      <c r="C4394" t="s">
        <v>217</v>
      </c>
      <c r="D4394">
        <v>71142331.383445099</v>
      </c>
    </row>
    <row r="4395" spans="1:4" hidden="1" x14ac:dyDescent="0.3">
      <c r="A4395">
        <v>4393</v>
      </c>
      <c r="B4395" t="s">
        <v>5789</v>
      </c>
      <c r="C4395" t="s">
        <v>219</v>
      </c>
      <c r="D4395">
        <v>33913217.234368898</v>
      </c>
    </row>
    <row r="4396" spans="1:4" hidden="1" x14ac:dyDescent="0.3">
      <c r="A4396">
        <v>4394</v>
      </c>
      <c r="B4396" t="s">
        <v>5790</v>
      </c>
      <c r="C4396" t="s">
        <v>221</v>
      </c>
      <c r="D4396">
        <v>34961569.735630803</v>
      </c>
    </row>
    <row r="4397" spans="1:4" hidden="1" x14ac:dyDescent="0.3">
      <c r="A4397">
        <v>4395</v>
      </c>
      <c r="B4397" s="1" t="s">
        <v>5791</v>
      </c>
      <c r="C4397" t="s">
        <v>223</v>
      </c>
      <c r="D4397" s="1" t="s">
        <v>5792</v>
      </c>
    </row>
    <row r="4398" spans="1:4" hidden="1" x14ac:dyDescent="0.3">
      <c r="A4398">
        <v>4396</v>
      </c>
      <c r="B4398" t="s">
        <v>5793</v>
      </c>
      <c r="C4398" t="s">
        <v>226</v>
      </c>
      <c r="D4398">
        <v>103022467.827363</v>
      </c>
    </row>
    <row r="4399" spans="1:4" hidden="1" x14ac:dyDescent="0.3">
      <c r="A4399">
        <v>4397</v>
      </c>
      <c r="B4399" t="s">
        <v>5794</v>
      </c>
      <c r="C4399" t="s">
        <v>228</v>
      </c>
      <c r="D4399">
        <v>-53.4232612550258</v>
      </c>
    </row>
    <row r="4400" spans="1:4" hidden="1" x14ac:dyDescent="0.3">
      <c r="A4400">
        <v>4398</v>
      </c>
      <c r="B4400" s="1" t="s">
        <v>5795</v>
      </c>
      <c r="C4400" t="s">
        <v>230</v>
      </c>
      <c r="D4400" s="1" t="s">
        <v>5796</v>
      </c>
    </row>
    <row r="4401" spans="1:4" hidden="1" x14ac:dyDescent="0.3">
      <c r="A4401">
        <v>4399</v>
      </c>
      <c r="B4401" t="s">
        <v>5797</v>
      </c>
      <c r="C4401" t="s">
        <v>112</v>
      </c>
      <c r="D4401">
        <v>11.976003432877601</v>
      </c>
    </row>
    <row r="4402" spans="1:4" hidden="1" x14ac:dyDescent="0.3">
      <c r="A4402">
        <v>4400</v>
      </c>
      <c r="B4402" t="s">
        <v>5798</v>
      </c>
      <c r="C4402" t="s">
        <v>114</v>
      </c>
      <c r="D4402">
        <v>2.9313512661147798</v>
      </c>
    </row>
    <row r="4403" spans="1:4" hidden="1" x14ac:dyDescent="0.3">
      <c r="A4403">
        <v>4401</v>
      </c>
      <c r="B4403" s="1" t="s">
        <v>5799</v>
      </c>
      <c r="C4403" t="s">
        <v>116</v>
      </c>
      <c r="D4403" s="1" t="s">
        <v>5800</v>
      </c>
    </row>
    <row r="4404" spans="1:4" hidden="1" x14ac:dyDescent="0.3">
      <c r="A4404">
        <v>4402</v>
      </c>
      <c r="B4404" t="s">
        <v>5801</v>
      </c>
      <c r="C4404" t="s">
        <v>119</v>
      </c>
      <c r="D4404">
        <v>71142331.383445099</v>
      </c>
    </row>
    <row r="4405" spans="1:4" hidden="1" x14ac:dyDescent="0.3">
      <c r="A4405">
        <v>4403</v>
      </c>
      <c r="B4405" t="s">
        <v>5802</v>
      </c>
      <c r="C4405" t="s">
        <v>121</v>
      </c>
      <c r="D4405">
        <v>33913217.234368898</v>
      </c>
    </row>
    <row r="4406" spans="1:4" hidden="1" x14ac:dyDescent="0.3">
      <c r="A4406">
        <v>4404</v>
      </c>
      <c r="B4406" s="1" t="s">
        <v>5803</v>
      </c>
      <c r="C4406" t="s">
        <v>123</v>
      </c>
      <c r="D4406" s="1" t="s">
        <v>5804</v>
      </c>
    </row>
    <row r="4407" spans="1:4" hidden="1" x14ac:dyDescent="0.3">
      <c r="A4407">
        <v>4405</v>
      </c>
      <c r="B4407" t="s">
        <v>5805</v>
      </c>
      <c r="C4407" t="s">
        <v>126</v>
      </c>
      <c r="D4407">
        <v>0.69074605783002396</v>
      </c>
    </row>
    <row r="4408" spans="1:4" hidden="1" x14ac:dyDescent="0.3">
      <c r="A4408">
        <v>4406</v>
      </c>
      <c r="B4408" t="s">
        <v>5806</v>
      </c>
      <c r="C4408" t="s">
        <v>128</v>
      </c>
      <c r="D4408">
        <v>0.32927542094051498</v>
      </c>
    </row>
    <row r="4409" spans="1:4" hidden="1" x14ac:dyDescent="0.3">
      <c r="A4409">
        <v>4407</v>
      </c>
      <c r="B4409" s="1" t="s">
        <v>5807</v>
      </c>
      <c r="C4409" t="s">
        <v>130</v>
      </c>
      <c r="D4409" s="1" t="s">
        <v>5808</v>
      </c>
    </row>
    <row r="4410" spans="1:4" ht="72" x14ac:dyDescent="0.3">
      <c r="A4410">
        <v>4408</v>
      </c>
      <c r="B4410" s="1" t="s">
        <v>5809</v>
      </c>
      <c r="C4410" t="s">
        <v>4</v>
      </c>
      <c r="D4410" t="s">
        <v>5810</v>
      </c>
    </row>
    <row r="4411" spans="1:4" hidden="1" x14ac:dyDescent="0.3">
      <c r="A4411">
        <v>4409</v>
      </c>
      <c r="B4411" t="s">
        <v>5811</v>
      </c>
      <c r="C4411" t="s">
        <v>7</v>
      </c>
      <c r="D4411">
        <v>1659.97</v>
      </c>
    </row>
    <row r="4412" spans="1:4" hidden="1" x14ac:dyDescent="0.3">
      <c r="A4412">
        <v>4410</v>
      </c>
      <c r="B4412" s="1" t="s">
        <v>5812</v>
      </c>
      <c r="C4412" t="s">
        <v>9</v>
      </c>
      <c r="D4412" s="1" t="s">
        <v>5813</v>
      </c>
    </row>
    <row r="4413" spans="1:4" hidden="1" x14ac:dyDescent="0.3">
      <c r="A4413">
        <v>4411</v>
      </c>
      <c r="B4413" t="s">
        <v>5814</v>
      </c>
      <c r="C4413" t="s">
        <v>14</v>
      </c>
      <c r="D4413">
        <v>88.640625</v>
      </c>
    </row>
    <row r="4414" spans="1:4" hidden="1" x14ac:dyDescent="0.3">
      <c r="A4414">
        <v>4412</v>
      </c>
      <c r="B4414" t="s">
        <v>5815</v>
      </c>
      <c r="C4414" t="s">
        <v>16</v>
      </c>
      <c r="D4414">
        <v>4.2338496024388403</v>
      </c>
    </row>
    <row r="4415" spans="1:4" hidden="1" x14ac:dyDescent="0.3">
      <c r="A4415">
        <v>4413</v>
      </c>
      <c r="B4415" s="1" t="s">
        <v>5816</v>
      </c>
      <c r="C4415" t="s">
        <v>140</v>
      </c>
      <c r="D4415" s="1" t="s">
        <v>5817</v>
      </c>
    </row>
    <row r="4416" spans="1:4" hidden="1" x14ac:dyDescent="0.3">
      <c r="A4416">
        <v>4414</v>
      </c>
      <c r="B4416" t="s">
        <v>5818</v>
      </c>
      <c r="C4416" t="s">
        <v>22</v>
      </c>
      <c r="D4416">
        <v>54.55</v>
      </c>
    </row>
    <row r="4417" spans="1:4" hidden="1" x14ac:dyDescent="0.3">
      <c r="A4417">
        <v>4415</v>
      </c>
      <c r="B4417" t="s">
        <v>5819</v>
      </c>
      <c r="C4417" t="s">
        <v>24</v>
      </c>
      <c r="D4417">
        <v>5.5176180036026397</v>
      </c>
    </row>
    <row r="4418" spans="1:4" hidden="1" x14ac:dyDescent="0.3">
      <c r="A4418">
        <v>4416</v>
      </c>
      <c r="B4418" s="1" t="s">
        <v>5820</v>
      </c>
      <c r="C4418" t="s">
        <v>145</v>
      </c>
      <c r="D4418" s="1" t="s">
        <v>5821</v>
      </c>
    </row>
    <row r="4419" spans="1:4" hidden="1" x14ac:dyDescent="0.3">
      <c r="A4419">
        <v>4417</v>
      </c>
      <c r="B4419" t="s">
        <v>5822</v>
      </c>
      <c r="C4419" t="s">
        <v>35</v>
      </c>
      <c r="D4419">
        <v>-7.8592037520018407E-2</v>
      </c>
    </row>
    <row r="4420" spans="1:4" hidden="1" x14ac:dyDescent="0.3">
      <c r="A4420">
        <v>4418</v>
      </c>
      <c r="B4420" t="s">
        <v>5823</v>
      </c>
      <c r="C4420" t="s">
        <v>149</v>
      </c>
      <c r="D4420">
        <v>0.54034620507914499</v>
      </c>
    </row>
    <row r="4421" spans="1:4" hidden="1" x14ac:dyDescent="0.3">
      <c r="A4421">
        <v>4419</v>
      </c>
      <c r="B4421" s="1" t="s">
        <v>5824</v>
      </c>
      <c r="C4421" t="s">
        <v>151</v>
      </c>
      <c r="D4421" s="1" t="s">
        <v>5825</v>
      </c>
    </row>
    <row r="4422" spans="1:4" hidden="1" x14ac:dyDescent="0.3">
      <c r="A4422">
        <v>4420</v>
      </c>
      <c r="B4422" t="s">
        <v>5826</v>
      </c>
      <c r="C4422" t="s">
        <v>30</v>
      </c>
      <c r="D4422">
        <v>0.46572136040923001</v>
      </c>
    </row>
    <row r="4423" spans="1:4" hidden="1" x14ac:dyDescent="0.3">
      <c r="A4423">
        <v>4421</v>
      </c>
      <c r="B4423" t="s">
        <v>5827</v>
      </c>
      <c r="C4423" t="s">
        <v>32</v>
      </c>
      <c r="D4423">
        <v>0.41979547895503999</v>
      </c>
    </row>
    <row r="4424" spans="1:4" hidden="1" x14ac:dyDescent="0.3">
      <c r="A4424">
        <v>4422</v>
      </c>
      <c r="B4424" s="1" t="s">
        <v>5828</v>
      </c>
      <c r="C4424" t="s">
        <v>155</v>
      </c>
      <c r="D4424" s="1" t="s">
        <v>5829</v>
      </c>
    </row>
    <row r="4425" spans="1:4" hidden="1" x14ac:dyDescent="0.3">
      <c r="A4425">
        <v>4423</v>
      </c>
      <c r="B4425" t="s">
        <v>5830</v>
      </c>
      <c r="C4425" t="s">
        <v>40</v>
      </c>
      <c r="D4425">
        <v>0.61287067711078802</v>
      </c>
    </row>
    <row r="4426" spans="1:4" hidden="1" x14ac:dyDescent="0.3">
      <c r="A4426">
        <v>4424</v>
      </c>
      <c r="B4426" t="s">
        <v>5831</v>
      </c>
      <c r="C4426" t="s">
        <v>42</v>
      </c>
      <c r="D4426">
        <v>0.43086987336945398</v>
      </c>
    </row>
    <row r="4427" spans="1:4" hidden="1" x14ac:dyDescent="0.3">
      <c r="A4427">
        <v>4425</v>
      </c>
      <c r="B4427" s="1" t="s">
        <v>5832</v>
      </c>
      <c r="C4427" t="s">
        <v>159</v>
      </c>
      <c r="D4427" s="1" t="s">
        <v>5833</v>
      </c>
    </row>
    <row r="4428" spans="1:4" hidden="1" x14ac:dyDescent="0.3">
      <c r="A4428">
        <v>4426</v>
      </c>
      <c r="B4428" t="s">
        <v>5834</v>
      </c>
      <c r="C4428" t="s">
        <v>161</v>
      </c>
      <c r="D4428">
        <v>1.01907422186751</v>
      </c>
    </row>
    <row r="4429" spans="1:4" hidden="1" x14ac:dyDescent="0.3">
      <c r="A4429">
        <v>4427</v>
      </c>
      <c r="B4429" t="s">
        <v>5835</v>
      </c>
      <c r="C4429" t="s">
        <v>163</v>
      </c>
      <c r="D4429">
        <v>1.0069063261153499</v>
      </c>
    </row>
    <row r="4430" spans="1:4" hidden="1" x14ac:dyDescent="0.3">
      <c r="A4430">
        <v>4428</v>
      </c>
      <c r="B4430" s="1" t="s">
        <v>5836</v>
      </c>
      <c r="C4430" t="s">
        <v>165</v>
      </c>
      <c r="D4430" s="1" t="s">
        <v>5837</v>
      </c>
    </row>
    <row r="4431" spans="1:4" hidden="1" x14ac:dyDescent="0.3">
      <c r="A4431">
        <v>4429</v>
      </c>
      <c r="B4431" t="s">
        <v>5838</v>
      </c>
      <c r="C4431" t="s">
        <v>168</v>
      </c>
      <c r="D4431">
        <v>1.0013267296297499</v>
      </c>
    </row>
    <row r="4432" spans="1:4" hidden="1" x14ac:dyDescent="0.3">
      <c r="A4432">
        <v>4430</v>
      </c>
      <c r="B4432" t="s">
        <v>5839</v>
      </c>
      <c r="C4432" t="s">
        <v>170</v>
      </c>
      <c r="D4432">
        <v>1.0060717836751401</v>
      </c>
    </row>
    <row r="4433" spans="1:4" hidden="1" x14ac:dyDescent="0.3">
      <c r="A4433">
        <v>4431</v>
      </c>
      <c r="B4433" s="1" t="s">
        <v>5840</v>
      </c>
      <c r="C4433" t="s">
        <v>172</v>
      </c>
      <c r="D4433" s="1" t="s">
        <v>5841</v>
      </c>
    </row>
    <row r="4434" spans="1:4" hidden="1" x14ac:dyDescent="0.3">
      <c r="A4434">
        <v>4432</v>
      </c>
      <c r="B4434" s="1" t="s">
        <v>5842</v>
      </c>
      <c r="C4434" t="s">
        <v>55</v>
      </c>
      <c r="D4434" s="1" t="s">
        <v>5843</v>
      </c>
    </row>
    <row r="4435" spans="1:4" hidden="1" x14ac:dyDescent="0.3">
      <c r="A4435">
        <v>4433</v>
      </c>
      <c r="B4435" s="1" t="s">
        <v>5844</v>
      </c>
      <c r="C4435" t="s">
        <v>52</v>
      </c>
      <c r="D4435" s="1" t="s">
        <v>5845</v>
      </c>
    </row>
    <row r="4436" spans="1:4" hidden="1" x14ac:dyDescent="0.3">
      <c r="A4436">
        <v>4434</v>
      </c>
      <c r="B4436" s="1" t="s">
        <v>5846</v>
      </c>
      <c r="C4436" t="s">
        <v>58</v>
      </c>
      <c r="D4436" s="1" t="s">
        <v>5847</v>
      </c>
    </row>
    <row r="4437" spans="1:4" hidden="1" x14ac:dyDescent="0.3">
      <c r="A4437">
        <v>4435</v>
      </c>
      <c r="B4437" t="s">
        <v>5848</v>
      </c>
      <c r="C4437" t="s">
        <v>61</v>
      </c>
      <c r="D4437">
        <v>140551298.65095299</v>
      </c>
    </row>
    <row r="4438" spans="1:4" hidden="1" x14ac:dyDescent="0.3">
      <c r="A4438">
        <v>4436</v>
      </c>
      <c r="B4438" t="s">
        <v>5849</v>
      </c>
      <c r="C4438" t="s">
        <v>63</v>
      </c>
      <c r="D4438">
        <v>72499315.996425405</v>
      </c>
    </row>
    <row r="4439" spans="1:4" hidden="1" x14ac:dyDescent="0.3">
      <c r="A4439">
        <v>4437</v>
      </c>
      <c r="B4439" t="s">
        <v>5850</v>
      </c>
      <c r="C4439" t="s">
        <v>65</v>
      </c>
      <c r="D4439">
        <v>34147432.972210303</v>
      </c>
    </row>
    <row r="4440" spans="1:4" hidden="1" x14ac:dyDescent="0.3">
      <c r="A4440">
        <v>4438</v>
      </c>
      <c r="B4440" s="1" t="s">
        <v>5851</v>
      </c>
      <c r="C4440" t="s">
        <v>67</v>
      </c>
      <c r="D4440" s="1" t="s">
        <v>5852</v>
      </c>
    </row>
    <row r="4441" spans="1:4" hidden="1" x14ac:dyDescent="0.3">
      <c r="A4441">
        <v>4439</v>
      </c>
      <c r="B4441" s="1" t="s">
        <v>5853</v>
      </c>
      <c r="C4441" t="s">
        <v>70</v>
      </c>
      <c r="D4441" s="1" t="s">
        <v>5854</v>
      </c>
    </row>
    <row r="4442" spans="1:4" hidden="1" x14ac:dyDescent="0.3">
      <c r="A4442">
        <v>4440</v>
      </c>
      <c r="B4442" t="s">
        <v>5855</v>
      </c>
      <c r="C4442" t="s">
        <v>73</v>
      </c>
      <c r="D4442">
        <v>0.99971850097107295</v>
      </c>
    </row>
    <row r="4443" spans="1:4" hidden="1" x14ac:dyDescent="0.3">
      <c r="A4443">
        <v>4441</v>
      </c>
      <c r="B4443" t="s">
        <v>74</v>
      </c>
      <c r="C4443" t="s">
        <v>75</v>
      </c>
      <c r="D4443">
        <v>2.7397260273972599E-3</v>
      </c>
    </row>
    <row r="4444" spans="1:4" hidden="1" x14ac:dyDescent="0.3">
      <c r="A4444">
        <v>4442</v>
      </c>
      <c r="B4444" t="s">
        <v>76</v>
      </c>
      <c r="C4444" t="s">
        <v>77</v>
      </c>
      <c r="D4444">
        <v>0</v>
      </c>
    </row>
    <row r="4445" spans="1:4" hidden="1" x14ac:dyDescent="0.3">
      <c r="A4445">
        <v>4443</v>
      </c>
      <c r="B4445" t="s">
        <v>188</v>
      </c>
      <c r="C4445" t="s">
        <v>79</v>
      </c>
      <c r="D4445" s="2">
        <v>-2.2204460492503101E-16</v>
      </c>
    </row>
    <row r="4446" spans="1:4" hidden="1" x14ac:dyDescent="0.3">
      <c r="A4446">
        <v>4444</v>
      </c>
      <c r="B4446" s="1" t="s">
        <v>5856</v>
      </c>
      <c r="C4446" t="s">
        <v>81</v>
      </c>
      <c r="D4446" s="1" t="s">
        <v>5857</v>
      </c>
    </row>
    <row r="4447" spans="1:4" hidden="1" x14ac:dyDescent="0.3">
      <c r="A4447">
        <v>4445</v>
      </c>
      <c r="B4447" t="s">
        <v>5858</v>
      </c>
      <c r="C4447" t="s">
        <v>84</v>
      </c>
      <c r="D4447">
        <v>0.999740006959004</v>
      </c>
    </row>
    <row r="4448" spans="1:4" hidden="1" x14ac:dyDescent="0.3">
      <c r="A4448">
        <v>4446</v>
      </c>
      <c r="B4448" s="1" t="s">
        <v>5859</v>
      </c>
      <c r="C4448" t="s">
        <v>86</v>
      </c>
      <c r="D4448" s="1" t="s">
        <v>5860</v>
      </c>
    </row>
    <row r="4449" spans="1:4" hidden="1" x14ac:dyDescent="0.3">
      <c r="A4449">
        <v>4447</v>
      </c>
      <c r="B4449" t="s">
        <v>5861</v>
      </c>
      <c r="C4449" t="s">
        <v>89</v>
      </c>
      <c r="D4449">
        <v>103020198.229111</v>
      </c>
    </row>
    <row r="4450" spans="1:4" hidden="1" x14ac:dyDescent="0.3">
      <c r="A4450">
        <v>4448</v>
      </c>
      <c r="B4450" s="1" t="s">
        <v>5862</v>
      </c>
      <c r="C4450" t="s">
        <v>91</v>
      </c>
      <c r="D4450" s="1" t="s">
        <v>5796</v>
      </c>
    </row>
    <row r="4451" spans="1:4" hidden="1" x14ac:dyDescent="0.3">
      <c r="A4451">
        <v>4449</v>
      </c>
      <c r="B4451" t="s">
        <v>5863</v>
      </c>
      <c r="C4451" t="s">
        <v>94</v>
      </c>
      <c r="D4451">
        <v>72499315.996425405</v>
      </c>
    </row>
    <row r="4452" spans="1:4" hidden="1" x14ac:dyDescent="0.3">
      <c r="A4452">
        <v>4450</v>
      </c>
      <c r="B4452" t="s">
        <v>5864</v>
      </c>
      <c r="C4452" t="s">
        <v>96</v>
      </c>
      <c r="D4452">
        <v>34147432.972210303</v>
      </c>
    </row>
    <row r="4453" spans="1:4" hidden="1" x14ac:dyDescent="0.3">
      <c r="A4453">
        <v>4451</v>
      </c>
      <c r="B4453" t="s">
        <v>5865</v>
      </c>
      <c r="C4453" t="s">
        <v>98</v>
      </c>
      <c r="D4453">
        <v>33904549.682317898</v>
      </c>
    </row>
    <row r="4454" spans="1:4" hidden="1" x14ac:dyDescent="0.3">
      <c r="A4454">
        <v>4452</v>
      </c>
      <c r="B4454" s="1" t="s">
        <v>5866</v>
      </c>
      <c r="C4454" t="s">
        <v>100</v>
      </c>
      <c r="D4454" s="1" t="s">
        <v>5867</v>
      </c>
    </row>
    <row r="4455" spans="1:4" hidden="1" x14ac:dyDescent="0.3">
      <c r="A4455">
        <v>4453</v>
      </c>
      <c r="B4455" t="s">
        <v>5868</v>
      </c>
      <c r="C4455" t="s">
        <v>103</v>
      </c>
      <c r="D4455">
        <v>8.7810598005969107E-3</v>
      </c>
    </row>
    <row r="4456" spans="1:4" hidden="1" x14ac:dyDescent="0.3">
      <c r="A4456">
        <v>4454</v>
      </c>
      <c r="B4456" t="s">
        <v>5869</v>
      </c>
      <c r="C4456" t="s">
        <v>105</v>
      </c>
      <c r="D4456">
        <v>3.1676492517850002E-3</v>
      </c>
    </row>
    <row r="4457" spans="1:4" hidden="1" x14ac:dyDescent="0.3">
      <c r="A4457">
        <v>4455</v>
      </c>
      <c r="B4457" t="s">
        <v>5870</v>
      </c>
      <c r="C4457" t="s">
        <v>107</v>
      </c>
      <c r="D4457">
        <v>1.2634319267617799E-2</v>
      </c>
    </row>
    <row r="4458" spans="1:4" hidden="1" x14ac:dyDescent="0.3">
      <c r="A4458">
        <v>4456</v>
      </c>
      <c r="B4458" s="1" t="s">
        <v>5871</v>
      </c>
      <c r="C4458" t="s">
        <v>109</v>
      </c>
      <c r="D4458" s="1" t="s">
        <v>5872</v>
      </c>
    </row>
    <row r="4459" spans="1:4" hidden="1" x14ac:dyDescent="0.3">
      <c r="A4459">
        <v>4457</v>
      </c>
      <c r="B4459" t="s">
        <v>5873</v>
      </c>
      <c r="C4459" t="s">
        <v>208</v>
      </c>
      <c r="D4459">
        <v>140552055.711481</v>
      </c>
    </row>
    <row r="4460" spans="1:4" hidden="1" x14ac:dyDescent="0.3">
      <c r="A4460">
        <v>4458</v>
      </c>
      <c r="B4460" t="s">
        <v>5874</v>
      </c>
      <c r="C4460" t="s">
        <v>210</v>
      </c>
      <c r="D4460">
        <v>-1559.6193474189499</v>
      </c>
    </row>
    <row r="4461" spans="1:4" hidden="1" x14ac:dyDescent="0.3">
      <c r="A4461">
        <v>4459</v>
      </c>
      <c r="B4461" t="s">
        <v>5875</v>
      </c>
      <c r="C4461" t="s">
        <v>212</v>
      </c>
      <c r="D4461">
        <v>-734.58367185739098</v>
      </c>
    </row>
    <row r="4462" spans="1:4" hidden="1" x14ac:dyDescent="0.3">
      <c r="A4462">
        <v>4460</v>
      </c>
      <c r="B4462" s="1" t="s">
        <v>5876</v>
      </c>
      <c r="C4462" t="s">
        <v>214</v>
      </c>
      <c r="D4462" s="1" t="s">
        <v>5877</v>
      </c>
    </row>
    <row r="4463" spans="1:4" hidden="1" x14ac:dyDescent="0.3">
      <c r="A4463">
        <v>4461</v>
      </c>
      <c r="B4463" t="s">
        <v>5878</v>
      </c>
      <c r="C4463" t="s">
        <v>217</v>
      </c>
      <c r="D4463">
        <v>72501382.508910298</v>
      </c>
    </row>
    <row r="4464" spans="1:4" hidden="1" x14ac:dyDescent="0.3">
      <c r="A4464">
        <v>4462</v>
      </c>
      <c r="B4464" t="s">
        <v>5879</v>
      </c>
      <c r="C4464" t="s">
        <v>219</v>
      </c>
      <c r="D4464">
        <v>34148288.725880899</v>
      </c>
    </row>
    <row r="4465" spans="1:4" hidden="1" x14ac:dyDescent="0.3">
      <c r="A4465">
        <v>4463</v>
      </c>
      <c r="B4465" t="s">
        <v>5880</v>
      </c>
      <c r="C4465" t="s">
        <v>221</v>
      </c>
      <c r="D4465">
        <v>33905408.038634203</v>
      </c>
    </row>
    <row r="4466" spans="1:4" hidden="1" x14ac:dyDescent="0.3">
      <c r="A4466">
        <v>4464</v>
      </c>
      <c r="B4466" s="1" t="s">
        <v>5881</v>
      </c>
      <c r="C4466" t="s">
        <v>223</v>
      </c>
      <c r="D4466" s="1" t="s">
        <v>5882</v>
      </c>
    </row>
    <row r="4467" spans="1:4" hidden="1" x14ac:dyDescent="0.3">
      <c r="A4467">
        <v>4465</v>
      </c>
      <c r="B4467" t="s">
        <v>5883</v>
      </c>
      <c r="C4467" t="s">
        <v>226</v>
      </c>
      <c r="D4467">
        <v>103022414.404102</v>
      </c>
    </row>
    <row r="4468" spans="1:4" hidden="1" x14ac:dyDescent="0.3">
      <c r="A4468">
        <v>4466</v>
      </c>
      <c r="B4468" t="s">
        <v>5884</v>
      </c>
      <c r="C4468" t="s">
        <v>228</v>
      </c>
      <c r="D4468">
        <v>-2216.1749909073101</v>
      </c>
    </row>
    <row r="4469" spans="1:4" hidden="1" x14ac:dyDescent="0.3">
      <c r="A4469">
        <v>4467</v>
      </c>
      <c r="B4469" s="1" t="s">
        <v>5885</v>
      </c>
      <c r="C4469" t="s">
        <v>230</v>
      </c>
      <c r="D4469" s="1" t="s">
        <v>5886</v>
      </c>
    </row>
    <row r="4470" spans="1:4" hidden="1" x14ac:dyDescent="0.3">
      <c r="A4470">
        <v>4468</v>
      </c>
      <c r="B4470" t="s">
        <v>5887</v>
      </c>
      <c r="C4470" t="s">
        <v>112</v>
      </c>
      <c r="D4470">
        <v>506.89313742011302</v>
      </c>
    </row>
    <row r="4471" spans="1:4" hidden="1" x14ac:dyDescent="0.3">
      <c r="A4471">
        <v>4469</v>
      </c>
      <c r="B4471" t="s">
        <v>5888</v>
      </c>
      <c r="C4471" t="s">
        <v>114</v>
      </c>
      <c r="D4471">
        <v>121.169998724617</v>
      </c>
    </row>
    <row r="4472" spans="1:4" hidden="1" x14ac:dyDescent="0.3">
      <c r="A4472">
        <v>4470</v>
      </c>
      <c r="B4472" s="1" t="s">
        <v>5889</v>
      </c>
      <c r="C4472" t="s">
        <v>116</v>
      </c>
      <c r="D4472" s="1" t="s">
        <v>5890</v>
      </c>
    </row>
    <row r="4473" spans="1:4" hidden="1" x14ac:dyDescent="0.3">
      <c r="A4473">
        <v>4471</v>
      </c>
      <c r="B4473" t="s">
        <v>5891</v>
      </c>
      <c r="C4473" t="s">
        <v>119</v>
      </c>
      <c r="D4473">
        <v>72501382.508910298</v>
      </c>
    </row>
    <row r="4474" spans="1:4" hidden="1" x14ac:dyDescent="0.3">
      <c r="A4474">
        <v>4472</v>
      </c>
      <c r="B4474" t="s">
        <v>5892</v>
      </c>
      <c r="C4474" t="s">
        <v>121</v>
      </c>
      <c r="D4474">
        <v>34148288.725880899</v>
      </c>
    </row>
    <row r="4475" spans="1:4" hidden="1" x14ac:dyDescent="0.3">
      <c r="A4475">
        <v>4473</v>
      </c>
      <c r="B4475" s="1" t="s">
        <v>5893</v>
      </c>
      <c r="C4475" t="s">
        <v>123</v>
      </c>
      <c r="D4475" s="1" t="s">
        <v>5894</v>
      </c>
    </row>
    <row r="4476" spans="1:4" hidden="1" x14ac:dyDescent="0.3">
      <c r="A4476">
        <v>4474</v>
      </c>
      <c r="B4476" t="s">
        <v>5895</v>
      </c>
      <c r="C4476" t="s">
        <v>126</v>
      </c>
      <c r="D4476">
        <v>0.70392678802374198</v>
      </c>
    </row>
    <row r="4477" spans="1:4" hidden="1" x14ac:dyDescent="0.3">
      <c r="A4477">
        <v>4475</v>
      </c>
      <c r="B4477" t="s">
        <v>5896</v>
      </c>
      <c r="C4477" t="s">
        <v>128</v>
      </c>
      <c r="D4477">
        <v>0.33155085279046198</v>
      </c>
    </row>
    <row r="4478" spans="1:4" hidden="1" x14ac:dyDescent="0.3">
      <c r="A4478">
        <v>4476</v>
      </c>
      <c r="B4478" s="1" t="s">
        <v>5897</v>
      </c>
      <c r="C4478" t="s">
        <v>130</v>
      </c>
      <c r="D4478" s="1" t="s">
        <v>5898</v>
      </c>
    </row>
    <row r="4479" spans="1:4" ht="72" x14ac:dyDescent="0.3">
      <c r="A4479">
        <v>4477</v>
      </c>
      <c r="B4479" s="1" t="s">
        <v>5899</v>
      </c>
      <c r="C4479" t="s">
        <v>4</v>
      </c>
      <c r="D4479" t="s">
        <v>5900</v>
      </c>
    </row>
    <row r="4480" spans="1:4" hidden="1" x14ac:dyDescent="0.3">
      <c r="A4480">
        <v>4478</v>
      </c>
      <c r="B4480" t="s">
        <v>5901</v>
      </c>
      <c r="C4480" t="s">
        <v>7</v>
      </c>
      <c r="D4480">
        <v>1660.54</v>
      </c>
    </row>
    <row r="4481" spans="1:4" hidden="1" x14ac:dyDescent="0.3">
      <c r="A4481">
        <v>4479</v>
      </c>
      <c r="B4481" s="1" t="s">
        <v>5902</v>
      </c>
      <c r="C4481" t="s">
        <v>9</v>
      </c>
      <c r="D4481" s="1" t="s">
        <v>5903</v>
      </c>
    </row>
    <row r="4482" spans="1:4" hidden="1" x14ac:dyDescent="0.3">
      <c r="A4482">
        <v>4480</v>
      </c>
      <c r="B4482" t="s">
        <v>5904</v>
      </c>
      <c r="C4482" t="s">
        <v>14</v>
      </c>
      <c r="D4482">
        <v>88.50390625</v>
      </c>
    </row>
    <row r="4483" spans="1:4" hidden="1" x14ac:dyDescent="0.3">
      <c r="A4483">
        <v>4481</v>
      </c>
      <c r="B4483" t="s">
        <v>5905</v>
      </c>
      <c r="C4483" t="s">
        <v>16</v>
      </c>
      <c r="D4483">
        <v>4.2313976242420601</v>
      </c>
    </row>
    <row r="4484" spans="1:4" hidden="1" x14ac:dyDescent="0.3">
      <c r="A4484">
        <v>4482</v>
      </c>
      <c r="B4484" s="1" t="s">
        <v>5906</v>
      </c>
      <c r="C4484" t="s">
        <v>140</v>
      </c>
      <c r="D4484" s="1" t="s">
        <v>5907</v>
      </c>
    </row>
    <row r="4485" spans="1:4" hidden="1" x14ac:dyDescent="0.3">
      <c r="A4485">
        <v>4483</v>
      </c>
      <c r="B4485" t="s">
        <v>5908</v>
      </c>
      <c r="C4485" t="s">
        <v>22</v>
      </c>
      <c r="D4485">
        <v>54.25</v>
      </c>
    </row>
    <row r="4486" spans="1:4" hidden="1" x14ac:dyDescent="0.3">
      <c r="A4486">
        <v>4484</v>
      </c>
      <c r="B4486" t="s">
        <v>5909</v>
      </c>
      <c r="C4486" t="s">
        <v>24</v>
      </c>
      <c r="D4486">
        <v>5.51799645562504</v>
      </c>
    </row>
    <row r="4487" spans="1:4" hidden="1" x14ac:dyDescent="0.3">
      <c r="A4487">
        <v>4485</v>
      </c>
      <c r="B4487" s="1" t="s">
        <v>5910</v>
      </c>
      <c r="C4487" t="s">
        <v>145</v>
      </c>
      <c r="D4487" s="1" t="s">
        <v>5911</v>
      </c>
    </row>
    <row r="4488" spans="1:4" hidden="1" x14ac:dyDescent="0.3">
      <c r="A4488">
        <v>4486</v>
      </c>
      <c r="B4488" t="s">
        <v>5912</v>
      </c>
      <c r="C4488" t="s">
        <v>35</v>
      </c>
      <c r="D4488">
        <v>-2.0864835813202198</v>
      </c>
    </row>
    <row r="4489" spans="1:4" hidden="1" x14ac:dyDescent="0.3">
      <c r="A4489">
        <v>4487</v>
      </c>
      <c r="B4489" t="s">
        <v>5913</v>
      </c>
      <c r="C4489" t="s">
        <v>149</v>
      </c>
      <c r="D4489">
        <v>0.54251317716678604</v>
      </c>
    </row>
    <row r="4490" spans="1:4" hidden="1" x14ac:dyDescent="0.3">
      <c r="A4490">
        <v>4488</v>
      </c>
      <c r="B4490" s="1" t="s">
        <v>5914</v>
      </c>
      <c r="C4490" t="s">
        <v>151</v>
      </c>
      <c r="D4490" s="1" t="s">
        <v>5915</v>
      </c>
    </row>
    <row r="4491" spans="1:4" hidden="1" x14ac:dyDescent="0.3">
      <c r="A4491">
        <v>4489</v>
      </c>
      <c r="B4491" t="s">
        <v>5916</v>
      </c>
      <c r="C4491" t="s">
        <v>30</v>
      </c>
      <c r="D4491">
        <v>1.31819832286756</v>
      </c>
    </row>
    <row r="4492" spans="1:4" hidden="1" x14ac:dyDescent="0.3">
      <c r="A4492">
        <v>4490</v>
      </c>
      <c r="B4492" t="s">
        <v>5917</v>
      </c>
      <c r="C4492" t="s">
        <v>32</v>
      </c>
      <c r="D4492">
        <v>0.41629043089301498</v>
      </c>
    </row>
    <row r="4493" spans="1:4" hidden="1" x14ac:dyDescent="0.3">
      <c r="A4493">
        <v>4491</v>
      </c>
      <c r="B4493" s="1" t="s">
        <v>5918</v>
      </c>
      <c r="C4493" t="s">
        <v>155</v>
      </c>
      <c r="D4493" s="1" t="s">
        <v>5919</v>
      </c>
    </row>
    <row r="4494" spans="1:4" hidden="1" x14ac:dyDescent="0.3">
      <c r="A4494">
        <v>4492</v>
      </c>
      <c r="B4494" t="s">
        <v>5920</v>
      </c>
      <c r="C4494" t="s">
        <v>40</v>
      </c>
      <c r="D4494">
        <v>1.76828525845266</v>
      </c>
    </row>
    <row r="4495" spans="1:4" hidden="1" x14ac:dyDescent="0.3">
      <c r="A4495">
        <v>4493</v>
      </c>
      <c r="B4495" t="s">
        <v>5921</v>
      </c>
      <c r="C4495" t="s">
        <v>42</v>
      </c>
      <c r="D4495">
        <v>0.42698276888876002</v>
      </c>
    </row>
    <row r="4496" spans="1:4" hidden="1" x14ac:dyDescent="0.3">
      <c r="A4496">
        <v>4494</v>
      </c>
      <c r="B4496" s="1" t="s">
        <v>5922</v>
      </c>
      <c r="C4496" t="s">
        <v>159</v>
      </c>
      <c r="D4496" s="1" t="s">
        <v>5923</v>
      </c>
    </row>
    <row r="4497" spans="1:4" hidden="1" x14ac:dyDescent="0.3">
      <c r="A4497">
        <v>4495</v>
      </c>
      <c r="B4497" t="s">
        <v>5924</v>
      </c>
      <c r="C4497" t="s">
        <v>161</v>
      </c>
      <c r="D4497">
        <v>1.0003433796996299</v>
      </c>
    </row>
    <row r="4498" spans="1:4" hidden="1" x14ac:dyDescent="0.3">
      <c r="A4498">
        <v>4496</v>
      </c>
      <c r="B4498" t="s">
        <v>5925</v>
      </c>
      <c r="C4498" t="s">
        <v>163</v>
      </c>
      <c r="D4498">
        <v>0.99850151800273901</v>
      </c>
    </row>
    <row r="4499" spans="1:4" hidden="1" x14ac:dyDescent="0.3">
      <c r="A4499">
        <v>4497</v>
      </c>
      <c r="B4499" s="1" t="s">
        <v>5926</v>
      </c>
      <c r="C4499" t="s">
        <v>165</v>
      </c>
      <c r="D4499" s="1" t="s">
        <v>5927</v>
      </c>
    </row>
    <row r="4500" spans="1:4" hidden="1" x14ac:dyDescent="0.3">
      <c r="A4500">
        <v>4498</v>
      </c>
      <c r="B4500" t="s">
        <v>5928</v>
      </c>
      <c r="C4500" t="s">
        <v>168</v>
      </c>
      <c r="D4500">
        <v>1.0014068084697401</v>
      </c>
    </row>
    <row r="4501" spans="1:4" hidden="1" x14ac:dyDescent="0.3">
      <c r="A4501">
        <v>4499</v>
      </c>
      <c r="B4501" t="s">
        <v>5929</v>
      </c>
      <c r="C4501" t="s">
        <v>170</v>
      </c>
      <c r="D4501">
        <v>0.99753130073029594</v>
      </c>
    </row>
    <row r="4502" spans="1:4" hidden="1" x14ac:dyDescent="0.3">
      <c r="A4502">
        <v>4500</v>
      </c>
      <c r="B4502" s="1" t="s">
        <v>5930</v>
      </c>
      <c r="C4502" t="s">
        <v>172</v>
      </c>
      <c r="D4502" s="1" t="s">
        <v>5931</v>
      </c>
    </row>
    <row r="4503" spans="1:4" hidden="1" x14ac:dyDescent="0.3">
      <c r="A4503">
        <v>4501</v>
      </c>
      <c r="B4503" s="1" t="s">
        <v>5932</v>
      </c>
      <c r="C4503" t="s">
        <v>55</v>
      </c>
      <c r="D4503" s="1" t="s">
        <v>5933</v>
      </c>
    </row>
    <row r="4504" spans="1:4" hidden="1" x14ac:dyDescent="0.3">
      <c r="A4504">
        <v>4502</v>
      </c>
      <c r="B4504" s="1" t="s">
        <v>5934</v>
      </c>
      <c r="C4504" t="s">
        <v>52</v>
      </c>
      <c r="D4504" s="1" t="s">
        <v>5935</v>
      </c>
    </row>
    <row r="4505" spans="1:4" hidden="1" x14ac:dyDescent="0.3">
      <c r="A4505">
        <v>4503</v>
      </c>
      <c r="B4505" s="1" t="s">
        <v>5936</v>
      </c>
      <c r="C4505" t="s">
        <v>58</v>
      </c>
      <c r="D4505" s="1" t="s">
        <v>5937</v>
      </c>
    </row>
    <row r="4506" spans="1:4" hidden="1" x14ac:dyDescent="0.3">
      <c r="A4506">
        <v>4504</v>
      </c>
      <c r="B4506" t="s">
        <v>5938</v>
      </c>
      <c r="C4506" t="s">
        <v>61</v>
      </c>
      <c r="D4506">
        <v>140359681.59531799</v>
      </c>
    </row>
    <row r="4507" spans="1:4" hidden="1" x14ac:dyDescent="0.3">
      <c r="A4507">
        <v>4505</v>
      </c>
      <c r="B4507" t="s">
        <v>5939</v>
      </c>
      <c r="C4507" t="s">
        <v>63</v>
      </c>
      <c r="D4507">
        <v>72526278.011859193</v>
      </c>
    </row>
    <row r="4508" spans="1:4" hidden="1" x14ac:dyDescent="0.3">
      <c r="A4508">
        <v>4506</v>
      </c>
      <c r="B4508" t="s">
        <v>5940</v>
      </c>
      <c r="C4508" t="s">
        <v>65</v>
      </c>
      <c r="D4508">
        <v>34097118.129987903</v>
      </c>
    </row>
    <row r="4509" spans="1:4" hidden="1" x14ac:dyDescent="0.3">
      <c r="A4509">
        <v>4507</v>
      </c>
      <c r="B4509" s="1" t="s">
        <v>5941</v>
      </c>
      <c r="C4509" t="s">
        <v>67</v>
      </c>
      <c r="D4509" s="1" t="s">
        <v>5942</v>
      </c>
    </row>
    <row r="4510" spans="1:4" hidden="1" x14ac:dyDescent="0.3">
      <c r="A4510">
        <v>4508</v>
      </c>
      <c r="B4510" s="1" t="s">
        <v>5943</v>
      </c>
      <c r="C4510" t="s">
        <v>70</v>
      </c>
      <c r="D4510" s="1" t="s">
        <v>5944</v>
      </c>
    </row>
    <row r="4511" spans="1:4" hidden="1" x14ac:dyDescent="0.3">
      <c r="A4511">
        <v>4509</v>
      </c>
      <c r="B4511" t="s">
        <v>5945</v>
      </c>
      <c r="C4511" t="s">
        <v>73</v>
      </c>
      <c r="D4511">
        <v>0.999740006959004</v>
      </c>
    </row>
    <row r="4512" spans="1:4" hidden="1" x14ac:dyDescent="0.3">
      <c r="A4512">
        <v>4510</v>
      </c>
      <c r="B4512" t="s">
        <v>74</v>
      </c>
      <c r="C4512" t="s">
        <v>75</v>
      </c>
      <c r="D4512">
        <v>2.7397260273972599E-3</v>
      </c>
    </row>
    <row r="4513" spans="1:4" hidden="1" x14ac:dyDescent="0.3">
      <c r="A4513">
        <v>4511</v>
      </c>
      <c r="B4513" t="s">
        <v>76</v>
      </c>
      <c r="C4513" t="s">
        <v>77</v>
      </c>
      <c r="D4513">
        <v>0</v>
      </c>
    </row>
    <row r="4514" spans="1:4" hidden="1" x14ac:dyDescent="0.3">
      <c r="A4514">
        <v>4512</v>
      </c>
      <c r="B4514" t="s">
        <v>831</v>
      </c>
      <c r="C4514" t="s">
        <v>79</v>
      </c>
      <c r="D4514" s="2">
        <v>2.2204460492503101E-16</v>
      </c>
    </row>
    <row r="4515" spans="1:4" hidden="1" x14ac:dyDescent="0.3">
      <c r="A4515">
        <v>4513</v>
      </c>
      <c r="B4515" s="1" t="s">
        <v>5946</v>
      </c>
      <c r="C4515" t="s">
        <v>81</v>
      </c>
      <c r="D4515" s="1" t="s">
        <v>5947</v>
      </c>
    </row>
    <row r="4516" spans="1:4" hidden="1" x14ac:dyDescent="0.3">
      <c r="A4516">
        <v>4514</v>
      </c>
      <c r="B4516" t="s">
        <v>5948</v>
      </c>
      <c r="C4516" t="s">
        <v>84</v>
      </c>
      <c r="D4516">
        <v>0.999739975743966</v>
      </c>
    </row>
    <row r="4517" spans="1:4" hidden="1" x14ac:dyDescent="0.3">
      <c r="A4517">
        <v>4515</v>
      </c>
      <c r="B4517" s="1" t="s">
        <v>5949</v>
      </c>
      <c r="C4517" t="s">
        <v>86</v>
      </c>
      <c r="D4517" s="1" t="s">
        <v>5950</v>
      </c>
    </row>
    <row r="4518" spans="1:4" hidden="1" x14ac:dyDescent="0.3">
      <c r="A4518">
        <v>4516</v>
      </c>
      <c r="B4518" t="s">
        <v>5951</v>
      </c>
      <c r="C4518" t="s">
        <v>89</v>
      </c>
      <c r="D4518">
        <v>103020201.44572701</v>
      </c>
    </row>
    <row r="4519" spans="1:4" hidden="1" x14ac:dyDescent="0.3">
      <c r="A4519">
        <v>4517</v>
      </c>
      <c r="B4519" s="1" t="s">
        <v>5952</v>
      </c>
      <c r="C4519" t="s">
        <v>91</v>
      </c>
      <c r="D4519" s="1" t="s">
        <v>5886</v>
      </c>
    </row>
    <row r="4520" spans="1:4" hidden="1" x14ac:dyDescent="0.3">
      <c r="A4520">
        <v>4518</v>
      </c>
      <c r="B4520" t="s">
        <v>5953</v>
      </c>
      <c r="C4520" t="s">
        <v>94</v>
      </c>
      <c r="D4520">
        <v>72526278.011859193</v>
      </c>
    </row>
    <row r="4521" spans="1:4" hidden="1" x14ac:dyDescent="0.3">
      <c r="A4521">
        <v>4519</v>
      </c>
      <c r="B4521" t="s">
        <v>5954</v>
      </c>
      <c r="C4521" t="s">
        <v>96</v>
      </c>
      <c r="D4521">
        <v>34097118.129987903</v>
      </c>
    </row>
    <row r="4522" spans="1:4" hidden="1" x14ac:dyDescent="0.3">
      <c r="A4522">
        <v>4520</v>
      </c>
      <c r="B4522" t="s">
        <v>5955</v>
      </c>
      <c r="C4522" t="s">
        <v>98</v>
      </c>
      <c r="D4522">
        <v>33736285.453471303</v>
      </c>
    </row>
    <row r="4523" spans="1:4" hidden="1" x14ac:dyDescent="0.3">
      <c r="A4523">
        <v>4521</v>
      </c>
      <c r="B4523" s="1" t="s">
        <v>5956</v>
      </c>
      <c r="C4523" t="s">
        <v>100</v>
      </c>
      <c r="D4523" s="1" t="s">
        <v>5957</v>
      </c>
    </row>
    <row r="4524" spans="1:4" hidden="1" x14ac:dyDescent="0.3">
      <c r="A4524">
        <v>4522</v>
      </c>
      <c r="B4524" t="s">
        <v>5958</v>
      </c>
      <c r="C4524" t="s">
        <v>103</v>
      </c>
      <c r="D4524">
        <v>8.9108086250208607E-3</v>
      </c>
    </row>
    <row r="4525" spans="1:4" hidden="1" x14ac:dyDescent="0.3">
      <c r="A4525">
        <v>4523</v>
      </c>
      <c r="B4525" t="s">
        <v>5959</v>
      </c>
      <c r="C4525" t="s">
        <v>105</v>
      </c>
      <c r="D4525">
        <v>3.16354818923193E-3</v>
      </c>
    </row>
    <row r="4526" spans="1:4" hidden="1" x14ac:dyDescent="0.3">
      <c r="A4526">
        <v>4524</v>
      </c>
      <c r="B4526" t="s">
        <v>5960</v>
      </c>
      <c r="C4526" t="s">
        <v>107</v>
      </c>
      <c r="D4526">
        <v>1.25959235322218E-2</v>
      </c>
    </row>
    <row r="4527" spans="1:4" hidden="1" x14ac:dyDescent="0.3">
      <c r="A4527">
        <v>4525</v>
      </c>
      <c r="B4527" s="1" t="s">
        <v>5961</v>
      </c>
      <c r="C4527" t="s">
        <v>109</v>
      </c>
      <c r="D4527" s="1" t="s">
        <v>5962</v>
      </c>
    </row>
    <row r="4528" spans="1:4" hidden="1" x14ac:dyDescent="0.3">
      <c r="A4528">
        <v>4526</v>
      </c>
      <c r="B4528" t="s">
        <v>5963</v>
      </c>
      <c r="C4528" t="s">
        <v>208</v>
      </c>
      <c r="D4528">
        <v>140359680.493604</v>
      </c>
    </row>
    <row r="4529" spans="1:4" hidden="1" x14ac:dyDescent="0.3">
      <c r="A4529">
        <v>4527</v>
      </c>
      <c r="B4529" t="s">
        <v>5964</v>
      </c>
      <c r="C4529" t="s">
        <v>210</v>
      </c>
      <c r="D4529">
        <v>2.2644992385714899</v>
      </c>
    </row>
    <row r="4530" spans="1:4" hidden="1" x14ac:dyDescent="0.3">
      <c r="A4530">
        <v>4528</v>
      </c>
      <c r="B4530" t="s">
        <v>5965</v>
      </c>
      <c r="C4530" t="s">
        <v>212</v>
      </c>
      <c r="D4530">
        <v>1.0646196209799701</v>
      </c>
    </row>
    <row r="4531" spans="1:4" hidden="1" x14ac:dyDescent="0.3">
      <c r="A4531">
        <v>4529</v>
      </c>
      <c r="B4531" s="1" t="s">
        <v>5966</v>
      </c>
      <c r="C4531" t="s">
        <v>214</v>
      </c>
      <c r="D4531" s="1" t="s">
        <v>5967</v>
      </c>
    </row>
    <row r="4532" spans="1:4" hidden="1" x14ac:dyDescent="0.3">
      <c r="A4532">
        <v>4530</v>
      </c>
      <c r="B4532" t="s">
        <v>5968</v>
      </c>
      <c r="C4532" t="s">
        <v>217</v>
      </c>
      <c r="D4532">
        <v>72526274.916535497</v>
      </c>
    </row>
    <row r="4533" spans="1:4" hidden="1" x14ac:dyDescent="0.3">
      <c r="A4533">
        <v>4531</v>
      </c>
      <c r="B4533" t="s">
        <v>5969</v>
      </c>
      <c r="C4533" t="s">
        <v>219</v>
      </c>
      <c r="D4533">
        <v>34097116.9243754</v>
      </c>
    </row>
    <row r="4534" spans="1:4" hidden="1" x14ac:dyDescent="0.3">
      <c r="A4534">
        <v>4532</v>
      </c>
      <c r="B4534" t="s">
        <v>5970</v>
      </c>
      <c r="C4534" t="s">
        <v>221</v>
      </c>
      <c r="D4534">
        <v>33736284.270220801</v>
      </c>
    </row>
    <row r="4535" spans="1:4" hidden="1" x14ac:dyDescent="0.3">
      <c r="A4535">
        <v>4533</v>
      </c>
      <c r="B4535" s="1" t="s">
        <v>5971</v>
      </c>
      <c r="C4535" t="s">
        <v>223</v>
      </c>
      <c r="D4535" s="1" t="s">
        <v>5972</v>
      </c>
    </row>
    <row r="4536" spans="1:4" hidden="1" x14ac:dyDescent="0.3">
      <c r="A4536">
        <v>4534</v>
      </c>
      <c r="B4536" t="s">
        <v>5973</v>
      </c>
      <c r="C4536" t="s">
        <v>226</v>
      </c>
      <c r="D4536">
        <v>103020198.229111</v>
      </c>
    </row>
    <row r="4537" spans="1:4" hidden="1" x14ac:dyDescent="0.3">
      <c r="A4537">
        <v>4535</v>
      </c>
      <c r="B4537" t="s">
        <v>5974</v>
      </c>
      <c r="C4537" t="s">
        <v>228</v>
      </c>
      <c r="D4537">
        <v>3.2166157811880098</v>
      </c>
    </row>
    <row r="4538" spans="1:4" hidden="1" x14ac:dyDescent="0.3">
      <c r="A4538">
        <v>4536</v>
      </c>
      <c r="B4538" s="1" t="s">
        <v>5975</v>
      </c>
      <c r="C4538" t="s">
        <v>230</v>
      </c>
      <c r="D4538" s="1" t="s">
        <v>5976</v>
      </c>
    </row>
    <row r="4539" spans="1:4" hidden="1" x14ac:dyDescent="0.3">
      <c r="A4539">
        <v>4537</v>
      </c>
      <c r="B4539" t="s">
        <v>5977</v>
      </c>
      <c r="C4539" t="s">
        <v>112</v>
      </c>
      <c r="D4539">
        <v>-0.83082446862195902</v>
      </c>
    </row>
    <row r="4540" spans="1:4" hidden="1" x14ac:dyDescent="0.3">
      <c r="A4540">
        <v>4538</v>
      </c>
      <c r="B4540" t="s">
        <v>5978</v>
      </c>
      <c r="C4540" t="s">
        <v>114</v>
      </c>
      <c r="D4540">
        <v>-0.14099289537467699</v>
      </c>
    </row>
    <row r="4541" spans="1:4" hidden="1" x14ac:dyDescent="0.3">
      <c r="A4541">
        <v>4539</v>
      </c>
      <c r="B4541" s="1" t="s">
        <v>5979</v>
      </c>
      <c r="C4541" t="s">
        <v>116</v>
      </c>
      <c r="D4541" s="1" t="s">
        <v>5980</v>
      </c>
    </row>
    <row r="4542" spans="1:4" hidden="1" x14ac:dyDescent="0.3">
      <c r="A4542">
        <v>4540</v>
      </c>
      <c r="B4542" t="s">
        <v>5981</v>
      </c>
      <c r="C4542" t="s">
        <v>119</v>
      </c>
      <c r="D4542">
        <v>72526274.916535497</v>
      </c>
    </row>
    <row r="4543" spans="1:4" hidden="1" x14ac:dyDescent="0.3">
      <c r="A4543">
        <v>4541</v>
      </c>
      <c r="B4543" t="s">
        <v>5982</v>
      </c>
      <c r="C4543" t="s">
        <v>121</v>
      </c>
      <c r="D4543">
        <v>34097116.9243754</v>
      </c>
    </row>
    <row r="4544" spans="1:4" hidden="1" x14ac:dyDescent="0.3">
      <c r="A4544">
        <v>4542</v>
      </c>
      <c r="B4544" s="1" t="s">
        <v>5983</v>
      </c>
      <c r="C4544" t="s">
        <v>123</v>
      </c>
      <c r="D4544" s="1" t="s">
        <v>5984</v>
      </c>
    </row>
    <row r="4545" spans="1:4" hidden="1" x14ac:dyDescent="0.3">
      <c r="A4545">
        <v>4543</v>
      </c>
      <c r="B4545" t="s">
        <v>5985</v>
      </c>
      <c r="C4545" t="s">
        <v>126</v>
      </c>
      <c r="D4545">
        <v>0.70418364222949004</v>
      </c>
    </row>
    <row r="4546" spans="1:4" hidden="1" x14ac:dyDescent="0.3">
      <c r="A4546">
        <v>4544</v>
      </c>
      <c r="B4546" t="s">
        <v>5986</v>
      </c>
      <c r="C4546" t="s">
        <v>128</v>
      </c>
      <c r="D4546">
        <v>0.33106115008613601</v>
      </c>
    </row>
    <row r="4547" spans="1:4" hidden="1" x14ac:dyDescent="0.3">
      <c r="A4547">
        <v>4545</v>
      </c>
      <c r="B4547" s="1" t="s">
        <v>5987</v>
      </c>
      <c r="C4547" t="s">
        <v>130</v>
      </c>
      <c r="D4547" s="1" t="s">
        <v>5988</v>
      </c>
    </row>
    <row r="4548" spans="1:4" ht="72" x14ac:dyDescent="0.3">
      <c r="A4548">
        <v>4546</v>
      </c>
      <c r="B4548" s="1" t="s">
        <v>5989</v>
      </c>
      <c r="C4548" t="s">
        <v>4</v>
      </c>
      <c r="D4548" t="s">
        <v>5990</v>
      </c>
    </row>
    <row r="4549" spans="1:4" hidden="1" x14ac:dyDescent="0.3">
      <c r="A4549">
        <v>4547</v>
      </c>
      <c r="B4549" t="s">
        <v>5991</v>
      </c>
      <c r="C4549" t="s">
        <v>7</v>
      </c>
      <c r="D4549">
        <v>1660.61</v>
      </c>
    </row>
    <row r="4550" spans="1:4" hidden="1" x14ac:dyDescent="0.3">
      <c r="A4550">
        <v>4548</v>
      </c>
      <c r="B4550" s="1" t="s">
        <v>5992</v>
      </c>
      <c r="C4550" t="s">
        <v>9</v>
      </c>
      <c r="D4550" s="1" t="s">
        <v>5993</v>
      </c>
    </row>
    <row r="4551" spans="1:4" hidden="1" x14ac:dyDescent="0.3">
      <c r="A4551">
        <v>4549</v>
      </c>
      <c r="B4551" t="s">
        <v>5994</v>
      </c>
      <c r="C4551" t="s">
        <v>14</v>
      </c>
      <c r="D4551">
        <v>88.3203125</v>
      </c>
    </row>
    <row r="4552" spans="1:4" hidden="1" x14ac:dyDescent="0.3">
      <c r="A4552">
        <v>4550</v>
      </c>
      <c r="B4552" t="s">
        <v>5995</v>
      </c>
      <c r="C4552" t="s">
        <v>16</v>
      </c>
      <c r="D4552">
        <v>4.2269559049149104</v>
      </c>
    </row>
    <row r="4553" spans="1:4" hidden="1" x14ac:dyDescent="0.3">
      <c r="A4553">
        <v>4551</v>
      </c>
      <c r="B4553" s="1" t="s">
        <v>5996</v>
      </c>
      <c r="C4553" t="s">
        <v>140</v>
      </c>
      <c r="D4553" s="1" t="s">
        <v>5997</v>
      </c>
    </row>
    <row r="4554" spans="1:4" hidden="1" x14ac:dyDescent="0.3">
      <c r="A4554">
        <v>4552</v>
      </c>
      <c r="B4554" t="s">
        <v>5998</v>
      </c>
      <c r="C4554" t="s">
        <v>22</v>
      </c>
      <c r="D4554">
        <v>54.9</v>
      </c>
    </row>
    <row r="4555" spans="1:4" hidden="1" x14ac:dyDescent="0.3">
      <c r="A4555">
        <v>4553</v>
      </c>
      <c r="B4555" t="s">
        <v>5999</v>
      </c>
      <c r="C4555" t="s">
        <v>24</v>
      </c>
      <c r="D4555">
        <v>5.4304867336059699</v>
      </c>
    </row>
    <row r="4556" spans="1:4" hidden="1" x14ac:dyDescent="0.3">
      <c r="A4556">
        <v>4554</v>
      </c>
      <c r="B4556" s="1" t="s">
        <v>6000</v>
      </c>
      <c r="C4556" t="s">
        <v>145</v>
      </c>
      <c r="D4556" s="1" t="s">
        <v>6001</v>
      </c>
    </row>
    <row r="4557" spans="1:4" hidden="1" x14ac:dyDescent="0.3">
      <c r="A4557">
        <v>4555</v>
      </c>
      <c r="B4557" t="s">
        <v>6002</v>
      </c>
      <c r="C4557" t="s">
        <v>35</v>
      </c>
      <c r="D4557">
        <v>-6.6067786530812898</v>
      </c>
    </row>
    <row r="4558" spans="1:4" hidden="1" x14ac:dyDescent="0.3">
      <c r="A4558">
        <v>4556</v>
      </c>
      <c r="B4558" t="s">
        <v>6003</v>
      </c>
      <c r="C4558" t="s">
        <v>149</v>
      </c>
      <c r="D4558">
        <v>0.54297106829858699</v>
      </c>
    </row>
    <row r="4559" spans="1:4" hidden="1" x14ac:dyDescent="0.3">
      <c r="A4559">
        <v>4557</v>
      </c>
      <c r="B4559" s="1" t="s">
        <v>6004</v>
      </c>
      <c r="C4559" t="s">
        <v>151</v>
      </c>
      <c r="D4559" s="1" t="s">
        <v>6005</v>
      </c>
    </row>
    <row r="4560" spans="1:4" hidden="1" x14ac:dyDescent="0.3">
      <c r="A4560">
        <v>4558</v>
      </c>
      <c r="B4560" t="s">
        <v>6006</v>
      </c>
      <c r="C4560" t="s">
        <v>30</v>
      </c>
      <c r="D4560">
        <v>3.2985831648244801</v>
      </c>
    </row>
    <row r="4561" spans="1:4" hidden="1" x14ac:dyDescent="0.3">
      <c r="A4561">
        <v>4559</v>
      </c>
      <c r="B4561" t="s">
        <v>6007</v>
      </c>
      <c r="C4561" t="s">
        <v>32</v>
      </c>
      <c r="D4561">
        <v>0.41235448376603301</v>
      </c>
    </row>
    <row r="4562" spans="1:4" hidden="1" x14ac:dyDescent="0.3">
      <c r="A4562">
        <v>4560</v>
      </c>
      <c r="B4562" s="1" t="s">
        <v>6008</v>
      </c>
      <c r="C4562" t="s">
        <v>155</v>
      </c>
      <c r="D4562" s="1" t="s">
        <v>6009</v>
      </c>
    </row>
    <row r="4563" spans="1:4" hidden="1" x14ac:dyDescent="0.3">
      <c r="A4563">
        <v>4561</v>
      </c>
      <c r="B4563" t="s">
        <v>6010</v>
      </c>
      <c r="C4563" t="s">
        <v>40</v>
      </c>
      <c r="D4563">
        <v>4.3081954882567999</v>
      </c>
    </row>
    <row r="4564" spans="1:4" hidden="1" x14ac:dyDescent="0.3">
      <c r="A4564">
        <v>4562</v>
      </c>
      <c r="B4564" t="s">
        <v>6011</v>
      </c>
      <c r="C4564" t="s">
        <v>42</v>
      </c>
      <c r="D4564">
        <v>0.42936427140360001</v>
      </c>
    </row>
    <row r="4565" spans="1:4" hidden="1" x14ac:dyDescent="0.3">
      <c r="A4565">
        <v>4563</v>
      </c>
      <c r="B4565" s="1" t="s">
        <v>6012</v>
      </c>
      <c r="C4565" t="s">
        <v>159</v>
      </c>
      <c r="D4565" s="1" t="s">
        <v>6013</v>
      </c>
    </row>
    <row r="4566" spans="1:4" hidden="1" x14ac:dyDescent="0.3">
      <c r="A4566">
        <v>4564</v>
      </c>
      <c r="B4566" t="s">
        <v>6014</v>
      </c>
      <c r="C4566" t="s">
        <v>161</v>
      </c>
      <c r="D4566">
        <v>1.0000421549616301</v>
      </c>
    </row>
    <row r="4567" spans="1:4" hidden="1" x14ac:dyDescent="0.3">
      <c r="A4567">
        <v>4565</v>
      </c>
      <c r="B4567" t="s">
        <v>6015</v>
      </c>
      <c r="C4567" t="s">
        <v>163</v>
      </c>
      <c r="D4567">
        <v>0.99797234212353303</v>
      </c>
    </row>
    <row r="4568" spans="1:4" hidden="1" x14ac:dyDescent="0.3">
      <c r="A4568">
        <v>4566</v>
      </c>
      <c r="B4568" s="1" t="s">
        <v>6016</v>
      </c>
      <c r="C4568" t="s">
        <v>165</v>
      </c>
      <c r="D4568" s="1" t="s">
        <v>6017</v>
      </c>
    </row>
    <row r="4569" spans="1:4" hidden="1" x14ac:dyDescent="0.3">
      <c r="A4569">
        <v>4567</v>
      </c>
      <c r="B4569" t="s">
        <v>6018</v>
      </c>
      <c r="C4569" t="s">
        <v>168</v>
      </c>
      <c r="D4569">
        <v>1.0002968474685201</v>
      </c>
    </row>
    <row r="4570" spans="1:4" hidden="1" x14ac:dyDescent="0.3">
      <c r="A4570">
        <v>4568</v>
      </c>
      <c r="B4570" t="s">
        <v>6019</v>
      </c>
      <c r="C4570" t="s">
        <v>170</v>
      </c>
      <c r="D4570">
        <v>0.99722094632489999</v>
      </c>
    </row>
    <row r="4571" spans="1:4" hidden="1" x14ac:dyDescent="0.3">
      <c r="A4571">
        <v>4569</v>
      </c>
      <c r="B4571" s="1" t="s">
        <v>6020</v>
      </c>
      <c r="C4571" t="s">
        <v>172</v>
      </c>
      <c r="D4571" s="1" t="s">
        <v>6021</v>
      </c>
    </row>
    <row r="4572" spans="1:4" hidden="1" x14ac:dyDescent="0.3">
      <c r="A4572">
        <v>4570</v>
      </c>
      <c r="B4572" s="1" t="s">
        <v>6022</v>
      </c>
      <c r="C4572" t="s">
        <v>55</v>
      </c>
      <c r="D4572" s="1" t="s">
        <v>6023</v>
      </c>
    </row>
    <row r="4573" spans="1:4" hidden="1" x14ac:dyDescent="0.3">
      <c r="A4573">
        <v>4571</v>
      </c>
      <c r="B4573" s="1" t="s">
        <v>6024</v>
      </c>
      <c r="C4573" t="s">
        <v>52</v>
      </c>
      <c r="D4573" s="1" t="s">
        <v>6025</v>
      </c>
    </row>
    <row r="4574" spans="1:4" hidden="1" x14ac:dyDescent="0.3">
      <c r="A4574">
        <v>4572</v>
      </c>
      <c r="B4574" s="1" t="s">
        <v>6026</v>
      </c>
      <c r="C4574" t="s">
        <v>58</v>
      </c>
      <c r="D4574" s="1" t="s">
        <v>6027</v>
      </c>
    </row>
    <row r="4575" spans="1:4" hidden="1" x14ac:dyDescent="0.3">
      <c r="A4575">
        <v>4573</v>
      </c>
      <c r="B4575" t="s">
        <v>6028</v>
      </c>
      <c r="C4575" t="s">
        <v>61</v>
      </c>
      <c r="D4575">
        <v>140611096.049364</v>
      </c>
    </row>
    <row r="4576" spans="1:4" hidden="1" x14ac:dyDescent="0.3">
      <c r="A4576">
        <v>4574</v>
      </c>
      <c r="B4576" t="s">
        <v>6029</v>
      </c>
      <c r="C4576" t="s">
        <v>63</v>
      </c>
      <c r="D4576">
        <v>72529332.258872405</v>
      </c>
    </row>
    <row r="4577" spans="1:4" hidden="1" x14ac:dyDescent="0.3">
      <c r="A4577">
        <v>4575</v>
      </c>
      <c r="B4577" t="s">
        <v>6030</v>
      </c>
      <c r="C4577" t="s">
        <v>65</v>
      </c>
      <c r="D4577">
        <v>34027979.636678897</v>
      </c>
    </row>
    <row r="4578" spans="1:4" hidden="1" x14ac:dyDescent="0.3">
      <c r="A4578">
        <v>4576</v>
      </c>
      <c r="B4578" s="1" t="s">
        <v>6031</v>
      </c>
      <c r="C4578" t="s">
        <v>67</v>
      </c>
      <c r="D4578" s="1" t="s">
        <v>6032</v>
      </c>
    </row>
    <row r="4579" spans="1:4" hidden="1" x14ac:dyDescent="0.3">
      <c r="A4579">
        <v>4577</v>
      </c>
      <c r="B4579" s="1" t="s">
        <v>6033</v>
      </c>
      <c r="C4579" t="s">
        <v>70</v>
      </c>
      <c r="D4579" s="1" t="s">
        <v>6034</v>
      </c>
    </row>
    <row r="4580" spans="1:4" hidden="1" x14ac:dyDescent="0.3">
      <c r="A4580">
        <v>4578</v>
      </c>
      <c r="B4580" t="s">
        <v>6035</v>
      </c>
      <c r="C4580" t="s">
        <v>73</v>
      </c>
      <c r="D4580">
        <v>0.999739975743966</v>
      </c>
    </row>
    <row r="4581" spans="1:4" hidden="1" x14ac:dyDescent="0.3">
      <c r="A4581">
        <v>4579</v>
      </c>
      <c r="B4581" t="s">
        <v>74</v>
      </c>
      <c r="C4581" t="s">
        <v>75</v>
      </c>
      <c r="D4581">
        <v>2.7397260273972599E-3</v>
      </c>
    </row>
    <row r="4582" spans="1:4" hidden="1" x14ac:dyDescent="0.3">
      <c r="A4582">
        <v>4580</v>
      </c>
      <c r="B4582" t="s">
        <v>76</v>
      </c>
      <c r="C4582" t="s">
        <v>77</v>
      </c>
      <c r="D4582">
        <v>0</v>
      </c>
    </row>
    <row r="4583" spans="1:4" hidden="1" x14ac:dyDescent="0.3">
      <c r="A4583">
        <v>4581</v>
      </c>
      <c r="B4583" t="s">
        <v>78</v>
      </c>
      <c r="C4583" t="s">
        <v>79</v>
      </c>
      <c r="D4583">
        <v>0</v>
      </c>
    </row>
    <row r="4584" spans="1:4" hidden="1" x14ac:dyDescent="0.3">
      <c r="A4584">
        <v>4582</v>
      </c>
      <c r="B4584" s="1" t="s">
        <v>6036</v>
      </c>
      <c r="C4584" t="s">
        <v>81</v>
      </c>
      <c r="D4584" s="1" t="s">
        <v>6037</v>
      </c>
    </row>
    <row r="4585" spans="1:4" hidden="1" x14ac:dyDescent="0.3">
      <c r="A4585">
        <v>4583</v>
      </c>
      <c r="B4585" t="s">
        <v>6038</v>
      </c>
      <c r="C4585" t="s">
        <v>84</v>
      </c>
      <c r="D4585">
        <v>0.99976537137254196</v>
      </c>
    </row>
    <row r="4586" spans="1:4" hidden="1" x14ac:dyDescent="0.3">
      <c r="A4586">
        <v>4584</v>
      </c>
      <c r="B4586" s="1" t="s">
        <v>6039</v>
      </c>
      <c r="C4586" t="s">
        <v>86</v>
      </c>
      <c r="D4586" s="1" t="s">
        <v>6040</v>
      </c>
    </row>
    <row r="4587" spans="1:4" hidden="1" x14ac:dyDescent="0.3">
      <c r="A4587">
        <v>4585</v>
      </c>
      <c r="B4587" t="s">
        <v>6041</v>
      </c>
      <c r="C4587" t="s">
        <v>89</v>
      </c>
      <c r="D4587">
        <v>103017584.56896099</v>
      </c>
    </row>
    <row r="4588" spans="1:4" hidden="1" x14ac:dyDescent="0.3">
      <c r="A4588">
        <v>4586</v>
      </c>
      <c r="B4588" s="1" t="s">
        <v>6042</v>
      </c>
      <c r="C4588" t="s">
        <v>91</v>
      </c>
      <c r="D4588" s="1" t="s">
        <v>5976</v>
      </c>
    </row>
    <row r="4589" spans="1:4" hidden="1" x14ac:dyDescent="0.3">
      <c r="A4589">
        <v>4587</v>
      </c>
      <c r="B4589" t="s">
        <v>6043</v>
      </c>
      <c r="C4589" t="s">
        <v>94</v>
      </c>
      <c r="D4589">
        <v>72529332.258872405</v>
      </c>
    </row>
    <row r="4590" spans="1:4" hidden="1" x14ac:dyDescent="0.3">
      <c r="A4590">
        <v>4588</v>
      </c>
      <c r="B4590" t="s">
        <v>6044</v>
      </c>
      <c r="C4590" t="s">
        <v>96</v>
      </c>
      <c r="D4590">
        <v>34027979.636678897</v>
      </c>
    </row>
    <row r="4591" spans="1:4" hidden="1" x14ac:dyDescent="0.3">
      <c r="A4591">
        <v>4589</v>
      </c>
      <c r="B4591" t="s">
        <v>6045</v>
      </c>
      <c r="C4591" t="s">
        <v>98</v>
      </c>
      <c r="D4591">
        <v>34053784.153812997</v>
      </c>
    </row>
    <row r="4592" spans="1:4" hidden="1" x14ac:dyDescent="0.3">
      <c r="A4592">
        <v>4590</v>
      </c>
      <c r="B4592" s="1" t="s">
        <v>6046</v>
      </c>
      <c r="C4592" t="s">
        <v>100</v>
      </c>
      <c r="D4592" s="1" t="s">
        <v>6047</v>
      </c>
    </row>
    <row r="4593" spans="1:4" hidden="1" x14ac:dyDescent="0.3">
      <c r="A4593">
        <v>4591</v>
      </c>
      <c r="B4593" t="s">
        <v>6048</v>
      </c>
      <c r="C4593" t="s">
        <v>103</v>
      </c>
      <c r="D4593">
        <v>8.8734868821327296E-3</v>
      </c>
    </row>
    <row r="4594" spans="1:4" hidden="1" x14ac:dyDescent="0.3">
      <c r="A4594">
        <v>4592</v>
      </c>
      <c r="B4594" t="s">
        <v>6049</v>
      </c>
      <c r="C4594" t="s">
        <v>105</v>
      </c>
      <c r="D4594">
        <v>3.1259425466607402E-3</v>
      </c>
    </row>
    <row r="4595" spans="1:4" hidden="1" x14ac:dyDescent="0.3">
      <c r="A4595">
        <v>4593</v>
      </c>
      <c r="B4595" t="s">
        <v>6050</v>
      </c>
      <c r="C4595" t="s">
        <v>107</v>
      </c>
      <c r="D4595">
        <v>1.2638774718922E-2</v>
      </c>
    </row>
    <row r="4596" spans="1:4" hidden="1" x14ac:dyDescent="0.3">
      <c r="A4596">
        <v>4594</v>
      </c>
      <c r="B4596" s="1" t="s">
        <v>6051</v>
      </c>
      <c r="C4596" t="s">
        <v>109</v>
      </c>
      <c r="D4596" s="1" t="s">
        <v>6052</v>
      </c>
    </row>
    <row r="4597" spans="1:4" hidden="1" x14ac:dyDescent="0.3">
      <c r="A4597">
        <v>4595</v>
      </c>
      <c r="B4597" t="s">
        <v>6053</v>
      </c>
      <c r="C4597" t="s">
        <v>208</v>
      </c>
      <c r="D4597">
        <v>140611991.78013399</v>
      </c>
    </row>
    <row r="4598" spans="1:4" hidden="1" x14ac:dyDescent="0.3">
      <c r="A4598">
        <v>4596</v>
      </c>
      <c r="B4598" t="s">
        <v>6054</v>
      </c>
      <c r="C4598" t="s">
        <v>210</v>
      </c>
      <c r="D4598">
        <v>-1842.4231868239201</v>
      </c>
    </row>
    <row r="4599" spans="1:4" hidden="1" x14ac:dyDescent="0.3">
      <c r="A4599">
        <v>4597</v>
      </c>
      <c r="B4599" t="s">
        <v>6055</v>
      </c>
      <c r="C4599" t="s">
        <v>212</v>
      </c>
      <c r="D4599">
        <v>-864.39059587861698</v>
      </c>
    </row>
    <row r="4600" spans="1:4" hidden="1" x14ac:dyDescent="0.3">
      <c r="A4600">
        <v>4598</v>
      </c>
      <c r="B4600" s="1" t="s">
        <v>6056</v>
      </c>
      <c r="C4600" t="s">
        <v>214</v>
      </c>
      <c r="D4600" s="1" t="s">
        <v>6057</v>
      </c>
    </row>
    <row r="4601" spans="1:4" hidden="1" x14ac:dyDescent="0.3">
      <c r="A4601">
        <v>4599</v>
      </c>
      <c r="B4601" t="s">
        <v>6058</v>
      </c>
      <c r="C4601" t="s">
        <v>217</v>
      </c>
      <c r="D4601">
        <v>72531809.798794493</v>
      </c>
    </row>
    <row r="4602" spans="1:4" hidden="1" x14ac:dyDescent="0.3">
      <c r="A4602">
        <v>4600</v>
      </c>
      <c r="B4602" t="s">
        <v>6059</v>
      </c>
      <c r="C4602" t="s">
        <v>219</v>
      </c>
      <c r="D4602">
        <v>34028997.648587503</v>
      </c>
    </row>
    <row r="4603" spans="1:4" hidden="1" x14ac:dyDescent="0.3">
      <c r="A4603">
        <v>4601</v>
      </c>
      <c r="B4603" t="s">
        <v>6060</v>
      </c>
      <c r="C4603" t="s">
        <v>221</v>
      </c>
      <c r="D4603">
        <v>34054756.191439301</v>
      </c>
    </row>
    <row r="4604" spans="1:4" hidden="1" x14ac:dyDescent="0.3">
      <c r="A4604">
        <v>4602</v>
      </c>
      <c r="B4604" s="1" t="s">
        <v>6061</v>
      </c>
      <c r="C4604" t="s">
        <v>223</v>
      </c>
      <c r="D4604" s="1" t="s">
        <v>6062</v>
      </c>
    </row>
    <row r="4605" spans="1:4" hidden="1" x14ac:dyDescent="0.3">
      <c r="A4605">
        <v>4603</v>
      </c>
      <c r="B4605" t="s">
        <v>6063</v>
      </c>
      <c r="C4605" t="s">
        <v>226</v>
      </c>
      <c r="D4605">
        <v>103020201.44572701</v>
      </c>
    </row>
    <row r="4606" spans="1:4" hidden="1" x14ac:dyDescent="0.3">
      <c r="A4606">
        <v>4604</v>
      </c>
      <c r="B4606" t="s">
        <v>6064</v>
      </c>
      <c r="C4606" t="s">
        <v>228</v>
      </c>
      <c r="D4606">
        <v>-2616.8767659515102</v>
      </c>
    </row>
    <row r="4607" spans="1:4" hidden="1" x14ac:dyDescent="0.3">
      <c r="A4607">
        <v>4605</v>
      </c>
      <c r="B4607" s="1" t="s">
        <v>6065</v>
      </c>
      <c r="C4607" t="s">
        <v>230</v>
      </c>
      <c r="D4607" s="1" t="s">
        <v>6066</v>
      </c>
    </row>
    <row r="4608" spans="1:4" hidden="1" x14ac:dyDescent="0.3">
      <c r="A4608">
        <v>4606</v>
      </c>
      <c r="B4608" t="s">
        <v>6067</v>
      </c>
      <c r="C4608" t="s">
        <v>112</v>
      </c>
      <c r="D4608">
        <v>635.11673522279705</v>
      </c>
    </row>
    <row r="4609" spans="1:4" hidden="1" x14ac:dyDescent="0.3">
      <c r="A4609">
        <v>4607</v>
      </c>
      <c r="B4609" t="s">
        <v>6068</v>
      </c>
      <c r="C4609" t="s">
        <v>114</v>
      </c>
      <c r="D4609">
        <v>153.621312728048</v>
      </c>
    </row>
    <row r="4610" spans="1:4" hidden="1" x14ac:dyDescent="0.3">
      <c r="A4610">
        <v>4608</v>
      </c>
      <c r="B4610" s="1" t="s">
        <v>6069</v>
      </c>
      <c r="C4610" t="s">
        <v>116</v>
      </c>
      <c r="D4610" s="1" t="s">
        <v>6070</v>
      </c>
    </row>
    <row r="4611" spans="1:4" hidden="1" x14ac:dyDescent="0.3">
      <c r="A4611">
        <v>4609</v>
      </c>
      <c r="B4611" t="s">
        <v>6071</v>
      </c>
      <c r="C4611" t="s">
        <v>119</v>
      </c>
      <c r="D4611">
        <v>72531809.798794493</v>
      </c>
    </row>
    <row r="4612" spans="1:4" hidden="1" x14ac:dyDescent="0.3">
      <c r="A4612">
        <v>4610</v>
      </c>
      <c r="B4612" t="s">
        <v>6072</v>
      </c>
      <c r="C4612" t="s">
        <v>121</v>
      </c>
      <c r="D4612">
        <v>34028997.648587503</v>
      </c>
    </row>
    <row r="4613" spans="1:4" hidden="1" x14ac:dyDescent="0.3">
      <c r="A4613">
        <v>4611</v>
      </c>
      <c r="B4613" s="1" t="s">
        <v>6073</v>
      </c>
      <c r="C4613" t="s">
        <v>123</v>
      </c>
      <c r="D4613" s="1" t="s">
        <v>6074</v>
      </c>
    </row>
    <row r="4614" spans="1:4" hidden="1" x14ac:dyDescent="0.3">
      <c r="A4614">
        <v>4612</v>
      </c>
      <c r="B4614" t="s">
        <v>6075</v>
      </c>
      <c r="C4614" t="s">
        <v>126</v>
      </c>
      <c r="D4614">
        <v>0.70421947165236798</v>
      </c>
    </row>
    <row r="4615" spans="1:4" hidden="1" x14ac:dyDescent="0.3">
      <c r="A4615">
        <v>4613</v>
      </c>
      <c r="B4615" t="s">
        <v>6076</v>
      </c>
      <c r="C4615" t="s">
        <v>128</v>
      </c>
      <c r="D4615">
        <v>0.33039135258619001</v>
      </c>
    </row>
    <row r="4616" spans="1:4" hidden="1" x14ac:dyDescent="0.3">
      <c r="A4616">
        <v>4614</v>
      </c>
      <c r="B4616" s="1" t="s">
        <v>6077</v>
      </c>
      <c r="C4616" t="s">
        <v>130</v>
      </c>
      <c r="D4616" s="1" t="s">
        <v>6078</v>
      </c>
    </row>
    <row r="4617" spans="1:4" ht="72" x14ac:dyDescent="0.3">
      <c r="A4617">
        <v>4615</v>
      </c>
      <c r="B4617" s="1" t="s">
        <v>6079</v>
      </c>
      <c r="C4617" t="s">
        <v>4</v>
      </c>
      <c r="D4617" t="s">
        <v>6080</v>
      </c>
    </row>
    <row r="4618" spans="1:4" hidden="1" x14ac:dyDescent="0.3">
      <c r="A4618">
        <v>4616</v>
      </c>
      <c r="B4618" t="s">
        <v>6081</v>
      </c>
      <c r="C4618" t="s">
        <v>7</v>
      </c>
      <c r="D4618">
        <v>1699.89</v>
      </c>
    </row>
    <row r="4619" spans="1:4" hidden="1" x14ac:dyDescent="0.3">
      <c r="A4619">
        <v>4617</v>
      </c>
      <c r="B4619" s="1" t="s">
        <v>6082</v>
      </c>
      <c r="C4619" t="s">
        <v>9</v>
      </c>
      <c r="D4619" s="1" t="s">
        <v>6083</v>
      </c>
    </row>
    <row r="4620" spans="1:4" hidden="1" x14ac:dyDescent="0.3">
      <c r="A4620">
        <v>4618</v>
      </c>
      <c r="B4620" t="s">
        <v>6084</v>
      </c>
      <c r="C4620" t="s">
        <v>14</v>
      </c>
      <c r="D4620">
        <v>88.8359375</v>
      </c>
    </row>
    <row r="4621" spans="1:4" hidden="1" x14ac:dyDescent="0.3">
      <c r="A4621">
        <v>4619</v>
      </c>
      <c r="B4621" t="s">
        <v>6085</v>
      </c>
      <c r="C4621" t="s">
        <v>16</v>
      </c>
      <c r="D4621">
        <v>4.2368546691491602</v>
      </c>
    </row>
    <row r="4622" spans="1:4" hidden="1" x14ac:dyDescent="0.3">
      <c r="A4622">
        <v>4620</v>
      </c>
      <c r="B4622" s="1" t="s">
        <v>6086</v>
      </c>
      <c r="C4622" t="s">
        <v>140</v>
      </c>
      <c r="D4622" s="1" t="s">
        <v>6087</v>
      </c>
    </row>
    <row r="4623" spans="1:4" hidden="1" x14ac:dyDescent="0.3">
      <c r="A4623">
        <v>4621</v>
      </c>
      <c r="B4623" t="s">
        <v>6088</v>
      </c>
      <c r="C4623" t="s">
        <v>22</v>
      </c>
      <c r="D4623">
        <v>54.75</v>
      </c>
    </row>
    <row r="4624" spans="1:4" hidden="1" x14ac:dyDescent="0.3">
      <c r="A4624">
        <v>4622</v>
      </c>
      <c r="B4624" t="s">
        <v>6089</v>
      </c>
      <c r="C4624" t="s">
        <v>24</v>
      </c>
      <c r="D4624">
        <v>5.5360468721720304</v>
      </c>
    </row>
    <row r="4625" spans="1:4" hidden="1" x14ac:dyDescent="0.3">
      <c r="A4625">
        <v>4623</v>
      </c>
      <c r="B4625" s="1" t="s">
        <v>6090</v>
      </c>
      <c r="C4625" t="s">
        <v>145</v>
      </c>
      <c r="D4625" s="1" t="s">
        <v>6091</v>
      </c>
    </row>
    <row r="4626" spans="1:4" hidden="1" x14ac:dyDescent="0.3">
      <c r="A4626">
        <v>4624</v>
      </c>
      <c r="B4626" t="s">
        <v>6092</v>
      </c>
      <c r="C4626" t="s">
        <v>35</v>
      </c>
      <c r="D4626">
        <v>0.25981559004400401</v>
      </c>
    </row>
    <row r="4627" spans="1:4" hidden="1" x14ac:dyDescent="0.3">
      <c r="A4627">
        <v>4625</v>
      </c>
      <c r="B4627" t="s">
        <v>6093</v>
      </c>
      <c r="C4627" t="s">
        <v>149</v>
      </c>
      <c r="D4627">
        <v>0.54340677195842801</v>
      </c>
    </row>
    <row r="4628" spans="1:4" hidden="1" x14ac:dyDescent="0.3">
      <c r="A4628">
        <v>4626</v>
      </c>
      <c r="B4628" s="1" t="s">
        <v>6094</v>
      </c>
      <c r="C4628" t="s">
        <v>151</v>
      </c>
      <c r="D4628" s="1" t="s">
        <v>6095</v>
      </c>
    </row>
    <row r="4629" spans="1:4" hidden="1" x14ac:dyDescent="0.3">
      <c r="A4629">
        <v>4627</v>
      </c>
      <c r="B4629" t="s">
        <v>6096</v>
      </c>
      <c r="C4629" t="s">
        <v>30</v>
      </c>
      <c r="D4629">
        <v>0.31532955603857099</v>
      </c>
    </row>
    <row r="4630" spans="1:4" hidden="1" x14ac:dyDescent="0.3">
      <c r="A4630">
        <v>4628</v>
      </c>
      <c r="B4630" t="s">
        <v>6097</v>
      </c>
      <c r="C4630" t="s">
        <v>32</v>
      </c>
      <c r="D4630">
        <v>0.41835144261988999</v>
      </c>
    </row>
    <row r="4631" spans="1:4" hidden="1" x14ac:dyDescent="0.3">
      <c r="A4631">
        <v>4629</v>
      </c>
      <c r="B4631" s="1" t="s">
        <v>6098</v>
      </c>
      <c r="C4631" t="s">
        <v>155</v>
      </c>
      <c r="D4631" s="1" t="s">
        <v>6099</v>
      </c>
    </row>
    <row r="4632" spans="1:4" hidden="1" x14ac:dyDescent="0.3">
      <c r="A4632">
        <v>4630</v>
      </c>
      <c r="B4632" t="s">
        <v>6100</v>
      </c>
      <c r="C4632" t="s">
        <v>40</v>
      </c>
      <c r="D4632">
        <v>0.424854853917423</v>
      </c>
    </row>
    <row r="4633" spans="1:4" hidden="1" x14ac:dyDescent="0.3">
      <c r="A4633">
        <v>4631</v>
      </c>
      <c r="B4633" t="s">
        <v>6101</v>
      </c>
      <c r="C4633" t="s">
        <v>42</v>
      </c>
      <c r="D4633">
        <v>0.421890622078745</v>
      </c>
    </row>
    <row r="4634" spans="1:4" hidden="1" x14ac:dyDescent="0.3">
      <c r="A4634">
        <v>4632</v>
      </c>
      <c r="B4634" s="1" t="s">
        <v>6102</v>
      </c>
      <c r="C4634" t="s">
        <v>159</v>
      </c>
      <c r="D4634" s="1" t="s">
        <v>6103</v>
      </c>
    </row>
    <row r="4635" spans="1:4" hidden="1" x14ac:dyDescent="0.3">
      <c r="A4635">
        <v>4633</v>
      </c>
      <c r="B4635" t="s">
        <v>6104</v>
      </c>
      <c r="C4635" t="s">
        <v>161</v>
      </c>
      <c r="D4635">
        <v>1.0236539584851301</v>
      </c>
    </row>
    <row r="4636" spans="1:4" hidden="1" x14ac:dyDescent="0.3">
      <c r="A4636">
        <v>4634</v>
      </c>
      <c r="B4636" t="s">
        <v>6105</v>
      </c>
      <c r="C4636" t="s">
        <v>163</v>
      </c>
      <c r="D4636">
        <v>1.00567843625524</v>
      </c>
    </row>
    <row r="4637" spans="1:4" hidden="1" x14ac:dyDescent="0.3">
      <c r="A4637">
        <v>4635</v>
      </c>
      <c r="B4637" s="1" t="s">
        <v>6106</v>
      </c>
      <c r="C4637" t="s">
        <v>165</v>
      </c>
      <c r="D4637" s="1" t="s">
        <v>6107</v>
      </c>
    </row>
    <row r="4638" spans="1:4" hidden="1" x14ac:dyDescent="0.3">
      <c r="A4638">
        <v>4636</v>
      </c>
      <c r="B4638" t="s">
        <v>6108</v>
      </c>
      <c r="C4638" t="s">
        <v>168</v>
      </c>
      <c r="D4638">
        <v>1.00028237966919</v>
      </c>
    </row>
    <row r="4639" spans="1:4" hidden="1" x14ac:dyDescent="0.3">
      <c r="A4639">
        <v>4637</v>
      </c>
      <c r="B4639" t="s">
        <v>6109</v>
      </c>
      <c r="C4639" t="s">
        <v>170</v>
      </c>
      <c r="D4639">
        <v>1.00424607201859</v>
      </c>
    </row>
    <row r="4640" spans="1:4" hidden="1" x14ac:dyDescent="0.3">
      <c r="A4640">
        <v>4638</v>
      </c>
      <c r="B4640" s="1" t="s">
        <v>6110</v>
      </c>
      <c r="C4640" t="s">
        <v>172</v>
      </c>
      <c r="D4640" s="1" t="s">
        <v>6111</v>
      </c>
    </row>
    <row r="4641" spans="1:4" hidden="1" x14ac:dyDescent="0.3">
      <c r="A4641">
        <v>4639</v>
      </c>
      <c r="B4641" s="1" t="s">
        <v>6112</v>
      </c>
      <c r="C4641" t="s">
        <v>55</v>
      </c>
      <c r="D4641" s="1" t="s">
        <v>6113</v>
      </c>
    </row>
    <row r="4642" spans="1:4" hidden="1" x14ac:dyDescent="0.3">
      <c r="A4642">
        <v>4640</v>
      </c>
      <c r="B4642" s="1" t="s">
        <v>6114</v>
      </c>
      <c r="C4642" t="s">
        <v>52</v>
      </c>
      <c r="D4642" s="1" t="s">
        <v>6115</v>
      </c>
    </row>
    <row r="4643" spans="1:4" hidden="1" x14ac:dyDescent="0.3">
      <c r="A4643">
        <v>4641</v>
      </c>
      <c r="B4643" s="1" t="s">
        <v>6116</v>
      </c>
      <c r="C4643" t="s">
        <v>58</v>
      </c>
      <c r="D4643" s="1" t="s">
        <v>6117</v>
      </c>
    </row>
    <row r="4644" spans="1:4" hidden="1" x14ac:dyDescent="0.3">
      <c r="A4644">
        <v>4642</v>
      </c>
      <c r="B4644" t="s">
        <v>6118</v>
      </c>
      <c r="C4644" t="s">
        <v>61</v>
      </c>
      <c r="D4644">
        <v>142499374.577373</v>
      </c>
    </row>
    <row r="4645" spans="1:4" hidden="1" x14ac:dyDescent="0.3">
      <c r="A4645">
        <v>4643</v>
      </c>
      <c r="B4645" t="s">
        <v>6119</v>
      </c>
      <c r="C4645" t="s">
        <v>63</v>
      </c>
      <c r="D4645">
        <v>74247474.216626897</v>
      </c>
    </row>
    <row r="4646" spans="1:4" hidden="1" x14ac:dyDescent="0.3">
      <c r="A4646">
        <v>4644</v>
      </c>
      <c r="B4646" t="s">
        <v>6120</v>
      </c>
      <c r="C4646" t="s">
        <v>65</v>
      </c>
      <c r="D4646">
        <v>34222229.1425649</v>
      </c>
    </row>
    <row r="4647" spans="1:4" hidden="1" x14ac:dyDescent="0.3">
      <c r="A4647">
        <v>4645</v>
      </c>
      <c r="B4647" s="1" t="s">
        <v>6121</v>
      </c>
      <c r="C4647" t="s">
        <v>67</v>
      </c>
      <c r="D4647" s="1" t="s">
        <v>6122</v>
      </c>
    </row>
    <row r="4648" spans="1:4" hidden="1" x14ac:dyDescent="0.3">
      <c r="A4648">
        <v>4646</v>
      </c>
      <c r="B4648" s="1" t="s">
        <v>6123</v>
      </c>
      <c r="C4648" t="s">
        <v>70</v>
      </c>
      <c r="D4648" s="1" t="s">
        <v>6124</v>
      </c>
    </row>
    <row r="4649" spans="1:4" hidden="1" x14ac:dyDescent="0.3">
      <c r="A4649">
        <v>4647</v>
      </c>
      <c r="B4649" t="s">
        <v>6125</v>
      </c>
      <c r="C4649" t="s">
        <v>73</v>
      </c>
      <c r="D4649">
        <v>0.99976537137254196</v>
      </c>
    </row>
    <row r="4650" spans="1:4" hidden="1" x14ac:dyDescent="0.3">
      <c r="A4650">
        <v>4648</v>
      </c>
      <c r="B4650" t="s">
        <v>74</v>
      </c>
      <c r="C4650" t="s">
        <v>75</v>
      </c>
      <c r="D4650">
        <v>2.7397260273972599E-3</v>
      </c>
    </row>
    <row r="4651" spans="1:4" hidden="1" x14ac:dyDescent="0.3">
      <c r="A4651">
        <v>4649</v>
      </c>
      <c r="B4651" t="s">
        <v>76</v>
      </c>
      <c r="C4651" t="s">
        <v>77</v>
      </c>
      <c r="D4651">
        <v>0</v>
      </c>
    </row>
    <row r="4652" spans="1:4" hidden="1" x14ac:dyDescent="0.3">
      <c r="A4652">
        <v>4650</v>
      </c>
      <c r="B4652" t="s">
        <v>831</v>
      </c>
      <c r="C4652" t="s">
        <v>79</v>
      </c>
      <c r="D4652" s="2">
        <v>2.2204460492503101E-16</v>
      </c>
    </row>
    <row r="4653" spans="1:4" hidden="1" x14ac:dyDescent="0.3">
      <c r="A4653">
        <v>4651</v>
      </c>
      <c r="B4653" s="1" t="s">
        <v>6126</v>
      </c>
      <c r="C4653" t="s">
        <v>81</v>
      </c>
      <c r="D4653" s="1" t="s">
        <v>6127</v>
      </c>
    </row>
    <row r="4654" spans="1:4" hidden="1" x14ac:dyDescent="0.3">
      <c r="A4654">
        <v>4652</v>
      </c>
      <c r="B4654" t="s">
        <v>6128</v>
      </c>
      <c r="C4654" t="s">
        <v>84</v>
      </c>
      <c r="D4654">
        <v>0.99978180657894</v>
      </c>
    </row>
    <row r="4655" spans="1:4" hidden="1" x14ac:dyDescent="0.3">
      <c r="A4655">
        <v>4653</v>
      </c>
      <c r="B4655" s="1" t="s">
        <v>6129</v>
      </c>
      <c r="C4655" t="s">
        <v>86</v>
      </c>
      <c r="D4655" s="1" t="s">
        <v>6130</v>
      </c>
    </row>
    <row r="4656" spans="1:4" hidden="1" x14ac:dyDescent="0.3">
      <c r="A4656">
        <v>4654</v>
      </c>
      <c r="B4656" t="s">
        <v>6131</v>
      </c>
      <c r="C4656" t="s">
        <v>89</v>
      </c>
      <c r="D4656">
        <v>103015891.084189</v>
      </c>
    </row>
    <row r="4657" spans="1:4" hidden="1" x14ac:dyDescent="0.3">
      <c r="A4657">
        <v>4655</v>
      </c>
      <c r="B4657" s="1" t="s">
        <v>6132</v>
      </c>
      <c r="C4657" t="s">
        <v>91</v>
      </c>
      <c r="D4657" s="1" t="s">
        <v>6066</v>
      </c>
    </row>
    <row r="4658" spans="1:4" hidden="1" x14ac:dyDescent="0.3">
      <c r="A4658">
        <v>4656</v>
      </c>
      <c r="B4658" t="s">
        <v>6133</v>
      </c>
      <c r="C4658" t="s">
        <v>94</v>
      </c>
      <c r="D4658">
        <v>74247474.216626897</v>
      </c>
    </row>
    <row r="4659" spans="1:4" hidden="1" x14ac:dyDescent="0.3">
      <c r="A4659">
        <v>4657</v>
      </c>
      <c r="B4659" t="s">
        <v>6134</v>
      </c>
      <c r="C4659" t="s">
        <v>96</v>
      </c>
      <c r="D4659">
        <v>34222229.1425649</v>
      </c>
    </row>
    <row r="4660" spans="1:4" hidden="1" x14ac:dyDescent="0.3">
      <c r="A4660">
        <v>4658</v>
      </c>
      <c r="B4660" t="s">
        <v>6135</v>
      </c>
      <c r="C4660" t="s">
        <v>98</v>
      </c>
      <c r="D4660">
        <v>34029671.218181998</v>
      </c>
    </row>
    <row r="4661" spans="1:4" hidden="1" x14ac:dyDescent="0.3">
      <c r="A4661">
        <v>4659</v>
      </c>
      <c r="B4661" s="1" t="s">
        <v>6136</v>
      </c>
      <c r="C4661" t="s">
        <v>100</v>
      </c>
      <c r="D4661" s="1" t="s">
        <v>6137</v>
      </c>
    </row>
    <row r="4662" spans="1:4" hidden="1" x14ac:dyDescent="0.3">
      <c r="A4662">
        <v>4660</v>
      </c>
      <c r="B4662" t="s">
        <v>6138</v>
      </c>
      <c r="C4662" t="s">
        <v>103</v>
      </c>
      <c r="D4662">
        <v>8.8739125402376197E-3</v>
      </c>
    </row>
    <row r="4663" spans="1:4" hidden="1" x14ac:dyDescent="0.3">
      <c r="A4663">
        <v>4661</v>
      </c>
      <c r="B4663" t="s">
        <v>6139</v>
      </c>
      <c r="C4663" t="s">
        <v>105</v>
      </c>
      <c r="D4663">
        <v>3.1740015614028102E-3</v>
      </c>
    </row>
    <row r="4664" spans="1:4" hidden="1" x14ac:dyDescent="0.3">
      <c r="A4664">
        <v>4662</v>
      </c>
      <c r="B4664" t="s">
        <v>6140</v>
      </c>
      <c r="C4664" t="s">
        <v>107</v>
      </c>
      <c r="D4664">
        <v>1.26159607160524E-2</v>
      </c>
    </row>
    <row r="4665" spans="1:4" hidden="1" x14ac:dyDescent="0.3">
      <c r="A4665">
        <v>4663</v>
      </c>
      <c r="B4665" s="1" t="s">
        <v>6141</v>
      </c>
      <c r="C4665" t="s">
        <v>109</v>
      </c>
      <c r="D4665" s="1" t="s">
        <v>6142</v>
      </c>
    </row>
    <row r="4666" spans="1:4" hidden="1" x14ac:dyDescent="0.3">
      <c r="A4666">
        <v>4664</v>
      </c>
      <c r="B4666" t="s">
        <v>6143</v>
      </c>
      <c r="C4666" t="s">
        <v>208</v>
      </c>
      <c r="D4666">
        <v>142499953.55435899</v>
      </c>
    </row>
    <row r="4667" spans="1:4" hidden="1" x14ac:dyDescent="0.3">
      <c r="A4667">
        <v>4665</v>
      </c>
      <c r="B4667" t="s">
        <v>6144</v>
      </c>
      <c r="C4667" t="s">
        <v>210</v>
      </c>
      <c r="D4667">
        <v>-1220.56539366124</v>
      </c>
    </row>
    <row r="4668" spans="1:4" hidden="1" x14ac:dyDescent="0.3">
      <c r="A4668">
        <v>4666</v>
      </c>
      <c r="B4668" t="s">
        <v>6145</v>
      </c>
      <c r="C4668" t="s">
        <v>212</v>
      </c>
      <c r="D4668">
        <v>-562.58288652400597</v>
      </c>
    </row>
    <row r="4669" spans="1:4" hidden="1" x14ac:dyDescent="0.3">
      <c r="A4669">
        <v>4667</v>
      </c>
      <c r="B4669" s="1" t="s">
        <v>6146</v>
      </c>
      <c r="C4669" t="s">
        <v>214</v>
      </c>
      <c r="D4669" s="1" t="s">
        <v>6147</v>
      </c>
    </row>
    <row r="4670" spans="1:4" hidden="1" x14ac:dyDescent="0.3">
      <c r="A4670">
        <v>4668</v>
      </c>
      <c r="B4670" t="s">
        <v>6148</v>
      </c>
      <c r="C4670" t="s">
        <v>217</v>
      </c>
      <c r="D4670">
        <v>74249087.2820739</v>
      </c>
    </row>
    <row r="4671" spans="1:4" hidden="1" x14ac:dyDescent="0.3">
      <c r="A4671">
        <v>4669</v>
      </c>
      <c r="B4671" t="s">
        <v>6149</v>
      </c>
      <c r="C4671" t="s">
        <v>219</v>
      </c>
      <c r="D4671">
        <v>34222882.3312971</v>
      </c>
    </row>
    <row r="4672" spans="1:4" hidden="1" x14ac:dyDescent="0.3">
      <c r="A4672">
        <v>4670</v>
      </c>
      <c r="B4672" t="s">
        <v>6150</v>
      </c>
      <c r="C4672" t="s">
        <v>221</v>
      </c>
      <c r="D4672">
        <v>34030326.506769501</v>
      </c>
    </row>
    <row r="4673" spans="1:4" hidden="1" x14ac:dyDescent="0.3">
      <c r="A4673">
        <v>4671</v>
      </c>
      <c r="B4673" s="1" t="s">
        <v>6151</v>
      </c>
      <c r="C4673" t="s">
        <v>223</v>
      </c>
      <c r="D4673" s="1" t="s">
        <v>6152</v>
      </c>
    </row>
    <row r="4674" spans="1:4" hidden="1" x14ac:dyDescent="0.3">
      <c r="A4674">
        <v>4672</v>
      </c>
      <c r="B4674" t="s">
        <v>6153</v>
      </c>
      <c r="C4674" t="s">
        <v>226</v>
      </c>
      <c r="D4674">
        <v>103017584.56896099</v>
      </c>
    </row>
    <row r="4675" spans="1:4" hidden="1" x14ac:dyDescent="0.3">
      <c r="A4675">
        <v>4673</v>
      </c>
      <c r="B4675" t="s">
        <v>6154</v>
      </c>
      <c r="C4675" t="s">
        <v>228</v>
      </c>
      <c r="D4675">
        <v>-1693.4847722202501</v>
      </c>
    </row>
    <row r="4676" spans="1:4" hidden="1" x14ac:dyDescent="0.3">
      <c r="A4676">
        <v>4674</v>
      </c>
      <c r="B4676" s="1" t="s">
        <v>6155</v>
      </c>
      <c r="C4676" t="s">
        <v>230</v>
      </c>
      <c r="D4676" s="1" t="s">
        <v>6156</v>
      </c>
    </row>
    <row r="4677" spans="1:4" hidden="1" x14ac:dyDescent="0.3">
      <c r="A4677">
        <v>4675</v>
      </c>
      <c r="B4677" t="s">
        <v>6157</v>
      </c>
      <c r="C4677" t="s">
        <v>112</v>
      </c>
      <c r="D4677">
        <v>392.50005339927799</v>
      </c>
    </row>
    <row r="4678" spans="1:4" hidden="1" x14ac:dyDescent="0.3">
      <c r="A4678">
        <v>4676</v>
      </c>
      <c r="B4678" t="s">
        <v>6158</v>
      </c>
      <c r="C4678" t="s">
        <v>114</v>
      </c>
      <c r="D4678">
        <v>90.605845705124295</v>
      </c>
    </row>
    <row r="4679" spans="1:4" hidden="1" x14ac:dyDescent="0.3">
      <c r="A4679">
        <v>4677</v>
      </c>
      <c r="B4679" s="1" t="s">
        <v>6159</v>
      </c>
      <c r="C4679" t="s">
        <v>116</v>
      </c>
      <c r="D4679" s="1" t="s">
        <v>6160</v>
      </c>
    </row>
    <row r="4680" spans="1:4" hidden="1" x14ac:dyDescent="0.3">
      <c r="A4680">
        <v>4678</v>
      </c>
      <c r="B4680" t="s">
        <v>6161</v>
      </c>
      <c r="C4680" t="s">
        <v>119</v>
      </c>
      <c r="D4680">
        <v>74249087.2820739</v>
      </c>
    </row>
    <row r="4681" spans="1:4" hidden="1" x14ac:dyDescent="0.3">
      <c r="A4681">
        <v>4679</v>
      </c>
      <c r="B4681" t="s">
        <v>6162</v>
      </c>
      <c r="C4681" t="s">
        <v>121</v>
      </c>
      <c r="D4681">
        <v>34222882.3312971</v>
      </c>
    </row>
    <row r="4682" spans="1:4" hidden="1" x14ac:dyDescent="0.3">
      <c r="A4682">
        <v>4680</v>
      </c>
      <c r="B4682" s="1" t="s">
        <v>6163</v>
      </c>
      <c r="C4682" t="s">
        <v>123</v>
      </c>
      <c r="D4682" s="1" t="s">
        <v>6164</v>
      </c>
    </row>
    <row r="4683" spans="1:4" hidden="1" x14ac:dyDescent="0.3">
      <c r="A4683">
        <v>4681</v>
      </c>
      <c r="B4683" t="s">
        <v>6165</v>
      </c>
      <c r="C4683" t="s">
        <v>126</v>
      </c>
      <c r="D4683">
        <v>0.72089917261041603</v>
      </c>
    </row>
    <row r="4684" spans="1:4" hidden="1" x14ac:dyDescent="0.3">
      <c r="A4684">
        <v>4682</v>
      </c>
      <c r="B4684" t="s">
        <v>6166</v>
      </c>
      <c r="C4684" t="s">
        <v>128</v>
      </c>
      <c r="D4684">
        <v>0.33227677888145701</v>
      </c>
    </row>
    <row r="4685" spans="1:4" hidden="1" x14ac:dyDescent="0.3">
      <c r="A4685">
        <v>4683</v>
      </c>
      <c r="B4685" s="1" t="s">
        <v>6167</v>
      </c>
      <c r="C4685" t="s">
        <v>130</v>
      </c>
      <c r="D4685" s="1" t="s">
        <v>6168</v>
      </c>
    </row>
    <row r="4686" spans="1:4" ht="72" x14ac:dyDescent="0.3">
      <c r="A4686">
        <v>4684</v>
      </c>
      <c r="B4686" s="1" t="s">
        <v>6169</v>
      </c>
      <c r="C4686" t="s">
        <v>4</v>
      </c>
      <c r="D4686" t="s">
        <v>6170</v>
      </c>
    </row>
    <row r="4687" spans="1:4" hidden="1" x14ac:dyDescent="0.3">
      <c r="A4687">
        <v>4685</v>
      </c>
      <c r="B4687" t="s">
        <v>6171</v>
      </c>
      <c r="C4687" t="s">
        <v>7</v>
      </c>
      <c r="D4687">
        <v>1716.26</v>
      </c>
    </row>
    <row r="4688" spans="1:4" hidden="1" x14ac:dyDescent="0.3">
      <c r="A4688">
        <v>4686</v>
      </c>
      <c r="B4688" s="1" t="s">
        <v>6172</v>
      </c>
      <c r="C4688" t="s">
        <v>9</v>
      </c>
      <c r="D4688" s="1" t="s">
        <v>6173</v>
      </c>
    </row>
    <row r="4689" spans="1:4" hidden="1" x14ac:dyDescent="0.3">
      <c r="A4689">
        <v>4687</v>
      </c>
      <c r="B4689" t="s">
        <v>6174</v>
      </c>
      <c r="C4689" t="s">
        <v>14</v>
      </c>
      <c r="D4689">
        <v>88.6953125</v>
      </c>
    </row>
    <row r="4690" spans="1:4" hidden="1" x14ac:dyDescent="0.3">
      <c r="A4690">
        <v>4688</v>
      </c>
      <c r="B4690" t="s">
        <v>6175</v>
      </c>
      <c r="C4690" t="s">
        <v>16</v>
      </c>
      <c r="D4690">
        <v>4.2308177773249298</v>
      </c>
    </row>
    <row r="4691" spans="1:4" hidden="1" x14ac:dyDescent="0.3">
      <c r="A4691">
        <v>4689</v>
      </c>
      <c r="B4691" s="1" t="s">
        <v>6176</v>
      </c>
      <c r="C4691" t="s">
        <v>140</v>
      </c>
      <c r="D4691" s="1" t="s">
        <v>6177</v>
      </c>
    </row>
    <row r="4692" spans="1:4" hidden="1" x14ac:dyDescent="0.3">
      <c r="A4692">
        <v>4690</v>
      </c>
      <c r="B4692" t="s">
        <v>6178</v>
      </c>
      <c r="C4692" t="s">
        <v>22</v>
      </c>
      <c r="D4692">
        <v>56</v>
      </c>
    </row>
    <row r="4693" spans="1:4" hidden="1" x14ac:dyDescent="0.3">
      <c r="A4693">
        <v>4691</v>
      </c>
      <c r="B4693" t="s">
        <v>6179</v>
      </c>
      <c r="C4693" t="s">
        <v>24</v>
      </c>
      <c r="D4693">
        <v>5.3753172688365201</v>
      </c>
    </row>
    <row r="4694" spans="1:4" hidden="1" x14ac:dyDescent="0.3">
      <c r="A4694">
        <v>4692</v>
      </c>
      <c r="B4694" s="1" t="s">
        <v>6180</v>
      </c>
      <c r="C4694" t="s">
        <v>145</v>
      </c>
      <c r="D4694" s="1" t="s">
        <v>6181</v>
      </c>
    </row>
    <row r="4695" spans="1:4" hidden="1" x14ac:dyDescent="0.3">
      <c r="A4695">
        <v>4693</v>
      </c>
      <c r="B4695" t="s">
        <v>6182</v>
      </c>
      <c r="C4695" t="s">
        <v>35</v>
      </c>
      <c r="D4695">
        <v>2.3942502184137502</v>
      </c>
    </row>
    <row r="4696" spans="1:4" hidden="1" x14ac:dyDescent="0.3">
      <c r="A4696">
        <v>4694</v>
      </c>
      <c r="B4696" t="s">
        <v>6183</v>
      </c>
      <c r="C4696" t="s">
        <v>149</v>
      </c>
      <c r="D4696">
        <v>0.54464507600834899</v>
      </c>
    </row>
    <row r="4697" spans="1:4" hidden="1" x14ac:dyDescent="0.3">
      <c r="A4697">
        <v>4695</v>
      </c>
      <c r="B4697" s="1" t="s">
        <v>6184</v>
      </c>
      <c r="C4697" t="s">
        <v>151</v>
      </c>
      <c r="D4697" s="1" t="s">
        <v>6185</v>
      </c>
    </row>
    <row r="4698" spans="1:4" hidden="1" x14ac:dyDescent="0.3">
      <c r="A4698">
        <v>4696</v>
      </c>
      <c r="B4698" t="s">
        <v>6186</v>
      </c>
      <c r="C4698" t="s">
        <v>30</v>
      </c>
      <c r="D4698">
        <v>-0.60698170538608398</v>
      </c>
    </row>
    <row r="4699" spans="1:4" hidden="1" x14ac:dyDescent="0.3">
      <c r="A4699">
        <v>4697</v>
      </c>
      <c r="B4699" t="s">
        <v>6187</v>
      </c>
      <c r="C4699" t="s">
        <v>32</v>
      </c>
      <c r="D4699">
        <v>0.409318092178099</v>
      </c>
    </row>
    <row r="4700" spans="1:4" hidden="1" x14ac:dyDescent="0.3">
      <c r="A4700">
        <v>4698</v>
      </c>
      <c r="B4700" s="1" t="s">
        <v>6188</v>
      </c>
      <c r="C4700" t="s">
        <v>155</v>
      </c>
      <c r="D4700" s="1" t="s">
        <v>6189</v>
      </c>
    </row>
    <row r="4701" spans="1:4" hidden="1" x14ac:dyDescent="0.3">
      <c r="A4701">
        <v>4699</v>
      </c>
      <c r="B4701" t="s">
        <v>6190</v>
      </c>
      <c r="C4701" t="s">
        <v>40</v>
      </c>
      <c r="D4701">
        <v>-0.78726851302766898</v>
      </c>
    </row>
    <row r="4702" spans="1:4" hidden="1" x14ac:dyDescent="0.3">
      <c r="A4702">
        <v>4700</v>
      </c>
      <c r="B4702" t="s">
        <v>6191</v>
      </c>
      <c r="C4702" t="s">
        <v>42</v>
      </c>
      <c r="D4702">
        <v>0.42674000152377101</v>
      </c>
    </row>
    <row r="4703" spans="1:4" hidden="1" x14ac:dyDescent="0.3">
      <c r="A4703">
        <v>4701</v>
      </c>
      <c r="B4703" s="1" t="s">
        <v>6192</v>
      </c>
      <c r="C4703" t="s">
        <v>159</v>
      </c>
      <c r="D4703" s="1" t="s">
        <v>6193</v>
      </c>
    </row>
    <row r="4704" spans="1:4" hidden="1" x14ac:dyDescent="0.3">
      <c r="A4704">
        <v>4702</v>
      </c>
      <c r="B4704" t="s">
        <v>6194</v>
      </c>
      <c r="C4704" t="s">
        <v>161</v>
      </c>
      <c r="D4704">
        <v>1.0096300348846099</v>
      </c>
    </row>
    <row r="4705" spans="1:4" hidden="1" x14ac:dyDescent="0.3">
      <c r="A4705">
        <v>4703</v>
      </c>
      <c r="B4705" t="s">
        <v>6195</v>
      </c>
      <c r="C4705" t="s">
        <v>163</v>
      </c>
      <c r="D4705">
        <v>0.99842422378864804</v>
      </c>
    </row>
    <row r="4706" spans="1:4" hidden="1" x14ac:dyDescent="0.3">
      <c r="A4706">
        <v>4704</v>
      </c>
      <c r="B4706" s="1" t="s">
        <v>6196</v>
      </c>
      <c r="C4706" t="s">
        <v>165</v>
      </c>
      <c r="D4706" s="1" t="s">
        <v>6197</v>
      </c>
    </row>
    <row r="4707" spans="1:4" hidden="1" x14ac:dyDescent="0.3">
      <c r="A4707">
        <v>4705</v>
      </c>
      <c r="B4707" t="s">
        <v>6198</v>
      </c>
      <c r="C4707" t="s">
        <v>168</v>
      </c>
      <c r="D4707">
        <v>1.00080231865793</v>
      </c>
    </row>
    <row r="4708" spans="1:4" hidden="1" x14ac:dyDescent="0.3">
      <c r="A4708">
        <v>4706</v>
      </c>
      <c r="B4708" t="s">
        <v>6199</v>
      </c>
      <c r="C4708" t="s">
        <v>170</v>
      </c>
      <c r="D4708">
        <v>0.99363109158255902</v>
      </c>
    </row>
    <row r="4709" spans="1:4" hidden="1" x14ac:dyDescent="0.3">
      <c r="A4709">
        <v>4707</v>
      </c>
      <c r="B4709" s="1" t="s">
        <v>6200</v>
      </c>
      <c r="C4709" t="s">
        <v>172</v>
      </c>
      <c r="D4709" s="1" t="s">
        <v>6201</v>
      </c>
    </row>
    <row r="4710" spans="1:4" hidden="1" x14ac:dyDescent="0.3">
      <c r="A4710">
        <v>4708</v>
      </c>
      <c r="B4710" s="1" t="s">
        <v>6202</v>
      </c>
      <c r="C4710" t="s">
        <v>55</v>
      </c>
      <c r="D4710" s="1" t="s">
        <v>6203</v>
      </c>
    </row>
    <row r="4711" spans="1:4" hidden="1" x14ac:dyDescent="0.3">
      <c r="A4711">
        <v>4709</v>
      </c>
      <c r="B4711" s="1" t="s">
        <v>6204</v>
      </c>
      <c r="C4711" t="s">
        <v>52</v>
      </c>
      <c r="D4711" s="1" t="s">
        <v>6205</v>
      </c>
    </row>
    <row r="4712" spans="1:4" hidden="1" x14ac:dyDescent="0.3">
      <c r="A4712">
        <v>4710</v>
      </c>
      <c r="B4712" s="1" t="s">
        <v>6206</v>
      </c>
      <c r="C4712" t="s">
        <v>58</v>
      </c>
      <c r="D4712" s="1" t="s">
        <v>6207</v>
      </c>
    </row>
    <row r="4713" spans="1:4" hidden="1" x14ac:dyDescent="0.3">
      <c r="A4713">
        <v>4711</v>
      </c>
      <c r="B4713" t="s">
        <v>6208</v>
      </c>
      <c r="C4713" t="s">
        <v>61</v>
      </c>
      <c r="D4713">
        <v>143778262.23231301</v>
      </c>
    </row>
    <row r="4714" spans="1:4" hidden="1" x14ac:dyDescent="0.3">
      <c r="A4714">
        <v>4712</v>
      </c>
      <c r="B4714" t="s">
        <v>6209</v>
      </c>
      <c r="C4714" t="s">
        <v>63</v>
      </c>
      <c r="D4714">
        <v>74964108.582750797</v>
      </c>
    </row>
    <row r="4715" spans="1:4" hidden="1" x14ac:dyDescent="0.3">
      <c r="A4715">
        <v>4713</v>
      </c>
      <c r="B4715" t="s">
        <v>6210</v>
      </c>
      <c r="C4715" t="s">
        <v>65</v>
      </c>
      <c r="D4715">
        <v>34168954.727435596</v>
      </c>
    </row>
    <row r="4716" spans="1:4" hidden="1" x14ac:dyDescent="0.3">
      <c r="A4716">
        <v>4714</v>
      </c>
      <c r="B4716" s="1" t="s">
        <v>6211</v>
      </c>
      <c r="C4716" t="s">
        <v>67</v>
      </c>
      <c r="D4716" s="1" t="s">
        <v>6212</v>
      </c>
    </row>
    <row r="4717" spans="1:4" hidden="1" x14ac:dyDescent="0.3">
      <c r="A4717">
        <v>4715</v>
      </c>
      <c r="B4717" s="1" t="s">
        <v>6213</v>
      </c>
      <c r="C4717" t="s">
        <v>70</v>
      </c>
      <c r="D4717" s="1" t="s">
        <v>6214</v>
      </c>
    </row>
    <row r="4718" spans="1:4" hidden="1" x14ac:dyDescent="0.3">
      <c r="A4718">
        <v>4716</v>
      </c>
      <c r="B4718" t="s">
        <v>6215</v>
      </c>
      <c r="C4718" t="s">
        <v>73</v>
      </c>
      <c r="D4718">
        <v>0.99978180657894</v>
      </c>
    </row>
    <row r="4719" spans="1:4" hidden="1" x14ac:dyDescent="0.3">
      <c r="A4719">
        <v>4717</v>
      </c>
      <c r="B4719" t="s">
        <v>74</v>
      </c>
      <c r="C4719" t="s">
        <v>75</v>
      </c>
      <c r="D4719">
        <v>2.7397260273972599E-3</v>
      </c>
    </row>
    <row r="4720" spans="1:4" hidden="1" x14ac:dyDescent="0.3">
      <c r="A4720">
        <v>4718</v>
      </c>
      <c r="B4720" t="s">
        <v>76</v>
      </c>
      <c r="C4720" t="s">
        <v>77</v>
      </c>
      <c r="D4720">
        <v>0</v>
      </c>
    </row>
    <row r="4721" spans="1:4" hidden="1" x14ac:dyDescent="0.3">
      <c r="A4721">
        <v>4719</v>
      </c>
      <c r="B4721" t="s">
        <v>78</v>
      </c>
      <c r="C4721" t="s">
        <v>79</v>
      </c>
      <c r="D4721">
        <v>0</v>
      </c>
    </row>
    <row r="4722" spans="1:4" hidden="1" x14ac:dyDescent="0.3">
      <c r="A4722">
        <v>4720</v>
      </c>
      <c r="B4722" s="1" t="s">
        <v>6216</v>
      </c>
      <c r="C4722" t="s">
        <v>81</v>
      </c>
      <c r="D4722" s="1" t="s">
        <v>6217</v>
      </c>
    </row>
    <row r="4723" spans="1:4" hidden="1" x14ac:dyDescent="0.3">
      <c r="A4723">
        <v>4721</v>
      </c>
      <c r="B4723" t="s">
        <v>6218</v>
      </c>
      <c r="C4723" t="s">
        <v>84</v>
      </c>
      <c r="D4723">
        <v>0.99977909250629104</v>
      </c>
    </row>
    <row r="4724" spans="1:4" hidden="1" x14ac:dyDescent="0.3">
      <c r="A4724">
        <v>4722</v>
      </c>
      <c r="B4724" s="1" t="s">
        <v>6219</v>
      </c>
      <c r="C4724" t="s">
        <v>86</v>
      </c>
      <c r="D4724" s="1" t="s">
        <v>6220</v>
      </c>
    </row>
    <row r="4725" spans="1:4" hidden="1" x14ac:dyDescent="0.3">
      <c r="A4725">
        <v>4723</v>
      </c>
      <c r="B4725" t="s">
        <v>6221</v>
      </c>
      <c r="C4725" t="s">
        <v>89</v>
      </c>
      <c r="D4725">
        <v>103016170.73857901</v>
      </c>
    </row>
    <row r="4726" spans="1:4" hidden="1" x14ac:dyDescent="0.3">
      <c r="A4726">
        <v>4724</v>
      </c>
      <c r="B4726" s="1" t="s">
        <v>6222</v>
      </c>
      <c r="C4726" t="s">
        <v>91</v>
      </c>
      <c r="D4726" s="1" t="s">
        <v>6156</v>
      </c>
    </row>
    <row r="4727" spans="1:4" hidden="1" x14ac:dyDescent="0.3">
      <c r="A4727">
        <v>4725</v>
      </c>
      <c r="B4727" t="s">
        <v>6223</v>
      </c>
      <c r="C4727" t="s">
        <v>94</v>
      </c>
      <c r="D4727">
        <v>74964108.582750797</v>
      </c>
    </row>
    <row r="4728" spans="1:4" hidden="1" x14ac:dyDescent="0.3">
      <c r="A4728">
        <v>4726</v>
      </c>
      <c r="B4728" t="s">
        <v>6224</v>
      </c>
      <c r="C4728" t="s">
        <v>96</v>
      </c>
      <c r="D4728">
        <v>34168954.727435596</v>
      </c>
    </row>
    <row r="4729" spans="1:4" hidden="1" x14ac:dyDescent="0.3">
      <c r="A4729">
        <v>4727</v>
      </c>
      <c r="B4729" t="s">
        <v>6225</v>
      </c>
      <c r="C4729" t="s">
        <v>98</v>
      </c>
      <c r="D4729">
        <v>34645198.922127098</v>
      </c>
    </row>
    <row r="4730" spans="1:4" hidden="1" x14ac:dyDescent="0.3">
      <c r="A4730">
        <v>4728</v>
      </c>
      <c r="B4730" s="1" t="s">
        <v>6226</v>
      </c>
      <c r="C4730" t="s">
        <v>100</v>
      </c>
      <c r="D4730" s="1" t="s">
        <v>6227</v>
      </c>
    </row>
    <row r="4731" spans="1:4" hidden="1" x14ac:dyDescent="0.3">
      <c r="A4731">
        <v>4729</v>
      </c>
      <c r="B4731" t="s">
        <v>6228</v>
      </c>
      <c r="C4731" t="s">
        <v>103</v>
      </c>
      <c r="D4731">
        <v>9.2077839158408708E-3</v>
      </c>
    </row>
    <row r="4732" spans="1:4" hidden="1" x14ac:dyDescent="0.3">
      <c r="A4732">
        <v>4730</v>
      </c>
      <c r="B4732" t="s">
        <v>6229</v>
      </c>
      <c r="C4732" t="s">
        <v>105</v>
      </c>
      <c r="D4732">
        <v>3.1737959946333198E-3</v>
      </c>
    </row>
    <row r="4733" spans="1:4" hidden="1" x14ac:dyDescent="0.3">
      <c r="A4733">
        <v>4731</v>
      </c>
      <c r="B4733" t="s">
        <v>6230</v>
      </c>
      <c r="C4733" t="s">
        <v>107</v>
      </c>
      <c r="D4733">
        <v>1.28574460962369E-2</v>
      </c>
    </row>
    <row r="4734" spans="1:4" hidden="1" x14ac:dyDescent="0.3">
      <c r="A4734">
        <v>4732</v>
      </c>
      <c r="B4734" s="1" t="s">
        <v>6231</v>
      </c>
      <c r="C4734" t="s">
        <v>109</v>
      </c>
      <c r="D4734" s="1" t="s">
        <v>6232</v>
      </c>
    </row>
    <row r="4735" spans="1:4" hidden="1" x14ac:dyDescent="0.3">
      <c r="A4735">
        <v>4733</v>
      </c>
      <c r="B4735" t="s">
        <v>6233</v>
      </c>
      <c r="C4735" t="s">
        <v>208</v>
      </c>
      <c r="D4735">
        <v>143778166.43173999</v>
      </c>
    </row>
    <row r="4736" spans="1:4" hidden="1" x14ac:dyDescent="0.3">
      <c r="A4736">
        <v>4734</v>
      </c>
      <c r="B4736" t="s">
        <v>6234</v>
      </c>
      <c r="C4736" t="s">
        <v>210</v>
      </c>
      <c r="D4736">
        <v>203.502253200014</v>
      </c>
    </row>
    <row r="4737" spans="1:4" hidden="1" x14ac:dyDescent="0.3">
      <c r="A4737">
        <v>4735</v>
      </c>
      <c r="B4737" t="s">
        <v>6235</v>
      </c>
      <c r="C4737" t="s">
        <v>212</v>
      </c>
      <c r="D4737">
        <v>92.7572346057065</v>
      </c>
    </row>
    <row r="4738" spans="1:4" hidden="1" x14ac:dyDescent="0.3">
      <c r="A4738">
        <v>4736</v>
      </c>
      <c r="B4738" s="1" t="s">
        <v>6236</v>
      </c>
      <c r="C4738" t="s">
        <v>214</v>
      </c>
      <c r="D4738" s="1" t="s">
        <v>6237</v>
      </c>
    </row>
    <row r="4739" spans="1:4" hidden="1" x14ac:dyDescent="0.3">
      <c r="A4739">
        <v>4737</v>
      </c>
      <c r="B4739" t="s">
        <v>6238</v>
      </c>
      <c r="C4739" t="s">
        <v>217</v>
      </c>
      <c r="D4739">
        <v>74963836.3878043</v>
      </c>
    </row>
    <row r="4740" spans="1:4" hidden="1" x14ac:dyDescent="0.3">
      <c r="A4740">
        <v>4738</v>
      </c>
      <c r="B4740" t="s">
        <v>6239</v>
      </c>
      <c r="C4740" t="s">
        <v>219</v>
      </c>
      <c r="D4740">
        <v>34168850.955832303</v>
      </c>
    </row>
    <row r="4741" spans="1:4" hidden="1" x14ac:dyDescent="0.3">
      <c r="A4741">
        <v>4739</v>
      </c>
      <c r="B4741" t="s">
        <v>6240</v>
      </c>
      <c r="C4741" t="s">
        <v>221</v>
      </c>
      <c r="D4741">
        <v>34645088.778551698</v>
      </c>
    </row>
    <row r="4742" spans="1:4" hidden="1" x14ac:dyDescent="0.3">
      <c r="A4742">
        <v>4740</v>
      </c>
      <c r="B4742" s="1" t="s">
        <v>6241</v>
      </c>
      <c r="C4742" t="s">
        <v>223</v>
      </c>
      <c r="D4742" s="1" t="s">
        <v>6242</v>
      </c>
    </row>
    <row r="4743" spans="1:4" hidden="1" x14ac:dyDescent="0.3">
      <c r="A4743">
        <v>4741</v>
      </c>
      <c r="B4743" t="s">
        <v>6243</v>
      </c>
      <c r="C4743" t="s">
        <v>226</v>
      </c>
      <c r="D4743">
        <v>103015891.084189</v>
      </c>
    </row>
    <row r="4744" spans="1:4" hidden="1" x14ac:dyDescent="0.3">
      <c r="A4744">
        <v>4742</v>
      </c>
      <c r="B4744" t="s">
        <v>6244</v>
      </c>
      <c r="C4744" t="s">
        <v>228</v>
      </c>
      <c r="D4744">
        <v>279.654390186071</v>
      </c>
    </row>
    <row r="4745" spans="1:4" hidden="1" x14ac:dyDescent="0.3">
      <c r="A4745">
        <v>4743</v>
      </c>
      <c r="B4745" s="1" t="s">
        <v>6245</v>
      </c>
      <c r="C4745" t="s">
        <v>230</v>
      </c>
      <c r="D4745" s="1" t="s">
        <v>6246</v>
      </c>
    </row>
    <row r="4746" spans="1:4" hidden="1" x14ac:dyDescent="0.3">
      <c r="A4746">
        <v>4744</v>
      </c>
      <c r="B4746" t="s">
        <v>6247</v>
      </c>
      <c r="C4746" t="s">
        <v>112</v>
      </c>
      <c r="D4746">
        <v>-68.692693298834399</v>
      </c>
    </row>
    <row r="4747" spans="1:4" hidden="1" x14ac:dyDescent="0.3">
      <c r="A4747">
        <v>4745</v>
      </c>
      <c r="B4747" t="s">
        <v>6248</v>
      </c>
      <c r="C4747" t="s">
        <v>114</v>
      </c>
      <c r="D4747">
        <v>-11.014368637002899</v>
      </c>
    </row>
    <row r="4748" spans="1:4" hidden="1" x14ac:dyDescent="0.3">
      <c r="A4748">
        <v>4746</v>
      </c>
      <c r="B4748" s="1" t="s">
        <v>6249</v>
      </c>
      <c r="C4748" t="s">
        <v>116</v>
      </c>
      <c r="D4748" s="1" t="s">
        <v>6250</v>
      </c>
    </row>
    <row r="4749" spans="1:4" hidden="1" x14ac:dyDescent="0.3">
      <c r="A4749">
        <v>4747</v>
      </c>
      <c r="B4749" t="s">
        <v>6251</v>
      </c>
      <c r="C4749" t="s">
        <v>119</v>
      </c>
      <c r="D4749">
        <v>74963836.3878043</v>
      </c>
    </row>
    <row r="4750" spans="1:4" hidden="1" x14ac:dyDescent="0.3">
      <c r="A4750">
        <v>4748</v>
      </c>
      <c r="B4750" t="s">
        <v>6252</v>
      </c>
      <c r="C4750" t="s">
        <v>121</v>
      </c>
      <c r="D4750">
        <v>34168850.955832303</v>
      </c>
    </row>
    <row r="4751" spans="1:4" hidden="1" x14ac:dyDescent="0.3">
      <c r="A4751">
        <v>4749</v>
      </c>
      <c r="B4751" s="1" t="s">
        <v>6253</v>
      </c>
      <c r="C4751" t="s">
        <v>123</v>
      </c>
      <c r="D4751" s="1" t="s">
        <v>6254</v>
      </c>
    </row>
    <row r="4752" spans="1:4" hidden="1" x14ac:dyDescent="0.3">
      <c r="A4752">
        <v>4750</v>
      </c>
      <c r="B4752" t="s">
        <v>6255</v>
      </c>
      <c r="C4752" t="s">
        <v>126</v>
      </c>
      <c r="D4752">
        <v>0.727852754860846</v>
      </c>
    </row>
    <row r="4753" spans="1:4" hidden="1" x14ac:dyDescent="0.3">
      <c r="A4753">
        <v>4751</v>
      </c>
      <c r="B4753" t="s">
        <v>6256</v>
      </c>
      <c r="C4753" t="s">
        <v>128</v>
      </c>
      <c r="D4753">
        <v>0.331758531806921</v>
      </c>
    </row>
    <row r="4754" spans="1:4" hidden="1" x14ac:dyDescent="0.3">
      <c r="A4754">
        <v>4752</v>
      </c>
      <c r="B4754" s="1" t="s">
        <v>6257</v>
      </c>
      <c r="C4754" t="s">
        <v>130</v>
      </c>
      <c r="D4754" s="1" t="s">
        <v>6258</v>
      </c>
    </row>
    <row r="4755" spans="1:4" ht="72" x14ac:dyDescent="0.3">
      <c r="A4755">
        <v>4753</v>
      </c>
      <c r="B4755" s="1" t="s">
        <v>6259</v>
      </c>
      <c r="C4755" t="s">
        <v>4</v>
      </c>
      <c r="D4755" t="s">
        <v>6260</v>
      </c>
    </row>
    <row r="4756" spans="1:4" hidden="1" x14ac:dyDescent="0.3">
      <c r="A4756">
        <v>4754</v>
      </c>
      <c r="B4756" t="s">
        <v>6261</v>
      </c>
      <c r="C4756" t="s">
        <v>7</v>
      </c>
      <c r="D4756">
        <v>1712.53</v>
      </c>
    </row>
    <row r="4757" spans="1:4" hidden="1" x14ac:dyDescent="0.3">
      <c r="A4757">
        <v>4755</v>
      </c>
      <c r="B4757" s="1" t="s">
        <v>6262</v>
      </c>
      <c r="C4757" t="s">
        <v>9</v>
      </c>
      <c r="D4757" s="1" t="s">
        <v>6263</v>
      </c>
    </row>
    <row r="4758" spans="1:4" hidden="1" x14ac:dyDescent="0.3">
      <c r="A4758">
        <v>4756</v>
      </c>
      <c r="B4758" t="s">
        <v>6264</v>
      </c>
      <c r="C4758" t="s">
        <v>14</v>
      </c>
      <c r="D4758">
        <v>88.40234375</v>
      </c>
    </row>
    <row r="4759" spans="1:4" hidden="1" x14ac:dyDescent="0.3">
      <c r="A4759">
        <v>4757</v>
      </c>
      <c r="B4759" t="s">
        <v>6265</v>
      </c>
      <c r="C4759" t="s">
        <v>16</v>
      </c>
      <c r="D4759">
        <v>4.2267027655240401</v>
      </c>
    </row>
    <row r="4760" spans="1:4" hidden="1" x14ac:dyDescent="0.3">
      <c r="A4760">
        <v>4758</v>
      </c>
      <c r="B4760" s="1" t="s">
        <v>6266</v>
      </c>
      <c r="C4760" t="s">
        <v>140</v>
      </c>
      <c r="D4760" s="1" t="s">
        <v>6267</v>
      </c>
    </row>
    <row r="4761" spans="1:4" hidden="1" x14ac:dyDescent="0.3">
      <c r="A4761">
        <v>4759</v>
      </c>
      <c r="B4761" t="s">
        <v>6268</v>
      </c>
      <c r="C4761" t="s">
        <v>22</v>
      </c>
      <c r="D4761">
        <v>54.95</v>
      </c>
    </row>
    <row r="4762" spans="1:4" hidden="1" x14ac:dyDescent="0.3">
      <c r="A4762">
        <v>4760</v>
      </c>
      <c r="B4762" t="s">
        <v>6269</v>
      </c>
      <c r="C4762" t="s">
        <v>24</v>
      </c>
      <c r="D4762">
        <v>5.39175440555303</v>
      </c>
    </row>
    <row r="4763" spans="1:4" hidden="1" x14ac:dyDescent="0.3">
      <c r="A4763">
        <v>4761</v>
      </c>
      <c r="B4763" s="1" t="s">
        <v>6270</v>
      </c>
      <c r="C4763" t="s">
        <v>145</v>
      </c>
      <c r="D4763" s="1" t="s">
        <v>6271</v>
      </c>
    </row>
    <row r="4764" spans="1:4" hidden="1" x14ac:dyDescent="0.3">
      <c r="A4764">
        <v>4762</v>
      </c>
      <c r="B4764" t="s">
        <v>6272</v>
      </c>
      <c r="C4764" t="s">
        <v>35</v>
      </c>
      <c r="D4764">
        <v>-0.545557792239452</v>
      </c>
    </row>
    <row r="4765" spans="1:4" hidden="1" x14ac:dyDescent="0.3">
      <c r="A4765">
        <v>4763</v>
      </c>
      <c r="B4765" t="s">
        <v>6273</v>
      </c>
      <c r="C4765" t="s">
        <v>149</v>
      </c>
      <c r="D4765">
        <v>0.53755043284917803</v>
      </c>
    </row>
    <row r="4766" spans="1:4" hidden="1" x14ac:dyDescent="0.3">
      <c r="A4766">
        <v>4764</v>
      </c>
      <c r="B4766" s="1" t="s">
        <v>6274</v>
      </c>
      <c r="C4766" t="s">
        <v>151</v>
      </c>
      <c r="D4766" s="1" t="s">
        <v>6275</v>
      </c>
    </row>
    <row r="4767" spans="1:4" hidden="1" x14ac:dyDescent="0.3">
      <c r="A4767">
        <v>4765</v>
      </c>
      <c r="B4767" t="s">
        <v>6276</v>
      </c>
      <c r="C4767" t="s">
        <v>30</v>
      </c>
      <c r="D4767">
        <v>0.67421956262735006</v>
      </c>
    </row>
    <row r="4768" spans="1:4" hidden="1" x14ac:dyDescent="0.3">
      <c r="A4768">
        <v>4766</v>
      </c>
      <c r="B4768" t="s">
        <v>6277</v>
      </c>
      <c r="C4768" t="s">
        <v>32</v>
      </c>
      <c r="D4768">
        <v>0.42146226189352998</v>
      </c>
    </row>
    <row r="4769" spans="1:4" hidden="1" x14ac:dyDescent="0.3">
      <c r="A4769">
        <v>4767</v>
      </c>
      <c r="B4769" s="1" t="s">
        <v>6278</v>
      </c>
      <c r="C4769" t="s">
        <v>155</v>
      </c>
      <c r="D4769" s="1" t="s">
        <v>6279</v>
      </c>
    </row>
    <row r="4770" spans="1:4" hidden="1" x14ac:dyDescent="0.3">
      <c r="A4770">
        <v>4768</v>
      </c>
      <c r="B4770" t="s">
        <v>6280</v>
      </c>
      <c r="C4770" t="s">
        <v>40</v>
      </c>
      <c r="D4770">
        <v>0.87133822961210095</v>
      </c>
    </row>
    <row r="4771" spans="1:4" hidden="1" x14ac:dyDescent="0.3">
      <c r="A4771">
        <v>4769</v>
      </c>
      <c r="B4771" t="s">
        <v>6281</v>
      </c>
      <c r="C4771" t="s">
        <v>42</v>
      </c>
      <c r="D4771">
        <v>0.438828306006675</v>
      </c>
    </row>
    <row r="4772" spans="1:4" hidden="1" x14ac:dyDescent="0.3">
      <c r="A4772">
        <v>4770</v>
      </c>
      <c r="B4772" s="1" t="s">
        <v>6282</v>
      </c>
      <c r="C4772" t="s">
        <v>159</v>
      </c>
      <c r="D4772" s="1" t="s">
        <v>6283</v>
      </c>
    </row>
    <row r="4773" spans="1:4" hidden="1" x14ac:dyDescent="0.3">
      <c r="A4773">
        <v>4771</v>
      </c>
      <c r="B4773" t="s">
        <v>6284</v>
      </c>
      <c r="C4773" t="s">
        <v>161</v>
      </c>
      <c r="D4773">
        <v>0.99782666961882205</v>
      </c>
    </row>
    <row r="4774" spans="1:4" hidden="1" x14ac:dyDescent="0.3">
      <c r="A4774">
        <v>4772</v>
      </c>
      <c r="B4774" t="s">
        <v>6285</v>
      </c>
      <c r="C4774" t="s">
        <v>163</v>
      </c>
      <c r="D4774">
        <v>0.99680301158657603</v>
      </c>
    </row>
    <row r="4775" spans="1:4" hidden="1" x14ac:dyDescent="0.3">
      <c r="A4775">
        <v>4773</v>
      </c>
      <c r="B4775" s="1" t="s">
        <v>6286</v>
      </c>
      <c r="C4775" t="s">
        <v>165</v>
      </c>
      <c r="D4775" s="1" t="s">
        <v>6287</v>
      </c>
    </row>
    <row r="4776" spans="1:4" hidden="1" x14ac:dyDescent="0.3">
      <c r="A4776">
        <v>4774</v>
      </c>
      <c r="B4776" t="s">
        <v>6288</v>
      </c>
      <c r="C4776" t="s">
        <v>168</v>
      </c>
      <c r="D4776">
        <v>0.99540694281853703</v>
      </c>
    </row>
    <row r="4777" spans="1:4" hidden="1" x14ac:dyDescent="0.3">
      <c r="A4777">
        <v>4775</v>
      </c>
      <c r="B4777" t="s">
        <v>6289</v>
      </c>
      <c r="C4777" t="s">
        <v>170</v>
      </c>
      <c r="D4777">
        <v>1.0086170537246499</v>
      </c>
    </row>
    <row r="4778" spans="1:4" hidden="1" x14ac:dyDescent="0.3">
      <c r="A4778">
        <v>4776</v>
      </c>
      <c r="B4778" s="1" t="s">
        <v>6290</v>
      </c>
      <c r="C4778" t="s">
        <v>172</v>
      </c>
      <c r="D4778" s="1" t="s">
        <v>6291</v>
      </c>
    </row>
    <row r="4779" spans="1:4" hidden="1" x14ac:dyDescent="0.3">
      <c r="A4779">
        <v>4777</v>
      </c>
      <c r="B4779" s="1" t="s">
        <v>6292</v>
      </c>
      <c r="C4779" t="s">
        <v>55</v>
      </c>
      <c r="D4779" s="1" t="s">
        <v>6293</v>
      </c>
    </row>
    <row r="4780" spans="1:4" hidden="1" x14ac:dyDescent="0.3">
      <c r="A4780">
        <v>4778</v>
      </c>
      <c r="B4780" s="1" t="s">
        <v>6294</v>
      </c>
      <c r="C4780" t="s">
        <v>52</v>
      </c>
      <c r="D4780" s="1" t="s">
        <v>6295</v>
      </c>
    </row>
    <row r="4781" spans="1:4" hidden="1" x14ac:dyDescent="0.3">
      <c r="A4781">
        <v>4779</v>
      </c>
      <c r="B4781" s="1" t="s">
        <v>6296</v>
      </c>
      <c r="C4781" t="s">
        <v>58</v>
      </c>
      <c r="D4781" s="1" t="s">
        <v>6297</v>
      </c>
    </row>
    <row r="4782" spans="1:4" hidden="1" x14ac:dyDescent="0.3">
      <c r="A4782">
        <v>4780</v>
      </c>
      <c r="B4782" t="s">
        <v>6298</v>
      </c>
      <c r="C4782" t="s">
        <v>61</v>
      </c>
      <c r="D4782">
        <v>142922192.80068401</v>
      </c>
    </row>
    <row r="4783" spans="1:4" hidden="1" x14ac:dyDescent="0.3">
      <c r="A4783">
        <v>4781</v>
      </c>
      <c r="B4783" t="s">
        <v>6299</v>
      </c>
      <c r="C4783" t="s">
        <v>63</v>
      </c>
      <c r="D4783">
        <v>74800915.204693004</v>
      </c>
    </row>
    <row r="4784" spans="1:4" hidden="1" x14ac:dyDescent="0.3">
      <c r="A4784">
        <v>4782</v>
      </c>
      <c r="B4784" t="s">
        <v>6300</v>
      </c>
      <c r="C4784" t="s">
        <v>65</v>
      </c>
      <c r="D4784">
        <v>34059613.535226502</v>
      </c>
    </row>
    <row r="4785" spans="1:4" hidden="1" x14ac:dyDescent="0.3">
      <c r="A4785">
        <v>4783</v>
      </c>
      <c r="B4785" s="1" t="s">
        <v>6301</v>
      </c>
      <c r="C4785" t="s">
        <v>67</v>
      </c>
      <c r="D4785" s="1" t="s">
        <v>6302</v>
      </c>
    </row>
    <row r="4786" spans="1:4" hidden="1" x14ac:dyDescent="0.3">
      <c r="A4786">
        <v>4784</v>
      </c>
      <c r="B4786" s="1" t="s">
        <v>6303</v>
      </c>
      <c r="C4786" t="s">
        <v>70</v>
      </c>
      <c r="D4786" s="1" t="s">
        <v>6304</v>
      </c>
    </row>
    <row r="4787" spans="1:4" hidden="1" x14ac:dyDescent="0.3">
      <c r="A4787">
        <v>4785</v>
      </c>
      <c r="B4787" t="s">
        <v>6305</v>
      </c>
      <c r="C4787" t="s">
        <v>73</v>
      </c>
      <c r="D4787">
        <v>0.99977909250629104</v>
      </c>
    </row>
    <row r="4788" spans="1:4" hidden="1" x14ac:dyDescent="0.3">
      <c r="A4788">
        <v>4786</v>
      </c>
      <c r="B4788" t="s">
        <v>74</v>
      </c>
      <c r="C4788" t="s">
        <v>75</v>
      </c>
      <c r="D4788">
        <v>2.7397260273972599E-3</v>
      </c>
    </row>
    <row r="4789" spans="1:4" hidden="1" x14ac:dyDescent="0.3">
      <c r="A4789">
        <v>4787</v>
      </c>
      <c r="B4789" t="s">
        <v>76</v>
      </c>
      <c r="C4789" t="s">
        <v>77</v>
      </c>
      <c r="D4789">
        <v>0</v>
      </c>
    </row>
    <row r="4790" spans="1:4" hidden="1" x14ac:dyDescent="0.3">
      <c r="A4790">
        <v>4788</v>
      </c>
      <c r="B4790" t="s">
        <v>78</v>
      </c>
      <c r="C4790" t="s">
        <v>79</v>
      </c>
      <c r="D4790">
        <v>0</v>
      </c>
    </row>
    <row r="4791" spans="1:4" hidden="1" x14ac:dyDescent="0.3">
      <c r="A4791">
        <v>4789</v>
      </c>
      <c r="B4791" s="1" t="s">
        <v>6306</v>
      </c>
      <c r="C4791" t="s">
        <v>81</v>
      </c>
      <c r="D4791" s="1" t="s">
        <v>6307</v>
      </c>
    </row>
    <row r="4792" spans="1:4" hidden="1" x14ac:dyDescent="0.3">
      <c r="A4792">
        <v>4790</v>
      </c>
      <c r="B4792" t="s">
        <v>6308</v>
      </c>
      <c r="C4792" t="s">
        <v>84</v>
      </c>
      <c r="D4792">
        <v>0.99978587547041897</v>
      </c>
    </row>
    <row r="4793" spans="1:4" hidden="1" x14ac:dyDescent="0.3">
      <c r="A4793">
        <v>4791</v>
      </c>
      <c r="B4793" s="1" t="s">
        <v>6309</v>
      </c>
      <c r="C4793" t="s">
        <v>86</v>
      </c>
      <c r="D4793" s="1" t="s">
        <v>6310</v>
      </c>
    </row>
    <row r="4794" spans="1:4" hidden="1" x14ac:dyDescent="0.3">
      <c r="A4794">
        <v>4792</v>
      </c>
      <c r="B4794" t="s">
        <v>6311</v>
      </c>
      <c r="C4794" t="s">
        <v>89</v>
      </c>
      <c r="D4794">
        <v>103015471.83393601</v>
      </c>
    </row>
    <row r="4795" spans="1:4" hidden="1" x14ac:dyDescent="0.3">
      <c r="A4795">
        <v>4793</v>
      </c>
      <c r="B4795" s="1" t="s">
        <v>6312</v>
      </c>
      <c r="C4795" t="s">
        <v>91</v>
      </c>
      <c r="D4795" s="1" t="s">
        <v>6246</v>
      </c>
    </row>
    <row r="4796" spans="1:4" hidden="1" x14ac:dyDescent="0.3">
      <c r="A4796">
        <v>4794</v>
      </c>
      <c r="B4796" t="s">
        <v>6313</v>
      </c>
      <c r="C4796" t="s">
        <v>94</v>
      </c>
      <c r="D4796">
        <v>74800915.204693004</v>
      </c>
    </row>
    <row r="4797" spans="1:4" hidden="1" x14ac:dyDescent="0.3">
      <c r="A4797">
        <v>4795</v>
      </c>
      <c r="B4797" t="s">
        <v>6314</v>
      </c>
      <c r="C4797" t="s">
        <v>96</v>
      </c>
      <c r="D4797">
        <v>34059613.535226502</v>
      </c>
    </row>
    <row r="4798" spans="1:4" hidden="1" x14ac:dyDescent="0.3">
      <c r="A4798">
        <v>4796</v>
      </c>
      <c r="B4798" t="s">
        <v>6315</v>
      </c>
      <c r="C4798" t="s">
        <v>98</v>
      </c>
      <c r="D4798">
        <v>34061664.060764499</v>
      </c>
    </row>
    <row r="4799" spans="1:4" hidden="1" x14ac:dyDescent="0.3">
      <c r="A4799">
        <v>4797</v>
      </c>
      <c r="B4799" s="1" t="s">
        <v>6316</v>
      </c>
      <c r="C4799" t="s">
        <v>100</v>
      </c>
      <c r="D4799" s="1" t="s">
        <v>6317</v>
      </c>
    </row>
    <row r="4800" spans="1:4" hidden="1" x14ac:dyDescent="0.3">
      <c r="A4800">
        <v>4798</v>
      </c>
      <c r="B4800" t="s">
        <v>6318</v>
      </c>
      <c r="C4800" t="s">
        <v>103</v>
      </c>
      <c r="D4800">
        <v>8.96330382217554E-3</v>
      </c>
    </row>
    <row r="4801" spans="1:4" hidden="1" x14ac:dyDescent="0.3">
      <c r="A4801">
        <v>4799</v>
      </c>
      <c r="B4801" t="s">
        <v>6319</v>
      </c>
      <c r="C4801" t="s">
        <v>105</v>
      </c>
      <c r="D4801">
        <v>3.1363236762028601E-3</v>
      </c>
    </row>
    <row r="4802" spans="1:4" hidden="1" x14ac:dyDescent="0.3">
      <c r="A4802">
        <v>4800</v>
      </c>
      <c r="B4802" t="s">
        <v>6320</v>
      </c>
      <c r="C4802" t="s">
        <v>107</v>
      </c>
      <c r="D4802">
        <v>1.2950041341220599E-2</v>
      </c>
    </row>
    <row r="4803" spans="1:4" hidden="1" x14ac:dyDescent="0.3">
      <c r="A4803">
        <v>4801</v>
      </c>
      <c r="B4803" s="1" t="s">
        <v>6321</v>
      </c>
      <c r="C4803" t="s">
        <v>109</v>
      </c>
      <c r="D4803" s="1" t="s">
        <v>6322</v>
      </c>
    </row>
    <row r="4804" spans="1:4" hidden="1" x14ac:dyDescent="0.3">
      <c r="A4804">
        <v>4802</v>
      </c>
      <c r="B4804" t="s">
        <v>6323</v>
      </c>
      <c r="C4804" t="s">
        <v>208</v>
      </c>
      <c r="D4804">
        <v>142922432.272432</v>
      </c>
    </row>
    <row r="4805" spans="1:4" hidden="1" x14ac:dyDescent="0.3">
      <c r="A4805">
        <v>4803</v>
      </c>
      <c r="B4805" t="s">
        <v>6324</v>
      </c>
      <c r="C4805" t="s">
        <v>210</v>
      </c>
      <c r="D4805">
        <v>-507.48513605879202</v>
      </c>
    </row>
    <row r="4806" spans="1:4" hidden="1" x14ac:dyDescent="0.3">
      <c r="A4806">
        <v>4804</v>
      </c>
      <c r="B4806" t="s">
        <v>6325</v>
      </c>
      <c r="C4806" t="s">
        <v>212</v>
      </c>
      <c r="D4806">
        <v>-231.076435859404</v>
      </c>
    </row>
    <row r="4807" spans="1:4" hidden="1" x14ac:dyDescent="0.3">
      <c r="A4807">
        <v>4805</v>
      </c>
      <c r="B4807" s="1" t="s">
        <v>6326</v>
      </c>
      <c r="C4807" t="s">
        <v>214</v>
      </c>
      <c r="D4807" s="1" t="s">
        <v>6327</v>
      </c>
    </row>
    <row r="4808" spans="1:4" hidden="1" x14ac:dyDescent="0.3">
      <c r="A4808">
        <v>4806</v>
      </c>
      <c r="B4808" t="s">
        <v>6328</v>
      </c>
      <c r="C4808" t="s">
        <v>217</v>
      </c>
      <c r="D4808">
        <v>74801585.473601505</v>
      </c>
    </row>
    <row r="4809" spans="1:4" hidden="1" x14ac:dyDescent="0.3">
      <c r="A4809">
        <v>4807</v>
      </c>
      <c r="B4809" t="s">
        <v>6329</v>
      </c>
      <c r="C4809" t="s">
        <v>219</v>
      </c>
      <c r="D4809">
        <v>34059881.836361699</v>
      </c>
    </row>
    <row r="4810" spans="1:4" hidden="1" x14ac:dyDescent="0.3">
      <c r="A4810">
        <v>4808</v>
      </c>
      <c r="B4810" t="s">
        <v>6330</v>
      </c>
      <c r="C4810" t="s">
        <v>221</v>
      </c>
      <c r="D4810">
        <v>34061934.614404</v>
      </c>
    </row>
    <row r="4811" spans="1:4" hidden="1" x14ac:dyDescent="0.3">
      <c r="A4811">
        <v>4809</v>
      </c>
      <c r="B4811" s="1" t="s">
        <v>6331</v>
      </c>
      <c r="C4811" t="s">
        <v>223</v>
      </c>
      <c r="D4811" s="1" t="s">
        <v>6332</v>
      </c>
    </row>
    <row r="4812" spans="1:4" hidden="1" x14ac:dyDescent="0.3">
      <c r="A4812">
        <v>4810</v>
      </c>
      <c r="B4812" t="s">
        <v>6333</v>
      </c>
      <c r="C4812" t="s">
        <v>226</v>
      </c>
      <c r="D4812">
        <v>103016170.73857901</v>
      </c>
    </row>
    <row r="4813" spans="1:4" hidden="1" x14ac:dyDescent="0.3">
      <c r="A4813">
        <v>4811</v>
      </c>
      <c r="B4813" t="s">
        <v>6334</v>
      </c>
      <c r="C4813" t="s">
        <v>228</v>
      </c>
      <c r="D4813">
        <v>-698.90464343130498</v>
      </c>
    </row>
    <row r="4814" spans="1:4" hidden="1" x14ac:dyDescent="0.3">
      <c r="A4814">
        <v>4812</v>
      </c>
      <c r="B4814" s="1" t="s">
        <v>6335</v>
      </c>
      <c r="C4814" t="s">
        <v>230</v>
      </c>
      <c r="D4814" s="1" t="s">
        <v>6336</v>
      </c>
    </row>
    <row r="4815" spans="1:4" hidden="1" x14ac:dyDescent="0.3">
      <c r="A4815">
        <v>4813</v>
      </c>
      <c r="B4815" t="s">
        <v>6337</v>
      </c>
      <c r="C4815" t="s">
        <v>112</v>
      </c>
      <c r="D4815">
        <v>162.78377245223501</v>
      </c>
    </row>
    <row r="4816" spans="1:4" hidden="1" x14ac:dyDescent="0.3">
      <c r="A4816">
        <v>4814</v>
      </c>
      <c r="B4816" t="s">
        <v>6338</v>
      </c>
      <c r="C4816" t="s">
        <v>114</v>
      </c>
      <c r="D4816">
        <v>37.224699305750299</v>
      </c>
    </row>
    <row r="4817" spans="1:4" hidden="1" x14ac:dyDescent="0.3">
      <c r="A4817">
        <v>4815</v>
      </c>
      <c r="B4817" s="1" t="s">
        <v>6339</v>
      </c>
      <c r="C4817" t="s">
        <v>116</v>
      </c>
      <c r="D4817" s="1" t="s">
        <v>6340</v>
      </c>
    </row>
    <row r="4818" spans="1:4" hidden="1" x14ac:dyDescent="0.3">
      <c r="A4818">
        <v>4816</v>
      </c>
      <c r="B4818" t="s">
        <v>6341</v>
      </c>
      <c r="C4818" t="s">
        <v>119</v>
      </c>
      <c r="D4818">
        <v>74801585.473601505</v>
      </c>
    </row>
    <row r="4819" spans="1:4" hidden="1" x14ac:dyDescent="0.3">
      <c r="A4819">
        <v>4817</v>
      </c>
      <c r="B4819" t="s">
        <v>6342</v>
      </c>
      <c r="C4819" t="s">
        <v>121</v>
      </c>
      <c r="D4819">
        <v>34059881.836361699</v>
      </c>
    </row>
    <row r="4820" spans="1:4" hidden="1" x14ac:dyDescent="0.3">
      <c r="A4820">
        <v>4818</v>
      </c>
      <c r="B4820" s="1" t="s">
        <v>6343</v>
      </c>
      <c r="C4820" t="s">
        <v>123</v>
      </c>
      <c r="D4820" s="1" t="s">
        <v>6344</v>
      </c>
    </row>
    <row r="4821" spans="1:4" hidden="1" x14ac:dyDescent="0.3">
      <c r="A4821">
        <v>4819</v>
      </c>
      <c r="B4821" t="s">
        <v>6345</v>
      </c>
      <c r="C4821" t="s">
        <v>126</v>
      </c>
      <c r="D4821">
        <v>0.72627049929957899</v>
      </c>
    </row>
    <row r="4822" spans="1:4" hidden="1" x14ac:dyDescent="0.3">
      <c r="A4822">
        <v>4820</v>
      </c>
      <c r="B4822" t="s">
        <v>6346</v>
      </c>
      <c r="C4822" t="s">
        <v>128</v>
      </c>
      <c r="D4822">
        <v>0.33069736731862398</v>
      </c>
    </row>
    <row r="4823" spans="1:4" hidden="1" x14ac:dyDescent="0.3">
      <c r="A4823">
        <v>4821</v>
      </c>
      <c r="B4823" s="1" t="s">
        <v>6347</v>
      </c>
      <c r="C4823" t="s">
        <v>130</v>
      </c>
      <c r="D4823" s="1" t="s">
        <v>6348</v>
      </c>
    </row>
    <row r="4824" spans="1:4" ht="72" x14ac:dyDescent="0.3">
      <c r="A4824">
        <v>4822</v>
      </c>
      <c r="B4824" s="1" t="s">
        <v>6349</v>
      </c>
      <c r="C4824" t="s">
        <v>4</v>
      </c>
      <c r="D4824" t="s">
        <v>6350</v>
      </c>
    </row>
    <row r="4825" spans="1:4" hidden="1" x14ac:dyDescent="0.3">
      <c r="A4825">
        <v>4823</v>
      </c>
      <c r="B4825" t="s">
        <v>6351</v>
      </c>
      <c r="C4825" t="s">
        <v>7</v>
      </c>
      <c r="D4825">
        <v>1694.82</v>
      </c>
    </row>
    <row r="4826" spans="1:4" hidden="1" x14ac:dyDescent="0.3">
      <c r="A4826">
        <v>4824</v>
      </c>
      <c r="B4826" s="1" t="s">
        <v>6352</v>
      </c>
      <c r="C4826" t="s">
        <v>9</v>
      </c>
      <c r="D4826" s="1" t="s">
        <v>6353</v>
      </c>
    </row>
    <row r="4827" spans="1:4" hidden="1" x14ac:dyDescent="0.3">
      <c r="A4827">
        <v>4825</v>
      </c>
      <c r="B4827" t="s">
        <v>6354</v>
      </c>
      <c r="C4827" t="s">
        <v>14</v>
      </c>
      <c r="D4827">
        <v>88.234375</v>
      </c>
    </row>
    <row r="4828" spans="1:4" hidden="1" x14ac:dyDescent="0.3">
      <c r="A4828">
        <v>4826</v>
      </c>
      <c r="B4828" t="s">
        <v>6355</v>
      </c>
      <c r="C4828" t="s">
        <v>16</v>
      </c>
      <c r="D4828">
        <v>4.2229411224945101</v>
      </c>
    </row>
    <row r="4829" spans="1:4" hidden="1" x14ac:dyDescent="0.3">
      <c r="A4829">
        <v>4827</v>
      </c>
      <c r="B4829" s="1" t="s">
        <v>6356</v>
      </c>
      <c r="C4829" t="s">
        <v>140</v>
      </c>
      <c r="D4829" s="1" t="s">
        <v>6357</v>
      </c>
    </row>
    <row r="4830" spans="1:4" hidden="1" x14ac:dyDescent="0.3">
      <c r="A4830">
        <v>4828</v>
      </c>
      <c r="B4830" t="s">
        <v>6358</v>
      </c>
      <c r="C4830" t="s">
        <v>22</v>
      </c>
      <c r="D4830">
        <v>54.85</v>
      </c>
    </row>
    <row r="4831" spans="1:4" hidden="1" x14ac:dyDescent="0.3">
      <c r="A4831">
        <v>4829</v>
      </c>
      <c r="B4831" t="s">
        <v>6359</v>
      </c>
      <c r="C4831" t="s">
        <v>24</v>
      </c>
      <c r="D4831">
        <v>5.3637372535938104</v>
      </c>
    </row>
    <row r="4832" spans="1:4" hidden="1" x14ac:dyDescent="0.3">
      <c r="A4832">
        <v>4830</v>
      </c>
      <c r="B4832" s="1" t="s">
        <v>6360</v>
      </c>
      <c r="C4832" t="s">
        <v>145</v>
      </c>
      <c r="D4832" s="1" t="s">
        <v>6361</v>
      </c>
    </row>
    <row r="4833" spans="1:4" hidden="1" x14ac:dyDescent="0.3">
      <c r="A4833">
        <v>4831</v>
      </c>
      <c r="B4833" t="s">
        <v>6362</v>
      </c>
      <c r="C4833" t="s">
        <v>35</v>
      </c>
      <c r="D4833">
        <v>0.31492182275980701</v>
      </c>
    </row>
    <row r="4834" spans="1:4" hidden="1" x14ac:dyDescent="0.3">
      <c r="A4834">
        <v>4832</v>
      </c>
      <c r="B4834" t="s">
        <v>6363</v>
      </c>
      <c r="C4834" t="s">
        <v>149</v>
      </c>
      <c r="D4834">
        <v>0.53599038814600297</v>
      </c>
    </row>
    <row r="4835" spans="1:4" hidden="1" x14ac:dyDescent="0.3">
      <c r="A4835">
        <v>4833</v>
      </c>
      <c r="B4835" s="1" t="s">
        <v>6364</v>
      </c>
      <c r="C4835" t="s">
        <v>151</v>
      </c>
      <c r="D4835" s="1" t="s">
        <v>6365</v>
      </c>
    </row>
    <row r="4836" spans="1:4" hidden="1" x14ac:dyDescent="0.3">
      <c r="A4836">
        <v>4834</v>
      </c>
      <c r="B4836" t="s">
        <v>6366</v>
      </c>
      <c r="C4836" t="s">
        <v>30</v>
      </c>
      <c r="D4836">
        <v>0.29252172613538502</v>
      </c>
    </row>
    <row r="4837" spans="1:4" hidden="1" x14ac:dyDescent="0.3">
      <c r="A4837">
        <v>4835</v>
      </c>
      <c r="B4837" t="s">
        <v>6367</v>
      </c>
      <c r="C4837" t="s">
        <v>32</v>
      </c>
      <c r="D4837">
        <v>0.42335115524372202</v>
      </c>
    </row>
    <row r="4838" spans="1:4" hidden="1" x14ac:dyDescent="0.3">
      <c r="A4838">
        <v>4836</v>
      </c>
      <c r="B4838" s="1" t="s">
        <v>6368</v>
      </c>
      <c r="C4838" t="s">
        <v>155</v>
      </c>
      <c r="D4838" s="1" t="s">
        <v>6369</v>
      </c>
    </row>
    <row r="4839" spans="1:4" hidden="1" x14ac:dyDescent="0.3">
      <c r="A4839">
        <v>4837</v>
      </c>
      <c r="B4839" t="s">
        <v>6370</v>
      </c>
      <c r="C4839" t="s">
        <v>40</v>
      </c>
      <c r="D4839">
        <v>0.39255645110480702</v>
      </c>
    </row>
    <row r="4840" spans="1:4" hidden="1" x14ac:dyDescent="0.3">
      <c r="A4840">
        <v>4838</v>
      </c>
      <c r="B4840" t="s">
        <v>6371</v>
      </c>
      <c r="C4840" t="s">
        <v>42</v>
      </c>
      <c r="D4840">
        <v>0.44235394342234002</v>
      </c>
    </row>
    <row r="4841" spans="1:4" hidden="1" x14ac:dyDescent="0.3">
      <c r="A4841">
        <v>4839</v>
      </c>
      <c r="B4841" s="1" t="s">
        <v>6372</v>
      </c>
      <c r="C4841" t="s">
        <v>159</v>
      </c>
      <c r="D4841" s="1" t="s">
        <v>6373</v>
      </c>
    </row>
    <row r="4842" spans="1:4" hidden="1" x14ac:dyDescent="0.3">
      <c r="A4842">
        <v>4840</v>
      </c>
      <c r="B4842" t="s">
        <v>6374</v>
      </c>
      <c r="C4842" t="s">
        <v>161</v>
      </c>
      <c r="D4842">
        <v>0.98965857532422696</v>
      </c>
    </row>
    <row r="4843" spans="1:4" hidden="1" x14ac:dyDescent="0.3">
      <c r="A4843">
        <v>4841</v>
      </c>
      <c r="B4843" t="s">
        <v>6375</v>
      </c>
      <c r="C4843" t="s">
        <v>163</v>
      </c>
      <c r="D4843">
        <v>0.99814604166306797</v>
      </c>
    </row>
    <row r="4844" spans="1:4" hidden="1" x14ac:dyDescent="0.3">
      <c r="A4844">
        <v>4842</v>
      </c>
      <c r="B4844" s="1" t="s">
        <v>6376</v>
      </c>
      <c r="C4844" t="s">
        <v>165</v>
      </c>
      <c r="D4844" s="1" t="s">
        <v>6377</v>
      </c>
    </row>
    <row r="4845" spans="1:4" hidden="1" x14ac:dyDescent="0.3">
      <c r="A4845">
        <v>4843</v>
      </c>
      <c r="B4845" t="s">
        <v>6378</v>
      </c>
      <c r="C4845" t="s">
        <v>168</v>
      </c>
      <c r="D4845">
        <v>0.99898537006016397</v>
      </c>
    </row>
    <row r="4846" spans="1:4" hidden="1" x14ac:dyDescent="0.3">
      <c r="A4846">
        <v>4844</v>
      </c>
      <c r="B4846" t="s">
        <v>6379</v>
      </c>
      <c r="C4846" t="s">
        <v>170</v>
      </c>
      <c r="D4846">
        <v>1.0013288381976899</v>
      </c>
    </row>
    <row r="4847" spans="1:4" hidden="1" x14ac:dyDescent="0.3">
      <c r="A4847">
        <v>4845</v>
      </c>
      <c r="B4847" s="1" t="s">
        <v>6380</v>
      </c>
      <c r="C4847" t="s">
        <v>172</v>
      </c>
      <c r="D4847" s="1" t="s">
        <v>6381</v>
      </c>
    </row>
    <row r="4848" spans="1:4" hidden="1" x14ac:dyDescent="0.3">
      <c r="A4848">
        <v>4846</v>
      </c>
      <c r="B4848" s="1" t="s">
        <v>6382</v>
      </c>
      <c r="C4848" t="s">
        <v>55</v>
      </c>
      <c r="D4848" s="1" t="s">
        <v>6383</v>
      </c>
    </row>
    <row r="4849" spans="1:4" hidden="1" x14ac:dyDescent="0.3">
      <c r="A4849">
        <v>4847</v>
      </c>
      <c r="B4849" s="1" t="s">
        <v>6384</v>
      </c>
      <c r="C4849" t="s">
        <v>52</v>
      </c>
      <c r="D4849" s="1" t="s">
        <v>6385</v>
      </c>
    </row>
    <row r="4850" spans="1:4" hidden="1" x14ac:dyDescent="0.3">
      <c r="A4850">
        <v>4848</v>
      </c>
      <c r="B4850" s="1" t="s">
        <v>6386</v>
      </c>
      <c r="C4850" t="s">
        <v>58</v>
      </c>
      <c r="D4850" s="1" t="s">
        <v>6387</v>
      </c>
    </row>
    <row r="4851" spans="1:4" hidden="1" x14ac:dyDescent="0.3">
      <c r="A4851">
        <v>4849</v>
      </c>
      <c r="B4851" t="s">
        <v>6388</v>
      </c>
      <c r="C4851" t="s">
        <v>61</v>
      </c>
      <c r="D4851">
        <v>142014437.76969501</v>
      </c>
    </row>
    <row r="4852" spans="1:4" hidden="1" x14ac:dyDescent="0.3">
      <c r="A4852">
        <v>4850</v>
      </c>
      <c r="B4852" t="s">
        <v>6389</v>
      </c>
      <c r="C4852" t="s">
        <v>63</v>
      </c>
      <c r="D4852">
        <v>74028030.511797905</v>
      </c>
    </row>
    <row r="4853" spans="1:4" hidden="1" x14ac:dyDescent="0.3">
      <c r="A4853">
        <v>4851</v>
      </c>
      <c r="B4853" t="s">
        <v>6390</v>
      </c>
      <c r="C4853" t="s">
        <v>65</v>
      </c>
      <c r="D4853">
        <v>33996736.234476201</v>
      </c>
    </row>
    <row r="4854" spans="1:4" hidden="1" x14ac:dyDescent="0.3">
      <c r="A4854">
        <v>4852</v>
      </c>
      <c r="B4854" s="1" t="s">
        <v>6391</v>
      </c>
      <c r="C4854" t="s">
        <v>67</v>
      </c>
      <c r="D4854" s="1" t="s">
        <v>6392</v>
      </c>
    </row>
    <row r="4855" spans="1:4" hidden="1" x14ac:dyDescent="0.3">
      <c r="A4855">
        <v>4853</v>
      </c>
      <c r="B4855" s="1" t="s">
        <v>6393</v>
      </c>
      <c r="C4855" t="s">
        <v>70</v>
      </c>
      <c r="D4855" s="1" t="s">
        <v>6394</v>
      </c>
    </row>
    <row r="4856" spans="1:4" hidden="1" x14ac:dyDescent="0.3">
      <c r="A4856">
        <v>4854</v>
      </c>
      <c r="B4856" t="s">
        <v>6395</v>
      </c>
      <c r="C4856" t="s">
        <v>73</v>
      </c>
      <c r="D4856">
        <v>0.99978587547041897</v>
      </c>
    </row>
    <row r="4857" spans="1:4" hidden="1" x14ac:dyDescent="0.3">
      <c r="A4857">
        <v>4855</v>
      </c>
      <c r="B4857" t="s">
        <v>74</v>
      </c>
      <c r="C4857" t="s">
        <v>75</v>
      </c>
      <c r="D4857">
        <v>2.7397260273972599E-3</v>
      </c>
    </row>
    <row r="4858" spans="1:4" hidden="1" x14ac:dyDescent="0.3">
      <c r="A4858">
        <v>4856</v>
      </c>
      <c r="B4858" t="s">
        <v>76</v>
      </c>
      <c r="C4858" t="s">
        <v>77</v>
      </c>
      <c r="D4858">
        <v>0</v>
      </c>
    </row>
    <row r="4859" spans="1:4" hidden="1" x14ac:dyDescent="0.3">
      <c r="A4859">
        <v>4857</v>
      </c>
      <c r="B4859" t="s">
        <v>831</v>
      </c>
      <c r="C4859" t="s">
        <v>79</v>
      </c>
      <c r="D4859" s="2">
        <v>2.2204460492503101E-16</v>
      </c>
    </row>
    <row r="4860" spans="1:4" hidden="1" x14ac:dyDescent="0.3">
      <c r="A4860">
        <v>4858</v>
      </c>
      <c r="B4860" s="1" t="s">
        <v>6396</v>
      </c>
      <c r="C4860" t="s">
        <v>81</v>
      </c>
      <c r="D4860" s="1" t="s">
        <v>6397</v>
      </c>
    </row>
    <row r="4861" spans="1:4" hidden="1" x14ac:dyDescent="0.3">
      <c r="A4861">
        <v>4859</v>
      </c>
      <c r="B4861" t="s">
        <v>6398</v>
      </c>
      <c r="C4861" t="s">
        <v>84</v>
      </c>
      <c r="D4861">
        <v>0.99974783770085096</v>
      </c>
    </row>
    <row r="4862" spans="1:4" hidden="1" x14ac:dyDescent="0.3">
      <c r="A4862">
        <v>4860</v>
      </c>
      <c r="B4862" s="1" t="s">
        <v>6399</v>
      </c>
      <c r="C4862" t="s">
        <v>86</v>
      </c>
      <c r="D4862" s="1" t="s">
        <v>6400</v>
      </c>
    </row>
    <row r="4863" spans="1:4" hidden="1" x14ac:dyDescent="0.3">
      <c r="A4863">
        <v>4861</v>
      </c>
      <c r="B4863" t="s">
        <v>6401</v>
      </c>
      <c r="C4863" t="s">
        <v>89</v>
      </c>
      <c r="D4863">
        <v>103019391.301057</v>
      </c>
    </row>
    <row r="4864" spans="1:4" hidden="1" x14ac:dyDescent="0.3">
      <c r="A4864">
        <v>4862</v>
      </c>
      <c r="B4864" s="1" t="s">
        <v>6402</v>
      </c>
      <c r="C4864" t="s">
        <v>91</v>
      </c>
      <c r="D4864" s="1" t="s">
        <v>6336</v>
      </c>
    </row>
    <row r="4865" spans="1:4" hidden="1" x14ac:dyDescent="0.3">
      <c r="A4865">
        <v>4863</v>
      </c>
      <c r="B4865" t="s">
        <v>6403</v>
      </c>
      <c r="C4865" t="s">
        <v>94</v>
      </c>
      <c r="D4865">
        <v>74028030.511797905</v>
      </c>
    </row>
    <row r="4866" spans="1:4" hidden="1" x14ac:dyDescent="0.3">
      <c r="A4866">
        <v>4864</v>
      </c>
      <c r="B4866" t="s">
        <v>6404</v>
      </c>
      <c r="C4866" t="s">
        <v>96</v>
      </c>
      <c r="D4866">
        <v>33996736.234476201</v>
      </c>
    </row>
    <row r="4867" spans="1:4" hidden="1" x14ac:dyDescent="0.3">
      <c r="A4867">
        <v>4865</v>
      </c>
      <c r="B4867" t="s">
        <v>6405</v>
      </c>
      <c r="C4867" t="s">
        <v>98</v>
      </c>
      <c r="D4867">
        <v>33989671.023420997</v>
      </c>
    </row>
    <row r="4868" spans="1:4" hidden="1" x14ac:dyDescent="0.3">
      <c r="A4868">
        <v>4866</v>
      </c>
      <c r="B4868" s="1" t="s">
        <v>6406</v>
      </c>
      <c r="C4868" t="s">
        <v>100</v>
      </c>
      <c r="D4868" s="1" t="s">
        <v>6407</v>
      </c>
    </row>
    <row r="4869" spans="1:4" hidden="1" x14ac:dyDescent="0.3">
      <c r="A4869">
        <v>4867</v>
      </c>
      <c r="B4869" t="s">
        <v>6408</v>
      </c>
      <c r="C4869" t="s">
        <v>103</v>
      </c>
      <c r="D4869">
        <v>8.9243000440129595E-3</v>
      </c>
    </row>
    <row r="4870" spans="1:4" hidden="1" x14ac:dyDescent="0.3">
      <c r="A4870">
        <v>4868</v>
      </c>
      <c r="B4870" t="s">
        <v>6409</v>
      </c>
      <c r="C4870" t="s">
        <v>105</v>
      </c>
      <c r="D4870">
        <v>3.13965621458061E-3</v>
      </c>
    </row>
    <row r="4871" spans="1:4" hidden="1" x14ac:dyDescent="0.3">
      <c r="A4871">
        <v>4869</v>
      </c>
      <c r="B4871" t="s">
        <v>6410</v>
      </c>
      <c r="C4871" t="s">
        <v>107</v>
      </c>
      <c r="D4871">
        <v>1.29456684997937E-2</v>
      </c>
    </row>
    <row r="4872" spans="1:4" hidden="1" x14ac:dyDescent="0.3">
      <c r="A4872">
        <v>4870</v>
      </c>
      <c r="B4872" s="1" t="s">
        <v>6411</v>
      </c>
      <c r="C4872" t="s">
        <v>109</v>
      </c>
      <c r="D4872" s="1" t="s">
        <v>6412</v>
      </c>
    </row>
    <row r="4873" spans="1:4" hidden="1" x14ac:dyDescent="0.3">
      <c r="A4873">
        <v>4871</v>
      </c>
      <c r="B4873" t="s">
        <v>6413</v>
      </c>
      <c r="C4873" t="s">
        <v>208</v>
      </c>
      <c r="D4873">
        <v>142013092.721659</v>
      </c>
    </row>
    <row r="4874" spans="1:4" hidden="1" x14ac:dyDescent="0.3">
      <c r="A4874">
        <v>4872</v>
      </c>
      <c r="B4874" t="s">
        <v>6414</v>
      </c>
      <c r="C4874" t="s">
        <v>210</v>
      </c>
      <c r="D4874">
        <v>2816.4297243011001</v>
      </c>
    </row>
    <row r="4875" spans="1:4" hidden="1" x14ac:dyDescent="0.3">
      <c r="A4875">
        <v>4873</v>
      </c>
      <c r="B4875" t="s">
        <v>6415</v>
      </c>
      <c r="C4875" t="s">
        <v>212</v>
      </c>
      <c r="D4875">
        <v>1293.4283935834701</v>
      </c>
    </row>
    <row r="4876" spans="1:4" hidden="1" x14ac:dyDescent="0.3">
      <c r="A4876">
        <v>4874</v>
      </c>
      <c r="B4876" s="1" t="s">
        <v>6416</v>
      </c>
      <c r="C4876" t="s">
        <v>214</v>
      </c>
      <c r="D4876" s="1" t="s">
        <v>6417</v>
      </c>
    </row>
    <row r="4877" spans="1:4" hidden="1" x14ac:dyDescent="0.3">
      <c r="A4877">
        <v>4875</v>
      </c>
      <c r="B4877" t="s">
        <v>6418</v>
      </c>
      <c r="C4877" t="s">
        <v>217</v>
      </c>
      <c r="D4877">
        <v>74024306.861694306</v>
      </c>
    </row>
    <row r="4878" spans="1:4" hidden="1" x14ac:dyDescent="0.3">
      <c r="A4878">
        <v>4876</v>
      </c>
      <c r="B4878" t="s">
        <v>6419</v>
      </c>
      <c r="C4878" t="s">
        <v>219</v>
      </c>
      <c r="D4878">
        <v>33995217.236961298</v>
      </c>
    </row>
    <row r="4879" spans="1:4" hidden="1" x14ac:dyDescent="0.3">
      <c r="A4879">
        <v>4877</v>
      </c>
      <c r="B4879" t="s">
        <v>6420</v>
      </c>
      <c r="C4879" t="s">
        <v>221</v>
      </c>
      <c r="D4879">
        <v>33988165.604788199</v>
      </c>
    </row>
    <row r="4880" spans="1:4" hidden="1" x14ac:dyDescent="0.3">
      <c r="A4880">
        <v>4878</v>
      </c>
      <c r="B4880" s="1" t="s">
        <v>6421</v>
      </c>
      <c r="C4880" t="s">
        <v>223</v>
      </c>
      <c r="D4880" s="1" t="s">
        <v>6422</v>
      </c>
    </row>
    <row r="4881" spans="1:4" hidden="1" x14ac:dyDescent="0.3">
      <c r="A4881">
        <v>4879</v>
      </c>
      <c r="B4881" t="s">
        <v>6423</v>
      </c>
      <c r="C4881" t="s">
        <v>226</v>
      </c>
      <c r="D4881">
        <v>103015471.83393601</v>
      </c>
    </row>
    <row r="4882" spans="1:4" hidden="1" x14ac:dyDescent="0.3">
      <c r="A4882">
        <v>4880</v>
      </c>
      <c r="B4882" t="s">
        <v>6424</v>
      </c>
      <c r="C4882" t="s">
        <v>228</v>
      </c>
      <c r="D4882">
        <v>3919.4671214967898</v>
      </c>
    </row>
    <row r="4883" spans="1:4" hidden="1" x14ac:dyDescent="0.3">
      <c r="A4883">
        <v>4881</v>
      </c>
      <c r="B4883" s="1" t="s">
        <v>6425</v>
      </c>
      <c r="C4883" t="s">
        <v>230</v>
      </c>
      <c r="D4883" s="1" t="s">
        <v>6426</v>
      </c>
    </row>
    <row r="4884" spans="1:4" hidden="1" x14ac:dyDescent="0.3">
      <c r="A4884">
        <v>4882</v>
      </c>
      <c r="B4884" t="s">
        <v>6427</v>
      </c>
      <c r="C4884" t="s">
        <v>112</v>
      </c>
      <c r="D4884">
        <v>-907.22037936188406</v>
      </c>
    </row>
    <row r="4885" spans="1:4" hidden="1" x14ac:dyDescent="0.3">
      <c r="A4885">
        <v>4883</v>
      </c>
      <c r="B4885" t="s">
        <v>6428</v>
      </c>
      <c r="C4885" t="s">
        <v>114</v>
      </c>
      <c r="D4885">
        <v>-225.56912130733301</v>
      </c>
    </row>
    <row r="4886" spans="1:4" hidden="1" x14ac:dyDescent="0.3">
      <c r="A4886">
        <v>4884</v>
      </c>
      <c r="B4886" s="1" t="s">
        <v>6429</v>
      </c>
      <c r="C4886" t="s">
        <v>116</v>
      </c>
      <c r="D4886" s="1" t="s">
        <v>6430</v>
      </c>
    </row>
    <row r="4887" spans="1:4" hidden="1" x14ac:dyDescent="0.3">
      <c r="A4887">
        <v>4885</v>
      </c>
      <c r="B4887" t="s">
        <v>6431</v>
      </c>
      <c r="C4887" t="s">
        <v>119</v>
      </c>
      <c r="D4887">
        <v>74024306.861694306</v>
      </c>
    </row>
    <row r="4888" spans="1:4" hidden="1" x14ac:dyDescent="0.3">
      <c r="A4888">
        <v>4886</v>
      </c>
      <c r="B4888" t="s">
        <v>6432</v>
      </c>
      <c r="C4888" t="s">
        <v>121</v>
      </c>
      <c r="D4888">
        <v>33995217.236961298</v>
      </c>
    </row>
    <row r="4889" spans="1:4" hidden="1" x14ac:dyDescent="0.3">
      <c r="A4889">
        <v>4887</v>
      </c>
      <c r="B4889" s="1" t="s">
        <v>6433</v>
      </c>
      <c r="C4889" t="s">
        <v>123</v>
      </c>
      <c r="D4889" s="1" t="s">
        <v>6434</v>
      </c>
    </row>
    <row r="4890" spans="1:4" hidden="1" x14ac:dyDescent="0.3">
      <c r="A4890">
        <v>4888</v>
      </c>
      <c r="B4890" t="s">
        <v>6435</v>
      </c>
      <c r="C4890" t="s">
        <v>126</v>
      </c>
      <c r="D4890">
        <v>0.71875589550809105</v>
      </c>
    </row>
    <row r="4891" spans="1:4" hidden="1" x14ac:dyDescent="0.3">
      <c r="A4891">
        <v>4889</v>
      </c>
      <c r="B4891" t="s">
        <v>6436</v>
      </c>
      <c r="C4891" t="s">
        <v>128</v>
      </c>
      <c r="D4891">
        <v>0.33008431749042599</v>
      </c>
    </row>
    <row r="4892" spans="1:4" hidden="1" x14ac:dyDescent="0.3">
      <c r="A4892">
        <v>4890</v>
      </c>
      <c r="B4892" s="1" t="s">
        <v>6437</v>
      </c>
      <c r="C4892" t="s">
        <v>130</v>
      </c>
      <c r="D4892" s="1" t="s">
        <v>6438</v>
      </c>
    </row>
    <row r="4893" spans="1:4" ht="72" x14ac:dyDescent="0.3">
      <c r="A4893">
        <v>4891</v>
      </c>
      <c r="B4893" s="1" t="s">
        <v>6439</v>
      </c>
      <c r="C4893" t="s">
        <v>4</v>
      </c>
      <c r="D4893" t="s">
        <v>6440</v>
      </c>
    </row>
    <row r="4894" spans="1:4" hidden="1" x14ac:dyDescent="0.3">
      <c r="A4894">
        <v>4892</v>
      </c>
      <c r="B4894" t="s">
        <v>6441</v>
      </c>
      <c r="C4894" t="s">
        <v>7</v>
      </c>
      <c r="D4894">
        <v>1666.34</v>
      </c>
    </row>
    <row r="4895" spans="1:4" hidden="1" x14ac:dyDescent="0.3">
      <c r="A4895">
        <v>4893</v>
      </c>
      <c r="B4895" s="1" t="s">
        <v>6442</v>
      </c>
      <c r="C4895" t="s">
        <v>9</v>
      </c>
      <c r="D4895" s="1" t="s">
        <v>6443</v>
      </c>
    </row>
    <row r="4896" spans="1:4" hidden="1" x14ac:dyDescent="0.3">
      <c r="A4896">
        <v>4894</v>
      </c>
      <c r="B4896" t="s">
        <v>6444</v>
      </c>
      <c r="C4896" t="s">
        <v>14</v>
      </c>
      <c r="D4896">
        <v>88.22265625</v>
      </c>
    </row>
    <row r="4897" spans="1:4" hidden="1" x14ac:dyDescent="0.3">
      <c r="A4897">
        <v>4895</v>
      </c>
      <c r="B4897" t="s">
        <v>6445</v>
      </c>
      <c r="C4897" t="s">
        <v>16</v>
      </c>
      <c r="D4897">
        <v>4.2201247990202102</v>
      </c>
    </row>
    <row r="4898" spans="1:4" hidden="1" x14ac:dyDescent="0.3">
      <c r="A4898">
        <v>4896</v>
      </c>
      <c r="B4898" s="1" t="s">
        <v>6446</v>
      </c>
      <c r="C4898" t="s">
        <v>140</v>
      </c>
      <c r="D4898" s="1" t="s">
        <v>6447</v>
      </c>
    </row>
    <row r="4899" spans="1:4" hidden="1" x14ac:dyDescent="0.3">
      <c r="A4899">
        <v>4897</v>
      </c>
      <c r="B4899" t="s">
        <v>6448</v>
      </c>
      <c r="C4899" t="s">
        <v>22</v>
      </c>
      <c r="D4899">
        <v>53.3</v>
      </c>
    </row>
    <row r="4900" spans="1:4" hidden="1" x14ac:dyDescent="0.3">
      <c r="A4900">
        <v>4898</v>
      </c>
      <c r="B4900" t="s">
        <v>6449</v>
      </c>
      <c r="C4900" t="s">
        <v>24</v>
      </c>
      <c r="D4900">
        <v>5.4146082723167099</v>
      </c>
    </row>
    <row r="4901" spans="1:4" hidden="1" x14ac:dyDescent="0.3">
      <c r="A4901">
        <v>4899</v>
      </c>
      <c r="B4901" s="1" t="s">
        <v>6450</v>
      </c>
      <c r="C4901" t="s">
        <v>145</v>
      </c>
      <c r="D4901" s="1" t="s">
        <v>6451</v>
      </c>
    </row>
    <row r="4902" spans="1:4" hidden="1" x14ac:dyDescent="0.3">
      <c r="A4902">
        <v>4900</v>
      </c>
      <c r="B4902" t="s">
        <v>6452</v>
      </c>
      <c r="C4902" t="s">
        <v>35</v>
      </c>
      <c r="D4902">
        <v>0.61775012752659897</v>
      </c>
    </row>
    <row r="4903" spans="1:4" hidden="1" x14ac:dyDescent="0.3">
      <c r="A4903">
        <v>4901</v>
      </c>
      <c r="B4903" t="s">
        <v>6453</v>
      </c>
      <c r="C4903" t="s">
        <v>149</v>
      </c>
      <c r="D4903">
        <v>0.53488656274260304</v>
      </c>
    </row>
    <row r="4904" spans="1:4" hidden="1" x14ac:dyDescent="0.3">
      <c r="A4904">
        <v>4902</v>
      </c>
      <c r="B4904" s="1" t="s">
        <v>6454</v>
      </c>
      <c r="C4904" t="s">
        <v>151</v>
      </c>
      <c r="D4904" s="1" t="s">
        <v>6455</v>
      </c>
    </row>
    <row r="4905" spans="1:4" hidden="1" x14ac:dyDescent="0.3">
      <c r="A4905">
        <v>4903</v>
      </c>
      <c r="B4905" t="s">
        <v>6456</v>
      </c>
      <c r="C4905" t="s">
        <v>30</v>
      </c>
      <c r="D4905">
        <v>0.164533470070414</v>
      </c>
    </row>
    <row r="4906" spans="1:4" hidden="1" x14ac:dyDescent="0.3">
      <c r="A4906">
        <v>4904</v>
      </c>
      <c r="B4906" t="s">
        <v>6457</v>
      </c>
      <c r="C4906" t="s">
        <v>32</v>
      </c>
      <c r="D4906">
        <v>0.42754241154539402</v>
      </c>
    </row>
    <row r="4907" spans="1:4" hidden="1" x14ac:dyDescent="0.3">
      <c r="A4907">
        <v>4905</v>
      </c>
      <c r="B4907" s="1" t="s">
        <v>6458</v>
      </c>
      <c r="C4907" t="s">
        <v>155</v>
      </c>
      <c r="D4907" s="1" t="s">
        <v>6459</v>
      </c>
    </row>
    <row r="4908" spans="1:4" hidden="1" x14ac:dyDescent="0.3">
      <c r="A4908">
        <v>4906</v>
      </c>
      <c r="B4908" t="s">
        <v>6460</v>
      </c>
      <c r="C4908" t="s">
        <v>40</v>
      </c>
      <c r="D4908">
        <v>0.21771640240298501</v>
      </c>
    </row>
    <row r="4909" spans="1:4" hidden="1" x14ac:dyDescent="0.3">
      <c r="A4909">
        <v>4907</v>
      </c>
      <c r="B4909" t="s">
        <v>6461</v>
      </c>
      <c r="C4909" t="s">
        <v>42</v>
      </c>
      <c r="D4909">
        <v>0.44201287298550002</v>
      </c>
    </row>
    <row r="4910" spans="1:4" hidden="1" x14ac:dyDescent="0.3">
      <c r="A4910">
        <v>4908</v>
      </c>
      <c r="B4910" s="1" t="s">
        <v>6462</v>
      </c>
      <c r="C4910" t="s">
        <v>159</v>
      </c>
      <c r="D4910" s="1" t="s">
        <v>6463</v>
      </c>
    </row>
    <row r="4911" spans="1:4" hidden="1" x14ac:dyDescent="0.3">
      <c r="A4911">
        <v>4909</v>
      </c>
      <c r="B4911" t="s">
        <v>6464</v>
      </c>
      <c r="C4911" t="s">
        <v>161</v>
      </c>
      <c r="D4911">
        <v>0.983195855607085</v>
      </c>
    </row>
    <row r="4912" spans="1:4" hidden="1" x14ac:dyDescent="0.3">
      <c r="A4912">
        <v>4910</v>
      </c>
      <c r="B4912" t="s">
        <v>6465</v>
      </c>
      <c r="C4912" t="s">
        <v>163</v>
      </c>
      <c r="D4912">
        <v>0.99984279152711797</v>
      </c>
    </row>
    <row r="4913" spans="1:4" hidden="1" x14ac:dyDescent="0.3">
      <c r="A4913">
        <v>4911</v>
      </c>
      <c r="B4913" s="1" t="s">
        <v>6466</v>
      </c>
      <c r="C4913" t="s">
        <v>165</v>
      </c>
      <c r="D4913" s="1" t="s">
        <v>6467</v>
      </c>
    </row>
    <row r="4914" spans="1:4" hidden="1" x14ac:dyDescent="0.3">
      <c r="A4914">
        <v>4912</v>
      </c>
      <c r="B4914" t="s">
        <v>6468</v>
      </c>
      <c r="C4914" t="s">
        <v>168</v>
      </c>
      <c r="D4914">
        <v>0.99928135917260996</v>
      </c>
    </row>
    <row r="4915" spans="1:4" hidden="1" x14ac:dyDescent="0.3">
      <c r="A4915">
        <v>4913</v>
      </c>
      <c r="B4915" t="s">
        <v>6469</v>
      </c>
      <c r="C4915" t="s">
        <v>170</v>
      </c>
      <c r="D4915">
        <v>1.00294463968798</v>
      </c>
    </row>
    <row r="4916" spans="1:4" hidden="1" x14ac:dyDescent="0.3">
      <c r="A4916">
        <v>4914</v>
      </c>
      <c r="B4916" s="1" t="s">
        <v>6470</v>
      </c>
      <c r="C4916" t="s">
        <v>172</v>
      </c>
      <c r="D4916" s="1" t="s">
        <v>6471</v>
      </c>
    </row>
    <row r="4917" spans="1:4" hidden="1" x14ac:dyDescent="0.3">
      <c r="A4917">
        <v>4915</v>
      </c>
      <c r="B4917" s="1" t="s">
        <v>6472</v>
      </c>
      <c r="C4917" t="s">
        <v>55</v>
      </c>
      <c r="D4917" s="1" t="s">
        <v>6473</v>
      </c>
    </row>
    <row r="4918" spans="1:4" hidden="1" x14ac:dyDescent="0.3">
      <c r="A4918">
        <v>4916</v>
      </c>
      <c r="B4918" s="1" t="s">
        <v>6474</v>
      </c>
      <c r="C4918" t="s">
        <v>52</v>
      </c>
      <c r="D4918" s="1" t="s">
        <v>6475</v>
      </c>
    </row>
    <row r="4919" spans="1:4" hidden="1" x14ac:dyDescent="0.3">
      <c r="A4919">
        <v>4917</v>
      </c>
      <c r="B4919" s="1" t="s">
        <v>6476</v>
      </c>
      <c r="C4919" t="s">
        <v>58</v>
      </c>
      <c r="D4919" s="1" t="s">
        <v>6477</v>
      </c>
    </row>
    <row r="4920" spans="1:4" hidden="1" x14ac:dyDescent="0.3">
      <c r="A4920">
        <v>4918</v>
      </c>
      <c r="B4920" t="s">
        <v>6478</v>
      </c>
      <c r="C4920" t="s">
        <v>61</v>
      </c>
      <c r="D4920">
        <v>139912233.88621899</v>
      </c>
    </row>
    <row r="4921" spans="1:4" hidden="1" x14ac:dyDescent="0.3">
      <c r="A4921">
        <v>4919</v>
      </c>
      <c r="B4921" t="s">
        <v>6479</v>
      </c>
      <c r="C4921" t="s">
        <v>63</v>
      </c>
      <c r="D4921">
        <v>72780391.720604897</v>
      </c>
    </row>
    <row r="4922" spans="1:4" hidden="1" x14ac:dyDescent="0.3">
      <c r="A4922">
        <v>4920</v>
      </c>
      <c r="B4922" t="s">
        <v>6480</v>
      </c>
      <c r="C4922" t="s">
        <v>65</v>
      </c>
      <c r="D4922">
        <v>33989872.9007743</v>
      </c>
    </row>
    <row r="4923" spans="1:4" hidden="1" x14ac:dyDescent="0.3">
      <c r="A4923">
        <v>4921</v>
      </c>
      <c r="B4923" s="1" t="s">
        <v>6481</v>
      </c>
      <c r="C4923" t="s">
        <v>67</v>
      </c>
      <c r="D4923" s="1" t="s">
        <v>6482</v>
      </c>
    </row>
    <row r="4924" spans="1:4" hidden="1" x14ac:dyDescent="0.3">
      <c r="A4924">
        <v>4922</v>
      </c>
      <c r="B4924" s="1" t="s">
        <v>6483</v>
      </c>
      <c r="C4924" t="s">
        <v>70</v>
      </c>
      <c r="D4924" s="1" t="s">
        <v>6484</v>
      </c>
    </row>
    <row r="4925" spans="1:4" hidden="1" x14ac:dyDescent="0.3">
      <c r="A4925">
        <v>4923</v>
      </c>
      <c r="B4925" t="s">
        <v>6485</v>
      </c>
      <c r="C4925" t="s">
        <v>73</v>
      </c>
      <c r="D4925">
        <v>0.99974783770085096</v>
      </c>
    </row>
    <row r="4926" spans="1:4" hidden="1" x14ac:dyDescent="0.3">
      <c r="A4926">
        <v>4924</v>
      </c>
      <c r="B4926" t="s">
        <v>74</v>
      </c>
      <c r="C4926" t="s">
        <v>75</v>
      </c>
      <c r="D4926">
        <v>2.7397260273972599E-3</v>
      </c>
    </row>
    <row r="4927" spans="1:4" hidden="1" x14ac:dyDescent="0.3">
      <c r="A4927">
        <v>4925</v>
      </c>
      <c r="B4927" t="s">
        <v>76</v>
      </c>
      <c r="C4927" t="s">
        <v>77</v>
      </c>
      <c r="D4927">
        <v>0</v>
      </c>
    </row>
    <row r="4928" spans="1:4" hidden="1" x14ac:dyDescent="0.3">
      <c r="A4928">
        <v>4926</v>
      </c>
      <c r="B4928" t="s">
        <v>78</v>
      </c>
      <c r="C4928" t="s">
        <v>79</v>
      </c>
      <c r="D4928">
        <v>0</v>
      </c>
    </row>
    <row r="4929" spans="1:4" hidden="1" x14ac:dyDescent="0.3">
      <c r="A4929">
        <v>4927</v>
      </c>
      <c r="B4929" s="1" t="s">
        <v>6486</v>
      </c>
      <c r="C4929" t="s">
        <v>81</v>
      </c>
      <c r="D4929" s="1" t="s">
        <v>6487</v>
      </c>
    </row>
    <row r="4930" spans="1:4" hidden="1" x14ac:dyDescent="0.3">
      <c r="A4930">
        <v>4928</v>
      </c>
      <c r="B4930" t="s">
        <v>6488</v>
      </c>
      <c r="C4930" t="s">
        <v>84</v>
      </c>
      <c r="D4930">
        <v>0.99974078022905399</v>
      </c>
    </row>
    <row r="4931" spans="1:4" hidden="1" x14ac:dyDescent="0.3">
      <c r="A4931">
        <v>4929</v>
      </c>
      <c r="B4931" s="1" t="s">
        <v>6489</v>
      </c>
      <c r="C4931" t="s">
        <v>86</v>
      </c>
      <c r="D4931" s="1" t="s">
        <v>6490</v>
      </c>
    </row>
    <row r="4932" spans="1:4" hidden="1" x14ac:dyDescent="0.3">
      <c r="A4932">
        <v>4930</v>
      </c>
      <c r="B4932" t="s">
        <v>6491</v>
      </c>
      <c r="C4932" t="s">
        <v>89</v>
      </c>
      <c r="D4932">
        <v>103020118.546022</v>
      </c>
    </row>
    <row r="4933" spans="1:4" hidden="1" x14ac:dyDescent="0.3">
      <c r="A4933">
        <v>4931</v>
      </c>
      <c r="B4933" s="1" t="s">
        <v>6492</v>
      </c>
      <c r="C4933" t="s">
        <v>91</v>
      </c>
      <c r="D4933" s="1" t="s">
        <v>6426</v>
      </c>
    </row>
    <row r="4934" spans="1:4" hidden="1" x14ac:dyDescent="0.3">
      <c r="A4934">
        <v>4932</v>
      </c>
      <c r="B4934" t="s">
        <v>6493</v>
      </c>
      <c r="C4934" t="s">
        <v>94</v>
      </c>
      <c r="D4934">
        <v>72780391.720604897</v>
      </c>
    </row>
    <row r="4935" spans="1:4" hidden="1" x14ac:dyDescent="0.3">
      <c r="A4935">
        <v>4933</v>
      </c>
      <c r="B4935" t="s">
        <v>6494</v>
      </c>
      <c r="C4935" t="s">
        <v>96</v>
      </c>
      <c r="D4935">
        <v>33989872.9007743</v>
      </c>
    </row>
    <row r="4936" spans="1:4" hidden="1" x14ac:dyDescent="0.3">
      <c r="A4936">
        <v>4934</v>
      </c>
      <c r="B4936" t="s">
        <v>6495</v>
      </c>
      <c r="C4936" t="s">
        <v>98</v>
      </c>
      <c r="D4936">
        <v>33141969.2648401</v>
      </c>
    </row>
    <row r="4937" spans="1:4" hidden="1" x14ac:dyDescent="0.3">
      <c r="A4937">
        <v>4935</v>
      </c>
      <c r="B4937" s="1" t="s">
        <v>6496</v>
      </c>
      <c r="C4937" t="s">
        <v>100</v>
      </c>
      <c r="D4937" s="1" t="s">
        <v>6497</v>
      </c>
    </row>
    <row r="4938" spans="1:4" hidden="1" x14ac:dyDescent="0.3">
      <c r="A4938">
        <v>4936</v>
      </c>
      <c r="B4938" t="s">
        <v>6498</v>
      </c>
      <c r="C4938" t="s">
        <v>103</v>
      </c>
      <c r="D4938">
        <v>8.8343279530971805E-3</v>
      </c>
    </row>
    <row r="4939" spans="1:4" hidden="1" x14ac:dyDescent="0.3">
      <c r="A4939">
        <v>4937</v>
      </c>
      <c r="B4939" t="s">
        <v>6499</v>
      </c>
      <c r="C4939" t="s">
        <v>105</v>
      </c>
      <c r="D4939">
        <v>3.12465634749798E-3</v>
      </c>
    </row>
    <row r="4940" spans="1:4" hidden="1" x14ac:dyDescent="0.3">
      <c r="A4940">
        <v>4938</v>
      </c>
      <c r="B4940" t="s">
        <v>6500</v>
      </c>
      <c r="C4940" t="s">
        <v>107</v>
      </c>
      <c r="D4940">
        <v>1.3208917785525199E-2</v>
      </c>
    </row>
    <row r="4941" spans="1:4" hidden="1" x14ac:dyDescent="0.3">
      <c r="A4941">
        <v>4939</v>
      </c>
      <c r="B4941" s="1" t="s">
        <v>6501</v>
      </c>
      <c r="C4941" t="s">
        <v>109</v>
      </c>
      <c r="D4941" s="1" t="s">
        <v>6502</v>
      </c>
    </row>
    <row r="4942" spans="1:4" hidden="1" x14ac:dyDescent="0.3">
      <c r="A4942">
        <v>4940</v>
      </c>
      <c r="B4942" t="s">
        <v>6503</v>
      </c>
      <c r="C4942" t="s">
        <v>208</v>
      </c>
      <c r="D4942">
        <v>139911984.17962399</v>
      </c>
    </row>
    <row r="4943" spans="1:4" hidden="1" x14ac:dyDescent="0.3">
      <c r="A4943">
        <v>4941</v>
      </c>
      <c r="B4943" t="s">
        <v>6504</v>
      </c>
      <c r="C4943" t="s">
        <v>210</v>
      </c>
      <c r="D4943">
        <v>513.77386094663598</v>
      </c>
    </row>
    <row r="4944" spans="1:4" hidden="1" x14ac:dyDescent="0.3">
      <c r="A4944">
        <v>4942</v>
      </c>
      <c r="B4944" t="s">
        <v>6505</v>
      </c>
      <c r="C4944" t="s">
        <v>212</v>
      </c>
      <c r="D4944">
        <v>239.942769178643</v>
      </c>
    </row>
    <row r="4945" spans="1:4" hidden="1" x14ac:dyDescent="0.3">
      <c r="A4945">
        <v>4943</v>
      </c>
      <c r="B4945" s="1" t="s">
        <v>6506</v>
      </c>
      <c r="C4945" t="s">
        <v>214</v>
      </c>
      <c r="D4945" s="1" t="s">
        <v>6507</v>
      </c>
    </row>
    <row r="4946" spans="1:4" hidden="1" x14ac:dyDescent="0.3">
      <c r="A4946">
        <v>4944</v>
      </c>
      <c r="B4946" t="s">
        <v>6508</v>
      </c>
      <c r="C4946" t="s">
        <v>217</v>
      </c>
      <c r="D4946">
        <v>72779700.072341397</v>
      </c>
    </row>
    <row r="4947" spans="1:4" hidden="1" x14ac:dyDescent="0.3">
      <c r="A4947">
        <v>4945</v>
      </c>
      <c r="B4947" t="s">
        <v>6509</v>
      </c>
      <c r="C4947" t="s">
        <v>219</v>
      </c>
      <c r="D4947">
        <v>33989589.784059703</v>
      </c>
    </row>
    <row r="4948" spans="1:4" hidden="1" x14ac:dyDescent="0.3">
      <c r="A4948">
        <v>4946</v>
      </c>
      <c r="B4948" t="s">
        <v>6510</v>
      </c>
      <c r="C4948" t="s">
        <v>221</v>
      </c>
      <c r="D4948">
        <v>33141706.649286602</v>
      </c>
    </row>
    <row r="4949" spans="1:4" hidden="1" x14ac:dyDescent="0.3">
      <c r="A4949">
        <v>4947</v>
      </c>
      <c r="B4949" s="1" t="s">
        <v>6511</v>
      </c>
      <c r="C4949" t="s">
        <v>223</v>
      </c>
      <c r="D4949" s="1" t="s">
        <v>6512</v>
      </c>
    </row>
    <row r="4950" spans="1:4" hidden="1" x14ac:dyDescent="0.3">
      <c r="A4950">
        <v>4948</v>
      </c>
      <c r="B4950" t="s">
        <v>6513</v>
      </c>
      <c r="C4950" t="s">
        <v>226</v>
      </c>
      <c r="D4950">
        <v>103019391.301057</v>
      </c>
    </row>
    <row r="4951" spans="1:4" hidden="1" x14ac:dyDescent="0.3">
      <c r="A4951">
        <v>4949</v>
      </c>
      <c r="B4951" t="s">
        <v>6514</v>
      </c>
      <c r="C4951" t="s">
        <v>228</v>
      </c>
      <c r="D4951">
        <v>727.244964852929</v>
      </c>
    </row>
    <row r="4952" spans="1:4" hidden="1" x14ac:dyDescent="0.3">
      <c r="A4952">
        <v>4950</v>
      </c>
      <c r="B4952" s="1" t="s">
        <v>6515</v>
      </c>
      <c r="C4952" t="s">
        <v>230</v>
      </c>
      <c r="D4952" s="1" t="s">
        <v>6516</v>
      </c>
    </row>
    <row r="4953" spans="1:4" hidden="1" x14ac:dyDescent="0.3">
      <c r="A4953">
        <v>4951</v>
      </c>
      <c r="B4953" t="s">
        <v>6517</v>
      </c>
      <c r="C4953" t="s">
        <v>112</v>
      </c>
      <c r="D4953">
        <v>-177.87440254492699</v>
      </c>
    </row>
    <row r="4954" spans="1:4" hidden="1" x14ac:dyDescent="0.3">
      <c r="A4954">
        <v>4952</v>
      </c>
      <c r="B4954" t="s">
        <v>6518</v>
      </c>
      <c r="C4954" t="s">
        <v>114</v>
      </c>
      <c r="D4954">
        <v>-43.173945344127702</v>
      </c>
    </row>
    <row r="4955" spans="1:4" hidden="1" x14ac:dyDescent="0.3">
      <c r="A4955">
        <v>4953</v>
      </c>
      <c r="B4955" s="1" t="s">
        <v>6519</v>
      </c>
      <c r="C4955" t="s">
        <v>116</v>
      </c>
      <c r="D4955" s="1" t="s">
        <v>6520</v>
      </c>
    </row>
    <row r="4956" spans="1:4" hidden="1" x14ac:dyDescent="0.3">
      <c r="A4956">
        <v>4954</v>
      </c>
      <c r="B4956" t="s">
        <v>6521</v>
      </c>
      <c r="C4956" t="s">
        <v>119</v>
      </c>
      <c r="D4956">
        <v>72779700.072341397</v>
      </c>
    </row>
    <row r="4957" spans="1:4" hidden="1" x14ac:dyDescent="0.3">
      <c r="A4957">
        <v>4955</v>
      </c>
      <c r="B4957" t="s">
        <v>6522</v>
      </c>
      <c r="C4957" t="s">
        <v>121</v>
      </c>
      <c r="D4957">
        <v>33989589.784059703</v>
      </c>
    </row>
    <row r="4958" spans="1:4" hidden="1" x14ac:dyDescent="0.3">
      <c r="A4958">
        <v>4956</v>
      </c>
      <c r="B4958" s="1" t="s">
        <v>6523</v>
      </c>
      <c r="C4958" t="s">
        <v>123</v>
      </c>
      <c r="D4958" s="1" t="s">
        <v>6524</v>
      </c>
    </row>
    <row r="4959" spans="1:4" hidden="1" x14ac:dyDescent="0.3">
      <c r="A4959">
        <v>4957</v>
      </c>
      <c r="B4959" t="s">
        <v>6525</v>
      </c>
      <c r="C4959" t="s">
        <v>126</v>
      </c>
      <c r="D4959">
        <v>0.70664920440534795</v>
      </c>
    </row>
    <row r="4960" spans="1:4" hidden="1" x14ac:dyDescent="0.3">
      <c r="A4960">
        <v>4958</v>
      </c>
      <c r="B4960" t="s">
        <v>6526</v>
      </c>
      <c r="C4960" t="s">
        <v>128</v>
      </c>
      <c r="D4960">
        <v>0.33001944986164899</v>
      </c>
    </row>
    <row r="4961" spans="1:4" hidden="1" x14ac:dyDescent="0.3">
      <c r="A4961">
        <v>4959</v>
      </c>
      <c r="B4961" s="1" t="s">
        <v>6527</v>
      </c>
      <c r="C4961" t="s">
        <v>130</v>
      </c>
      <c r="D4961" s="1" t="s">
        <v>6528</v>
      </c>
    </row>
    <row r="4962" spans="1:4" ht="72" x14ac:dyDescent="0.3">
      <c r="A4962">
        <v>4960</v>
      </c>
      <c r="B4962" s="1" t="s">
        <v>6529</v>
      </c>
      <c r="C4962" t="s">
        <v>4</v>
      </c>
      <c r="D4962" t="s">
        <v>6530</v>
      </c>
    </row>
    <row r="4963" spans="1:4" hidden="1" x14ac:dyDescent="0.3">
      <c r="A4963">
        <v>4961</v>
      </c>
      <c r="B4963" t="s">
        <v>6531</v>
      </c>
      <c r="C4963" t="s">
        <v>7</v>
      </c>
      <c r="D4963">
        <v>1673.19</v>
      </c>
    </row>
    <row r="4964" spans="1:4" hidden="1" x14ac:dyDescent="0.3">
      <c r="A4964">
        <v>4962</v>
      </c>
      <c r="B4964" s="1" t="s">
        <v>6532</v>
      </c>
      <c r="C4964" t="s">
        <v>9</v>
      </c>
      <c r="D4964" s="1" t="s">
        <v>6533</v>
      </c>
    </row>
    <row r="4965" spans="1:4" hidden="1" x14ac:dyDescent="0.3">
      <c r="A4965">
        <v>4963</v>
      </c>
      <c r="B4965" t="s">
        <v>6534</v>
      </c>
      <c r="C4965" t="s">
        <v>14</v>
      </c>
      <c r="D4965">
        <v>88.34375</v>
      </c>
    </row>
    <row r="4966" spans="1:4" hidden="1" x14ac:dyDescent="0.3">
      <c r="A4966">
        <v>4964</v>
      </c>
      <c r="B4966" t="s">
        <v>6535</v>
      </c>
      <c r="C4966" t="s">
        <v>16</v>
      </c>
      <c r="D4966">
        <v>4.2211698376919102</v>
      </c>
    </row>
    <row r="4967" spans="1:4" hidden="1" x14ac:dyDescent="0.3">
      <c r="A4967">
        <v>4965</v>
      </c>
      <c r="B4967" s="1" t="s">
        <v>6536</v>
      </c>
      <c r="C4967" t="s">
        <v>140</v>
      </c>
      <c r="D4967" s="1" t="s">
        <v>6537</v>
      </c>
    </row>
    <row r="4968" spans="1:4" hidden="1" x14ac:dyDescent="0.3">
      <c r="A4968">
        <v>4966</v>
      </c>
      <c r="B4968" t="s">
        <v>6538</v>
      </c>
      <c r="C4968" t="s">
        <v>22</v>
      </c>
      <c r="D4968">
        <v>52.25</v>
      </c>
    </row>
    <row r="4969" spans="1:4" hidden="1" x14ac:dyDescent="0.3">
      <c r="A4969">
        <v>4967</v>
      </c>
      <c r="B4969" t="s">
        <v>6539</v>
      </c>
      <c r="C4969" t="s">
        <v>24</v>
      </c>
      <c r="D4969">
        <v>5.5201052312571797</v>
      </c>
    </row>
    <row r="4970" spans="1:4" hidden="1" x14ac:dyDescent="0.3">
      <c r="A4970">
        <v>4968</v>
      </c>
      <c r="B4970" s="1" t="s">
        <v>6540</v>
      </c>
      <c r="C4970" t="s">
        <v>145</v>
      </c>
      <c r="D4970" s="1" t="s">
        <v>6541</v>
      </c>
    </row>
    <row r="4971" spans="1:4" hidden="1" x14ac:dyDescent="0.3">
      <c r="A4971">
        <v>4969</v>
      </c>
      <c r="B4971" t="s">
        <v>6542</v>
      </c>
      <c r="C4971" t="s">
        <v>35</v>
      </c>
      <c r="D4971">
        <v>-0.444176847596643</v>
      </c>
    </row>
    <row r="4972" spans="1:4" hidden="1" x14ac:dyDescent="0.3">
      <c r="A4972">
        <v>4970</v>
      </c>
      <c r="B4972" t="s">
        <v>6543</v>
      </c>
      <c r="C4972" t="s">
        <v>149</v>
      </c>
      <c r="D4972">
        <v>0.54164959854535599</v>
      </c>
    </row>
    <row r="4973" spans="1:4" hidden="1" x14ac:dyDescent="0.3">
      <c r="A4973">
        <v>4971</v>
      </c>
      <c r="B4973" s="1" t="s">
        <v>6544</v>
      </c>
      <c r="C4973" t="s">
        <v>151</v>
      </c>
      <c r="D4973" s="1" t="s">
        <v>6545</v>
      </c>
    </row>
    <row r="4974" spans="1:4" hidden="1" x14ac:dyDescent="0.3">
      <c r="A4974">
        <v>4972</v>
      </c>
      <c r="B4974" t="s">
        <v>6546</v>
      </c>
      <c r="C4974" t="s">
        <v>30</v>
      </c>
      <c r="D4974">
        <v>0.619405381636699</v>
      </c>
    </row>
    <row r="4975" spans="1:4" hidden="1" x14ac:dyDescent="0.3">
      <c r="A4975">
        <v>4973</v>
      </c>
      <c r="B4975" t="s">
        <v>6547</v>
      </c>
      <c r="C4975" t="s">
        <v>32</v>
      </c>
      <c r="D4975">
        <v>0.42018860781525003</v>
      </c>
    </row>
    <row r="4976" spans="1:4" hidden="1" x14ac:dyDescent="0.3">
      <c r="A4976">
        <v>4974</v>
      </c>
      <c r="B4976" s="1" t="s">
        <v>6548</v>
      </c>
      <c r="C4976" t="s">
        <v>155</v>
      </c>
      <c r="D4976" s="1" t="s">
        <v>6549</v>
      </c>
    </row>
    <row r="4977" spans="1:4" hidden="1" x14ac:dyDescent="0.3">
      <c r="A4977">
        <v>4975</v>
      </c>
      <c r="B4977" t="s">
        <v>6550</v>
      </c>
      <c r="C4977" t="s">
        <v>40</v>
      </c>
      <c r="D4977">
        <v>0.82477146595994399</v>
      </c>
    </row>
    <row r="4978" spans="1:4" hidden="1" x14ac:dyDescent="0.3">
      <c r="A4978">
        <v>4976</v>
      </c>
      <c r="B4978" t="s">
        <v>6551</v>
      </c>
      <c r="C4978" t="s">
        <v>42</v>
      </c>
      <c r="D4978">
        <v>0.42602341317688303</v>
      </c>
    </row>
    <row r="4979" spans="1:4" hidden="1" x14ac:dyDescent="0.3">
      <c r="A4979">
        <v>4977</v>
      </c>
      <c r="B4979" s="1" t="s">
        <v>6552</v>
      </c>
      <c r="C4979" t="s">
        <v>159</v>
      </c>
      <c r="D4979" s="1" t="s">
        <v>6553</v>
      </c>
    </row>
    <row r="4980" spans="1:4" hidden="1" x14ac:dyDescent="0.3">
      <c r="A4980">
        <v>4978</v>
      </c>
      <c r="B4980" t="s">
        <v>6554</v>
      </c>
      <c r="C4980" t="s">
        <v>161</v>
      </c>
      <c r="D4980">
        <v>1.00411080571792</v>
      </c>
    </row>
    <row r="4981" spans="1:4" hidden="1" x14ac:dyDescent="0.3">
      <c r="A4981">
        <v>4979</v>
      </c>
      <c r="B4981" t="s">
        <v>6555</v>
      </c>
      <c r="C4981" t="s">
        <v>163</v>
      </c>
      <c r="D4981">
        <v>1.00132123663184</v>
      </c>
    </row>
    <row r="4982" spans="1:4" hidden="1" x14ac:dyDescent="0.3">
      <c r="A4982">
        <v>4980</v>
      </c>
      <c r="B4982" s="1" t="s">
        <v>6556</v>
      </c>
      <c r="C4982" t="s">
        <v>165</v>
      </c>
      <c r="D4982" s="1" t="s">
        <v>6557</v>
      </c>
    </row>
    <row r="4983" spans="1:4" hidden="1" x14ac:dyDescent="0.3">
      <c r="A4983">
        <v>4981</v>
      </c>
      <c r="B4983" t="s">
        <v>6558</v>
      </c>
      <c r="C4983" t="s">
        <v>168</v>
      </c>
      <c r="D4983">
        <v>1.0044062121377</v>
      </c>
    </row>
    <row r="4984" spans="1:4" hidden="1" x14ac:dyDescent="0.3">
      <c r="A4984">
        <v>4982</v>
      </c>
      <c r="B4984" t="s">
        <v>6559</v>
      </c>
      <c r="C4984" t="s">
        <v>170</v>
      </c>
      <c r="D4984">
        <v>0.99484862679338304</v>
      </c>
    </row>
    <row r="4985" spans="1:4" hidden="1" x14ac:dyDescent="0.3">
      <c r="A4985">
        <v>4983</v>
      </c>
      <c r="B4985" s="1" t="s">
        <v>6560</v>
      </c>
      <c r="C4985" t="s">
        <v>172</v>
      </c>
      <c r="D4985" s="1" t="s">
        <v>6561</v>
      </c>
    </row>
    <row r="4986" spans="1:4" hidden="1" x14ac:dyDescent="0.3">
      <c r="A4986">
        <v>4984</v>
      </c>
      <c r="B4986" s="1" t="s">
        <v>6562</v>
      </c>
      <c r="C4986" t="s">
        <v>55</v>
      </c>
      <c r="D4986" s="1" t="s">
        <v>6563</v>
      </c>
    </row>
    <row r="4987" spans="1:4" hidden="1" x14ac:dyDescent="0.3">
      <c r="A4987">
        <v>4985</v>
      </c>
      <c r="B4987" s="1" t="s">
        <v>6564</v>
      </c>
      <c r="C4987" t="s">
        <v>52</v>
      </c>
      <c r="D4987" s="1" t="s">
        <v>6565</v>
      </c>
    </row>
    <row r="4988" spans="1:4" hidden="1" x14ac:dyDescent="0.3">
      <c r="A4988">
        <v>4986</v>
      </c>
      <c r="B4988" s="1" t="s">
        <v>6566</v>
      </c>
      <c r="C4988" t="s">
        <v>58</v>
      </c>
      <c r="D4988" s="1" t="s">
        <v>6567</v>
      </c>
    </row>
    <row r="4989" spans="1:4" hidden="1" x14ac:dyDescent="0.3">
      <c r="A4989">
        <v>4987</v>
      </c>
      <c r="B4989" t="s">
        <v>6568</v>
      </c>
      <c r="C4989" t="s">
        <v>61</v>
      </c>
      <c r="D4989">
        <v>139721959.30509201</v>
      </c>
    </row>
    <row r="4990" spans="1:4" hidden="1" x14ac:dyDescent="0.3">
      <c r="A4990">
        <v>4988</v>
      </c>
      <c r="B4990" t="s">
        <v>6569</v>
      </c>
      <c r="C4990" t="s">
        <v>63</v>
      </c>
      <c r="D4990">
        <v>73078883.279547393</v>
      </c>
    </row>
    <row r="4991" spans="1:4" hidden="1" x14ac:dyDescent="0.3">
      <c r="A4991">
        <v>4989</v>
      </c>
      <c r="B4991" t="s">
        <v>6570</v>
      </c>
      <c r="C4991" t="s">
        <v>65</v>
      </c>
      <c r="D4991">
        <v>34034498.075183898</v>
      </c>
    </row>
    <row r="4992" spans="1:4" hidden="1" x14ac:dyDescent="0.3">
      <c r="A4992">
        <v>4990</v>
      </c>
      <c r="B4992" s="1" t="s">
        <v>6571</v>
      </c>
      <c r="C4992" t="s">
        <v>67</v>
      </c>
      <c r="D4992" s="1" t="s">
        <v>6572</v>
      </c>
    </row>
    <row r="4993" spans="1:4" hidden="1" x14ac:dyDescent="0.3">
      <c r="A4993">
        <v>4991</v>
      </c>
      <c r="B4993" s="1" t="s">
        <v>6573</v>
      </c>
      <c r="C4993" t="s">
        <v>70</v>
      </c>
      <c r="D4993" s="1" t="s">
        <v>6574</v>
      </c>
    </row>
    <row r="4994" spans="1:4" hidden="1" x14ac:dyDescent="0.3">
      <c r="A4994">
        <v>4992</v>
      </c>
      <c r="B4994" t="s">
        <v>6575</v>
      </c>
      <c r="C4994" t="s">
        <v>73</v>
      </c>
      <c r="D4994">
        <v>0.99974078022905399</v>
      </c>
    </row>
    <row r="4995" spans="1:4" hidden="1" x14ac:dyDescent="0.3">
      <c r="A4995">
        <v>4993</v>
      </c>
      <c r="B4995" t="s">
        <v>74</v>
      </c>
      <c r="C4995" t="s">
        <v>75</v>
      </c>
      <c r="D4995">
        <v>2.7397260273972599E-3</v>
      </c>
    </row>
    <row r="4996" spans="1:4" hidden="1" x14ac:dyDescent="0.3">
      <c r="A4996">
        <v>4994</v>
      </c>
      <c r="B4996" t="s">
        <v>76</v>
      </c>
      <c r="C4996" t="s">
        <v>77</v>
      </c>
      <c r="D4996">
        <v>0</v>
      </c>
    </row>
    <row r="4997" spans="1:4" hidden="1" x14ac:dyDescent="0.3">
      <c r="A4997">
        <v>4995</v>
      </c>
      <c r="B4997" t="s">
        <v>78</v>
      </c>
      <c r="C4997" t="s">
        <v>79</v>
      </c>
      <c r="D4997">
        <v>0</v>
      </c>
    </row>
    <row r="4998" spans="1:4" hidden="1" x14ac:dyDescent="0.3">
      <c r="A4998">
        <v>4996</v>
      </c>
      <c r="B4998" s="1" t="s">
        <v>6576</v>
      </c>
      <c r="C4998" t="s">
        <v>81</v>
      </c>
      <c r="D4998" s="1" t="s">
        <v>6577</v>
      </c>
    </row>
    <row r="4999" spans="1:4" hidden="1" x14ac:dyDescent="0.3">
      <c r="A4999">
        <v>4997</v>
      </c>
      <c r="B4999" t="s">
        <v>6578</v>
      </c>
      <c r="C4999" t="s">
        <v>84</v>
      </c>
      <c r="D4999">
        <v>0.99974371488749902</v>
      </c>
    </row>
    <row r="5000" spans="1:4" hidden="1" x14ac:dyDescent="0.3">
      <c r="A5000">
        <v>4998</v>
      </c>
      <c r="B5000" s="1" t="s">
        <v>6579</v>
      </c>
      <c r="C5000" t="s">
        <v>86</v>
      </c>
      <c r="D5000" s="1" t="s">
        <v>6580</v>
      </c>
    </row>
    <row r="5001" spans="1:4" hidden="1" x14ac:dyDescent="0.3">
      <c r="A5001">
        <v>4999</v>
      </c>
      <c r="B5001" t="s">
        <v>6581</v>
      </c>
      <c r="C5001" t="s">
        <v>89</v>
      </c>
      <c r="D5001">
        <v>103019816.139659</v>
      </c>
    </row>
    <row r="5002" spans="1:4" hidden="1" x14ac:dyDescent="0.3">
      <c r="A5002">
        <v>5000</v>
      </c>
      <c r="B5002" s="1" t="s">
        <v>6582</v>
      </c>
      <c r="C5002" t="s">
        <v>91</v>
      </c>
      <c r="D5002" s="1" t="s">
        <v>6516</v>
      </c>
    </row>
    <row r="5003" spans="1:4" hidden="1" x14ac:dyDescent="0.3">
      <c r="A5003">
        <v>5001</v>
      </c>
      <c r="B5003" t="s">
        <v>6583</v>
      </c>
      <c r="C5003" t="s">
        <v>94</v>
      </c>
      <c r="D5003">
        <v>73078883.279547393</v>
      </c>
    </row>
    <row r="5004" spans="1:4" hidden="1" x14ac:dyDescent="0.3">
      <c r="A5004">
        <v>5002</v>
      </c>
      <c r="B5004" t="s">
        <v>6584</v>
      </c>
      <c r="C5004" t="s">
        <v>96</v>
      </c>
      <c r="D5004">
        <v>34034498.075183898</v>
      </c>
    </row>
    <row r="5005" spans="1:4" hidden="1" x14ac:dyDescent="0.3">
      <c r="A5005">
        <v>5003</v>
      </c>
      <c r="B5005" t="s">
        <v>6585</v>
      </c>
      <c r="C5005" t="s">
        <v>98</v>
      </c>
      <c r="D5005">
        <v>32608577.950360902</v>
      </c>
    </row>
    <row r="5006" spans="1:4" hidden="1" x14ac:dyDescent="0.3">
      <c r="A5006">
        <v>5004</v>
      </c>
      <c r="B5006" s="1" t="s">
        <v>6586</v>
      </c>
      <c r="C5006" t="s">
        <v>100</v>
      </c>
      <c r="D5006" s="1" t="s">
        <v>6587</v>
      </c>
    </row>
    <row r="5007" spans="1:4" hidden="1" x14ac:dyDescent="0.3">
      <c r="A5007">
        <v>5005</v>
      </c>
      <c r="B5007" t="s">
        <v>6588</v>
      </c>
      <c r="C5007" t="s">
        <v>103</v>
      </c>
      <c r="D5007">
        <v>8.9690158710978001E-3</v>
      </c>
    </row>
    <row r="5008" spans="1:4" hidden="1" x14ac:dyDescent="0.3">
      <c r="A5008">
        <v>5006</v>
      </c>
      <c r="B5008" t="s">
        <v>6589</v>
      </c>
      <c r="C5008" t="s">
        <v>105</v>
      </c>
      <c r="D5008">
        <v>3.1290369214616799E-3</v>
      </c>
    </row>
    <row r="5009" spans="1:4" hidden="1" x14ac:dyDescent="0.3">
      <c r="A5009">
        <v>5007</v>
      </c>
      <c r="B5009" t="s">
        <v>6590</v>
      </c>
      <c r="C5009" t="s">
        <v>107</v>
      </c>
      <c r="D5009">
        <v>1.29904070606976E-2</v>
      </c>
    </row>
    <row r="5010" spans="1:4" hidden="1" x14ac:dyDescent="0.3">
      <c r="A5010">
        <v>5008</v>
      </c>
      <c r="B5010" s="1" t="s">
        <v>6591</v>
      </c>
      <c r="C5010" t="s">
        <v>109</v>
      </c>
      <c r="D5010" s="1" t="s">
        <v>6592</v>
      </c>
    </row>
    <row r="5011" spans="1:4" hidden="1" x14ac:dyDescent="0.3">
      <c r="A5011">
        <v>5009</v>
      </c>
      <c r="B5011" t="s">
        <v>6593</v>
      </c>
      <c r="C5011" t="s">
        <v>208</v>
      </c>
      <c r="D5011">
        <v>139722063.158369</v>
      </c>
    </row>
    <row r="5012" spans="1:4" hidden="1" x14ac:dyDescent="0.3">
      <c r="A5012">
        <v>5010</v>
      </c>
      <c r="B5012" t="s">
        <v>6594</v>
      </c>
      <c r="C5012" t="s">
        <v>210</v>
      </c>
      <c r="D5012">
        <v>-214.51737536329401</v>
      </c>
    </row>
    <row r="5013" spans="1:4" hidden="1" x14ac:dyDescent="0.3">
      <c r="A5013">
        <v>5011</v>
      </c>
      <c r="B5013" t="s">
        <v>6595</v>
      </c>
      <c r="C5013" t="s">
        <v>212</v>
      </c>
      <c r="D5013">
        <v>-99.9055745196966</v>
      </c>
    </row>
    <row r="5014" spans="1:4" hidden="1" x14ac:dyDescent="0.3">
      <c r="A5014">
        <v>5012</v>
      </c>
      <c r="B5014" s="1" t="s">
        <v>6596</v>
      </c>
      <c r="C5014" t="s">
        <v>214</v>
      </c>
      <c r="D5014" s="1" t="s">
        <v>6597</v>
      </c>
    </row>
    <row r="5015" spans="1:4" hidden="1" x14ac:dyDescent="0.3">
      <c r="A5015">
        <v>5013</v>
      </c>
      <c r="B5015" t="s">
        <v>6598</v>
      </c>
      <c r="C5015" t="s">
        <v>217</v>
      </c>
      <c r="D5015">
        <v>73079168.081644997</v>
      </c>
    </row>
    <row r="5016" spans="1:4" hidden="1" x14ac:dyDescent="0.3">
      <c r="A5016">
        <v>5014</v>
      </c>
      <c r="B5016" t="s">
        <v>6599</v>
      </c>
      <c r="C5016" t="s">
        <v>219</v>
      </c>
      <c r="D5016">
        <v>34034614.959527798</v>
      </c>
    </row>
    <row r="5017" spans="1:4" hidden="1" x14ac:dyDescent="0.3">
      <c r="A5017">
        <v>5015</v>
      </c>
      <c r="B5017" t="s">
        <v>6600</v>
      </c>
      <c r="C5017" t="s">
        <v>221</v>
      </c>
      <c r="D5017">
        <v>32608690.2600458</v>
      </c>
    </row>
    <row r="5018" spans="1:4" hidden="1" x14ac:dyDescent="0.3">
      <c r="A5018">
        <v>5016</v>
      </c>
      <c r="B5018" s="1" t="s">
        <v>6601</v>
      </c>
      <c r="C5018" t="s">
        <v>223</v>
      </c>
      <c r="D5018" s="1" t="s">
        <v>6602</v>
      </c>
    </row>
    <row r="5019" spans="1:4" hidden="1" x14ac:dyDescent="0.3">
      <c r="A5019">
        <v>5017</v>
      </c>
      <c r="B5019" t="s">
        <v>6603</v>
      </c>
      <c r="C5019" t="s">
        <v>226</v>
      </c>
      <c r="D5019">
        <v>103020118.546022</v>
      </c>
    </row>
    <row r="5020" spans="1:4" hidden="1" x14ac:dyDescent="0.3">
      <c r="A5020">
        <v>5018</v>
      </c>
      <c r="B5020" t="s">
        <v>6604</v>
      </c>
      <c r="C5020" t="s">
        <v>228</v>
      </c>
      <c r="D5020">
        <v>-302.40636312961499</v>
      </c>
    </row>
    <row r="5021" spans="1:4" hidden="1" x14ac:dyDescent="0.3">
      <c r="A5021">
        <v>5019</v>
      </c>
      <c r="B5021" s="1" t="s">
        <v>6605</v>
      </c>
      <c r="C5021" t="s">
        <v>230</v>
      </c>
      <c r="D5021" s="1" t="s">
        <v>6606</v>
      </c>
    </row>
    <row r="5022" spans="1:4" hidden="1" x14ac:dyDescent="0.3">
      <c r="A5022">
        <v>5020</v>
      </c>
      <c r="B5022" t="s">
        <v>6607</v>
      </c>
      <c r="C5022" t="s">
        <v>112</v>
      </c>
      <c r="D5022">
        <v>70.284722253922794</v>
      </c>
    </row>
    <row r="5023" spans="1:4" hidden="1" x14ac:dyDescent="0.3">
      <c r="A5023">
        <v>5021</v>
      </c>
      <c r="B5023" t="s">
        <v>6608</v>
      </c>
      <c r="C5023" t="s">
        <v>114</v>
      </c>
      <c r="D5023">
        <v>16.978769382612501</v>
      </c>
    </row>
    <row r="5024" spans="1:4" hidden="1" x14ac:dyDescent="0.3">
      <c r="A5024">
        <v>5022</v>
      </c>
      <c r="B5024" s="1" t="s">
        <v>6609</v>
      </c>
      <c r="C5024" t="s">
        <v>116</v>
      </c>
      <c r="D5024" s="1" t="s">
        <v>6610</v>
      </c>
    </row>
    <row r="5025" spans="1:4" hidden="1" x14ac:dyDescent="0.3">
      <c r="A5025">
        <v>5023</v>
      </c>
      <c r="B5025" t="s">
        <v>6611</v>
      </c>
      <c r="C5025" t="s">
        <v>119</v>
      </c>
      <c r="D5025">
        <v>73079168.081644997</v>
      </c>
    </row>
    <row r="5026" spans="1:4" hidden="1" x14ac:dyDescent="0.3">
      <c r="A5026">
        <v>5024</v>
      </c>
      <c r="B5026" t="s">
        <v>6612</v>
      </c>
      <c r="C5026" t="s">
        <v>121</v>
      </c>
      <c r="D5026">
        <v>34034614.959527798</v>
      </c>
    </row>
    <row r="5027" spans="1:4" hidden="1" x14ac:dyDescent="0.3">
      <c r="A5027">
        <v>5025</v>
      </c>
      <c r="B5027" s="1" t="s">
        <v>6613</v>
      </c>
      <c r="C5027" t="s">
        <v>123</v>
      </c>
      <c r="D5027" s="1" t="s">
        <v>6614</v>
      </c>
    </row>
    <row r="5028" spans="1:4" hidden="1" x14ac:dyDescent="0.3">
      <c r="A5028">
        <v>5026</v>
      </c>
      <c r="B5028" t="s">
        <v>6615</v>
      </c>
      <c r="C5028" t="s">
        <v>126</v>
      </c>
      <c r="D5028">
        <v>0.70954977549384002</v>
      </c>
    </row>
    <row r="5029" spans="1:4" hidden="1" x14ac:dyDescent="0.3">
      <c r="A5029">
        <v>5027</v>
      </c>
      <c r="B5029" t="s">
        <v>6616</v>
      </c>
      <c r="C5029" t="s">
        <v>128</v>
      </c>
      <c r="D5029">
        <v>0.33045331573249898</v>
      </c>
    </row>
    <row r="5030" spans="1:4" hidden="1" x14ac:dyDescent="0.3">
      <c r="A5030">
        <v>5028</v>
      </c>
      <c r="B5030" s="1" t="s">
        <v>6617</v>
      </c>
      <c r="C5030" t="s">
        <v>130</v>
      </c>
      <c r="D5030" s="1" t="s">
        <v>6618</v>
      </c>
    </row>
    <row r="5031" spans="1:4" ht="72" x14ac:dyDescent="0.3">
      <c r="A5031">
        <v>5029</v>
      </c>
      <c r="B5031" s="1" t="s">
        <v>6619</v>
      </c>
      <c r="C5031" t="s">
        <v>4</v>
      </c>
      <c r="D5031" t="s">
        <v>6620</v>
      </c>
    </row>
    <row r="5032" spans="1:4" hidden="1" x14ac:dyDescent="0.3">
      <c r="A5032">
        <v>5030</v>
      </c>
      <c r="B5032" t="s">
        <v>6621</v>
      </c>
      <c r="C5032" t="s">
        <v>7</v>
      </c>
      <c r="D5032">
        <v>1666.37</v>
      </c>
    </row>
    <row r="5033" spans="1:4" hidden="1" x14ac:dyDescent="0.3">
      <c r="A5033">
        <v>5031</v>
      </c>
      <c r="B5033" s="1" t="s">
        <v>6622</v>
      </c>
      <c r="C5033" t="s">
        <v>9</v>
      </c>
      <c r="D5033" s="1" t="s">
        <v>6623</v>
      </c>
    </row>
    <row r="5034" spans="1:4" hidden="1" x14ac:dyDescent="0.3">
      <c r="A5034">
        <v>5032</v>
      </c>
      <c r="B5034" t="s">
        <v>6624</v>
      </c>
      <c r="C5034" t="s">
        <v>14</v>
      </c>
      <c r="D5034">
        <v>87.98046875</v>
      </c>
    </row>
    <row r="5035" spans="1:4" hidden="1" x14ac:dyDescent="0.3">
      <c r="A5035">
        <v>5033</v>
      </c>
      <c r="B5035" t="s">
        <v>6625</v>
      </c>
      <c r="C5035" t="s">
        <v>16</v>
      </c>
      <c r="D5035">
        <v>4.2180463800838099</v>
      </c>
    </row>
    <row r="5036" spans="1:4" hidden="1" x14ac:dyDescent="0.3">
      <c r="A5036">
        <v>5034</v>
      </c>
      <c r="B5036" s="1" t="s">
        <v>6626</v>
      </c>
      <c r="C5036" t="s">
        <v>140</v>
      </c>
      <c r="D5036" s="1" t="s">
        <v>6627</v>
      </c>
    </row>
    <row r="5037" spans="1:4" hidden="1" x14ac:dyDescent="0.3">
      <c r="A5037">
        <v>5035</v>
      </c>
      <c r="B5037" t="s">
        <v>6628</v>
      </c>
      <c r="C5037" t="s">
        <v>22</v>
      </c>
      <c r="D5037">
        <v>52.05</v>
      </c>
    </row>
    <row r="5038" spans="1:4" hidden="1" x14ac:dyDescent="0.3">
      <c r="A5038">
        <v>5036</v>
      </c>
      <c r="B5038" t="s">
        <v>6629</v>
      </c>
      <c r="C5038" t="s">
        <v>24</v>
      </c>
      <c r="D5038">
        <v>5.50052699868617</v>
      </c>
    </row>
    <row r="5039" spans="1:4" hidden="1" x14ac:dyDescent="0.3">
      <c r="A5039">
        <v>5037</v>
      </c>
      <c r="B5039" s="1" t="s">
        <v>6630</v>
      </c>
      <c r="C5039" t="s">
        <v>145</v>
      </c>
      <c r="D5039" s="1" t="s">
        <v>6631</v>
      </c>
    </row>
    <row r="5040" spans="1:4" hidden="1" x14ac:dyDescent="0.3">
      <c r="A5040">
        <v>5038</v>
      </c>
      <c r="B5040" t="s">
        <v>6632</v>
      </c>
      <c r="C5040" t="s">
        <v>35</v>
      </c>
      <c r="D5040">
        <v>0.27499804823367602</v>
      </c>
    </row>
    <row r="5041" spans="1:4" hidden="1" x14ac:dyDescent="0.3">
      <c r="A5041">
        <v>5039</v>
      </c>
      <c r="B5041" t="s">
        <v>6633</v>
      </c>
      <c r="C5041" t="s">
        <v>149</v>
      </c>
      <c r="D5041">
        <v>0.53891614284912104</v>
      </c>
    </row>
    <row r="5042" spans="1:4" hidden="1" x14ac:dyDescent="0.3">
      <c r="A5042">
        <v>5040</v>
      </c>
      <c r="B5042" s="1" t="s">
        <v>6634</v>
      </c>
      <c r="C5042" t="s">
        <v>151</v>
      </c>
      <c r="D5042" s="1" t="s">
        <v>6635</v>
      </c>
    </row>
    <row r="5043" spans="1:4" hidden="1" x14ac:dyDescent="0.3">
      <c r="A5043">
        <v>5041</v>
      </c>
      <c r="B5043" t="s">
        <v>6636</v>
      </c>
      <c r="C5043" t="s">
        <v>30</v>
      </c>
      <c r="D5043">
        <v>0.30963061670387698</v>
      </c>
    </row>
    <row r="5044" spans="1:4" hidden="1" x14ac:dyDescent="0.3">
      <c r="A5044">
        <v>5042</v>
      </c>
      <c r="B5044" t="s">
        <v>6637</v>
      </c>
      <c r="C5044" t="s">
        <v>32</v>
      </c>
      <c r="D5044">
        <v>0.42320342246604697</v>
      </c>
    </row>
    <row r="5045" spans="1:4" hidden="1" x14ac:dyDescent="0.3">
      <c r="A5045">
        <v>5043</v>
      </c>
      <c r="B5045" s="1" t="s">
        <v>6638</v>
      </c>
      <c r="C5045" t="s">
        <v>155</v>
      </c>
      <c r="D5045" s="1" t="s">
        <v>6639</v>
      </c>
    </row>
    <row r="5046" spans="1:4" hidden="1" x14ac:dyDescent="0.3">
      <c r="A5046">
        <v>5044</v>
      </c>
      <c r="B5046" t="s">
        <v>6640</v>
      </c>
      <c r="C5046" t="s">
        <v>40</v>
      </c>
      <c r="D5046">
        <v>0.415371335062445</v>
      </c>
    </row>
    <row r="5047" spans="1:4" hidden="1" x14ac:dyDescent="0.3">
      <c r="A5047">
        <v>5045</v>
      </c>
      <c r="B5047" t="s">
        <v>6641</v>
      </c>
      <c r="C5047" t="s">
        <v>42</v>
      </c>
      <c r="D5047">
        <v>0.43237283604652499</v>
      </c>
    </row>
    <row r="5048" spans="1:4" hidden="1" x14ac:dyDescent="0.3">
      <c r="A5048">
        <v>5046</v>
      </c>
      <c r="B5048" s="1" t="s">
        <v>6642</v>
      </c>
      <c r="C5048" t="s">
        <v>159</v>
      </c>
      <c r="D5048" s="1" t="s">
        <v>6643</v>
      </c>
    </row>
    <row r="5049" spans="1:4" hidden="1" x14ac:dyDescent="0.3">
      <c r="A5049">
        <v>5047</v>
      </c>
      <c r="B5049" t="s">
        <v>6644</v>
      </c>
      <c r="C5049" t="s">
        <v>161</v>
      </c>
      <c r="D5049">
        <v>0.99592395364543096</v>
      </c>
    </row>
    <row r="5050" spans="1:4" hidden="1" x14ac:dyDescent="0.3">
      <c r="A5050">
        <v>5048</v>
      </c>
      <c r="B5050" t="s">
        <v>6645</v>
      </c>
      <c r="C5050" t="s">
        <v>163</v>
      </c>
      <c r="D5050">
        <v>0.99604164614142598</v>
      </c>
    </row>
    <row r="5051" spans="1:4" hidden="1" x14ac:dyDescent="0.3">
      <c r="A5051">
        <v>5049</v>
      </c>
      <c r="B5051" s="1" t="s">
        <v>6646</v>
      </c>
      <c r="C5051" t="s">
        <v>165</v>
      </c>
      <c r="D5051" s="1" t="s">
        <v>6647</v>
      </c>
    </row>
    <row r="5052" spans="1:4" hidden="1" x14ac:dyDescent="0.3">
      <c r="A5052">
        <v>5050</v>
      </c>
      <c r="B5052" t="s">
        <v>6648</v>
      </c>
      <c r="C5052" t="s">
        <v>168</v>
      </c>
      <c r="D5052">
        <v>0.99822692802643698</v>
      </c>
    </row>
    <row r="5053" spans="1:4" hidden="1" x14ac:dyDescent="0.3">
      <c r="A5053">
        <v>5051</v>
      </c>
      <c r="B5053" t="s">
        <v>6649</v>
      </c>
      <c r="C5053" t="s">
        <v>170</v>
      </c>
      <c r="D5053">
        <v>1.00212282695003</v>
      </c>
    </row>
    <row r="5054" spans="1:4" hidden="1" x14ac:dyDescent="0.3">
      <c r="A5054">
        <v>5052</v>
      </c>
      <c r="B5054" s="1" t="s">
        <v>6650</v>
      </c>
      <c r="C5054" t="s">
        <v>172</v>
      </c>
      <c r="D5054" s="1" t="s">
        <v>6651</v>
      </c>
    </row>
    <row r="5055" spans="1:4" hidden="1" x14ac:dyDescent="0.3">
      <c r="A5055">
        <v>5053</v>
      </c>
      <c r="B5055" s="1" t="s">
        <v>6652</v>
      </c>
      <c r="C5055" t="s">
        <v>55</v>
      </c>
      <c r="D5055" s="1" t="s">
        <v>6653</v>
      </c>
    </row>
    <row r="5056" spans="1:4" hidden="1" x14ac:dyDescent="0.3">
      <c r="A5056">
        <v>5054</v>
      </c>
      <c r="B5056" s="1" t="s">
        <v>6654</v>
      </c>
      <c r="C5056" t="s">
        <v>52</v>
      </c>
      <c r="D5056" s="1" t="s">
        <v>6655</v>
      </c>
    </row>
    <row r="5057" spans="1:4" hidden="1" x14ac:dyDescent="0.3">
      <c r="A5057">
        <v>5055</v>
      </c>
      <c r="B5057" s="1" t="s">
        <v>6656</v>
      </c>
      <c r="C5057" t="s">
        <v>58</v>
      </c>
      <c r="D5057" s="1" t="s">
        <v>6657</v>
      </c>
    </row>
    <row r="5058" spans="1:4" hidden="1" x14ac:dyDescent="0.3">
      <c r="A5058">
        <v>5056</v>
      </c>
      <c r="B5058" t="s">
        <v>6658</v>
      </c>
      <c r="C5058" t="s">
        <v>61</v>
      </c>
      <c r="D5058">
        <v>139165935.89484501</v>
      </c>
    </row>
    <row r="5059" spans="1:4" hidden="1" x14ac:dyDescent="0.3">
      <c r="A5059">
        <v>5057</v>
      </c>
      <c r="B5059" t="s">
        <v>6659</v>
      </c>
      <c r="C5059" t="s">
        <v>63</v>
      </c>
      <c r="D5059">
        <v>72781294.004990906</v>
      </c>
    </row>
    <row r="5060" spans="1:4" hidden="1" x14ac:dyDescent="0.3">
      <c r="A5060">
        <v>5058</v>
      </c>
      <c r="B5060" t="s">
        <v>6660</v>
      </c>
      <c r="C5060" t="s">
        <v>65</v>
      </c>
      <c r="D5060">
        <v>33899893.910077602</v>
      </c>
    </row>
    <row r="5061" spans="1:4" hidden="1" x14ac:dyDescent="0.3">
      <c r="A5061">
        <v>5059</v>
      </c>
      <c r="B5061" s="1" t="s">
        <v>6661</v>
      </c>
      <c r="C5061" t="s">
        <v>67</v>
      </c>
      <c r="D5061" s="1" t="s">
        <v>6662</v>
      </c>
    </row>
    <row r="5062" spans="1:4" hidden="1" x14ac:dyDescent="0.3">
      <c r="A5062">
        <v>5060</v>
      </c>
      <c r="B5062" s="1" t="s">
        <v>6663</v>
      </c>
      <c r="C5062" t="s">
        <v>70</v>
      </c>
      <c r="D5062" s="1" t="s">
        <v>6664</v>
      </c>
    </row>
    <row r="5063" spans="1:4" hidden="1" x14ac:dyDescent="0.3">
      <c r="A5063">
        <v>5061</v>
      </c>
      <c r="B5063" t="s">
        <v>6665</v>
      </c>
      <c r="C5063" t="s">
        <v>73</v>
      </c>
      <c r="D5063">
        <v>0.99974371488749902</v>
      </c>
    </row>
    <row r="5064" spans="1:4" hidden="1" x14ac:dyDescent="0.3">
      <c r="A5064">
        <v>5062</v>
      </c>
      <c r="B5064" t="s">
        <v>74</v>
      </c>
      <c r="C5064" t="s">
        <v>75</v>
      </c>
      <c r="D5064">
        <v>2.7397260273972599E-3</v>
      </c>
    </row>
    <row r="5065" spans="1:4" hidden="1" x14ac:dyDescent="0.3">
      <c r="A5065">
        <v>5063</v>
      </c>
      <c r="B5065" t="s">
        <v>76</v>
      </c>
      <c r="C5065" t="s">
        <v>77</v>
      </c>
      <c r="D5065">
        <v>0</v>
      </c>
    </row>
    <row r="5066" spans="1:4" hidden="1" x14ac:dyDescent="0.3">
      <c r="A5066">
        <v>5064</v>
      </c>
      <c r="B5066" t="s">
        <v>78</v>
      </c>
      <c r="C5066" t="s">
        <v>79</v>
      </c>
      <c r="D5066">
        <v>0</v>
      </c>
    </row>
    <row r="5067" spans="1:4" hidden="1" x14ac:dyDescent="0.3">
      <c r="A5067">
        <v>5065</v>
      </c>
      <c r="B5067" s="1" t="s">
        <v>6666</v>
      </c>
      <c r="C5067" t="s">
        <v>81</v>
      </c>
      <c r="D5067" s="1" t="s">
        <v>6667</v>
      </c>
    </row>
    <row r="5068" spans="1:4" hidden="1" x14ac:dyDescent="0.3">
      <c r="A5068">
        <v>5066</v>
      </c>
      <c r="B5068" t="s">
        <v>6668</v>
      </c>
      <c r="C5068" t="s">
        <v>84</v>
      </c>
      <c r="D5068">
        <v>0.99977339985793601</v>
      </c>
    </row>
    <row r="5069" spans="1:4" hidden="1" x14ac:dyDescent="0.3">
      <c r="A5069">
        <v>5067</v>
      </c>
      <c r="B5069" s="1" t="s">
        <v>6669</v>
      </c>
      <c r="C5069" t="s">
        <v>86</v>
      </c>
      <c r="D5069" s="1" t="s">
        <v>6670</v>
      </c>
    </row>
    <row r="5070" spans="1:4" hidden="1" x14ac:dyDescent="0.3">
      <c r="A5070">
        <v>5068</v>
      </c>
      <c r="B5070" t="s">
        <v>6671</v>
      </c>
      <c r="C5070" t="s">
        <v>89</v>
      </c>
      <c r="D5070">
        <v>103016757.30633</v>
      </c>
    </row>
    <row r="5071" spans="1:4" hidden="1" x14ac:dyDescent="0.3">
      <c r="A5071">
        <v>5069</v>
      </c>
      <c r="B5071" s="1" t="s">
        <v>6672</v>
      </c>
      <c r="C5071" t="s">
        <v>91</v>
      </c>
      <c r="D5071" s="1" t="s">
        <v>6606</v>
      </c>
    </row>
    <row r="5072" spans="1:4" hidden="1" x14ac:dyDescent="0.3">
      <c r="A5072">
        <v>5070</v>
      </c>
      <c r="B5072" t="s">
        <v>6673</v>
      </c>
      <c r="C5072" t="s">
        <v>94</v>
      </c>
      <c r="D5072">
        <v>72781294.004990906</v>
      </c>
    </row>
    <row r="5073" spans="1:4" hidden="1" x14ac:dyDescent="0.3">
      <c r="A5073">
        <v>5071</v>
      </c>
      <c r="B5073" t="s">
        <v>6674</v>
      </c>
      <c r="C5073" t="s">
        <v>96</v>
      </c>
      <c r="D5073">
        <v>33899893.910077602</v>
      </c>
    </row>
    <row r="5074" spans="1:4" hidden="1" x14ac:dyDescent="0.3">
      <c r="A5074">
        <v>5072</v>
      </c>
      <c r="B5074" t="s">
        <v>6675</v>
      </c>
      <c r="C5074" t="s">
        <v>98</v>
      </c>
      <c r="D5074">
        <v>32484747.979776599</v>
      </c>
    </row>
    <row r="5075" spans="1:4" hidden="1" x14ac:dyDescent="0.3">
      <c r="A5075">
        <v>5073</v>
      </c>
      <c r="B5075" s="1" t="s">
        <v>6676</v>
      </c>
      <c r="C5075" t="s">
        <v>100</v>
      </c>
      <c r="D5075" s="1" t="s">
        <v>6677</v>
      </c>
    </row>
    <row r="5076" spans="1:4" hidden="1" x14ac:dyDescent="0.3">
      <c r="A5076">
        <v>5074</v>
      </c>
      <c r="B5076" t="s">
        <v>6678</v>
      </c>
      <c r="C5076" t="s">
        <v>103</v>
      </c>
      <c r="D5076">
        <v>8.94963061879488E-3</v>
      </c>
    </row>
    <row r="5077" spans="1:4" hidden="1" x14ac:dyDescent="0.3">
      <c r="A5077">
        <v>5075</v>
      </c>
      <c r="B5077" t="s">
        <v>6679</v>
      </c>
      <c r="C5077" t="s">
        <v>105</v>
      </c>
      <c r="D5077">
        <v>3.14738552129234E-3</v>
      </c>
    </row>
    <row r="5078" spans="1:4" hidden="1" x14ac:dyDescent="0.3">
      <c r="A5078">
        <v>5076</v>
      </c>
      <c r="B5078" t="s">
        <v>6680</v>
      </c>
      <c r="C5078" t="s">
        <v>107</v>
      </c>
      <c r="D5078">
        <v>1.29865095765855E-2</v>
      </c>
    </row>
    <row r="5079" spans="1:4" hidden="1" x14ac:dyDescent="0.3">
      <c r="A5079">
        <v>5077</v>
      </c>
      <c r="B5079" s="1" t="s">
        <v>6681</v>
      </c>
      <c r="C5079" t="s">
        <v>109</v>
      </c>
      <c r="D5079" s="1" t="s">
        <v>6682</v>
      </c>
    </row>
    <row r="5080" spans="1:4" hidden="1" x14ac:dyDescent="0.3">
      <c r="A5080">
        <v>5078</v>
      </c>
      <c r="B5080" t="s">
        <v>6683</v>
      </c>
      <c r="C5080" t="s">
        <v>208</v>
      </c>
      <c r="D5080">
        <v>139166985.193838</v>
      </c>
    </row>
    <row r="5081" spans="1:4" hidden="1" x14ac:dyDescent="0.3">
      <c r="A5081">
        <v>5079</v>
      </c>
      <c r="B5081" t="s">
        <v>6684</v>
      </c>
      <c r="C5081" t="s">
        <v>210</v>
      </c>
      <c r="D5081">
        <v>-2161.08815325045</v>
      </c>
    </row>
    <row r="5082" spans="1:4" hidden="1" x14ac:dyDescent="0.3">
      <c r="A5082">
        <v>5080</v>
      </c>
      <c r="B5082" t="s">
        <v>6685</v>
      </c>
      <c r="C5082" t="s">
        <v>212</v>
      </c>
      <c r="D5082">
        <v>-1006.57930038528</v>
      </c>
    </row>
    <row r="5083" spans="1:4" hidden="1" x14ac:dyDescent="0.3">
      <c r="A5083">
        <v>5081</v>
      </c>
      <c r="B5083" s="1" t="s">
        <v>6686</v>
      </c>
      <c r="C5083" t="s">
        <v>214</v>
      </c>
      <c r="D5083" s="1" t="s">
        <v>6687</v>
      </c>
    </row>
    <row r="5084" spans="1:4" hidden="1" x14ac:dyDescent="0.3">
      <c r="A5084">
        <v>5082</v>
      </c>
      <c r="B5084" t="s">
        <v>6688</v>
      </c>
      <c r="C5084" t="s">
        <v>217</v>
      </c>
      <c r="D5084">
        <v>72784254.745698094</v>
      </c>
    </row>
    <row r="5085" spans="1:4" hidden="1" x14ac:dyDescent="0.3">
      <c r="A5085">
        <v>5083</v>
      </c>
      <c r="B5085" t="s">
        <v>6689</v>
      </c>
      <c r="C5085" t="s">
        <v>219</v>
      </c>
      <c r="D5085">
        <v>33901034.583339602</v>
      </c>
    </row>
    <row r="5086" spans="1:4" hidden="1" x14ac:dyDescent="0.3">
      <c r="A5086">
        <v>5084</v>
      </c>
      <c r="B5086" t="s">
        <v>6690</v>
      </c>
      <c r="C5086" t="s">
        <v>221</v>
      </c>
      <c r="D5086">
        <v>32485828.091669898</v>
      </c>
    </row>
    <row r="5087" spans="1:4" hidden="1" x14ac:dyDescent="0.3">
      <c r="A5087">
        <v>5085</v>
      </c>
      <c r="B5087" s="1" t="s">
        <v>6691</v>
      </c>
      <c r="C5087" t="s">
        <v>223</v>
      </c>
      <c r="D5087" s="1" t="s">
        <v>6692</v>
      </c>
    </row>
    <row r="5088" spans="1:4" hidden="1" x14ac:dyDescent="0.3">
      <c r="A5088">
        <v>5086</v>
      </c>
      <c r="B5088" t="s">
        <v>6693</v>
      </c>
      <c r="C5088" t="s">
        <v>226</v>
      </c>
      <c r="D5088">
        <v>103019816.139659</v>
      </c>
    </row>
    <row r="5089" spans="1:4" hidden="1" x14ac:dyDescent="0.3">
      <c r="A5089">
        <v>5087</v>
      </c>
      <c r="B5089" t="s">
        <v>6694</v>
      </c>
      <c r="C5089" t="s">
        <v>228</v>
      </c>
      <c r="D5089">
        <v>-3058.8333285450899</v>
      </c>
    </row>
    <row r="5090" spans="1:4" hidden="1" x14ac:dyDescent="0.3">
      <c r="A5090">
        <v>5088</v>
      </c>
      <c r="B5090" s="1" t="s">
        <v>6695</v>
      </c>
      <c r="C5090" t="s">
        <v>230</v>
      </c>
      <c r="D5090" s="1" t="s">
        <v>6696</v>
      </c>
    </row>
    <row r="5091" spans="1:4" hidden="1" x14ac:dyDescent="0.3">
      <c r="A5091">
        <v>5089</v>
      </c>
      <c r="B5091" t="s">
        <v>6697</v>
      </c>
      <c r="C5091" t="s">
        <v>112</v>
      </c>
      <c r="D5091">
        <v>799.65255389510799</v>
      </c>
    </row>
    <row r="5092" spans="1:4" hidden="1" x14ac:dyDescent="0.3">
      <c r="A5092">
        <v>5090</v>
      </c>
      <c r="B5092" t="s">
        <v>6698</v>
      </c>
      <c r="C5092" t="s">
        <v>114</v>
      </c>
      <c r="D5092">
        <v>134.09396151883601</v>
      </c>
    </row>
    <row r="5093" spans="1:4" hidden="1" x14ac:dyDescent="0.3">
      <c r="A5093">
        <v>5091</v>
      </c>
      <c r="B5093" s="1" t="s">
        <v>6699</v>
      </c>
      <c r="C5093" t="s">
        <v>116</v>
      </c>
      <c r="D5093" s="1" t="s">
        <v>6700</v>
      </c>
    </row>
    <row r="5094" spans="1:4" hidden="1" x14ac:dyDescent="0.3">
      <c r="A5094">
        <v>5092</v>
      </c>
      <c r="B5094" t="s">
        <v>6701</v>
      </c>
      <c r="C5094" t="s">
        <v>119</v>
      </c>
      <c r="D5094">
        <v>72784254.745698094</v>
      </c>
    </row>
    <row r="5095" spans="1:4" hidden="1" x14ac:dyDescent="0.3">
      <c r="A5095">
        <v>5093</v>
      </c>
      <c r="B5095" t="s">
        <v>6702</v>
      </c>
      <c r="C5095" t="s">
        <v>121</v>
      </c>
      <c r="D5095">
        <v>33901034.583339602</v>
      </c>
    </row>
    <row r="5096" spans="1:4" hidden="1" x14ac:dyDescent="0.3">
      <c r="A5096">
        <v>5094</v>
      </c>
      <c r="B5096" s="1" t="s">
        <v>6703</v>
      </c>
      <c r="C5096" t="s">
        <v>123</v>
      </c>
      <c r="D5096" s="1" t="s">
        <v>6704</v>
      </c>
    </row>
    <row r="5097" spans="1:4" hidden="1" x14ac:dyDescent="0.3">
      <c r="A5097">
        <v>5095</v>
      </c>
      <c r="B5097" t="s">
        <v>6705</v>
      </c>
      <c r="C5097" t="s">
        <v>126</v>
      </c>
      <c r="D5097">
        <v>0.70666745616800997</v>
      </c>
    </row>
    <row r="5098" spans="1:4" hidden="1" x14ac:dyDescent="0.3">
      <c r="A5098">
        <v>5096</v>
      </c>
      <c r="B5098" t="s">
        <v>6706</v>
      </c>
      <c r="C5098" t="s">
        <v>128</v>
      </c>
      <c r="D5098">
        <v>0.32914753272084901</v>
      </c>
    </row>
    <row r="5099" spans="1:4" hidden="1" x14ac:dyDescent="0.3">
      <c r="A5099">
        <v>5097</v>
      </c>
      <c r="B5099" s="1" t="s">
        <v>6707</v>
      </c>
      <c r="C5099" t="s">
        <v>130</v>
      </c>
      <c r="D5099" s="1" t="s">
        <v>6708</v>
      </c>
    </row>
    <row r="5100" spans="1:4" ht="72" x14ac:dyDescent="0.3">
      <c r="A5100">
        <v>5098</v>
      </c>
      <c r="B5100" s="1" t="s">
        <v>6709</v>
      </c>
      <c r="C5100" t="s">
        <v>4</v>
      </c>
      <c r="D5100" t="s">
        <v>6710</v>
      </c>
    </row>
    <row r="5101" spans="1:4" hidden="1" x14ac:dyDescent="0.3">
      <c r="A5101">
        <v>5099</v>
      </c>
      <c r="B5101" t="s">
        <v>6711</v>
      </c>
      <c r="C5101" t="s">
        <v>7</v>
      </c>
      <c r="D5101">
        <v>1644.47</v>
      </c>
    </row>
    <row r="5102" spans="1:4" hidden="1" x14ac:dyDescent="0.3">
      <c r="A5102">
        <v>5100</v>
      </c>
      <c r="B5102" s="1" t="s">
        <v>6712</v>
      </c>
      <c r="C5102" t="s">
        <v>9</v>
      </c>
      <c r="D5102" s="1" t="s">
        <v>6713</v>
      </c>
    </row>
    <row r="5103" spans="1:4" hidden="1" x14ac:dyDescent="0.3">
      <c r="A5103">
        <v>5101</v>
      </c>
      <c r="B5103" t="s">
        <v>6714</v>
      </c>
      <c r="C5103" t="s">
        <v>14</v>
      </c>
      <c r="D5103">
        <v>87.859375</v>
      </c>
    </row>
    <row r="5104" spans="1:4" hidden="1" x14ac:dyDescent="0.3">
      <c r="A5104">
        <v>5102</v>
      </c>
      <c r="B5104" t="s">
        <v>6715</v>
      </c>
      <c r="C5104" t="s">
        <v>16</v>
      </c>
      <c r="D5104">
        <v>4.2163026198252203</v>
      </c>
    </row>
    <row r="5105" spans="1:4" hidden="1" x14ac:dyDescent="0.3">
      <c r="A5105">
        <v>5103</v>
      </c>
      <c r="B5105" s="1" t="s">
        <v>6716</v>
      </c>
      <c r="C5105" t="s">
        <v>140</v>
      </c>
      <c r="D5105" s="1" t="s">
        <v>6717</v>
      </c>
    </row>
    <row r="5106" spans="1:4" hidden="1" x14ac:dyDescent="0.3">
      <c r="A5106">
        <v>5104</v>
      </c>
      <c r="B5106" t="s">
        <v>6718</v>
      </c>
      <c r="C5106" t="s">
        <v>22</v>
      </c>
      <c r="D5106">
        <v>51.5</v>
      </c>
    </row>
    <row r="5107" spans="1:4" hidden="1" x14ac:dyDescent="0.3">
      <c r="A5107">
        <v>5105</v>
      </c>
      <c r="B5107" t="s">
        <v>6719</v>
      </c>
      <c r="C5107" t="s">
        <v>24</v>
      </c>
      <c r="D5107">
        <v>5.5210460760932198</v>
      </c>
    </row>
    <row r="5108" spans="1:4" hidden="1" x14ac:dyDescent="0.3">
      <c r="A5108">
        <v>5106</v>
      </c>
      <c r="B5108" s="1" t="s">
        <v>6720</v>
      </c>
      <c r="C5108" t="s">
        <v>145</v>
      </c>
      <c r="D5108" s="1" t="s">
        <v>6721</v>
      </c>
    </row>
    <row r="5109" spans="1:4" hidden="1" x14ac:dyDescent="0.3">
      <c r="A5109">
        <v>5107</v>
      </c>
      <c r="B5109" t="s">
        <v>6722</v>
      </c>
      <c r="C5109" t="s">
        <v>35</v>
      </c>
      <c r="D5109">
        <v>0.290090968748071</v>
      </c>
    </row>
    <row r="5110" spans="1:4" hidden="1" x14ac:dyDescent="0.3">
      <c r="A5110">
        <v>5108</v>
      </c>
      <c r="B5110" t="s">
        <v>6723</v>
      </c>
      <c r="C5110" t="s">
        <v>149</v>
      </c>
      <c r="D5110">
        <v>0.541893007478772</v>
      </c>
    </row>
    <row r="5111" spans="1:4" hidden="1" x14ac:dyDescent="0.3">
      <c r="A5111">
        <v>5109</v>
      </c>
      <c r="B5111" s="1" t="s">
        <v>6724</v>
      </c>
      <c r="C5111" t="s">
        <v>151</v>
      </c>
      <c r="D5111" s="1" t="s">
        <v>6725</v>
      </c>
    </row>
    <row r="5112" spans="1:4" hidden="1" x14ac:dyDescent="0.3">
      <c r="A5112">
        <v>5110</v>
      </c>
      <c r="B5112" t="s">
        <v>6726</v>
      </c>
      <c r="C5112" t="s">
        <v>30</v>
      </c>
      <c r="D5112">
        <v>0.30280733360839401</v>
      </c>
    </row>
    <row r="5113" spans="1:4" hidden="1" x14ac:dyDescent="0.3">
      <c r="A5113">
        <v>5111</v>
      </c>
      <c r="B5113" t="s">
        <v>6727</v>
      </c>
      <c r="C5113" t="s">
        <v>32</v>
      </c>
      <c r="D5113">
        <v>0.41861688089938298</v>
      </c>
    </row>
    <row r="5114" spans="1:4" hidden="1" x14ac:dyDescent="0.3">
      <c r="A5114">
        <v>5112</v>
      </c>
      <c r="B5114" s="1" t="s">
        <v>6728</v>
      </c>
      <c r="C5114" t="s">
        <v>155</v>
      </c>
      <c r="D5114" s="1" t="s">
        <v>6729</v>
      </c>
    </row>
    <row r="5115" spans="1:4" hidden="1" x14ac:dyDescent="0.3">
      <c r="A5115">
        <v>5113</v>
      </c>
      <c r="B5115" t="s">
        <v>6730</v>
      </c>
      <c r="C5115" t="s">
        <v>40</v>
      </c>
      <c r="D5115">
        <v>0.40710169764353299</v>
      </c>
    </row>
    <row r="5116" spans="1:4" hidden="1" x14ac:dyDescent="0.3">
      <c r="A5116">
        <v>5114</v>
      </c>
      <c r="B5116" t="s">
        <v>6731</v>
      </c>
      <c r="C5116" t="s">
        <v>42</v>
      </c>
      <c r="D5116">
        <v>0.42676585369730102</v>
      </c>
    </row>
    <row r="5117" spans="1:4" hidden="1" x14ac:dyDescent="0.3">
      <c r="A5117">
        <v>5115</v>
      </c>
      <c r="B5117" s="1" t="s">
        <v>6732</v>
      </c>
      <c r="C5117" t="s">
        <v>159</v>
      </c>
      <c r="D5117" s="1" t="s">
        <v>6733</v>
      </c>
    </row>
    <row r="5118" spans="1:4" hidden="1" x14ac:dyDescent="0.3">
      <c r="A5118">
        <v>5116</v>
      </c>
      <c r="B5118" t="s">
        <v>6734</v>
      </c>
      <c r="C5118" t="s">
        <v>161</v>
      </c>
      <c r="D5118">
        <v>0.98685766066359804</v>
      </c>
    </row>
    <row r="5119" spans="1:4" hidden="1" x14ac:dyDescent="0.3">
      <c r="A5119">
        <v>5117</v>
      </c>
      <c r="B5119" t="s">
        <v>6735</v>
      </c>
      <c r="C5119" t="s">
        <v>163</v>
      </c>
      <c r="D5119">
        <v>0.99866768450570698</v>
      </c>
    </row>
    <row r="5120" spans="1:4" hidden="1" x14ac:dyDescent="0.3">
      <c r="A5120">
        <v>5118</v>
      </c>
      <c r="B5120" s="1" t="s">
        <v>6736</v>
      </c>
      <c r="C5120" t="s">
        <v>165</v>
      </c>
      <c r="D5120" s="1" t="s">
        <v>6737</v>
      </c>
    </row>
    <row r="5121" spans="1:4" hidden="1" x14ac:dyDescent="0.3">
      <c r="A5121">
        <v>5119</v>
      </c>
      <c r="B5121" t="s">
        <v>6738</v>
      </c>
      <c r="C5121" t="s">
        <v>168</v>
      </c>
      <c r="D5121">
        <v>1.0019343904107301</v>
      </c>
    </row>
    <row r="5122" spans="1:4" hidden="1" x14ac:dyDescent="0.3">
      <c r="A5122">
        <v>5120</v>
      </c>
      <c r="B5122" t="s">
        <v>6739</v>
      </c>
      <c r="C5122" t="s">
        <v>170</v>
      </c>
      <c r="D5122">
        <v>0.99677731131455805</v>
      </c>
    </row>
    <row r="5123" spans="1:4" hidden="1" x14ac:dyDescent="0.3">
      <c r="A5123">
        <v>5121</v>
      </c>
      <c r="B5123" s="1" t="s">
        <v>6740</v>
      </c>
      <c r="C5123" t="s">
        <v>172</v>
      </c>
      <c r="D5123" s="1" t="s">
        <v>6741</v>
      </c>
    </row>
    <row r="5124" spans="1:4" hidden="1" x14ac:dyDescent="0.3">
      <c r="A5124">
        <v>5122</v>
      </c>
      <c r="B5124" s="1" t="s">
        <v>6742</v>
      </c>
      <c r="C5124" t="s">
        <v>55</v>
      </c>
      <c r="D5124" s="1" t="s">
        <v>6743</v>
      </c>
    </row>
    <row r="5125" spans="1:4" hidden="1" x14ac:dyDescent="0.3">
      <c r="A5125">
        <v>5123</v>
      </c>
      <c r="B5125" s="1" t="s">
        <v>6744</v>
      </c>
      <c r="C5125" t="s">
        <v>52</v>
      </c>
      <c r="D5125" s="1" t="s">
        <v>6745</v>
      </c>
    </row>
    <row r="5126" spans="1:4" hidden="1" x14ac:dyDescent="0.3">
      <c r="A5126">
        <v>5124</v>
      </c>
      <c r="B5126" s="1" t="s">
        <v>6746</v>
      </c>
      <c r="C5126" t="s">
        <v>58</v>
      </c>
      <c r="D5126" s="1" t="s">
        <v>6747</v>
      </c>
    </row>
    <row r="5127" spans="1:4" hidden="1" x14ac:dyDescent="0.3">
      <c r="A5127">
        <v>5125</v>
      </c>
      <c r="B5127" t="s">
        <v>6748</v>
      </c>
      <c r="C5127" t="s">
        <v>61</v>
      </c>
      <c r="D5127">
        <v>137870516.48091501</v>
      </c>
    </row>
    <row r="5128" spans="1:4" hidden="1" x14ac:dyDescent="0.3">
      <c r="A5128">
        <v>5126</v>
      </c>
      <c r="B5128" t="s">
        <v>6749</v>
      </c>
      <c r="C5128" t="s">
        <v>63</v>
      </c>
      <c r="D5128">
        <v>71827699.371482998</v>
      </c>
    </row>
    <row r="5129" spans="1:4" hidden="1" x14ac:dyDescent="0.3">
      <c r="A5129">
        <v>5127</v>
      </c>
      <c r="B5129" t="s">
        <v>6750</v>
      </c>
      <c r="C5129" t="s">
        <v>65</v>
      </c>
      <c r="D5129">
        <v>33855867.709691599</v>
      </c>
    </row>
    <row r="5130" spans="1:4" hidden="1" x14ac:dyDescent="0.3">
      <c r="A5130">
        <v>5128</v>
      </c>
      <c r="B5130" s="1" t="s">
        <v>6751</v>
      </c>
      <c r="C5130" t="s">
        <v>67</v>
      </c>
      <c r="D5130" s="1" t="s">
        <v>6752</v>
      </c>
    </row>
    <row r="5131" spans="1:4" hidden="1" x14ac:dyDescent="0.3">
      <c r="A5131">
        <v>5129</v>
      </c>
      <c r="B5131" s="1" t="s">
        <v>6753</v>
      </c>
      <c r="C5131" t="s">
        <v>70</v>
      </c>
      <c r="D5131" s="1" t="s">
        <v>6754</v>
      </c>
    </row>
    <row r="5132" spans="1:4" hidden="1" x14ac:dyDescent="0.3">
      <c r="A5132">
        <v>5130</v>
      </c>
      <c r="B5132" t="s">
        <v>6755</v>
      </c>
      <c r="C5132" t="s">
        <v>73</v>
      </c>
      <c r="D5132">
        <v>0.99977339985793601</v>
      </c>
    </row>
    <row r="5133" spans="1:4" hidden="1" x14ac:dyDescent="0.3">
      <c r="A5133">
        <v>5131</v>
      </c>
      <c r="B5133" t="s">
        <v>74</v>
      </c>
      <c r="C5133" t="s">
        <v>75</v>
      </c>
      <c r="D5133">
        <v>2.7397260273972599E-3</v>
      </c>
    </row>
    <row r="5134" spans="1:4" hidden="1" x14ac:dyDescent="0.3">
      <c r="A5134">
        <v>5132</v>
      </c>
      <c r="B5134" t="s">
        <v>76</v>
      </c>
      <c r="C5134" t="s">
        <v>77</v>
      </c>
      <c r="D5134">
        <v>0</v>
      </c>
    </row>
    <row r="5135" spans="1:4" hidden="1" x14ac:dyDescent="0.3">
      <c r="A5135">
        <v>5133</v>
      </c>
      <c r="B5135" t="s">
        <v>78</v>
      </c>
      <c r="C5135" t="s">
        <v>79</v>
      </c>
      <c r="D5135">
        <v>0</v>
      </c>
    </row>
    <row r="5136" spans="1:4" hidden="1" x14ac:dyDescent="0.3">
      <c r="A5136">
        <v>5134</v>
      </c>
      <c r="B5136" s="1" t="s">
        <v>6756</v>
      </c>
      <c r="C5136" t="s">
        <v>81</v>
      </c>
      <c r="D5136" s="1" t="s">
        <v>6757</v>
      </c>
    </row>
    <row r="5137" spans="1:4" hidden="1" x14ac:dyDescent="0.3">
      <c r="A5137">
        <v>5135</v>
      </c>
      <c r="B5137" t="s">
        <v>6758</v>
      </c>
      <c r="C5137" t="s">
        <v>84</v>
      </c>
      <c r="D5137">
        <v>0.99972770098728103</v>
      </c>
    </row>
    <row r="5138" spans="1:4" hidden="1" x14ac:dyDescent="0.3">
      <c r="A5138">
        <v>5136</v>
      </c>
      <c r="B5138" s="1" t="s">
        <v>6759</v>
      </c>
      <c r="C5138" t="s">
        <v>86</v>
      </c>
      <c r="D5138" s="1" t="s">
        <v>6760</v>
      </c>
    </row>
    <row r="5139" spans="1:4" hidden="1" x14ac:dyDescent="0.3">
      <c r="A5139">
        <v>5137</v>
      </c>
      <c r="B5139" t="s">
        <v>6761</v>
      </c>
      <c r="C5139" t="s">
        <v>89</v>
      </c>
      <c r="D5139">
        <v>103021466.338062</v>
      </c>
    </row>
    <row r="5140" spans="1:4" hidden="1" x14ac:dyDescent="0.3">
      <c r="A5140">
        <v>5138</v>
      </c>
      <c r="B5140" s="1" t="s">
        <v>6762</v>
      </c>
      <c r="C5140" t="s">
        <v>91</v>
      </c>
      <c r="D5140" s="1" t="s">
        <v>6696</v>
      </c>
    </row>
    <row r="5141" spans="1:4" hidden="1" x14ac:dyDescent="0.3">
      <c r="A5141">
        <v>5139</v>
      </c>
      <c r="B5141" t="s">
        <v>6763</v>
      </c>
      <c r="C5141" t="s">
        <v>94</v>
      </c>
      <c r="D5141">
        <v>71827699.371482998</v>
      </c>
    </row>
    <row r="5142" spans="1:4" hidden="1" x14ac:dyDescent="0.3">
      <c r="A5142">
        <v>5140</v>
      </c>
      <c r="B5142" t="s">
        <v>6764</v>
      </c>
      <c r="C5142" t="s">
        <v>96</v>
      </c>
      <c r="D5142">
        <v>33855867.709691599</v>
      </c>
    </row>
    <row r="5143" spans="1:4" hidden="1" x14ac:dyDescent="0.3">
      <c r="A5143">
        <v>5141</v>
      </c>
      <c r="B5143" t="s">
        <v>6765</v>
      </c>
      <c r="C5143" t="s">
        <v>98</v>
      </c>
      <c r="D5143">
        <v>32186949.399741199</v>
      </c>
    </row>
    <row r="5144" spans="1:4" hidden="1" x14ac:dyDescent="0.3">
      <c r="A5144">
        <v>5142</v>
      </c>
      <c r="B5144" s="1" t="s">
        <v>6766</v>
      </c>
      <c r="C5144" t="s">
        <v>100</v>
      </c>
      <c r="D5144" s="1" t="s">
        <v>6767</v>
      </c>
    </row>
    <row r="5145" spans="1:4" hidden="1" x14ac:dyDescent="0.3">
      <c r="A5145">
        <v>5143</v>
      </c>
      <c r="B5145" t="s">
        <v>6768</v>
      </c>
      <c r="C5145" t="s">
        <v>103</v>
      </c>
      <c r="D5145">
        <v>8.9460933273419908E-3</v>
      </c>
    </row>
    <row r="5146" spans="1:4" hidden="1" x14ac:dyDescent="0.3">
      <c r="A5146">
        <v>5144</v>
      </c>
      <c r="B5146" t="s">
        <v>6769</v>
      </c>
      <c r="C5146" t="s">
        <v>105</v>
      </c>
      <c r="D5146">
        <v>3.11429730445057E-3</v>
      </c>
    </row>
    <row r="5147" spans="1:4" hidden="1" x14ac:dyDescent="0.3">
      <c r="A5147">
        <v>5145</v>
      </c>
      <c r="B5147" t="s">
        <v>6770</v>
      </c>
      <c r="C5147" t="s">
        <v>107</v>
      </c>
      <c r="D5147">
        <v>1.2986208781432499E-2</v>
      </c>
    </row>
    <row r="5148" spans="1:4" hidden="1" x14ac:dyDescent="0.3">
      <c r="A5148">
        <v>5146</v>
      </c>
      <c r="B5148" s="1" t="s">
        <v>6771</v>
      </c>
      <c r="C5148" t="s">
        <v>109</v>
      </c>
      <c r="D5148" s="1" t="s">
        <v>6772</v>
      </c>
    </row>
    <row r="5149" spans="1:4" hidden="1" x14ac:dyDescent="0.3">
      <c r="A5149">
        <v>5147</v>
      </c>
      <c r="B5149" t="s">
        <v>6773</v>
      </c>
      <c r="C5149" t="s">
        <v>208</v>
      </c>
      <c r="D5149">
        <v>137868898.17497301</v>
      </c>
    </row>
    <row r="5150" spans="1:4" hidden="1" x14ac:dyDescent="0.3">
      <c r="A5150">
        <v>5148</v>
      </c>
      <c r="B5150" t="s">
        <v>6774</v>
      </c>
      <c r="C5150" t="s">
        <v>210</v>
      </c>
      <c r="D5150">
        <v>3283.1389677350699</v>
      </c>
    </row>
    <row r="5151" spans="1:4" hidden="1" x14ac:dyDescent="0.3">
      <c r="A5151">
        <v>5149</v>
      </c>
      <c r="B5151" t="s">
        <v>6775</v>
      </c>
      <c r="C5151" t="s">
        <v>212</v>
      </c>
      <c r="D5151">
        <v>1547.51249002132</v>
      </c>
    </row>
    <row r="5152" spans="1:4" hidden="1" x14ac:dyDescent="0.3">
      <c r="A5152">
        <v>5150</v>
      </c>
      <c r="B5152" s="1" t="s">
        <v>6776</v>
      </c>
      <c r="C5152" t="s">
        <v>214</v>
      </c>
      <c r="D5152" s="1" t="s">
        <v>6777</v>
      </c>
    </row>
    <row r="5153" spans="1:4" hidden="1" x14ac:dyDescent="0.3">
      <c r="A5153">
        <v>5151</v>
      </c>
      <c r="B5153" t="s">
        <v>6778</v>
      </c>
      <c r="C5153" t="s">
        <v>217</v>
      </c>
      <c r="D5153">
        <v>71823327.911933303</v>
      </c>
    </row>
    <row r="5154" spans="1:4" hidden="1" x14ac:dyDescent="0.3">
      <c r="A5154">
        <v>5152</v>
      </c>
      <c r="B5154" t="s">
        <v>6779</v>
      </c>
      <c r="C5154" t="s">
        <v>219</v>
      </c>
      <c r="D5154">
        <v>33854033.627851799</v>
      </c>
    </row>
    <row r="5155" spans="1:4" hidden="1" x14ac:dyDescent="0.3">
      <c r="A5155">
        <v>5153</v>
      </c>
      <c r="B5155" t="s">
        <v>6780</v>
      </c>
      <c r="C5155" t="s">
        <v>221</v>
      </c>
      <c r="D5155">
        <v>32185234.7542364</v>
      </c>
    </row>
    <row r="5156" spans="1:4" hidden="1" x14ac:dyDescent="0.3">
      <c r="A5156">
        <v>5154</v>
      </c>
      <c r="B5156" s="1" t="s">
        <v>6781</v>
      </c>
      <c r="C5156" t="s">
        <v>223</v>
      </c>
      <c r="D5156" s="1" t="s">
        <v>6782</v>
      </c>
    </row>
    <row r="5157" spans="1:4" hidden="1" x14ac:dyDescent="0.3">
      <c r="A5157">
        <v>5155</v>
      </c>
      <c r="B5157" t="s">
        <v>6783</v>
      </c>
      <c r="C5157" t="s">
        <v>226</v>
      </c>
      <c r="D5157">
        <v>103016757.30633</v>
      </c>
    </row>
    <row r="5158" spans="1:4" hidden="1" x14ac:dyDescent="0.3">
      <c r="A5158">
        <v>5156</v>
      </c>
      <c r="B5158" t="s">
        <v>6784</v>
      </c>
      <c r="C5158" t="s">
        <v>228</v>
      </c>
      <c r="D5158">
        <v>4709.0317320972599</v>
      </c>
    </row>
    <row r="5159" spans="1:4" hidden="1" x14ac:dyDescent="0.3">
      <c r="A5159">
        <v>5157</v>
      </c>
      <c r="B5159" s="1" t="s">
        <v>6785</v>
      </c>
      <c r="C5159" t="s">
        <v>230</v>
      </c>
      <c r="D5159" s="1" t="s">
        <v>6786</v>
      </c>
    </row>
    <row r="5160" spans="1:4" hidden="1" x14ac:dyDescent="0.3">
      <c r="A5160">
        <v>5158</v>
      </c>
      <c r="B5160" t="s">
        <v>6787</v>
      </c>
      <c r="C5160" t="s">
        <v>112</v>
      </c>
      <c r="D5160">
        <v>-1088.32058198862</v>
      </c>
    </row>
    <row r="5161" spans="1:4" hidden="1" x14ac:dyDescent="0.3">
      <c r="A5161">
        <v>5159</v>
      </c>
      <c r="B5161" t="s">
        <v>6788</v>
      </c>
      <c r="C5161" t="s">
        <v>114</v>
      </c>
      <c r="D5161">
        <v>-286.56934976596898</v>
      </c>
    </row>
    <row r="5162" spans="1:4" hidden="1" x14ac:dyDescent="0.3">
      <c r="A5162">
        <v>5160</v>
      </c>
      <c r="B5162" s="1" t="s">
        <v>6789</v>
      </c>
      <c r="C5162" t="s">
        <v>116</v>
      </c>
      <c r="D5162" s="1" t="s">
        <v>6790</v>
      </c>
    </row>
    <row r="5163" spans="1:4" hidden="1" x14ac:dyDescent="0.3">
      <c r="A5163">
        <v>5161</v>
      </c>
      <c r="B5163" t="s">
        <v>6791</v>
      </c>
      <c r="C5163" t="s">
        <v>119</v>
      </c>
      <c r="D5163">
        <v>71823327.911933303</v>
      </c>
    </row>
    <row r="5164" spans="1:4" hidden="1" x14ac:dyDescent="0.3">
      <c r="A5164">
        <v>5162</v>
      </c>
      <c r="B5164" t="s">
        <v>6792</v>
      </c>
      <c r="C5164" t="s">
        <v>121</v>
      </c>
      <c r="D5164">
        <v>33854033.627851799</v>
      </c>
    </row>
    <row r="5165" spans="1:4" hidden="1" x14ac:dyDescent="0.3">
      <c r="A5165">
        <v>5163</v>
      </c>
      <c r="B5165" s="1" t="s">
        <v>6793</v>
      </c>
      <c r="C5165" t="s">
        <v>123</v>
      </c>
      <c r="D5165" s="1" t="s">
        <v>6794</v>
      </c>
    </row>
    <row r="5166" spans="1:4" hidden="1" x14ac:dyDescent="0.3">
      <c r="A5166">
        <v>5164</v>
      </c>
      <c r="B5166" t="s">
        <v>6795</v>
      </c>
      <c r="C5166" t="s">
        <v>126</v>
      </c>
      <c r="D5166">
        <v>0.697390332783421</v>
      </c>
    </row>
    <row r="5167" spans="1:4" hidden="1" x14ac:dyDescent="0.3">
      <c r="A5167">
        <v>5165</v>
      </c>
      <c r="B5167" t="s">
        <v>6796</v>
      </c>
      <c r="C5167" t="s">
        <v>128</v>
      </c>
      <c r="D5167">
        <v>0.32871598217695602</v>
      </c>
    </row>
    <row r="5168" spans="1:4" hidden="1" x14ac:dyDescent="0.3">
      <c r="A5168">
        <v>5166</v>
      </c>
      <c r="B5168" s="1" t="s">
        <v>6797</v>
      </c>
      <c r="C5168" t="s">
        <v>130</v>
      </c>
      <c r="D5168" s="1" t="s">
        <v>6798</v>
      </c>
    </row>
    <row r="5169" spans="1:4" ht="72" x14ac:dyDescent="0.3">
      <c r="A5169">
        <v>5167</v>
      </c>
      <c r="B5169" s="1" t="s">
        <v>6799</v>
      </c>
      <c r="C5169" t="s">
        <v>4</v>
      </c>
      <c r="D5169" t="s">
        <v>6800</v>
      </c>
    </row>
    <row r="5170" spans="1:4" hidden="1" x14ac:dyDescent="0.3">
      <c r="A5170">
        <v>5168</v>
      </c>
      <c r="B5170" t="s">
        <v>6801</v>
      </c>
      <c r="C5170" t="s">
        <v>7</v>
      </c>
      <c r="D5170">
        <v>1650.09</v>
      </c>
    </row>
    <row r="5171" spans="1:4" hidden="1" x14ac:dyDescent="0.3">
      <c r="A5171">
        <v>5169</v>
      </c>
      <c r="B5171" s="1" t="s">
        <v>6802</v>
      </c>
      <c r="C5171" t="s">
        <v>9</v>
      </c>
      <c r="D5171" s="1" t="s">
        <v>6803</v>
      </c>
    </row>
    <row r="5172" spans="1:4" hidden="1" x14ac:dyDescent="0.3">
      <c r="A5172">
        <v>5170</v>
      </c>
      <c r="B5172" t="s">
        <v>6804</v>
      </c>
      <c r="C5172" t="s">
        <v>14</v>
      </c>
      <c r="D5172">
        <v>88.03515625</v>
      </c>
    </row>
    <row r="5173" spans="1:4" hidden="1" x14ac:dyDescent="0.3">
      <c r="A5173">
        <v>5171</v>
      </c>
      <c r="B5173" t="s">
        <v>6805</v>
      </c>
      <c r="C5173" t="s">
        <v>16</v>
      </c>
      <c r="D5173">
        <v>4.2143124476270399</v>
      </c>
    </row>
    <row r="5174" spans="1:4" hidden="1" x14ac:dyDescent="0.3">
      <c r="A5174">
        <v>5172</v>
      </c>
      <c r="B5174" s="1" t="s">
        <v>6806</v>
      </c>
      <c r="C5174" t="s">
        <v>140</v>
      </c>
      <c r="D5174" s="1" t="s">
        <v>6807</v>
      </c>
    </row>
    <row r="5175" spans="1:4" hidden="1" x14ac:dyDescent="0.3">
      <c r="A5175">
        <v>5173</v>
      </c>
      <c r="B5175" t="s">
        <v>6808</v>
      </c>
      <c r="C5175" t="s">
        <v>22</v>
      </c>
      <c r="D5175">
        <v>51.9</v>
      </c>
    </row>
    <row r="5176" spans="1:4" hidden="1" x14ac:dyDescent="0.3">
      <c r="A5176">
        <v>5174</v>
      </c>
      <c r="B5176" t="s">
        <v>6809</v>
      </c>
      <c r="C5176" t="s">
        <v>24</v>
      </c>
      <c r="D5176">
        <v>5.4783542611001002</v>
      </c>
    </row>
    <row r="5177" spans="1:4" hidden="1" x14ac:dyDescent="0.3">
      <c r="A5177">
        <v>5175</v>
      </c>
      <c r="B5177" s="1" t="s">
        <v>6810</v>
      </c>
      <c r="C5177" t="s">
        <v>145</v>
      </c>
      <c r="D5177" s="1" t="s">
        <v>6811</v>
      </c>
    </row>
    <row r="5178" spans="1:4" hidden="1" x14ac:dyDescent="0.3">
      <c r="A5178">
        <v>5176</v>
      </c>
      <c r="B5178" t="s">
        <v>6812</v>
      </c>
      <c r="C5178" t="s">
        <v>35</v>
      </c>
      <c r="D5178">
        <v>-0.55796275279329699</v>
      </c>
    </row>
    <row r="5179" spans="1:4" hidden="1" x14ac:dyDescent="0.3">
      <c r="A5179">
        <v>5177</v>
      </c>
      <c r="B5179" t="s">
        <v>6813</v>
      </c>
      <c r="C5179" t="s">
        <v>149</v>
      </c>
      <c r="D5179">
        <v>0.54257682749884995</v>
      </c>
    </row>
    <row r="5180" spans="1:4" hidden="1" x14ac:dyDescent="0.3">
      <c r="A5180">
        <v>5178</v>
      </c>
      <c r="B5180" s="1" t="s">
        <v>6814</v>
      </c>
      <c r="C5180" t="s">
        <v>151</v>
      </c>
      <c r="D5180" s="1" t="s">
        <v>6815</v>
      </c>
    </row>
    <row r="5181" spans="1:4" hidden="1" x14ac:dyDescent="0.3">
      <c r="A5181">
        <v>5179</v>
      </c>
      <c r="B5181" t="s">
        <v>6816</v>
      </c>
      <c r="C5181" t="s">
        <v>30</v>
      </c>
      <c r="D5181">
        <v>0.66259697440842402</v>
      </c>
    </row>
    <row r="5182" spans="1:4" hidden="1" x14ac:dyDescent="0.3">
      <c r="A5182">
        <v>5180</v>
      </c>
      <c r="B5182" t="s">
        <v>6817</v>
      </c>
      <c r="C5182" t="s">
        <v>32</v>
      </c>
      <c r="D5182">
        <v>0.41621783846447502</v>
      </c>
    </row>
    <row r="5183" spans="1:4" hidden="1" x14ac:dyDescent="0.3">
      <c r="A5183">
        <v>5181</v>
      </c>
      <c r="B5183" s="1" t="s">
        <v>6818</v>
      </c>
      <c r="C5183" t="s">
        <v>155</v>
      </c>
      <c r="D5183" s="1" t="s">
        <v>6819</v>
      </c>
    </row>
    <row r="5184" spans="1:4" hidden="1" x14ac:dyDescent="0.3">
      <c r="A5184">
        <v>5182</v>
      </c>
      <c r="B5184" t="s">
        <v>6820</v>
      </c>
      <c r="C5184" t="s">
        <v>40</v>
      </c>
      <c r="D5184">
        <v>0.89536577838487297</v>
      </c>
    </row>
    <row r="5185" spans="1:4" hidden="1" x14ac:dyDescent="0.3">
      <c r="A5185">
        <v>5183</v>
      </c>
      <c r="B5185" t="s">
        <v>6821</v>
      </c>
      <c r="C5185" t="s">
        <v>42</v>
      </c>
      <c r="D5185">
        <v>0.42683912474893698</v>
      </c>
    </row>
    <row r="5186" spans="1:4" hidden="1" x14ac:dyDescent="0.3">
      <c r="A5186">
        <v>5184</v>
      </c>
      <c r="B5186" s="1" t="s">
        <v>6822</v>
      </c>
      <c r="C5186" t="s">
        <v>159</v>
      </c>
      <c r="D5186" s="1" t="s">
        <v>6823</v>
      </c>
    </row>
    <row r="5187" spans="1:4" hidden="1" x14ac:dyDescent="0.3">
      <c r="A5187">
        <v>5185</v>
      </c>
      <c r="B5187" t="s">
        <v>6824</v>
      </c>
      <c r="C5187" t="s">
        <v>161</v>
      </c>
      <c r="D5187">
        <v>1.0034175144575399</v>
      </c>
    </row>
    <row r="5188" spans="1:4" hidden="1" x14ac:dyDescent="0.3">
      <c r="A5188">
        <v>5186</v>
      </c>
      <c r="B5188" t="s">
        <v>6825</v>
      </c>
      <c r="C5188" t="s">
        <v>163</v>
      </c>
      <c r="D5188">
        <v>1.00188748084504</v>
      </c>
    </row>
    <row r="5189" spans="1:4" hidden="1" x14ac:dyDescent="0.3">
      <c r="A5189">
        <v>5187</v>
      </c>
      <c r="B5189" s="1" t="s">
        <v>6826</v>
      </c>
      <c r="C5189" t="s">
        <v>165</v>
      </c>
      <c r="D5189" s="1" t="s">
        <v>6827</v>
      </c>
    </row>
    <row r="5190" spans="1:4" hidden="1" x14ac:dyDescent="0.3">
      <c r="A5190">
        <v>5188</v>
      </c>
      <c r="B5190" t="s">
        <v>6828</v>
      </c>
      <c r="C5190" t="s">
        <v>168</v>
      </c>
      <c r="D5190">
        <v>1.0004434938200999</v>
      </c>
    </row>
    <row r="5191" spans="1:4" hidden="1" x14ac:dyDescent="0.3">
      <c r="A5191">
        <v>5189</v>
      </c>
      <c r="B5191" t="s">
        <v>6829</v>
      </c>
      <c r="C5191" t="s">
        <v>170</v>
      </c>
      <c r="D5191">
        <v>0.99830888630523795</v>
      </c>
    </row>
    <row r="5192" spans="1:4" hidden="1" x14ac:dyDescent="0.3">
      <c r="A5192">
        <v>5190</v>
      </c>
      <c r="B5192" s="1" t="s">
        <v>6830</v>
      </c>
      <c r="C5192" t="s">
        <v>172</v>
      </c>
      <c r="D5192" s="1" t="s">
        <v>6831</v>
      </c>
    </row>
    <row r="5193" spans="1:4" hidden="1" x14ac:dyDescent="0.3">
      <c r="A5193">
        <v>5191</v>
      </c>
      <c r="B5193" s="1" t="s">
        <v>6832</v>
      </c>
      <c r="C5193" t="s">
        <v>55</v>
      </c>
      <c r="D5193" s="1" t="s">
        <v>6833</v>
      </c>
    </row>
    <row r="5194" spans="1:4" hidden="1" x14ac:dyDescent="0.3">
      <c r="A5194">
        <v>5192</v>
      </c>
      <c r="B5194" s="1" t="s">
        <v>6834</v>
      </c>
      <c r="C5194" t="s">
        <v>52</v>
      </c>
      <c r="D5194" s="1" t="s">
        <v>6835</v>
      </c>
    </row>
    <row r="5195" spans="1:4" hidden="1" x14ac:dyDescent="0.3">
      <c r="A5195">
        <v>5193</v>
      </c>
      <c r="B5195" s="1" t="s">
        <v>6836</v>
      </c>
      <c r="C5195" t="s">
        <v>58</v>
      </c>
      <c r="D5195" s="1" t="s">
        <v>6837</v>
      </c>
    </row>
    <row r="5196" spans="1:4" hidden="1" x14ac:dyDescent="0.3">
      <c r="A5196">
        <v>5194</v>
      </c>
      <c r="B5196" t="s">
        <v>6838</v>
      </c>
      <c r="C5196" t="s">
        <v>61</v>
      </c>
      <c r="D5196">
        <v>138373633.153891</v>
      </c>
    </row>
    <row r="5197" spans="1:4" hidden="1" x14ac:dyDescent="0.3">
      <c r="A5197">
        <v>5195</v>
      </c>
      <c r="B5197" t="s">
        <v>6839</v>
      </c>
      <c r="C5197" t="s">
        <v>63</v>
      </c>
      <c r="D5197">
        <v>72068785.173461303</v>
      </c>
    </row>
    <row r="5198" spans="1:4" hidden="1" x14ac:dyDescent="0.3">
      <c r="A5198">
        <v>5196</v>
      </c>
      <c r="B5198" t="s">
        <v>6840</v>
      </c>
      <c r="C5198" t="s">
        <v>65</v>
      </c>
      <c r="D5198">
        <v>33917932.4678519</v>
      </c>
    </row>
    <row r="5199" spans="1:4" hidden="1" x14ac:dyDescent="0.3">
      <c r="A5199">
        <v>5197</v>
      </c>
      <c r="B5199" s="1" t="s">
        <v>6841</v>
      </c>
      <c r="C5199" t="s">
        <v>67</v>
      </c>
      <c r="D5199" s="1" t="s">
        <v>6842</v>
      </c>
    </row>
    <row r="5200" spans="1:4" hidden="1" x14ac:dyDescent="0.3">
      <c r="A5200">
        <v>5198</v>
      </c>
      <c r="B5200" s="1" t="s">
        <v>6843</v>
      </c>
      <c r="C5200" t="s">
        <v>70</v>
      </c>
      <c r="D5200" s="1" t="s">
        <v>6844</v>
      </c>
    </row>
    <row r="5201" spans="1:4" hidden="1" x14ac:dyDescent="0.3">
      <c r="A5201">
        <v>5199</v>
      </c>
      <c r="B5201" t="s">
        <v>6845</v>
      </c>
      <c r="C5201" t="s">
        <v>73</v>
      </c>
      <c r="D5201">
        <v>0.99972770098728103</v>
      </c>
    </row>
    <row r="5202" spans="1:4" hidden="1" x14ac:dyDescent="0.3">
      <c r="A5202">
        <v>5200</v>
      </c>
      <c r="B5202" t="s">
        <v>74</v>
      </c>
      <c r="C5202" t="s">
        <v>75</v>
      </c>
      <c r="D5202">
        <v>2.7397260273972599E-3</v>
      </c>
    </row>
    <row r="5203" spans="1:4" hidden="1" x14ac:dyDescent="0.3">
      <c r="A5203">
        <v>5201</v>
      </c>
      <c r="B5203" t="s">
        <v>76</v>
      </c>
      <c r="C5203" t="s">
        <v>77</v>
      </c>
      <c r="D5203">
        <v>0</v>
      </c>
    </row>
    <row r="5204" spans="1:4" hidden="1" x14ac:dyDescent="0.3">
      <c r="A5204">
        <v>5202</v>
      </c>
      <c r="B5204" t="s">
        <v>78</v>
      </c>
      <c r="C5204" t="s">
        <v>79</v>
      </c>
      <c r="D5204">
        <v>0</v>
      </c>
    </row>
    <row r="5205" spans="1:4" hidden="1" x14ac:dyDescent="0.3">
      <c r="A5205">
        <v>5203</v>
      </c>
      <c r="B5205" s="1" t="s">
        <v>6846</v>
      </c>
      <c r="C5205" t="s">
        <v>81</v>
      </c>
      <c r="D5205" s="1" t="s">
        <v>6847</v>
      </c>
    </row>
    <row r="5206" spans="1:4" hidden="1" x14ac:dyDescent="0.3">
      <c r="A5206">
        <v>5204</v>
      </c>
      <c r="B5206" t="s">
        <v>6848</v>
      </c>
      <c r="C5206" t="s">
        <v>84</v>
      </c>
      <c r="D5206">
        <v>0.999720180539454</v>
      </c>
    </row>
    <row r="5207" spans="1:4" hidden="1" x14ac:dyDescent="0.3">
      <c r="A5207">
        <v>5205</v>
      </c>
      <c r="B5207" s="1" t="s">
        <v>6849</v>
      </c>
      <c r="C5207" t="s">
        <v>86</v>
      </c>
      <c r="D5207" s="1" t="s">
        <v>6850</v>
      </c>
    </row>
    <row r="5208" spans="1:4" hidden="1" x14ac:dyDescent="0.3">
      <c r="A5208">
        <v>5206</v>
      </c>
      <c r="B5208" t="s">
        <v>6851</v>
      </c>
      <c r="C5208" t="s">
        <v>89</v>
      </c>
      <c r="D5208">
        <v>103022241.32248101</v>
      </c>
    </row>
    <row r="5209" spans="1:4" hidden="1" x14ac:dyDescent="0.3">
      <c r="A5209">
        <v>5207</v>
      </c>
      <c r="B5209" s="1" t="s">
        <v>6852</v>
      </c>
      <c r="C5209" t="s">
        <v>91</v>
      </c>
      <c r="D5209" s="1" t="s">
        <v>6786</v>
      </c>
    </row>
    <row r="5210" spans="1:4" hidden="1" x14ac:dyDescent="0.3">
      <c r="A5210">
        <v>5208</v>
      </c>
      <c r="B5210" t="s">
        <v>6853</v>
      </c>
      <c r="C5210" t="s">
        <v>94</v>
      </c>
      <c r="D5210">
        <v>72068785.173461303</v>
      </c>
    </row>
    <row r="5211" spans="1:4" hidden="1" x14ac:dyDescent="0.3">
      <c r="A5211">
        <v>5209</v>
      </c>
      <c r="B5211" t="s">
        <v>6854</v>
      </c>
      <c r="C5211" t="s">
        <v>96</v>
      </c>
      <c r="D5211">
        <v>33917932.4678519</v>
      </c>
    </row>
    <row r="5212" spans="1:4" hidden="1" x14ac:dyDescent="0.3">
      <c r="A5212">
        <v>5210</v>
      </c>
      <c r="B5212" t="s">
        <v>6855</v>
      </c>
      <c r="C5212" t="s">
        <v>98</v>
      </c>
      <c r="D5212">
        <v>32386915.512577899</v>
      </c>
    </row>
    <row r="5213" spans="1:4" hidden="1" x14ac:dyDescent="0.3">
      <c r="A5213">
        <v>5211</v>
      </c>
      <c r="B5213" s="1" t="s">
        <v>6856</v>
      </c>
      <c r="C5213" t="s">
        <v>100</v>
      </c>
      <c r="D5213" s="1" t="s">
        <v>6857</v>
      </c>
    </row>
    <row r="5214" spans="1:4" hidden="1" x14ac:dyDescent="0.3">
      <c r="A5214">
        <v>5212</v>
      </c>
      <c r="B5214" t="s">
        <v>6858</v>
      </c>
      <c r="C5214" t="s">
        <v>103</v>
      </c>
      <c r="D5214">
        <v>9.0294912450837699E-3</v>
      </c>
    </row>
    <row r="5215" spans="1:4" hidden="1" x14ac:dyDescent="0.3">
      <c r="A5215">
        <v>5213</v>
      </c>
      <c r="B5215" t="s">
        <v>6859</v>
      </c>
      <c r="C5215" t="s">
        <v>105</v>
      </c>
      <c r="D5215">
        <v>3.1124721537106998E-3</v>
      </c>
    </row>
    <row r="5216" spans="1:4" hidden="1" x14ac:dyDescent="0.3">
      <c r="A5216">
        <v>5214</v>
      </c>
      <c r="B5216" t="s">
        <v>6860</v>
      </c>
      <c r="C5216" t="s">
        <v>107</v>
      </c>
      <c r="D5216">
        <v>1.30287339459405E-2</v>
      </c>
    </row>
    <row r="5217" spans="1:4" hidden="1" x14ac:dyDescent="0.3">
      <c r="A5217">
        <v>5215</v>
      </c>
      <c r="B5217" s="1" t="s">
        <v>6861</v>
      </c>
      <c r="C5217" t="s">
        <v>109</v>
      </c>
      <c r="D5217" s="1" t="s">
        <v>6862</v>
      </c>
    </row>
    <row r="5218" spans="1:4" hidden="1" x14ac:dyDescent="0.3">
      <c r="A5218">
        <v>5216</v>
      </c>
      <c r="B5218" t="s">
        <v>6863</v>
      </c>
      <c r="C5218" t="s">
        <v>208</v>
      </c>
      <c r="D5218">
        <v>138373367.52699599</v>
      </c>
    </row>
    <row r="5219" spans="1:4" hidden="1" x14ac:dyDescent="0.3">
      <c r="A5219">
        <v>5217</v>
      </c>
      <c r="B5219" t="s">
        <v>6864</v>
      </c>
      <c r="C5219" t="s">
        <v>210</v>
      </c>
      <c r="D5219">
        <v>542.13572751362801</v>
      </c>
    </row>
    <row r="5220" spans="1:4" hidden="1" x14ac:dyDescent="0.3">
      <c r="A5220">
        <v>5218</v>
      </c>
      <c r="B5220" t="s">
        <v>6865</v>
      </c>
      <c r="C5220" t="s">
        <v>212</v>
      </c>
      <c r="D5220">
        <v>255.14727318632001</v>
      </c>
    </row>
    <row r="5221" spans="1:4" hidden="1" x14ac:dyDescent="0.3">
      <c r="A5221">
        <v>5219</v>
      </c>
      <c r="B5221" s="1" t="s">
        <v>6866</v>
      </c>
      <c r="C5221" t="s">
        <v>214</v>
      </c>
      <c r="D5221" s="1" t="s">
        <v>6867</v>
      </c>
    </row>
    <row r="5222" spans="1:4" hidden="1" x14ac:dyDescent="0.3">
      <c r="A5222">
        <v>5220</v>
      </c>
      <c r="B5222" t="s">
        <v>6868</v>
      </c>
      <c r="C5222" t="s">
        <v>217</v>
      </c>
      <c r="D5222">
        <v>72068052.306786999</v>
      </c>
    </row>
    <row r="5223" spans="1:4" hidden="1" x14ac:dyDescent="0.3">
      <c r="A5223">
        <v>5221</v>
      </c>
      <c r="B5223" t="s">
        <v>6869</v>
      </c>
      <c r="C5223" t="s">
        <v>219</v>
      </c>
      <c r="D5223">
        <v>33917644.782899</v>
      </c>
    </row>
    <row r="5224" spans="1:4" hidden="1" x14ac:dyDescent="0.3">
      <c r="A5224">
        <v>5222</v>
      </c>
      <c r="B5224" t="s">
        <v>6870</v>
      </c>
      <c r="C5224" t="s">
        <v>221</v>
      </c>
      <c r="D5224">
        <v>32386629.524179701</v>
      </c>
    </row>
    <row r="5225" spans="1:4" hidden="1" x14ac:dyDescent="0.3">
      <c r="A5225">
        <v>5223</v>
      </c>
      <c r="B5225" s="1" t="s">
        <v>6871</v>
      </c>
      <c r="C5225" t="s">
        <v>223</v>
      </c>
      <c r="D5225" s="1" t="s">
        <v>6872</v>
      </c>
    </row>
    <row r="5226" spans="1:4" hidden="1" x14ac:dyDescent="0.3">
      <c r="A5226">
        <v>5224</v>
      </c>
      <c r="B5226" t="s">
        <v>6873</v>
      </c>
      <c r="C5226" t="s">
        <v>226</v>
      </c>
      <c r="D5226">
        <v>103021466.338062</v>
      </c>
    </row>
    <row r="5227" spans="1:4" hidden="1" x14ac:dyDescent="0.3">
      <c r="A5227">
        <v>5225</v>
      </c>
      <c r="B5227" t="s">
        <v>6874</v>
      </c>
      <c r="C5227" t="s">
        <v>228</v>
      </c>
      <c r="D5227">
        <v>774.98441840708199</v>
      </c>
    </row>
    <row r="5228" spans="1:4" hidden="1" x14ac:dyDescent="0.3">
      <c r="A5228">
        <v>5226</v>
      </c>
      <c r="B5228" s="1" t="s">
        <v>6875</v>
      </c>
      <c r="C5228" t="s">
        <v>230</v>
      </c>
      <c r="D5228" s="1" t="s">
        <v>6876</v>
      </c>
    </row>
    <row r="5229" spans="1:4" hidden="1" x14ac:dyDescent="0.3">
      <c r="A5229">
        <v>5227</v>
      </c>
      <c r="B5229" t="s">
        <v>6877</v>
      </c>
      <c r="C5229" t="s">
        <v>112</v>
      </c>
      <c r="D5229">
        <v>-190.73094683689499</v>
      </c>
    </row>
    <row r="5230" spans="1:4" hidden="1" x14ac:dyDescent="0.3">
      <c r="A5230">
        <v>5228</v>
      </c>
      <c r="B5230" t="s">
        <v>6878</v>
      </c>
      <c r="C5230" t="s">
        <v>114</v>
      </c>
      <c r="D5230">
        <v>-32.537679645973597</v>
      </c>
    </row>
    <row r="5231" spans="1:4" hidden="1" x14ac:dyDescent="0.3">
      <c r="A5231">
        <v>5229</v>
      </c>
      <c r="B5231" s="1" t="s">
        <v>6879</v>
      </c>
      <c r="C5231" t="s">
        <v>116</v>
      </c>
      <c r="D5231" s="1" t="s">
        <v>6880</v>
      </c>
    </row>
    <row r="5232" spans="1:4" hidden="1" x14ac:dyDescent="0.3">
      <c r="A5232">
        <v>5230</v>
      </c>
      <c r="B5232" t="s">
        <v>6881</v>
      </c>
      <c r="C5232" t="s">
        <v>119</v>
      </c>
      <c r="D5232">
        <v>72068052.306786999</v>
      </c>
    </row>
    <row r="5233" spans="1:4" hidden="1" x14ac:dyDescent="0.3">
      <c r="A5233">
        <v>5231</v>
      </c>
      <c r="B5233" t="s">
        <v>6882</v>
      </c>
      <c r="C5233" t="s">
        <v>121</v>
      </c>
      <c r="D5233">
        <v>33917644.782899</v>
      </c>
    </row>
    <row r="5234" spans="1:4" hidden="1" x14ac:dyDescent="0.3">
      <c r="A5234">
        <v>5232</v>
      </c>
      <c r="B5234" s="1" t="s">
        <v>6883</v>
      </c>
      <c r="C5234" t="s">
        <v>123</v>
      </c>
      <c r="D5234" s="1" t="s">
        <v>6884</v>
      </c>
    </row>
    <row r="5235" spans="1:4" hidden="1" x14ac:dyDescent="0.3">
      <c r="A5235">
        <v>5233</v>
      </c>
      <c r="B5235" t="s">
        <v>6885</v>
      </c>
      <c r="C5235" t="s">
        <v>126</v>
      </c>
      <c r="D5235">
        <v>0.69973983633838899</v>
      </c>
    </row>
    <row r="5236" spans="1:4" hidden="1" x14ac:dyDescent="0.3">
      <c r="A5236">
        <v>5234</v>
      </c>
      <c r="B5236" t="s">
        <v>6886</v>
      </c>
      <c r="C5236" t="s">
        <v>128</v>
      </c>
      <c r="D5236">
        <v>0.32932105766280401</v>
      </c>
    </row>
    <row r="5237" spans="1:4" hidden="1" x14ac:dyDescent="0.3">
      <c r="A5237">
        <v>5235</v>
      </c>
      <c r="B5237" s="1" t="s">
        <v>6887</v>
      </c>
      <c r="C5237" t="s">
        <v>130</v>
      </c>
      <c r="D5237" s="1" t="s">
        <v>6888</v>
      </c>
    </row>
    <row r="5238" spans="1:4" ht="72" x14ac:dyDescent="0.3">
      <c r="A5238">
        <v>5236</v>
      </c>
      <c r="B5238" s="1" t="s">
        <v>6889</v>
      </c>
      <c r="C5238" t="s">
        <v>4</v>
      </c>
      <c r="D5238" t="s">
        <v>6890</v>
      </c>
    </row>
    <row r="5239" spans="1:4" hidden="1" x14ac:dyDescent="0.3">
      <c r="A5239">
        <v>5237</v>
      </c>
      <c r="B5239" t="s">
        <v>6891</v>
      </c>
      <c r="C5239" t="s">
        <v>7</v>
      </c>
      <c r="D5239">
        <v>1652.22</v>
      </c>
    </row>
    <row r="5240" spans="1:4" hidden="1" x14ac:dyDescent="0.3">
      <c r="A5240">
        <v>5238</v>
      </c>
      <c r="B5240" s="1" t="s">
        <v>6892</v>
      </c>
      <c r="C5240" t="s">
        <v>9</v>
      </c>
      <c r="D5240" s="1" t="s">
        <v>6893</v>
      </c>
    </row>
    <row r="5241" spans="1:4" hidden="1" x14ac:dyDescent="0.3">
      <c r="A5241">
        <v>5239</v>
      </c>
      <c r="B5241" t="s">
        <v>6894</v>
      </c>
      <c r="C5241" t="s">
        <v>14</v>
      </c>
      <c r="D5241">
        <v>88.05859375</v>
      </c>
    </row>
    <row r="5242" spans="1:4" hidden="1" x14ac:dyDescent="0.3">
      <c r="A5242">
        <v>5240</v>
      </c>
      <c r="B5242" t="s">
        <v>6895</v>
      </c>
      <c r="C5242" t="s">
        <v>16</v>
      </c>
      <c r="D5242">
        <v>4.2149485277701197</v>
      </c>
    </row>
    <row r="5243" spans="1:4" hidden="1" x14ac:dyDescent="0.3">
      <c r="A5243">
        <v>5241</v>
      </c>
      <c r="B5243" s="1" t="s">
        <v>6896</v>
      </c>
      <c r="C5243" t="s">
        <v>140</v>
      </c>
      <c r="D5243" s="1" t="s">
        <v>6897</v>
      </c>
    </row>
    <row r="5244" spans="1:4" hidden="1" x14ac:dyDescent="0.3">
      <c r="A5244">
        <v>5242</v>
      </c>
      <c r="B5244" t="s">
        <v>6898</v>
      </c>
      <c r="C5244" t="s">
        <v>22</v>
      </c>
      <c r="D5244">
        <v>52.6</v>
      </c>
    </row>
    <row r="5245" spans="1:4" hidden="1" x14ac:dyDescent="0.3">
      <c r="A5245">
        <v>5243</v>
      </c>
      <c r="B5245" t="s">
        <v>6899</v>
      </c>
      <c r="C5245" t="s">
        <v>24</v>
      </c>
      <c r="D5245">
        <v>5.4267497070295203</v>
      </c>
    </row>
    <row r="5246" spans="1:4" hidden="1" x14ac:dyDescent="0.3">
      <c r="A5246">
        <v>5244</v>
      </c>
      <c r="B5246" s="1" t="s">
        <v>6900</v>
      </c>
      <c r="C5246" t="s">
        <v>145</v>
      </c>
      <c r="D5246" s="1" t="s">
        <v>6901</v>
      </c>
    </row>
    <row r="5247" spans="1:4" hidden="1" x14ac:dyDescent="0.3">
      <c r="A5247">
        <v>5245</v>
      </c>
      <c r="B5247" t="s">
        <v>6902</v>
      </c>
      <c r="C5247" t="s">
        <v>35</v>
      </c>
      <c r="D5247">
        <v>0.25643537438394698</v>
      </c>
    </row>
    <row r="5248" spans="1:4" hidden="1" x14ac:dyDescent="0.3">
      <c r="A5248">
        <v>5246</v>
      </c>
      <c r="B5248" t="s">
        <v>6903</v>
      </c>
      <c r="C5248" t="s">
        <v>149</v>
      </c>
      <c r="D5248">
        <v>0.54031240748555398</v>
      </c>
    </row>
    <row r="5249" spans="1:4" hidden="1" x14ac:dyDescent="0.3">
      <c r="A5249">
        <v>5247</v>
      </c>
      <c r="B5249" s="1" t="s">
        <v>6904</v>
      </c>
      <c r="C5249" t="s">
        <v>151</v>
      </c>
      <c r="D5249" s="1" t="s">
        <v>6905</v>
      </c>
    </row>
    <row r="5250" spans="1:4" hidden="1" x14ac:dyDescent="0.3">
      <c r="A5250">
        <v>5248</v>
      </c>
      <c r="B5250" t="s">
        <v>6906</v>
      </c>
      <c r="C5250" t="s">
        <v>30</v>
      </c>
      <c r="D5250">
        <v>0.31868666147853802</v>
      </c>
    </row>
    <row r="5251" spans="1:4" hidden="1" x14ac:dyDescent="0.3">
      <c r="A5251">
        <v>5249</v>
      </c>
      <c r="B5251" t="s">
        <v>6907</v>
      </c>
      <c r="C5251" t="s">
        <v>32</v>
      </c>
      <c r="D5251">
        <v>0.41815618150250899</v>
      </c>
    </row>
    <row r="5252" spans="1:4" hidden="1" x14ac:dyDescent="0.3">
      <c r="A5252">
        <v>5250</v>
      </c>
      <c r="B5252" s="1" t="s">
        <v>6908</v>
      </c>
      <c r="C5252" t="s">
        <v>155</v>
      </c>
      <c r="D5252" s="1" t="s">
        <v>6909</v>
      </c>
    </row>
    <row r="5253" spans="1:4" hidden="1" x14ac:dyDescent="0.3">
      <c r="A5253">
        <v>5251</v>
      </c>
      <c r="B5253" t="s">
        <v>6910</v>
      </c>
      <c r="C5253" t="s">
        <v>40</v>
      </c>
      <c r="D5253">
        <v>0.424877964137513</v>
      </c>
    </row>
    <row r="5254" spans="1:4" hidden="1" x14ac:dyDescent="0.3">
      <c r="A5254">
        <v>5252</v>
      </c>
      <c r="B5254" t="s">
        <v>6911</v>
      </c>
      <c r="C5254" t="s">
        <v>42</v>
      </c>
      <c r="D5254">
        <v>0.43262493354477799</v>
      </c>
    </row>
    <row r="5255" spans="1:4" hidden="1" x14ac:dyDescent="0.3">
      <c r="A5255">
        <v>5253</v>
      </c>
      <c r="B5255" s="1" t="s">
        <v>6912</v>
      </c>
      <c r="C5255" t="s">
        <v>159</v>
      </c>
      <c r="D5255" s="1" t="s">
        <v>6913</v>
      </c>
    </row>
    <row r="5256" spans="1:4" hidden="1" x14ac:dyDescent="0.3">
      <c r="A5256">
        <v>5254</v>
      </c>
      <c r="B5256" t="s">
        <v>6914</v>
      </c>
      <c r="C5256" t="s">
        <v>161</v>
      </c>
      <c r="D5256">
        <v>1.00129083868152</v>
      </c>
    </row>
    <row r="5257" spans="1:4" hidden="1" x14ac:dyDescent="0.3">
      <c r="A5257">
        <v>5255</v>
      </c>
      <c r="B5257" t="s">
        <v>6915</v>
      </c>
      <c r="C5257" t="s">
        <v>163</v>
      </c>
      <c r="D5257">
        <v>1.0002609617213201</v>
      </c>
    </row>
    <row r="5258" spans="1:4" hidden="1" x14ac:dyDescent="0.3">
      <c r="A5258">
        <v>5256</v>
      </c>
      <c r="B5258" s="1" t="s">
        <v>6916</v>
      </c>
      <c r="C5258" t="s">
        <v>165</v>
      </c>
      <c r="D5258" s="1" t="s">
        <v>6917</v>
      </c>
    </row>
    <row r="5259" spans="1:4" hidden="1" x14ac:dyDescent="0.3">
      <c r="A5259">
        <v>5257</v>
      </c>
      <c r="B5259" t="s">
        <v>6918</v>
      </c>
      <c r="C5259" t="s">
        <v>168</v>
      </c>
      <c r="D5259">
        <v>0.998532053656628</v>
      </c>
    </row>
    <row r="5260" spans="1:4" hidden="1" x14ac:dyDescent="0.3">
      <c r="A5260">
        <v>5258</v>
      </c>
      <c r="B5260" t="s">
        <v>6919</v>
      </c>
      <c r="C5260" t="s">
        <v>170</v>
      </c>
      <c r="D5260">
        <v>1.0013686757682201</v>
      </c>
    </row>
    <row r="5261" spans="1:4" hidden="1" x14ac:dyDescent="0.3">
      <c r="A5261">
        <v>5259</v>
      </c>
      <c r="B5261" s="1" t="s">
        <v>6920</v>
      </c>
      <c r="C5261" t="s">
        <v>172</v>
      </c>
      <c r="D5261" s="1" t="s">
        <v>6921</v>
      </c>
    </row>
    <row r="5262" spans="1:4" hidden="1" x14ac:dyDescent="0.3">
      <c r="A5262">
        <v>5260</v>
      </c>
      <c r="B5262" s="1" t="s">
        <v>6922</v>
      </c>
      <c r="C5262" t="s">
        <v>55</v>
      </c>
      <c r="D5262" s="1" t="s">
        <v>6923</v>
      </c>
    </row>
    <row r="5263" spans="1:4" hidden="1" x14ac:dyDescent="0.3">
      <c r="A5263">
        <v>5261</v>
      </c>
      <c r="B5263" s="1" t="s">
        <v>6924</v>
      </c>
      <c r="C5263" t="s">
        <v>52</v>
      </c>
      <c r="D5263" s="1" t="s">
        <v>6925</v>
      </c>
    </row>
    <row r="5264" spans="1:4" hidden="1" x14ac:dyDescent="0.3">
      <c r="A5264">
        <v>5262</v>
      </c>
      <c r="B5264" s="1" t="s">
        <v>6926</v>
      </c>
      <c r="C5264" t="s">
        <v>58</v>
      </c>
      <c r="D5264" s="1" t="s">
        <v>6927</v>
      </c>
    </row>
    <row r="5265" spans="1:4" hidden="1" x14ac:dyDescent="0.3">
      <c r="A5265">
        <v>5263</v>
      </c>
      <c r="B5265" t="s">
        <v>6928</v>
      </c>
      <c r="C5265" t="s">
        <v>61</v>
      </c>
      <c r="D5265">
        <v>138840186.27701801</v>
      </c>
    </row>
    <row r="5266" spans="1:4" hidden="1" x14ac:dyDescent="0.3">
      <c r="A5266">
        <v>5264</v>
      </c>
      <c r="B5266" t="s">
        <v>6929</v>
      </c>
      <c r="C5266" t="s">
        <v>63</v>
      </c>
      <c r="D5266">
        <v>72161080.5364068</v>
      </c>
    </row>
    <row r="5267" spans="1:4" hidden="1" x14ac:dyDescent="0.3">
      <c r="A5267">
        <v>5265</v>
      </c>
      <c r="B5267" t="s">
        <v>6930</v>
      </c>
      <c r="C5267" t="s">
        <v>65</v>
      </c>
      <c r="D5267">
        <v>33926495.989864998</v>
      </c>
    </row>
    <row r="5268" spans="1:4" hidden="1" x14ac:dyDescent="0.3">
      <c r="A5268">
        <v>5266</v>
      </c>
      <c r="B5268" s="1" t="s">
        <v>6931</v>
      </c>
      <c r="C5268" t="s">
        <v>67</v>
      </c>
      <c r="D5268" s="1" t="s">
        <v>6932</v>
      </c>
    </row>
    <row r="5269" spans="1:4" hidden="1" x14ac:dyDescent="0.3">
      <c r="A5269">
        <v>5267</v>
      </c>
      <c r="B5269" s="1" t="s">
        <v>6933</v>
      </c>
      <c r="C5269" t="s">
        <v>70</v>
      </c>
      <c r="D5269" s="1" t="s">
        <v>6934</v>
      </c>
    </row>
    <row r="5270" spans="1:4" hidden="1" x14ac:dyDescent="0.3">
      <c r="A5270">
        <v>5268</v>
      </c>
      <c r="B5270" t="s">
        <v>6935</v>
      </c>
      <c r="C5270" t="s">
        <v>73</v>
      </c>
      <c r="D5270">
        <v>0.999720180539454</v>
      </c>
    </row>
    <row r="5271" spans="1:4" hidden="1" x14ac:dyDescent="0.3">
      <c r="A5271">
        <v>5269</v>
      </c>
      <c r="B5271" t="s">
        <v>74</v>
      </c>
      <c r="C5271" t="s">
        <v>75</v>
      </c>
      <c r="D5271">
        <v>2.7397260273972599E-3</v>
      </c>
    </row>
    <row r="5272" spans="1:4" hidden="1" x14ac:dyDescent="0.3">
      <c r="A5272">
        <v>5270</v>
      </c>
      <c r="B5272" t="s">
        <v>76</v>
      </c>
      <c r="C5272" t="s">
        <v>77</v>
      </c>
      <c r="D5272">
        <v>0</v>
      </c>
    </row>
    <row r="5273" spans="1:4" hidden="1" x14ac:dyDescent="0.3">
      <c r="A5273">
        <v>5271</v>
      </c>
      <c r="B5273" t="s">
        <v>831</v>
      </c>
      <c r="C5273" t="s">
        <v>79</v>
      </c>
      <c r="D5273" s="2">
        <v>2.2204460492503101E-16</v>
      </c>
    </row>
    <row r="5274" spans="1:4" hidden="1" x14ac:dyDescent="0.3">
      <c r="A5274">
        <v>5272</v>
      </c>
      <c r="B5274" s="1" t="s">
        <v>6936</v>
      </c>
      <c r="C5274" t="s">
        <v>81</v>
      </c>
      <c r="D5274" s="1" t="s">
        <v>6937</v>
      </c>
    </row>
    <row r="5275" spans="1:4" hidden="1" x14ac:dyDescent="0.3">
      <c r="A5275">
        <v>5273</v>
      </c>
      <c r="B5275" t="s">
        <v>6938</v>
      </c>
      <c r="C5275" t="s">
        <v>84</v>
      </c>
      <c r="D5275">
        <v>0.99976712733353801</v>
      </c>
    </row>
    <row r="5276" spans="1:4" hidden="1" x14ac:dyDescent="0.3">
      <c r="A5276">
        <v>5274</v>
      </c>
      <c r="B5276" s="1" t="s">
        <v>6939</v>
      </c>
      <c r="C5276" t="s">
        <v>86</v>
      </c>
      <c r="D5276" s="1" t="s">
        <v>6940</v>
      </c>
    </row>
    <row r="5277" spans="1:4" hidden="1" x14ac:dyDescent="0.3">
      <c r="A5277">
        <v>5275</v>
      </c>
      <c r="B5277" t="s">
        <v>6941</v>
      </c>
      <c r="C5277" t="s">
        <v>89</v>
      </c>
      <c r="D5277">
        <v>103017403.631965</v>
      </c>
    </row>
    <row r="5278" spans="1:4" hidden="1" x14ac:dyDescent="0.3">
      <c r="A5278">
        <v>5276</v>
      </c>
      <c r="B5278" s="1" t="s">
        <v>6942</v>
      </c>
      <c r="C5278" t="s">
        <v>91</v>
      </c>
      <c r="D5278" s="1" t="s">
        <v>6876</v>
      </c>
    </row>
    <row r="5279" spans="1:4" hidden="1" x14ac:dyDescent="0.3">
      <c r="A5279">
        <v>5277</v>
      </c>
      <c r="B5279" t="s">
        <v>6943</v>
      </c>
      <c r="C5279" t="s">
        <v>94</v>
      </c>
      <c r="D5279">
        <v>72161080.5364068</v>
      </c>
    </row>
    <row r="5280" spans="1:4" hidden="1" x14ac:dyDescent="0.3">
      <c r="A5280">
        <v>5278</v>
      </c>
      <c r="B5280" t="s">
        <v>6944</v>
      </c>
      <c r="C5280" t="s">
        <v>96</v>
      </c>
      <c r="D5280">
        <v>33926495.989864998</v>
      </c>
    </row>
    <row r="5281" spans="1:4" hidden="1" x14ac:dyDescent="0.3">
      <c r="A5281">
        <v>5279</v>
      </c>
      <c r="B5281" t="s">
        <v>6945</v>
      </c>
      <c r="C5281" t="s">
        <v>98</v>
      </c>
      <c r="D5281">
        <v>32752609.750746001</v>
      </c>
    </row>
    <row r="5282" spans="1:4" hidden="1" x14ac:dyDescent="0.3">
      <c r="A5282">
        <v>5280</v>
      </c>
      <c r="B5282" s="1" t="s">
        <v>6946</v>
      </c>
      <c r="C5282" t="s">
        <v>100</v>
      </c>
      <c r="D5282" s="1" t="s">
        <v>6947</v>
      </c>
    </row>
    <row r="5283" spans="1:4" hidden="1" x14ac:dyDescent="0.3">
      <c r="A5283">
        <v>5281</v>
      </c>
      <c r="B5283" t="s">
        <v>6948</v>
      </c>
      <c r="C5283" t="s">
        <v>103</v>
      </c>
      <c r="D5283">
        <v>8.9140104018500792E-3</v>
      </c>
    </row>
    <row r="5284" spans="1:4" hidden="1" x14ac:dyDescent="0.3">
      <c r="A5284">
        <v>5282</v>
      </c>
      <c r="B5284" t="s">
        <v>6949</v>
      </c>
      <c r="C5284" t="s">
        <v>105</v>
      </c>
      <c r="D5284">
        <v>3.10282254617657E-3</v>
      </c>
    </row>
    <row r="5285" spans="1:4" hidden="1" x14ac:dyDescent="0.3">
      <c r="A5285">
        <v>5283</v>
      </c>
      <c r="B5285" t="s">
        <v>6950</v>
      </c>
      <c r="C5285" t="s">
        <v>107</v>
      </c>
      <c r="D5285">
        <v>1.31176462918875E-2</v>
      </c>
    </row>
    <row r="5286" spans="1:4" hidden="1" x14ac:dyDescent="0.3">
      <c r="A5286">
        <v>5284</v>
      </c>
      <c r="B5286" s="1" t="s">
        <v>6951</v>
      </c>
      <c r="C5286" t="s">
        <v>109</v>
      </c>
      <c r="D5286" s="1" t="s">
        <v>6952</v>
      </c>
    </row>
    <row r="5287" spans="1:4" hidden="1" x14ac:dyDescent="0.3">
      <c r="A5287">
        <v>5285</v>
      </c>
      <c r="B5287" t="s">
        <v>6953</v>
      </c>
      <c r="C5287" t="s">
        <v>208</v>
      </c>
      <c r="D5287">
        <v>138841843.04752499</v>
      </c>
    </row>
    <row r="5288" spans="1:4" hidden="1" x14ac:dyDescent="0.3">
      <c r="A5288">
        <v>5286</v>
      </c>
      <c r="B5288" t="s">
        <v>6954</v>
      </c>
      <c r="C5288" t="s">
        <v>210</v>
      </c>
      <c r="D5288">
        <v>-3388.73510895348</v>
      </c>
    </row>
    <row r="5289" spans="1:4" hidden="1" x14ac:dyDescent="0.3">
      <c r="A5289">
        <v>5287</v>
      </c>
      <c r="B5289" t="s">
        <v>6955</v>
      </c>
      <c r="C5289" t="s">
        <v>212</v>
      </c>
      <c r="D5289">
        <v>-1593.19956614234</v>
      </c>
    </row>
    <row r="5290" spans="1:4" hidden="1" x14ac:dyDescent="0.3">
      <c r="A5290">
        <v>5288</v>
      </c>
      <c r="B5290" s="1" t="s">
        <v>6956</v>
      </c>
      <c r="C5290" t="s">
        <v>214</v>
      </c>
      <c r="D5290" s="1" t="s">
        <v>6957</v>
      </c>
    </row>
    <row r="5291" spans="1:4" hidden="1" x14ac:dyDescent="0.3">
      <c r="A5291">
        <v>5289</v>
      </c>
      <c r="B5291" t="s">
        <v>6958</v>
      </c>
      <c r="C5291" t="s">
        <v>217</v>
      </c>
      <c r="D5291">
        <v>72165651.163994193</v>
      </c>
    </row>
    <row r="5292" spans="1:4" hidden="1" x14ac:dyDescent="0.3">
      <c r="A5292">
        <v>5290</v>
      </c>
      <c r="B5292" t="s">
        <v>6959</v>
      </c>
      <c r="C5292" t="s">
        <v>219</v>
      </c>
      <c r="D5292">
        <v>33928377.529739</v>
      </c>
    </row>
    <row r="5293" spans="1:4" hidden="1" x14ac:dyDescent="0.3">
      <c r="A5293">
        <v>5291</v>
      </c>
      <c r="B5293" t="s">
        <v>6960</v>
      </c>
      <c r="C5293" t="s">
        <v>221</v>
      </c>
      <c r="D5293">
        <v>32754334.357631799</v>
      </c>
    </row>
    <row r="5294" spans="1:4" hidden="1" x14ac:dyDescent="0.3">
      <c r="A5294">
        <v>5292</v>
      </c>
      <c r="B5294" s="1" t="s">
        <v>6961</v>
      </c>
      <c r="C5294" t="s">
        <v>223</v>
      </c>
      <c r="D5294" s="1" t="s">
        <v>6962</v>
      </c>
    </row>
    <row r="5295" spans="1:4" hidden="1" x14ac:dyDescent="0.3">
      <c r="A5295">
        <v>5293</v>
      </c>
      <c r="B5295" t="s">
        <v>6963</v>
      </c>
      <c r="C5295" t="s">
        <v>226</v>
      </c>
      <c r="D5295">
        <v>103022241.32248101</v>
      </c>
    </row>
    <row r="5296" spans="1:4" hidden="1" x14ac:dyDescent="0.3">
      <c r="A5296">
        <v>5294</v>
      </c>
      <c r="B5296" t="s">
        <v>6964</v>
      </c>
      <c r="C5296" t="s">
        <v>228</v>
      </c>
      <c r="D5296">
        <v>-4837.6905153840698</v>
      </c>
    </row>
    <row r="5297" spans="1:4" hidden="1" x14ac:dyDescent="0.3">
      <c r="A5297">
        <v>5295</v>
      </c>
      <c r="B5297" s="1" t="s">
        <v>6965</v>
      </c>
      <c r="C5297" t="s">
        <v>230</v>
      </c>
      <c r="D5297" s="1" t="s">
        <v>6966</v>
      </c>
    </row>
    <row r="5298" spans="1:4" hidden="1" x14ac:dyDescent="0.3">
      <c r="A5298">
        <v>5296</v>
      </c>
      <c r="B5298" t="s">
        <v>6967</v>
      </c>
      <c r="C5298" t="s">
        <v>112</v>
      </c>
      <c r="D5298">
        <v>1181.8924783628199</v>
      </c>
    </row>
    <row r="5299" spans="1:4" hidden="1" x14ac:dyDescent="0.3">
      <c r="A5299">
        <v>5297</v>
      </c>
      <c r="B5299" t="s">
        <v>6968</v>
      </c>
      <c r="C5299" t="s">
        <v>114</v>
      </c>
      <c r="D5299">
        <v>288.34030780438599</v>
      </c>
    </row>
    <row r="5300" spans="1:4" hidden="1" x14ac:dyDescent="0.3">
      <c r="A5300">
        <v>5298</v>
      </c>
      <c r="B5300" s="1" t="s">
        <v>6969</v>
      </c>
      <c r="C5300" t="s">
        <v>116</v>
      </c>
      <c r="D5300" s="1" t="s">
        <v>6970</v>
      </c>
    </row>
    <row r="5301" spans="1:4" hidden="1" x14ac:dyDescent="0.3">
      <c r="A5301">
        <v>5299</v>
      </c>
      <c r="B5301" t="s">
        <v>6971</v>
      </c>
      <c r="C5301" t="s">
        <v>119</v>
      </c>
      <c r="D5301">
        <v>72165651.163994193</v>
      </c>
    </row>
    <row r="5302" spans="1:4" hidden="1" x14ac:dyDescent="0.3">
      <c r="A5302">
        <v>5300</v>
      </c>
      <c r="B5302" t="s">
        <v>6972</v>
      </c>
      <c r="C5302" t="s">
        <v>121</v>
      </c>
      <c r="D5302">
        <v>33928377.529739</v>
      </c>
    </row>
    <row r="5303" spans="1:4" hidden="1" x14ac:dyDescent="0.3">
      <c r="A5303">
        <v>5301</v>
      </c>
      <c r="B5303" s="1" t="s">
        <v>6973</v>
      </c>
      <c r="C5303" t="s">
        <v>123</v>
      </c>
      <c r="D5303" s="1" t="s">
        <v>6974</v>
      </c>
    </row>
    <row r="5304" spans="1:4" hidden="1" x14ac:dyDescent="0.3">
      <c r="A5304">
        <v>5302</v>
      </c>
      <c r="B5304" t="s">
        <v>6975</v>
      </c>
      <c r="C5304" t="s">
        <v>126</v>
      </c>
      <c r="D5304">
        <v>0.70064929241922602</v>
      </c>
    </row>
    <row r="5305" spans="1:4" hidden="1" x14ac:dyDescent="0.3">
      <c r="A5305">
        <v>5303</v>
      </c>
      <c r="B5305" t="s">
        <v>6976</v>
      </c>
      <c r="C5305" t="s">
        <v>128</v>
      </c>
      <c r="D5305">
        <v>0.32940731948947699</v>
      </c>
    </row>
    <row r="5306" spans="1:4" hidden="1" x14ac:dyDescent="0.3">
      <c r="A5306">
        <v>5304</v>
      </c>
      <c r="B5306" s="1" t="s">
        <v>6977</v>
      </c>
      <c r="C5306" t="s">
        <v>130</v>
      </c>
      <c r="D5306" s="1" t="s">
        <v>6978</v>
      </c>
    </row>
    <row r="5307" spans="1:4" ht="72" x14ac:dyDescent="0.3">
      <c r="A5307">
        <v>5305</v>
      </c>
      <c r="B5307" s="1" t="s">
        <v>6979</v>
      </c>
      <c r="C5307" t="s">
        <v>4</v>
      </c>
      <c r="D5307" t="s">
        <v>6980</v>
      </c>
    </row>
    <row r="5308" spans="1:4" hidden="1" x14ac:dyDescent="0.3">
      <c r="A5308">
        <v>5306</v>
      </c>
      <c r="B5308" t="s">
        <v>6981</v>
      </c>
      <c r="C5308" t="s">
        <v>7</v>
      </c>
      <c r="D5308">
        <v>1629.44</v>
      </c>
    </row>
    <row r="5309" spans="1:4" hidden="1" x14ac:dyDescent="0.3">
      <c r="A5309">
        <v>5307</v>
      </c>
      <c r="B5309" s="1" t="s">
        <v>6982</v>
      </c>
      <c r="C5309" t="s">
        <v>9</v>
      </c>
      <c r="D5309" s="1" t="s">
        <v>6983</v>
      </c>
    </row>
    <row r="5310" spans="1:4" hidden="1" x14ac:dyDescent="0.3">
      <c r="A5310">
        <v>5308</v>
      </c>
      <c r="B5310" t="s">
        <v>6984</v>
      </c>
      <c r="C5310" t="s">
        <v>14</v>
      </c>
      <c r="D5310">
        <v>87.70703125</v>
      </c>
    </row>
    <row r="5311" spans="1:4" hidden="1" x14ac:dyDescent="0.3">
      <c r="A5311">
        <v>5309</v>
      </c>
      <c r="B5311" t="s">
        <v>6985</v>
      </c>
      <c r="C5311" t="s">
        <v>16</v>
      </c>
      <c r="D5311">
        <v>4.20686492891471</v>
      </c>
    </row>
    <row r="5312" spans="1:4" hidden="1" x14ac:dyDescent="0.3">
      <c r="A5312">
        <v>5310</v>
      </c>
      <c r="B5312" s="1" t="s">
        <v>6986</v>
      </c>
      <c r="C5312" t="s">
        <v>140</v>
      </c>
      <c r="D5312" s="1" t="s">
        <v>6987</v>
      </c>
    </row>
    <row r="5313" spans="1:4" hidden="1" x14ac:dyDescent="0.3">
      <c r="A5313">
        <v>5311</v>
      </c>
      <c r="B5313" t="s">
        <v>6988</v>
      </c>
      <c r="C5313" t="s">
        <v>22</v>
      </c>
      <c r="D5313">
        <v>51.6</v>
      </c>
    </row>
    <row r="5314" spans="1:4" hidden="1" x14ac:dyDescent="0.3">
      <c r="A5314">
        <v>5312</v>
      </c>
      <c r="B5314" t="s">
        <v>6989</v>
      </c>
      <c r="C5314" t="s">
        <v>24</v>
      </c>
      <c r="D5314">
        <v>5.4358363711910096</v>
      </c>
    </row>
    <row r="5315" spans="1:4" hidden="1" x14ac:dyDescent="0.3">
      <c r="A5315">
        <v>5313</v>
      </c>
      <c r="B5315" s="1" t="s">
        <v>6990</v>
      </c>
      <c r="C5315" t="s">
        <v>145</v>
      </c>
      <c r="D5315" s="1" t="s">
        <v>6991</v>
      </c>
    </row>
    <row r="5316" spans="1:4" hidden="1" x14ac:dyDescent="0.3">
      <c r="A5316">
        <v>5314</v>
      </c>
      <c r="B5316" t="s">
        <v>6992</v>
      </c>
      <c r="C5316" t="s">
        <v>35</v>
      </c>
      <c r="D5316">
        <v>0.40127356246095902</v>
      </c>
    </row>
    <row r="5317" spans="1:4" hidden="1" x14ac:dyDescent="0.3">
      <c r="A5317">
        <v>5315</v>
      </c>
      <c r="B5317" t="s">
        <v>6993</v>
      </c>
      <c r="C5317" t="s">
        <v>149</v>
      </c>
      <c r="D5317">
        <v>0.53836509481317096</v>
      </c>
    </row>
    <row r="5318" spans="1:4" hidden="1" x14ac:dyDescent="0.3">
      <c r="A5318">
        <v>5316</v>
      </c>
      <c r="B5318" s="1" t="s">
        <v>6994</v>
      </c>
      <c r="C5318" t="s">
        <v>151</v>
      </c>
      <c r="D5318" s="1" t="s">
        <v>6995</v>
      </c>
    </row>
    <row r="5319" spans="1:4" hidden="1" x14ac:dyDescent="0.3">
      <c r="A5319">
        <v>5317</v>
      </c>
      <c r="B5319" t="s">
        <v>6996</v>
      </c>
      <c r="C5319" t="s">
        <v>30</v>
      </c>
      <c r="D5319">
        <v>0.256031821995924</v>
      </c>
    </row>
    <row r="5320" spans="1:4" hidden="1" x14ac:dyDescent="0.3">
      <c r="A5320">
        <v>5318</v>
      </c>
      <c r="B5320" t="s">
        <v>6997</v>
      </c>
      <c r="C5320" t="s">
        <v>32</v>
      </c>
      <c r="D5320">
        <v>0.42022386218443097</v>
      </c>
    </row>
    <row r="5321" spans="1:4" hidden="1" x14ac:dyDescent="0.3">
      <c r="A5321">
        <v>5319</v>
      </c>
      <c r="B5321" s="1" t="s">
        <v>6998</v>
      </c>
      <c r="C5321" t="s">
        <v>155</v>
      </c>
      <c r="D5321" s="1" t="s">
        <v>6999</v>
      </c>
    </row>
    <row r="5322" spans="1:4" hidden="1" x14ac:dyDescent="0.3">
      <c r="A5322">
        <v>5320</v>
      </c>
      <c r="B5322" t="s">
        <v>7000</v>
      </c>
      <c r="C5322" t="s">
        <v>40</v>
      </c>
      <c r="D5322">
        <v>0.34269461554311598</v>
      </c>
    </row>
    <row r="5323" spans="1:4" hidden="1" x14ac:dyDescent="0.3">
      <c r="A5323">
        <v>5321</v>
      </c>
      <c r="B5323" t="s">
        <v>7001</v>
      </c>
      <c r="C5323" t="s">
        <v>42</v>
      </c>
      <c r="D5323">
        <v>0.437251686721705</v>
      </c>
    </row>
    <row r="5324" spans="1:4" hidden="1" x14ac:dyDescent="0.3">
      <c r="A5324">
        <v>5322</v>
      </c>
      <c r="B5324" s="1" t="s">
        <v>7002</v>
      </c>
      <c r="C5324" t="s">
        <v>159</v>
      </c>
      <c r="D5324" s="1" t="s">
        <v>7003</v>
      </c>
    </row>
    <row r="5325" spans="1:4" hidden="1" x14ac:dyDescent="0.3">
      <c r="A5325">
        <v>5323</v>
      </c>
      <c r="B5325" t="s">
        <v>7004</v>
      </c>
      <c r="C5325" t="s">
        <v>161</v>
      </c>
      <c r="D5325">
        <v>0.98621248986212495</v>
      </c>
    </row>
    <row r="5326" spans="1:4" hidden="1" x14ac:dyDescent="0.3">
      <c r="A5326">
        <v>5324</v>
      </c>
      <c r="B5326" t="s">
        <v>7005</v>
      </c>
      <c r="C5326" t="s">
        <v>163</v>
      </c>
      <c r="D5326">
        <v>0.99610239197523398</v>
      </c>
    </row>
    <row r="5327" spans="1:4" hidden="1" x14ac:dyDescent="0.3">
      <c r="A5327">
        <v>5325</v>
      </c>
      <c r="B5327" s="1" t="s">
        <v>7006</v>
      </c>
      <c r="C5327" t="s">
        <v>165</v>
      </c>
      <c r="D5327" s="1" t="s">
        <v>7007</v>
      </c>
    </row>
    <row r="5328" spans="1:4" hidden="1" x14ac:dyDescent="0.3">
      <c r="A5328">
        <v>5326</v>
      </c>
      <c r="B5328" t="s">
        <v>7008</v>
      </c>
      <c r="C5328" t="s">
        <v>168</v>
      </c>
      <c r="D5328">
        <v>0.99873576771639305</v>
      </c>
    </row>
    <row r="5329" spans="1:4" hidden="1" x14ac:dyDescent="0.3">
      <c r="A5329">
        <v>5327</v>
      </c>
      <c r="B5329" t="s">
        <v>7009</v>
      </c>
      <c r="C5329" t="s">
        <v>170</v>
      </c>
      <c r="D5329">
        <v>1.0014580063246099</v>
      </c>
    </row>
    <row r="5330" spans="1:4" hidden="1" x14ac:dyDescent="0.3">
      <c r="A5330">
        <v>5328</v>
      </c>
      <c r="B5330" s="1" t="s">
        <v>7010</v>
      </c>
      <c r="C5330" t="s">
        <v>172</v>
      </c>
      <c r="D5330" s="1" t="s">
        <v>7011</v>
      </c>
    </row>
    <row r="5331" spans="1:4" hidden="1" x14ac:dyDescent="0.3">
      <c r="A5331">
        <v>5329</v>
      </c>
      <c r="B5331" s="1" t="s">
        <v>7012</v>
      </c>
      <c r="C5331" t="s">
        <v>55</v>
      </c>
      <c r="D5331" s="1" t="s">
        <v>7013</v>
      </c>
    </row>
    <row r="5332" spans="1:4" hidden="1" x14ac:dyDescent="0.3">
      <c r="A5332">
        <v>5330</v>
      </c>
      <c r="B5332" s="1" t="s">
        <v>7014</v>
      </c>
      <c r="C5332" t="s">
        <v>52</v>
      </c>
      <c r="D5332" s="1" t="s">
        <v>7015</v>
      </c>
    </row>
    <row r="5333" spans="1:4" hidden="1" x14ac:dyDescent="0.3">
      <c r="A5333">
        <v>5331</v>
      </c>
      <c r="B5333" s="1" t="s">
        <v>7016</v>
      </c>
      <c r="C5333" t="s">
        <v>58</v>
      </c>
      <c r="D5333" s="1" t="s">
        <v>7017</v>
      </c>
    </row>
    <row r="5334" spans="1:4" hidden="1" x14ac:dyDescent="0.3">
      <c r="A5334">
        <v>5332</v>
      </c>
      <c r="B5334" t="s">
        <v>7018</v>
      </c>
      <c r="C5334" t="s">
        <v>61</v>
      </c>
      <c r="D5334">
        <v>137161798.46489301</v>
      </c>
    </row>
    <row r="5335" spans="1:4" hidden="1" x14ac:dyDescent="0.3">
      <c r="A5335">
        <v>5333</v>
      </c>
      <c r="B5335" t="s">
        <v>7019</v>
      </c>
      <c r="C5335" t="s">
        <v>63</v>
      </c>
      <c r="D5335">
        <v>71170666.516964197</v>
      </c>
    </row>
    <row r="5336" spans="1:4" hidden="1" x14ac:dyDescent="0.3">
      <c r="A5336">
        <v>5334</v>
      </c>
      <c r="B5336" t="s">
        <v>7020</v>
      </c>
      <c r="C5336" t="s">
        <v>65</v>
      </c>
      <c r="D5336">
        <v>33796138.013211802</v>
      </c>
    </row>
    <row r="5337" spans="1:4" hidden="1" x14ac:dyDescent="0.3">
      <c r="A5337">
        <v>5335</v>
      </c>
      <c r="B5337" s="1" t="s">
        <v>7021</v>
      </c>
      <c r="C5337" t="s">
        <v>67</v>
      </c>
      <c r="D5337" s="1" t="s">
        <v>7022</v>
      </c>
    </row>
    <row r="5338" spans="1:4" hidden="1" x14ac:dyDescent="0.3">
      <c r="A5338">
        <v>5336</v>
      </c>
      <c r="B5338" s="1" t="s">
        <v>7023</v>
      </c>
      <c r="C5338" t="s">
        <v>70</v>
      </c>
      <c r="D5338" s="1" t="s">
        <v>7024</v>
      </c>
    </row>
    <row r="5339" spans="1:4" hidden="1" x14ac:dyDescent="0.3">
      <c r="A5339">
        <v>5337</v>
      </c>
      <c r="B5339" t="s">
        <v>7025</v>
      </c>
      <c r="C5339" t="s">
        <v>73</v>
      </c>
      <c r="D5339">
        <v>0.99976712733353801</v>
      </c>
    </row>
    <row r="5340" spans="1:4" hidden="1" x14ac:dyDescent="0.3">
      <c r="A5340">
        <v>5338</v>
      </c>
      <c r="B5340" t="s">
        <v>74</v>
      </c>
      <c r="C5340" t="s">
        <v>75</v>
      </c>
      <c r="D5340">
        <v>2.7397260273972599E-3</v>
      </c>
    </row>
    <row r="5341" spans="1:4" hidden="1" x14ac:dyDescent="0.3">
      <c r="A5341">
        <v>5339</v>
      </c>
      <c r="B5341" t="s">
        <v>76</v>
      </c>
      <c r="C5341" t="s">
        <v>77</v>
      </c>
      <c r="D5341">
        <v>0</v>
      </c>
    </row>
    <row r="5342" spans="1:4" hidden="1" x14ac:dyDescent="0.3">
      <c r="A5342">
        <v>5340</v>
      </c>
      <c r="B5342" t="s">
        <v>188</v>
      </c>
      <c r="C5342" t="s">
        <v>79</v>
      </c>
      <c r="D5342" s="2">
        <v>-2.2204460492503101E-16</v>
      </c>
    </row>
    <row r="5343" spans="1:4" hidden="1" x14ac:dyDescent="0.3">
      <c r="A5343">
        <v>5341</v>
      </c>
      <c r="B5343" s="1" t="s">
        <v>7026</v>
      </c>
      <c r="C5343" t="s">
        <v>81</v>
      </c>
      <c r="D5343" s="1" t="s">
        <v>7027</v>
      </c>
    </row>
    <row r="5344" spans="1:4" hidden="1" x14ac:dyDescent="0.3">
      <c r="A5344">
        <v>5342</v>
      </c>
      <c r="B5344" t="s">
        <v>7028</v>
      </c>
      <c r="C5344" t="s">
        <v>84</v>
      </c>
      <c r="D5344">
        <v>0.99979570728948497</v>
      </c>
    </row>
    <row r="5345" spans="1:4" hidden="1" x14ac:dyDescent="0.3">
      <c r="A5345">
        <v>5343</v>
      </c>
      <c r="B5345" s="1" t="s">
        <v>7029</v>
      </c>
      <c r="C5345" t="s">
        <v>86</v>
      </c>
      <c r="D5345" s="1" t="s">
        <v>7030</v>
      </c>
    </row>
    <row r="5346" spans="1:4" hidden="1" x14ac:dyDescent="0.3">
      <c r="A5346">
        <v>5344</v>
      </c>
      <c r="B5346" t="s">
        <v>7031</v>
      </c>
      <c r="C5346" t="s">
        <v>89</v>
      </c>
      <c r="D5346">
        <v>103014458.7975</v>
      </c>
    </row>
    <row r="5347" spans="1:4" hidden="1" x14ac:dyDescent="0.3">
      <c r="A5347">
        <v>5345</v>
      </c>
      <c r="B5347" s="1" t="s">
        <v>7032</v>
      </c>
      <c r="C5347" t="s">
        <v>91</v>
      </c>
      <c r="D5347" s="1" t="s">
        <v>6966</v>
      </c>
    </row>
    <row r="5348" spans="1:4" hidden="1" x14ac:dyDescent="0.3">
      <c r="A5348">
        <v>5346</v>
      </c>
      <c r="B5348" t="s">
        <v>7033</v>
      </c>
      <c r="C5348" t="s">
        <v>94</v>
      </c>
      <c r="D5348">
        <v>71170666.516964197</v>
      </c>
    </row>
    <row r="5349" spans="1:4" hidden="1" x14ac:dyDescent="0.3">
      <c r="A5349">
        <v>5347</v>
      </c>
      <c r="B5349" t="s">
        <v>7034</v>
      </c>
      <c r="C5349" t="s">
        <v>96</v>
      </c>
      <c r="D5349">
        <v>33796138.013211802</v>
      </c>
    </row>
    <row r="5350" spans="1:4" hidden="1" x14ac:dyDescent="0.3">
      <c r="A5350">
        <v>5348</v>
      </c>
      <c r="B5350" t="s">
        <v>7035</v>
      </c>
      <c r="C5350" t="s">
        <v>98</v>
      </c>
      <c r="D5350">
        <v>32194993.934717201</v>
      </c>
    </row>
    <row r="5351" spans="1:4" hidden="1" x14ac:dyDescent="0.3">
      <c r="A5351">
        <v>5349</v>
      </c>
      <c r="B5351" s="1" t="s">
        <v>7036</v>
      </c>
      <c r="C5351" t="s">
        <v>100</v>
      </c>
      <c r="D5351" s="1" t="s">
        <v>7037</v>
      </c>
    </row>
    <row r="5352" spans="1:4" hidden="1" x14ac:dyDescent="0.3">
      <c r="A5352">
        <v>5350</v>
      </c>
      <c r="B5352" t="s">
        <v>7038</v>
      </c>
      <c r="C5352" t="s">
        <v>103</v>
      </c>
      <c r="D5352">
        <v>8.9097787742141096E-3</v>
      </c>
    </row>
    <row r="5353" spans="1:4" hidden="1" x14ac:dyDescent="0.3">
      <c r="A5353">
        <v>5351</v>
      </c>
      <c r="B5353" t="s">
        <v>7039</v>
      </c>
      <c r="C5353" t="s">
        <v>105</v>
      </c>
      <c r="D5353">
        <v>3.1172761340517502E-3</v>
      </c>
    </row>
    <row r="5354" spans="1:4" hidden="1" x14ac:dyDescent="0.3">
      <c r="A5354">
        <v>5352</v>
      </c>
      <c r="B5354" t="s">
        <v>7040</v>
      </c>
      <c r="C5354" t="s">
        <v>107</v>
      </c>
      <c r="D5354">
        <v>1.2998130635045801E-2</v>
      </c>
    </row>
    <row r="5355" spans="1:4" hidden="1" x14ac:dyDescent="0.3">
      <c r="A5355">
        <v>5353</v>
      </c>
      <c r="B5355" s="1" t="s">
        <v>7041</v>
      </c>
      <c r="C5355" t="s">
        <v>109</v>
      </c>
      <c r="D5355" s="1" t="s">
        <v>7042</v>
      </c>
    </row>
    <row r="5356" spans="1:4" hidden="1" x14ac:dyDescent="0.3">
      <c r="A5356">
        <v>5354</v>
      </c>
      <c r="B5356" t="s">
        <v>7043</v>
      </c>
      <c r="C5356" t="s">
        <v>208</v>
      </c>
      <c r="D5356">
        <v>137162808.77426001</v>
      </c>
    </row>
    <row r="5357" spans="1:4" hidden="1" x14ac:dyDescent="0.3">
      <c r="A5357">
        <v>5355</v>
      </c>
      <c r="B5357" t="s">
        <v>7044</v>
      </c>
      <c r="C5357" t="s">
        <v>210</v>
      </c>
      <c r="D5357">
        <v>-2034.54892676754</v>
      </c>
    </row>
    <row r="5358" spans="1:4" hidden="1" x14ac:dyDescent="0.3">
      <c r="A5358">
        <v>5356</v>
      </c>
      <c r="B5358" t="s">
        <v>7045</v>
      </c>
      <c r="C5358" t="s">
        <v>212</v>
      </c>
      <c r="D5358">
        <v>-966.12071463940799</v>
      </c>
    </row>
    <row r="5359" spans="1:4" hidden="1" x14ac:dyDescent="0.3">
      <c r="A5359">
        <v>5357</v>
      </c>
      <c r="B5359" s="1" t="s">
        <v>7046</v>
      </c>
      <c r="C5359" t="s">
        <v>214</v>
      </c>
      <c r="D5359" s="1" t="s">
        <v>7047</v>
      </c>
    </row>
    <row r="5360" spans="1:4" hidden="1" x14ac:dyDescent="0.3">
      <c r="A5360">
        <v>5358</v>
      </c>
      <c r="B5360" t="s">
        <v>7048</v>
      </c>
      <c r="C5360" t="s">
        <v>217</v>
      </c>
      <c r="D5360">
        <v>71173422.627691701</v>
      </c>
    </row>
    <row r="5361" spans="1:4" hidden="1" x14ac:dyDescent="0.3">
      <c r="A5361">
        <v>5359</v>
      </c>
      <c r="B5361" t="s">
        <v>7049</v>
      </c>
      <c r="C5361" t="s">
        <v>219</v>
      </c>
      <c r="D5361">
        <v>33797229.954870597</v>
      </c>
    </row>
    <row r="5362" spans="1:4" hidden="1" x14ac:dyDescent="0.3">
      <c r="A5362">
        <v>5360</v>
      </c>
      <c r="B5362" t="s">
        <v>7050</v>
      </c>
      <c r="C5362" t="s">
        <v>221</v>
      </c>
      <c r="D5362">
        <v>32196077.2118291</v>
      </c>
    </row>
    <row r="5363" spans="1:4" hidden="1" x14ac:dyDescent="0.3">
      <c r="A5363">
        <v>5361</v>
      </c>
      <c r="B5363" s="1" t="s">
        <v>7051</v>
      </c>
      <c r="C5363" t="s">
        <v>223</v>
      </c>
      <c r="D5363" s="1" t="s">
        <v>7052</v>
      </c>
    </row>
    <row r="5364" spans="1:4" hidden="1" x14ac:dyDescent="0.3">
      <c r="A5364">
        <v>5362</v>
      </c>
      <c r="B5364" t="s">
        <v>7053</v>
      </c>
      <c r="C5364" t="s">
        <v>226</v>
      </c>
      <c r="D5364">
        <v>103017403.631965</v>
      </c>
    </row>
    <row r="5365" spans="1:4" hidden="1" x14ac:dyDescent="0.3">
      <c r="A5365">
        <v>5363</v>
      </c>
      <c r="B5365" t="s">
        <v>7054</v>
      </c>
      <c r="C5365" t="s">
        <v>228</v>
      </c>
      <c r="D5365">
        <v>-2944.83446572721</v>
      </c>
    </row>
    <row r="5366" spans="1:4" hidden="1" x14ac:dyDescent="0.3">
      <c r="A5366">
        <v>5364</v>
      </c>
      <c r="B5366" s="1" t="s">
        <v>7055</v>
      </c>
      <c r="C5366" t="s">
        <v>230</v>
      </c>
      <c r="D5366" s="1" t="s">
        <v>7056</v>
      </c>
    </row>
    <row r="5367" spans="1:4" hidden="1" x14ac:dyDescent="0.3">
      <c r="A5367">
        <v>5365</v>
      </c>
      <c r="B5367" t="s">
        <v>7057</v>
      </c>
      <c r="C5367" t="s">
        <v>112</v>
      </c>
      <c r="D5367">
        <v>721.56180067769299</v>
      </c>
    </row>
    <row r="5368" spans="1:4" hidden="1" x14ac:dyDescent="0.3">
      <c r="A5368">
        <v>5366</v>
      </c>
      <c r="B5368" t="s">
        <v>7058</v>
      </c>
      <c r="C5368" t="s">
        <v>114</v>
      </c>
      <c r="D5368">
        <v>125.82094420865501</v>
      </c>
    </row>
    <row r="5369" spans="1:4" hidden="1" x14ac:dyDescent="0.3">
      <c r="A5369">
        <v>5367</v>
      </c>
      <c r="B5369" s="1" t="s">
        <v>7059</v>
      </c>
      <c r="C5369" t="s">
        <v>116</v>
      </c>
      <c r="D5369" s="1" t="s">
        <v>7060</v>
      </c>
    </row>
    <row r="5370" spans="1:4" hidden="1" x14ac:dyDescent="0.3">
      <c r="A5370">
        <v>5368</v>
      </c>
      <c r="B5370" t="s">
        <v>7061</v>
      </c>
      <c r="C5370" t="s">
        <v>119</v>
      </c>
      <c r="D5370">
        <v>71173422.627691701</v>
      </c>
    </row>
    <row r="5371" spans="1:4" hidden="1" x14ac:dyDescent="0.3">
      <c r="A5371">
        <v>5369</v>
      </c>
      <c r="B5371" t="s">
        <v>7062</v>
      </c>
      <c r="C5371" t="s">
        <v>121</v>
      </c>
      <c r="D5371">
        <v>33797229.954870597</v>
      </c>
    </row>
    <row r="5372" spans="1:4" hidden="1" x14ac:dyDescent="0.3">
      <c r="A5372">
        <v>5370</v>
      </c>
      <c r="B5372" s="1" t="s">
        <v>7063</v>
      </c>
      <c r="C5372" t="s">
        <v>123</v>
      </c>
      <c r="D5372" s="1" t="s">
        <v>7064</v>
      </c>
    </row>
    <row r="5373" spans="1:4" hidden="1" x14ac:dyDescent="0.3">
      <c r="A5373">
        <v>5371</v>
      </c>
      <c r="B5373" t="s">
        <v>7065</v>
      </c>
      <c r="C5373" t="s">
        <v>126</v>
      </c>
      <c r="D5373">
        <v>0.69102853790127705</v>
      </c>
    </row>
    <row r="5374" spans="1:4" hidden="1" x14ac:dyDescent="0.3">
      <c r="A5374">
        <v>5372</v>
      </c>
      <c r="B5374" t="s">
        <v>7066</v>
      </c>
      <c r="C5374" t="s">
        <v>128</v>
      </c>
      <c r="D5374">
        <v>0.32814004917252299</v>
      </c>
    </row>
    <row r="5375" spans="1:4" hidden="1" x14ac:dyDescent="0.3">
      <c r="A5375">
        <v>5373</v>
      </c>
      <c r="B5375" s="1" t="s">
        <v>7067</v>
      </c>
      <c r="C5375" t="s">
        <v>130</v>
      </c>
      <c r="D5375" s="1" t="s">
        <v>7068</v>
      </c>
    </row>
    <row r="5376" spans="1:4" ht="72" x14ac:dyDescent="0.3">
      <c r="A5376">
        <v>5374</v>
      </c>
      <c r="B5376" s="1" t="s">
        <v>7069</v>
      </c>
      <c r="C5376" t="s">
        <v>4</v>
      </c>
      <c r="D5376" t="s">
        <v>7070</v>
      </c>
    </row>
    <row r="5377" spans="1:4" hidden="1" x14ac:dyDescent="0.3">
      <c r="A5377">
        <v>5375</v>
      </c>
      <c r="B5377" t="s">
        <v>7071</v>
      </c>
      <c r="C5377" t="s">
        <v>7</v>
      </c>
      <c r="D5377">
        <v>1628.02</v>
      </c>
    </row>
    <row r="5378" spans="1:4" hidden="1" x14ac:dyDescent="0.3">
      <c r="A5378">
        <v>5376</v>
      </c>
      <c r="B5378" s="1" t="s">
        <v>7072</v>
      </c>
      <c r="C5378" t="s">
        <v>9</v>
      </c>
      <c r="D5378" s="1" t="s">
        <v>7073</v>
      </c>
    </row>
    <row r="5379" spans="1:4" hidden="1" x14ac:dyDescent="0.3">
      <c r="A5379">
        <v>5377</v>
      </c>
      <c r="B5379" t="s">
        <v>7074</v>
      </c>
      <c r="C5379" t="s">
        <v>14</v>
      </c>
      <c r="D5379">
        <v>87.4921875</v>
      </c>
    </row>
    <row r="5380" spans="1:4" hidden="1" x14ac:dyDescent="0.3">
      <c r="A5380">
        <v>5378</v>
      </c>
      <c r="B5380" t="s">
        <v>7075</v>
      </c>
      <c r="C5380" t="s">
        <v>16</v>
      </c>
      <c r="D5380">
        <v>4.2005063892018102</v>
      </c>
    </row>
    <row r="5381" spans="1:4" hidden="1" x14ac:dyDescent="0.3">
      <c r="A5381">
        <v>5379</v>
      </c>
      <c r="B5381" s="1" t="s">
        <v>7076</v>
      </c>
      <c r="C5381" t="s">
        <v>140</v>
      </c>
      <c r="D5381" s="1" t="s">
        <v>7077</v>
      </c>
    </row>
    <row r="5382" spans="1:4" hidden="1" x14ac:dyDescent="0.3">
      <c r="A5382">
        <v>5380</v>
      </c>
      <c r="B5382" t="s">
        <v>7078</v>
      </c>
      <c r="C5382" t="s">
        <v>22</v>
      </c>
      <c r="D5382">
        <v>51</v>
      </c>
    </row>
    <row r="5383" spans="1:4" hidden="1" x14ac:dyDescent="0.3">
      <c r="A5383">
        <v>5381</v>
      </c>
      <c r="B5383" t="s">
        <v>7079</v>
      </c>
      <c r="C5383" t="s">
        <v>24</v>
      </c>
      <c r="D5383">
        <v>5.4201624212306996</v>
      </c>
    </row>
    <row r="5384" spans="1:4" hidden="1" x14ac:dyDescent="0.3">
      <c r="A5384">
        <v>5382</v>
      </c>
      <c r="B5384" s="1" t="s">
        <v>7080</v>
      </c>
      <c r="C5384" t="s">
        <v>145</v>
      </c>
      <c r="D5384" s="1" t="s">
        <v>7081</v>
      </c>
    </row>
    <row r="5385" spans="1:4" hidden="1" x14ac:dyDescent="0.3">
      <c r="A5385">
        <v>5383</v>
      </c>
      <c r="B5385" t="s">
        <v>7082</v>
      </c>
      <c r="C5385" t="s">
        <v>35</v>
      </c>
      <c r="D5385">
        <v>6.11037651176429E-2</v>
      </c>
    </row>
    <row r="5386" spans="1:4" hidden="1" x14ac:dyDescent="0.3">
      <c r="A5386">
        <v>5384</v>
      </c>
      <c r="B5386" t="s">
        <v>7083</v>
      </c>
      <c r="C5386" t="s">
        <v>149</v>
      </c>
      <c r="D5386">
        <v>0.53851674304588804</v>
      </c>
    </row>
    <row r="5387" spans="1:4" hidden="1" x14ac:dyDescent="0.3">
      <c r="A5387">
        <v>5385</v>
      </c>
      <c r="B5387" s="1" t="s">
        <v>7084</v>
      </c>
      <c r="C5387" t="s">
        <v>151</v>
      </c>
      <c r="D5387" s="1" t="s">
        <v>7085</v>
      </c>
    </row>
    <row r="5388" spans="1:4" hidden="1" x14ac:dyDescent="0.3">
      <c r="A5388">
        <v>5386</v>
      </c>
      <c r="B5388" t="s">
        <v>7086</v>
      </c>
      <c r="C5388" t="s">
        <v>30</v>
      </c>
      <c r="D5388">
        <v>0.40223616903771398</v>
      </c>
    </row>
    <row r="5389" spans="1:4" hidden="1" x14ac:dyDescent="0.3">
      <c r="A5389">
        <v>5387</v>
      </c>
      <c r="B5389" t="s">
        <v>7087</v>
      </c>
      <c r="C5389" t="s">
        <v>32</v>
      </c>
      <c r="D5389">
        <v>0.41828791866888099</v>
      </c>
    </row>
    <row r="5390" spans="1:4" hidden="1" x14ac:dyDescent="0.3">
      <c r="A5390">
        <v>5388</v>
      </c>
      <c r="B5390" s="1" t="s">
        <v>7088</v>
      </c>
      <c r="C5390" t="s">
        <v>155</v>
      </c>
      <c r="D5390" s="1" t="s">
        <v>7089</v>
      </c>
    </row>
    <row r="5391" spans="1:4" hidden="1" x14ac:dyDescent="0.3">
      <c r="A5391">
        <v>5389</v>
      </c>
      <c r="B5391" t="s">
        <v>7090</v>
      </c>
      <c r="C5391" t="s">
        <v>40</v>
      </c>
      <c r="D5391">
        <v>0.53666006584464199</v>
      </c>
    </row>
    <row r="5392" spans="1:4" hidden="1" x14ac:dyDescent="0.3">
      <c r="A5392">
        <v>5390</v>
      </c>
      <c r="B5392" t="s">
        <v>7091</v>
      </c>
      <c r="C5392" t="s">
        <v>42</v>
      </c>
      <c r="D5392">
        <v>0.438664558507463</v>
      </c>
    </row>
    <row r="5393" spans="1:4" hidden="1" x14ac:dyDescent="0.3">
      <c r="A5393">
        <v>5391</v>
      </c>
      <c r="B5393" s="1" t="s">
        <v>7092</v>
      </c>
      <c r="C5393" t="s">
        <v>159</v>
      </c>
      <c r="D5393" s="1" t="s">
        <v>7093</v>
      </c>
    </row>
    <row r="5394" spans="1:4" hidden="1" x14ac:dyDescent="0.3">
      <c r="A5394">
        <v>5392</v>
      </c>
      <c r="B5394" t="s">
        <v>7094</v>
      </c>
      <c r="C5394" t="s">
        <v>161</v>
      </c>
      <c r="D5394">
        <v>0.99912853495679399</v>
      </c>
    </row>
    <row r="5395" spans="1:4" hidden="1" x14ac:dyDescent="0.3">
      <c r="A5395">
        <v>5393</v>
      </c>
      <c r="B5395" t="s">
        <v>7095</v>
      </c>
      <c r="C5395" t="s">
        <v>163</v>
      </c>
      <c r="D5395">
        <v>0.99759337489858602</v>
      </c>
    </row>
    <row r="5396" spans="1:4" hidden="1" x14ac:dyDescent="0.3">
      <c r="A5396">
        <v>5394</v>
      </c>
      <c r="B5396" s="1" t="s">
        <v>7096</v>
      </c>
      <c r="C5396" t="s">
        <v>165</v>
      </c>
      <c r="D5396" s="1" t="s">
        <v>7097</v>
      </c>
    </row>
    <row r="5397" spans="1:4" hidden="1" x14ac:dyDescent="0.3">
      <c r="A5397">
        <v>5395</v>
      </c>
      <c r="B5397" t="s">
        <v>7098</v>
      </c>
      <c r="C5397" t="s">
        <v>168</v>
      </c>
      <c r="D5397">
        <v>1.0000985775309299</v>
      </c>
    </row>
    <row r="5398" spans="1:4" hidden="1" x14ac:dyDescent="0.3">
      <c r="A5398">
        <v>5396</v>
      </c>
      <c r="B5398" t="s">
        <v>7099</v>
      </c>
      <c r="C5398" t="s">
        <v>170</v>
      </c>
      <c r="D5398">
        <v>0.99863687439205995</v>
      </c>
    </row>
    <row r="5399" spans="1:4" hidden="1" x14ac:dyDescent="0.3">
      <c r="A5399">
        <v>5397</v>
      </c>
      <c r="B5399" s="1" t="s">
        <v>7100</v>
      </c>
      <c r="C5399" t="s">
        <v>172</v>
      </c>
      <c r="D5399" s="1" t="s">
        <v>7101</v>
      </c>
    </row>
    <row r="5400" spans="1:4" hidden="1" x14ac:dyDescent="0.3">
      <c r="A5400">
        <v>5398</v>
      </c>
      <c r="B5400" s="1" t="s">
        <v>7102</v>
      </c>
      <c r="C5400" t="s">
        <v>55</v>
      </c>
      <c r="D5400" s="1" t="s">
        <v>7103</v>
      </c>
    </row>
    <row r="5401" spans="1:4" hidden="1" x14ac:dyDescent="0.3">
      <c r="A5401">
        <v>5399</v>
      </c>
      <c r="B5401" s="1" t="s">
        <v>7104</v>
      </c>
      <c r="C5401" t="s">
        <v>52</v>
      </c>
      <c r="D5401" s="1" t="s">
        <v>7105</v>
      </c>
    </row>
    <row r="5402" spans="1:4" hidden="1" x14ac:dyDescent="0.3">
      <c r="A5402">
        <v>5400</v>
      </c>
      <c r="B5402" s="1" t="s">
        <v>7106</v>
      </c>
      <c r="C5402" t="s">
        <v>58</v>
      </c>
      <c r="D5402" s="1" t="s">
        <v>7107</v>
      </c>
    </row>
    <row r="5403" spans="1:4" hidden="1" x14ac:dyDescent="0.3">
      <c r="A5403">
        <v>5401</v>
      </c>
      <c r="B5403" t="s">
        <v>7108</v>
      </c>
      <c r="C5403" t="s">
        <v>61</v>
      </c>
      <c r="D5403">
        <v>136675826.48039699</v>
      </c>
    </row>
    <row r="5404" spans="1:4" hidden="1" x14ac:dyDescent="0.3">
      <c r="A5404">
        <v>5402</v>
      </c>
      <c r="B5404" t="s">
        <v>7109</v>
      </c>
      <c r="C5404" t="s">
        <v>63</v>
      </c>
      <c r="D5404">
        <v>71111397.477866396</v>
      </c>
    </row>
    <row r="5405" spans="1:4" hidden="1" x14ac:dyDescent="0.3">
      <c r="A5405">
        <v>5403</v>
      </c>
      <c r="B5405" t="s">
        <v>7110</v>
      </c>
      <c r="C5405" t="s">
        <v>65</v>
      </c>
      <c r="D5405">
        <v>33715892.692902997</v>
      </c>
    </row>
    <row r="5406" spans="1:4" hidden="1" x14ac:dyDescent="0.3">
      <c r="A5406">
        <v>5404</v>
      </c>
      <c r="B5406" s="1" t="s">
        <v>7111</v>
      </c>
      <c r="C5406" t="s">
        <v>67</v>
      </c>
      <c r="D5406" s="1" t="s">
        <v>7112</v>
      </c>
    </row>
    <row r="5407" spans="1:4" hidden="1" x14ac:dyDescent="0.3">
      <c r="A5407">
        <v>5405</v>
      </c>
      <c r="B5407" s="1" t="s">
        <v>7113</v>
      </c>
      <c r="C5407" t="s">
        <v>70</v>
      </c>
      <c r="D5407" s="1" t="s">
        <v>7114</v>
      </c>
    </row>
    <row r="5408" spans="1:4" hidden="1" x14ac:dyDescent="0.3">
      <c r="A5408">
        <v>5406</v>
      </c>
      <c r="B5408" t="s">
        <v>7115</v>
      </c>
      <c r="C5408" t="s">
        <v>73</v>
      </c>
      <c r="D5408">
        <v>0.99979570728948497</v>
      </c>
    </row>
    <row r="5409" spans="1:4" hidden="1" x14ac:dyDescent="0.3">
      <c r="A5409">
        <v>5407</v>
      </c>
      <c r="B5409" t="s">
        <v>74</v>
      </c>
      <c r="C5409" t="s">
        <v>75</v>
      </c>
      <c r="D5409">
        <v>2.7397260273972599E-3</v>
      </c>
    </row>
    <row r="5410" spans="1:4" hidden="1" x14ac:dyDescent="0.3">
      <c r="A5410">
        <v>5408</v>
      </c>
      <c r="B5410" t="s">
        <v>76</v>
      </c>
      <c r="C5410" t="s">
        <v>77</v>
      </c>
      <c r="D5410">
        <v>0</v>
      </c>
    </row>
    <row r="5411" spans="1:4" hidden="1" x14ac:dyDescent="0.3">
      <c r="A5411">
        <v>5409</v>
      </c>
      <c r="B5411" t="s">
        <v>831</v>
      </c>
      <c r="C5411" t="s">
        <v>79</v>
      </c>
      <c r="D5411" s="2">
        <v>2.2204460492503101E-16</v>
      </c>
    </row>
    <row r="5412" spans="1:4" hidden="1" x14ac:dyDescent="0.3">
      <c r="A5412">
        <v>5410</v>
      </c>
      <c r="B5412" s="1" t="s">
        <v>7116</v>
      </c>
      <c r="C5412" t="s">
        <v>81</v>
      </c>
      <c r="D5412" s="1" t="s">
        <v>7117</v>
      </c>
    </row>
    <row r="5413" spans="1:4" hidden="1" x14ac:dyDescent="0.3">
      <c r="A5413">
        <v>5411</v>
      </c>
      <c r="B5413" t="s">
        <v>7118</v>
      </c>
      <c r="C5413" t="s">
        <v>84</v>
      </c>
      <c r="D5413">
        <v>0.99979876118269095</v>
      </c>
    </row>
    <row r="5414" spans="1:4" hidden="1" x14ac:dyDescent="0.3">
      <c r="A5414">
        <v>5412</v>
      </c>
      <c r="B5414" s="1" t="s">
        <v>7119</v>
      </c>
      <c r="C5414" t="s">
        <v>86</v>
      </c>
      <c r="D5414" s="1" t="s">
        <v>7120</v>
      </c>
    </row>
    <row r="5415" spans="1:4" hidden="1" x14ac:dyDescent="0.3">
      <c r="A5415">
        <v>5413</v>
      </c>
      <c r="B5415" t="s">
        <v>7121</v>
      </c>
      <c r="C5415" t="s">
        <v>89</v>
      </c>
      <c r="D5415">
        <v>103014144.13902199</v>
      </c>
    </row>
    <row r="5416" spans="1:4" hidden="1" x14ac:dyDescent="0.3">
      <c r="A5416">
        <v>5414</v>
      </c>
      <c r="B5416" s="1" t="s">
        <v>7122</v>
      </c>
      <c r="C5416" t="s">
        <v>91</v>
      </c>
      <c r="D5416" s="1" t="s">
        <v>7056</v>
      </c>
    </row>
    <row r="5417" spans="1:4" hidden="1" x14ac:dyDescent="0.3">
      <c r="A5417">
        <v>5415</v>
      </c>
      <c r="B5417" t="s">
        <v>7123</v>
      </c>
      <c r="C5417" t="s">
        <v>94</v>
      </c>
      <c r="D5417">
        <v>71111397.477866396</v>
      </c>
    </row>
    <row r="5418" spans="1:4" hidden="1" x14ac:dyDescent="0.3">
      <c r="A5418">
        <v>5416</v>
      </c>
      <c r="B5418" t="s">
        <v>7124</v>
      </c>
      <c r="C5418" t="s">
        <v>96</v>
      </c>
      <c r="D5418">
        <v>33715892.692902997</v>
      </c>
    </row>
    <row r="5419" spans="1:4" hidden="1" x14ac:dyDescent="0.3">
      <c r="A5419">
        <v>5417</v>
      </c>
      <c r="B5419" t="s">
        <v>7125</v>
      </c>
      <c r="C5419" t="s">
        <v>98</v>
      </c>
      <c r="D5419">
        <v>31848536.309628099</v>
      </c>
    </row>
    <row r="5420" spans="1:4" hidden="1" x14ac:dyDescent="0.3">
      <c r="A5420">
        <v>5418</v>
      </c>
      <c r="B5420" s="1" t="s">
        <v>7126</v>
      </c>
      <c r="C5420" t="s">
        <v>100</v>
      </c>
      <c r="D5420" s="1" t="s">
        <v>7127</v>
      </c>
    </row>
    <row r="5421" spans="1:4" hidden="1" x14ac:dyDescent="0.3">
      <c r="A5421">
        <v>5419</v>
      </c>
      <c r="B5421" t="s">
        <v>7128</v>
      </c>
      <c r="C5421" t="s">
        <v>103</v>
      </c>
      <c r="D5421">
        <v>8.9859646577075299E-3</v>
      </c>
    </row>
    <row r="5422" spans="1:4" hidden="1" x14ac:dyDescent="0.3">
      <c r="A5422">
        <v>5420</v>
      </c>
      <c r="B5422" t="s">
        <v>7129</v>
      </c>
      <c r="C5422" t="s">
        <v>105</v>
      </c>
      <c r="D5422">
        <v>3.1196351971582901E-3</v>
      </c>
    </row>
    <row r="5423" spans="1:4" hidden="1" x14ac:dyDescent="0.3">
      <c r="A5423">
        <v>5421</v>
      </c>
      <c r="B5423" t="s">
        <v>7130</v>
      </c>
      <c r="C5423" t="s">
        <v>107</v>
      </c>
      <c r="D5423">
        <v>1.30222942794508E-2</v>
      </c>
    </row>
    <row r="5424" spans="1:4" hidden="1" x14ac:dyDescent="0.3">
      <c r="A5424">
        <v>5422</v>
      </c>
      <c r="B5424" s="1" t="s">
        <v>7131</v>
      </c>
      <c r="C5424" t="s">
        <v>109</v>
      </c>
      <c r="D5424" s="1" t="s">
        <v>7132</v>
      </c>
    </row>
    <row r="5425" spans="1:4" hidden="1" x14ac:dyDescent="0.3">
      <c r="A5425">
        <v>5423</v>
      </c>
      <c r="B5425" t="s">
        <v>7133</v>
      </c>
      <c r="C5425" t="s">
        <v>208</v>
      </c>
      <c r="D5425">
        <v>136675934.37074301</v>
      </c>
    </row>
    <row r="5426" spans="1:4" hidden="1" x14ac:dyDescent="0.3">
      <c r="A5426">
        <v>5424</v>
      </c>
      <c r="B5426" t="s">
        <v>7134</v>
      </c>
      <c r="C5426" t="s">
        <v>210</v>
      </c>
      <c r="D5426">
        <v>-217.21121030125801</v>
      </c>
    </row>
    <row r="5427" spans="1:4" hidden="1" x14ac:dyDescent="0.3">
      <c r="A5427">
        <v>5425</v>
      </c>
      <c r="B5427" t="s">
        <v>7135</v>
      </c>
      <c r="C5427" t="s">
        <v>212</v>
      </c>
      <c r="D5427">
        <v>-102.985830295192</v>
      </c>
    </row>
    <row r="5428" spans="1:4" hidden="1" x14ac:dyDescent="0.3">
      <c r="A5428">
        <v>5426</v>
      </c>
      <c r="B5428" s="1" t="s">
        <v>7136</v>
      </c>
      <c r="C5428" t="s">
        <v>214</v>
      </c>
      <c r="D5428" s="1" t="s">
        <v>7137</v>
      </c>
    </row>
    <row r="5429" spans="1:4" hidden="1" x14ac:dyDescent="0.3">
      <c r="A5429">
        <v>5427</v>
      </c>
      <c r="B5429" t="s">
        <v>7138</v>
      </c>
      <c r="C5429" t="s">
        <v>217</v>
      </c>
      <c r="D5429">
        <v>71111687.369955704</v>
      </c>
    </row>
    <row r="5430" spans="1:4" hidden="1" x14ac:dyDescent="0.3">
      <c r="A5430">
        <v>5428</v>
      </c>
      <c r="B5430" t="s">
        <v>7139</v>
      </c>
      <c r="C5430" t="s">
        <v>219</v>
      </c>
      <c r="D5430">
        <v>33716013.815906599</v>
      </c>
    </row>
    <row r="5431" spans="1:4" hidden="1" x14ac:dyDescent="0.3">
      <c r="A5431">
        <v>5429</v>
      </c>
      <c r="B5431" t="s">
        <v>7140</v>
      </c>
      <c r="C5431" t="s">
        <v>221</v>
      </c>
      <c r="D5431">
        <v>31848650.663876802</v>
      </c>
    </row>
    <row r="5432" spans="1:4" hidden="1" x14ac:dyDescent="0.3">
      <c r="A5432">
        <v>5430</v>
      </c>
      <c r="B5432" s="1" t="s">
        <v>7141</v>
      </c>
      <c r="C5432" t="s">
        <v>223</v>
      </c>
      <c r="D5432" s="1" t="s">
        <v>7142</v>
      </c>
    </row>
    <row r="5433" spans="1:4" hidden="1" x14ac:dyDescent="0.3">
      <c r="A5433">
        <v>5431</v>
      </c>
      <c r="B5433" t="s">
        <v>7143</v>
      </c>
      <c r="C5433" t="s">
        <v>226</v>
      </c>
      <c r="D5433">
        <v>103014458.7975</v>
      </c>
    </row>
    <row r="5434" spans="1:4" hidden="1" x14ac:dyDescent="0.3">
      <c r="A5434">
        <v>5432</v>
      </c>
      <c r="B5434" t="s">
        <v>7144</v>
      </c>
      <c r="C5434" t="s">
        <v>228</v>
      </c>
      <c r="D5434">
        <v>-314.65847741067398</v>
      </c>
    </row>
    <row r="5435" spans="1:4" hidden="1" x14ac:dyDescent="0.3">
      <c r="A5435">
        <v>5433</v>
      </c>
      <c r="B5435" s="1" t="s">
        <v>7145</v>
      </c>
      <c r="C5435" t="s">
        <v>230</v>
      </c>
      <c r="D5435" s="1" t="s">
        <v>7146</v>
      </c>
    </row>
    <row r="5436" spans="1:4" hidden="1" x14ac:dyDescent="0.3">
      <c r="A5436">
        <v>5434</v>
      </c>
      <c r="B5436" t="s">
        <v>7147</v>
      </c>
      <c r="C5436" t="s">
        <v>112</v>
      </c>
      <c r="D5436">
        <v>72.680879045807899</v>
      </c>
    </row>
    <row r="5437" spans="1:4" hidden="1" x14ac:dyDescent="0.3">
      <c r="A5437">
        <v>5435</v>
      </c>
      <c r="B5437" t="s">
        <v>7148</v>
      </c>
      <c r="C5437" t="s">
        <v>114</v>
      </c>
      <c r="D5437">
        <v>18.137173343146401</v>
      </c>
    </row>
    <row r="5438" spans="1:4" hidden="1" x14ac:dyDescent="0.3">
      <c r="A5438">
        <v>5436</v>
      </c>
      <c r="B5438" s="1" t="s">
        <v>7149</v>
      </c>
      <c r="C5438" t="s">
        <v>116</v>
      </c>
      <c r="D5438" s="1" t="s">
        <v>7150</v>
      </c>
    </row>
    <row r="5439" spans="1:4" hidden="1" x14ac:dyDescent="0.3">
      <c r="A5439">
        <v>5437</v>
      </c>
      <c r="B5439" t="s">
        <v>7151</v>
      </c>
      <c r="C5439" t="s">
        <v>119</v>
      </c>
      <c r="D5439">
        <v>71111687.369955704</v>
      </c>
    </row>
    <row r="5440" spans="1:4" hidden="1" x14ac:dyDescent="0.3">
      <c r="A5440">
        <v>5438</v>
      </c>
      <c r="B5440" t="s">
        <v>7152</v>
      </c>
      <c r="C5440" t="s">
        <v>121</v>
      </c>
      <c r="D5440">
        <v>33716013.815906599</v>
      </c>
    </row>
    <row r="5441" spans="1:4" hidden="1" x14ac:dyDescent="0.3">
      <c r="A5441">
        <v>5439</v>
      </c>
      <c r="B5441" s="1" t="s">
        <v>7153</v>
      </c>
      <c r="C5441" t="s">
        <v>123</v>
      </c>
      <c r="D5441" s="1" t="s">
        <v>7154</v>
      </c>
    </row>
    <row r="5442" spans="1:4" hidden="1" x14ac:dyDescent="0.3">
      <c r="A5442">
        <v>5440</v>
      </c>
      <c r="B5442" t="s">
        <v>7155</v>
      </c>
      <c r="C5442" t="s">
        <v>126</v>
      </c>
      <c r="D5442">
        <v>0.69044677332167803</v>
      </c>
    </row>
    <row r="5443" spans="1:4" hidden="1" x14ac:dyDescent="0.3">
      <c r="A5443">
        <v>5441</v>
      </c>
      <c r="B5443" t="s">
        <v>7156</v>
      </c>
      <c r="C5443" t="s">
        <v>128</v>
      </c>
      <c r="D5443">
        <v>0.32735987303118202</v>
      </c>
    </row>
    <row r="5444" spans="1:4" hidden="1" x14ac:dyDescent="0.3">
      <c r="A5444">
        <v>5442</v>
      </c>
      <c r="B5444" s="1" t="s">
        <v>7157</v>
      </c>
      <c r="C5444" t="s">
        <v>130</v>
      </c>
      <c r="D5444" s="1" t="s">
        <v>7158</v>
      </c>
    </row>
    <row r="5445" spans="1:4" ht="72" x14ac:dyDescent="0.3">
      <c r="A5445">
        <v>5443</v>
      </c>
      <c r="B5445" s="1" t="s">
        <v>7159</v>
      </c>
      <c r="C5445" t="s">
        <v>4</v>
      </c>
      <c r="D5445" t="s">
        <v>7160</v>
      </c>
    </row>
    <row r="5446" spans="1:4" hidden="1" x14ac:dyDescent="0.3">
      <c r="A5446">
        <v>5444</v>
      </c>
      <c r="B5446" t="s">
        <v>7161</v>
      </c>
      <c r="C5446" t="s">
        <v>7</v>
      </c>
      <c r="D5446">
        <v>1657.69</v>
      </c>
    </row>
    <row r="5447" spans="1:4" hidden="1" x14ac:dyDescent="0.3">
      <c r="A5447">
        <v>5445</v>
      </c>
      <c r="B5447" s="1" t="s">
        <v>7162</v>
      </c>
      <c r="C5447" t="s">
        <v>9</v>
      </c>
      <c r="D5447" s="1" t="s">
        <v>7163</v>
      </c>
    </row>
    <row r="5448" spans="1:4" hidden="1" x14ac:dyDescent="0.3">
      <c r="A5448">
        <v>5446</v>
      </c>
      <c r="B5448" t="s">
        <v>7164</v>
      </c>
      <c r="C5448" t="s">
        <v>14</v>
      </c>
      <c r="D5448">
        <v>87.90234375</v>
      </c>
    </row>
    <row r="5449" spans="1:4" hidden="1" x14ac:dyDescent="0.3">
      <c r="A5449">
        <v>5447</v>
      </c>
      <c r="B5449" t="s">
        <v>7165</v>
      </c>
      <c r="C5449" t="s">
        <v>16</v>
      </c>
      <c r="D5449">
        <v>4.2012375433673297</v>
      </c>
    </row>
    <row r="5450" spans="1:4" hidden="1" x14ac:dyDescent="0.3">
      <c r="A5450">
        <v>5448</v>
      </c>
      <c r="B5450" s="1" t="s">
        <v>7166</v>
      </c>
      <c r="C5450" t="s">
        <v>140</v>
      </c>
      <c r="D5450" s="1" t="s">
        <v>7167</v>
      </c>
    </row>
    <row r="5451" spans="1:4" hidden="1" x14ac:dyDescent="0.3">
      <c r="A5451">
        <v>5449</v>
      </c>
      <c r="B5451" t="s">
        <v>7168</v>
      </c>
      <c r="C5451" t="s">
        <v>22</v>
      </c>
      <c r="D5451">
        <v>48.6</v>
      </c>
    </row>
    <row r="5452" spans="1:4" hidden="1" x14ac:dyDescent="0.3">
      <c r="A5452">
        <v>5450</v>
      </c>
      <c r="B5452" t="s">
        <v>7169</v>
      </c>
      <c r="C5452" t="s">
        <v>24</v>
      </c>
      <c r="D5452">
        <v>5.53107582524677</v>
      </c>
    </row>
    <row r="5453" spans="1:4" hidden="1" x14ac:dyDescent="0.3">
      <c r="A5453">
        <v>5451</v>
      </c>
      <c r="B5453" s="1" t="s">
        <v>7170</v>
      </c>
      <c r="C5453" t="s">
        <v>145</v>
      </c>
      <c r="D5453" s="1" t="s">
        <v>7171</v>
      </c>
    </row>
    <row r="5454" spans="1:4" hidden="1" x14ac:dyDescent="0.3">
      <c r="A5454">
        <v>5452</v>
      </c>
      <c r="B5454" t="s">
        <v>7172</v>
      </c>
      <c r="C5454" t="s">
        <v>35</v>
      </c>
      <c r="D5454">
        <v>-6.2701475362091595E-4</v>
      </c>
    </row>
    <row r="5455" spans="1:4" hidden="1" x14ac:dyDescent="0.3">
      <c r="A5455">
        <v>5453</v>
      </c>
      <c r="B5455" t="s">
        <v>7173</v>
      </c>
      <c r="C5455" t="s">
        <v>149</v>
      </c>
      <c r="D5455">
        <v>0.54213161843101099</v>
      </c>
    </row>
    <row r="5456" spans="1:4" hidden="1" x14ac:dyDescent="0.3">
      <c r="A5456">
        <v>5454</v>
      </c>
      <c r="B5456" s="1" t="s">
        <v>7174</v>
      </c>
      <c r="C5456" t="s">
        <v>151</v>
      </c>
      <c r="D5456" s="1" t="s">
        <v>7175</v>
      </c>
    </row>
    <row r="5457" spans="1:4" hidden="1" x14ac:dyDescent="0.3">
      <c r="A5457">
        <v>5455</v>
      </c>
      <c r="B5457" t="s">
        <v>7176</v>
      </c>
      <c r="C5457" t="s">
        <v>30</v>
      </c>
      <c r="D5457">
        <v>0.42244943864630602</v>
      </c>
    </row>
    <row r="5458" spans="1:4" hidden="1" x14ac:dyDescent="0.3">
      <c r="A5458">
        <v>5456</v>
      </c>
      <c r="B5458" t="s">
        <v>7177</v>
      </c>
      <c r="C5458" t="s">
        <v>32</v>
      </c>
      <c r="D5458">
        <v>0.419168371557543</v>
      </c>
    </row>
    <row r="5459" spans="1:4" hidden="1" x14ac:dyDescent="0.3">
      <c r="A5459">
        <v>5457</v>
      </c>
      <c r="B5459" s="1" t="s">
        <v>7178</v>
      </c>
      <c r="C5459" t="s">
        <v>155</v>
      </c>
      <c r="D5459" s="1" t="s">
        <v>7179</v>
      </c>
    </row>
    <row r="5460" spans="1:4" hidden="1" x14ac:dyDescent="0.3">
      <c r="A5460">
        <v>5458</v>
      </c>
      <c r="B5460" t="s">
        <v>7180</v>
      </c>
      <c r="C5460" t="s">
        <v>40</v>
      </c>
      <c r="D5460">
        <v>0.57817757610731402</v>
      </c>
    </row>
    <row r="5461" spans="1:4" hidden="1" x14ac:dyDescent="0.3">
      <c r="A5461">
        <v>5459</v>
      </c>
      <c r="B5461" t="s">
        <v>7181</v>
      </c>
      <c r="C5461" t="s">
        <v>42</v>
      </c>
      <c r="D5461">
        <v>0.42540214601180598</v>
      </c>
    </row>
    <row r="5462" spans="1:4" hidden="1" x14ac:dyDescent="0.3">
      <c r="A5462">
        <v>5460</v>
      </c>
      <c r="B5462" s="1" t="s">
        <v>7182</v>
      </c>
      <c r="C5462" t="s">
        <v>159</v>
      </c>
      <c r="D5462" s="1" t="s">
        <v>7183</v>
      </c>
    </row>
    <row r="5463" spans="1:4" hidden="1" x14ac:dyDescent="0.3">
      <c r="A5463">
        <v>5461</v>
      </c>
      <c r="B5463" t="s">
        <v>7184</v>
      </c>
      <c r="C5463" t="s">
        <v>161</v>
      </c>
      <c r="D5463">
        <v>1.01822459183548</v>
      </c>
    </row>
    <row r="5464" spans="1:4" hidden="1" x14ac:dyDescent="0.3">
      <c r="A5464">
        <v>5462</v>
      </c>
      <c r="B5464" t="s">
        <v>7185</v>
      </c>
      <c r="C5464" t="s">
        <v>163</v>
      </c>
      <c r="D5464">
        <v>1.0044811357016199</v>
      </c>
    </row>
    <row r="5465" spans="1:4" hidden="1" x14ac:dyDescent="0.3">
      <c r="A5465">
        <v>5463</v>
      </c>
      <c r="B5465" s="1" t="s">
        <v>7186</v>
      </c>
      <c r="C5465" t="s">
        <v>165</v>
      </c>
      <c r="D5465" s="1" t="s">
        <v>7187</v>
      </c>
    </row>
    <row r="5466" spans="1:4" hidden="1" x14ac:dyDescent="0.3">
      <c r="A5466">
        <v>5464</v>
      </c>
      <c r="B5466" t="s">
        <v>7188</v>
      </c>
      <c r="C5466" t="s">
        <v>168</v>
      </c>
      <c r="D5466">
        <v>1.00234958469022</v>
      </c>
    </row>
    <row r="5467" spans="1:4" hidden="1" x14ac:dyDescent="0.3">
      <c r="A5467">
        <v>5465</v>
      </c>
      <c r="B5467" t="s">
        <v>7189</v>
      </c>
      <c r="C5467" t="s">
        <v>170</v>
      </c>
      <c r="D5467">
        <v>1.0006207857213401</v>
      </c>
    </row>
    <row r="5468" spans="1:4" hidden="1" x14ac:dyDescent="0.3">
      <c r="A5468">
        <v>5466</v>
      </c>
      <c r="B5468" s="1" t="s">
        <v>7190</v>
      </c>
      <c r="C5468" t="s">
        <v>172</v>
      </c>
      <c r="D5468" s="1" t="s">
        <v>7191</v>
      </c>
    </row>
    <row r="5469" spans="1:4" hidden="1" x14ac:dyDescent="0.3">
      <c r="A5469">
        <v>5467</v>
      </c>
      <c r="B5469" s="1" t="s">
        <v>7192</v>
      </c>
      <c r="C5469" t="s">
        <v>55</v>
      </c>
      <c r="D5469" s="1" t="s">
        <v>7193</v>
      </c>
    </row>
    <row r="5470" spans="1:4" hidden="1" x14ac:dyDescent="0.3">
      <c r="A5470">
        <v>5468</v>
      </c>
      <c r="B5470" s="1" t="s">
        <v>7194</v>
      </c>
      <c r="C5470" t="s">
        <v>52</v>
      </c>
      <c r="D5470" s="1" t="s">
        <v>7195</v>
      </c>
    </row>
    <row r="5471" spans="1:4" hidden="1" x14ac:dyDescent="0.3">
      <c r="A5471">
        <v>5469</v>
      </c>
      <c r="B5471" s="1" t="s">
        <v>7196</v>
      </c>
      <c r="C5471" t="s">
        <v>58</v>
      </c>
      <c r="D5471" s="1" t="s">
        <v>7197</v>
      </c>
    </row>
    <row r="5472" spans="1:4" hidden="1" x14ac:dyDescent="0.3">
      <c r="A5472">
        <v>5470</v>
      </c>
      <c r="B5472" t="s">
        <v>7198</v>
      </c>
      <c r="C5472" t="s">
        <v>61</v>
      </c>
      <c r="D5472">
        <v>136831251.52131701</v>
      </c>
    </row>
    <row r="5473" spans="1:4" hidden="1" x14ac:dyDescent="0.3">
      <c r="A5473">
        <v>5471</v>
      </c>
      <c r="B5473" t="s">
        <v>7199</v>
      </c>
      <c r="C5473" t="s">
        <v>63</v>
      </c>
      <c r="D5473">
        <v>72407668.847005501</v>
      </c>
    </row>
    <row r="5474" spans="1:4" hidden="1" x14ac:dyDescent="0.3">
      <c r="A5474">
        <v>5472</v>
      </c>
      <c r="B5474" t="s">
        <v>7200</v>
      </c>
      <c r="C5474" t="s">
        <v>65</v>
      </c>
      <c r="D5474">
        <v>33867099.8491337</v>
      </c>
    </row>
    <row r="5475" spans="1:4" hidden="1" x14ac:dyDescent="0.3">
      <c r="A5475">
        <v>5473</v>
      </c>
      <c r="B5475" s="1" t="s">
        <v>7201</v>
      </c>
      <c r="C5475" t="s">
        <v>67</v>
      </c>
      <c r="D5475" s="1" t="s">
        <v>7202</v>
      </c>
    </row>
    <row r="5476" spans="1:4" hidden="1" x14ac:dyDescent="0.3">
      <c r="A5476">
        <v>5474</v>
      </c>
      <c r="B5476" s="1" t="s">
        <v>7203</v>
      </c>
      <c r="C5476" t="s">
        <v>70</v>
      </c>
      <c r="D5476" s="1" t="s">
        <v>7204</v>
      </c>
    </row>
    <row r="5477" spans="1:4" hidden="1" x14ac:dyDescent="0.3">
      <c r="A5477">
        <v>5475</v>
      </c>
      <c r="B5477" t="s">
        <v>7205</v>
      </c>
      <c r="C5477" t="s">
        <v>73</v>
      </c>
      <c r="D5477">
        <v>0.99979876118269095</v>
      </c>
    </row>
    <row r="5478" spans="1:4" hidden="1" x14ac:dyDescent="0.3">
      <c r="A5478">
        <v>5476</v>
      </c>
      <c r="B5478" t="s">
        <v>74</v>
      </c>
      <c r="C5478" t="s">
        <v>75</v>
      </c>
      <c r="D5478">
        <v>2.7397260273972599E-3</v>
      </c>
    </row>
    <row r="5479" spans="1:4" hidden="1" x14ac:dyDescent="0.3">
      <c r="A5479">
        <v>5477</v>
      </c>
      <c r="B5479" t="s">
        <v>76</v>
      </c>
      <c r="C5479" t="s">
        <v>77</v>
      </c>
      <c r="D5479">
        <v>0</v>
      </c>
    </row>
    <row r="5480" spans="1:4" hidden="1" x14ac:dyDescent="0.3">
      <c r="A5480">
        <v>5478</v>
      </c>
      <c r="B5480" t="s">
        <v>78</v>
      </c>
      <c r="C5480" t="s">
        <v>79</v>
      </c>
      <c r="D5480">
        <v>0</v>
      </c>
    </row>
    <row r="5481" spans="1:4" hidden="1" x14ac:dyDescent="0.3">
      <c r="A5481">
        <v>5479</v>
      </c>
      <c r="B5481" s="1" t="s">
        <v>7206</v>
      </c>
      <c r="C5481" t="s">
        <v>81</v>
      </c>
      <c r="D5481" s="1" t="s">
        <v>7207</v>
      </c>
    </row>
    <row r="5482" spans="1:4" hidden="1" x14ac:dyDescent="0.3">
      <c r="A5482">
        <v>5480</v>
      </c>
      <c r="B5482" t="s">
        <v>7208</v>
      </c>
      <c r="C5482" t="s">
        <v>84</v>
      </c>
      <c r="D5482">
        <v>0.99980670596404497</v>
      </c>
    </row>
    <row r="5483" spans="1:4" hidden="1" x14ac:dyDescent="0.3">
      <c r="A5483">
        <v>5481</v>
      </c>
      <c r="B5483" s="1" t="s">
        <v>7209</v>
      </c>
      <c r="C5483" t="s">
        <v>86</v>
      </c>
      <c r="D5483" s="1" t="s">
        <v>7210</v>
      </c>
    </row>
    <row r="5484" spans="1:4" hidden="1" x14ac:dyDescent="0.3">
      <c r="A5484">
        <v>5482</v>
      </c>
      <c r="B5484" t="s">
        <v>7211</v>
      </c>
      <c r="C5484" t="s">
        <v>89</v>
      </c>
      <c r="D5484">
        <v>103013325.555943</v>
      </c>
    </row>
    <row r="5485" spans="1:4" hidden="1" x14ac:dyDescent="0.3">
      <c r="A5485">
        <v>5483</v>
      </c>
      <c r="B5485" s="1" t="s">
        <v>7212</v>
      </c>
      <c r="C5485" t="s">
        <v>91</v>
      </c>
      <c r="D5485" s="1" t="s">
        <v>7146</v>
      </c>
    </row>
    <row r="5486" spans="1:4" hidden="1" x14ac:dyDescent="0.3">
      <c r="A5486">
        <v>5484</v>
      </c>
      <c r="B5486" t="s">
        <v>7213</v>
      </c>
      <c r="C5486" t="s">
        <v>94</v>
      </c>
      <c r="D5486">
        <v>72407668.847005501</v>
      </c>
    </row>
    <row r="5487" spans="1:4" hidden="1" x14ac:dyDescent="0.3">
      <c r="A5487">
        <v>5485</v>
      </c>
      <c r="B5487" t="s">
        <v>7214</v>
      </c>
      <c r="C5487" t="s">
        <v>96</v>
      </c>
      <c r="D5487">
        <v>33867099.8491337</v>
      </c>
    </row>
    <row r="5488" spans="1:4" hidden="1" x14ac:dyDescent="0.3">
      <c r="A5488">
        <v>5486</v>
      </c>
      <c r="B5488" t="s">
        <v>7215</v>
      </c>
      <c r="C5488" t="s">
        <v>98</v>
      </c>
      <c r="D5488">
        <v>30556482.825178299</v>
      </c>
    </row>
    <row r="5489" spans="1:4" hidden="1" x14ac:dyDescent="0.3">
      <c r="A5489">
        <v>5487</v>
      </c>
      <c r="B5489" s="1" t="s">
        <v>7216</v>
      </c>
      <c r="C5489" t="s">
        <v>100</v>
      </c>
      <c r="D5489" s="1" t="s">
        <v>7217</v>
      </c>
    </row>
    <row r="5490" spans="1:4" hidden="1" x14ac:dyDescent="0.3">
      <c r="A5490">
        <v>5488</v>
      </c>
      <c r="B5490" t="s">
        <v>7218</v>
      </c>
      <c r="C5490" t="s">
        <v>103</v>
      </c>
      <c r="D5490">
        <v>8.9473332795417197E-3</v>
      </c>
    </row>
    <row r="5491" spans="1:4" hidden="1" x14ac:dyDescent="0.3">
      <c r="A5491">
        <v>5489</v>
      </c>
      <c r="B5491" t="s">
        <v>7219</v>
      </c>
      <c r="C5491" t="s">
        <v>105</v>
      </c>
      <c r="D5491">
        <v>3.12166892930427E-3</v>
      </c>
    </row>
    <row r="5492" spans="1:4" hidden="1" x14ac:dyDescent="0.3">
      <c r="A5492">
        <v>5490</v>
      </c>
      <c r="B5492" t="s">
        <v>7220</v>
      </c>
      <c r="C5492" t="s">
        <v>107</v>
      </c>
      <c r="D5492">
        <v>1.37445054263442E-2</v>
      </c>
    </row>
    <row r="5493" spans="1:4" hidden="1" x14ac:dyDescent="0.3">
      <c r="A5493">
        <v>5491</v>
      </c>
      <c r="B5493" s="1" t="s">
        <v>7221</v>
      </c>
      <c r="C5493" t="s">
        <v>109</v>
      </c>
      <c r="D5493" s="1" t="s">
        <v>7222</v>
      </c>
    </row>
    <row r="5494" spans="1:4" hidden="1" x14ac:dyDescent="0.3">
      <c r="A5494">
        <v>5492</v>
      </c>
      <c r="B5494" t="s">
        <v>7223</v>
      </c>
      <c r="C5494" t="s">
        <v>208</v>
      </c>
      <c r="D5494">
        <v>136831532.705872</v>
      </c>
    </row>
    <row r="5495" spans="1:4" hidden="1" x14ac:dyDescent="0.3">
      <c r="A5495">
        <v>5493</v>
      </c>
      <c r="B5495" t="s">
        <v>7224</v>
      </c>
      <c r="C5495" t="s">
        <v>210</v>
      </c>
      <c r="D5495">
        <v>-575.38042183055802</v>
      </c>
    </row>
    <row r="5496" spans="1:4" hidden="1" x14ac:dyDescent="0.3">
      <c r="A5496">
        <v>5494</v>
      </c>
      <c r="B5496" t="s">
        <v>7225</v>
      </c>
      <c r="C5496" t="s">
        <v>212</v>
      </c>
      <c r="D5496">
        <v>-269.12123542341499</v>
      </c>
    </row>
    <row r="5497" spans="1:4" hidden="1" x14ac:dyDescent="0.3">
      <c r="A5497">
        <v>5495</v>
      </c>
      <c r="B5497" s="1" t="s">
        <v>7226</v>
      </c>
      <c r="C5497" t="s">
        <v>214</v>
      </c>
      <c r="D5497" s="1" t="s">
        <v>7227</v>
      </c>
    </row>
    <row r="5498" spans="1:4" hidden="1" x14ac:dyDescent="0.3">
      <c r="A5498">
        <v>5496</v>
      </c>
      <c r="B5498" t="s">
        <v>7228</v>
      </c>
      <c r="C5498" t="s">
        <v>217</v>
      </c>
      <c r="D5498">
        <v>72408437.513947606</v>
      </c>
    </row>
    <row r="5499" spans="1:4" hidden="1" x14ac:dyDescent="0.3">
      <c r="A5499">
        <v>5497</v>
      </c>
      <c r="B5499" t="s">
        <v>7229</v>
      </c>
      <c r="C5499" t="s">
        <v>219</v>
      </c>
      <c r="D5499">
        <v>33867416.094618604</v>
      </c>
    </row>
    <row r="5500" spans="1:4" hidden="1" x14ac:dyDescent="0.3">
      <c r="A5500">
        <v>5498</v>
      </c>
      <c r="B5500" t="s">
        <v>7230</v>
      </c>
      <c r="C5500" t="s">
        <v>221</v>
      </c>
      <c r="D5500">
        <v>30556766.412726101</v>
      </c>
    </row>
    <row r="5501" spans="1:4" hidden="1" x14ac:dyDescent="0.3">
      <c r="A5501">
        <v>5499</v>
      </c>
      <c r="B5501" s="1" t="s">
        <v>7231</v>
      </c>
      <c r="C5501" t="s">
        <v>223</v>
      </c>
      <c r="D5501" s="1" t="s">
        <v>7232</v>
      </c>
    </row>
    <row r="5502" spans="1:4" hidden="1" x14ac:dyDescent="0.3">
      <c r="A5502">
        <v>5500</v>
      </c>
      <c r="B5502" t="s">
        <v>7233</v>
      </c>
      <c r="C5502" t="s">
        <v>226</v>
      </c>
      <c r="D5502">
        <v>103014144.13902199</v>
      </c>
    </row>
    <row r="5503" spans="1:4" hidden="1" x14ac:dyDescent="0.3">
      <c r="A5503">
        <v>5501</v>
      </c>
      <c r="B5503" t="s">
        <v>7234</v>
      </c>
      <c r="C5503" t="s">
        <v>228</v>
      </c>
      <c r="D5503">
        <v>-818.58307877182904</v>
      </c>
    </row>
    <row r="5504" spans="1:4" hidden="1" x14ac:dyDescent="0.3">
      <c r="A5504">
        <v>5502</v>
      </c>
      <c r="B5504" s="1" t="s">
        <v>7235</v>
      </c>
      <c r="C5504" t="s">
        <v>230</v>
      </c>
      <c r="D5504" s="1" t="s">
        <v>7236</v>
      </c>
    </row>
    <row r="5505" spans="1:4" hidden="1" x14ac:dyDescent="0.3">
      <c r="A5505">
        <v>5503</v>
      </c>
      <c r="B5505" t="s">
        <v>7237</v>
      </c>
      <c r="C5505" t="s">
        <v>112</v>
      </c>
      <c r="D5505">
        <v>193.28652022840899</v>
      </c>
    </row>
    <row r="5506" spans="1:4" hidden="1" x14ac:dyDescent="0.3">
      <c r="A5506">
        <v>5504</v>
      </c>
      <c r="B5506" t="s">
        <v>7238</v>
      </c>
      <c r="C5506" t="s">
        <v>114</v>
      </c>
      <c r="D5506">
        <v>47.124249486946397</v>
      </c>
    </row>
    <row r="5507" spans="1:4" hidden="1" x14ac:dyDescent="0.3">
      <c r="A5507">
        <v>5505</v>
      </c>
      <c r="B5507" s="1" t="s">
        <v>7239</v>
      </c>
      <c r="C5507" t="s">
        <v>116</v>
      </c>
      <c r="D5507" s="1" t="s">
        <v>7240</v>
      </c>
    </row>
    <row r="5508" spans="1:4" hidden="1" x14ac:dyDescent="0.3">
      <c r="A5508">
        <v>5506</v>
      </c>
      <c r="B5508" t="s">
        <v>7241</v>
      </c>
      <c r="C5508" t="s">
        <v>119</v>
      </c>
      <c r="D5508">
        <v>72408437.513947606</v>
      </c>
    </row>
    <row r="5509" spans="1:4" hidden="1" x14ac:dyDescent="0.3">
      <c r="A5509">
        <v>5507</v>
      </c>
      <c r="B5509" t="s">
        <v>7242</v>
      </c>
      <c r="C5509" t="s">
        <v>121</v>
      </c>
      <c r="D5509">
        <v>33867416.094618604</v>
      </c>
    </row>
    <row r="5510" spans="1:4" hidden="1" x14ac:dyDescent="0.3">
      <c r="A5510">
        <v>5508</v>
      </c>
      <c r="B5510" s="1" t="s">
        <v>7243</v>
      </c>
      <c r="C5510" t="s">
        <v>123</v>
      </c>
      <c r="D5510" s="1" t="s">
        <v>7244</v>
      </c>
    </row>
    <row r="5511" spans="1:4" hidden="1" x14ac:dyDescent="0.3">
      <c r="A5511">
        <v>5509</v>
      </c>
      <c r="B5511" t="s">
        <v>7245</v>
      </c>
      <c r="C5511" t="s">
        <v>126</v>
      </c>
      <c r="D5511">
        <v>0.70303390805464006</v>
      </c>
    </row>
    <row r="5512" spans="1:4" hidden="1" x14ac:dyDescent="0.3">
      <c r="A5512">
        <v>5510</v>
      </c>
      <c r="B5512" t="s">
        <v>7246</v>
      </c>
      <c r="C5512" t="s">
        <v>128</v>
      </c>
      <c r="D5512">
        <v>0.32882827899892197</v>
      </c>
    </row>
    <row r="5513" spans="1:4" hidden="1" x14ac:dyDescent="0.3">
      <c r="A5513">
        <v>5511</v>
      </c>
      <c r="B5513" s="1" t="s">
        <v>7247</v>
      </c>
      <c r="C5513" t="s">
        <v>130</v>
      </c>
      <c r="D5513" s="1" t="s">
        <v>7248</v>
      </c>
    </row>
    <row r="5514" spans="1:4" ht="72" x14ac:dyDescent="0.3">
      <c r="A5514">
        <v>5512</v>
      </c>
      <c r="B5514" s="1" t="s">
        <v>7249</v>
      </c>
      <c r="C5514" t="s">
        <v>4</v>
      </c>
      <c r="D5514" t="s">
        <v>7250</v>
      </c>
    </row>
    <row r="5515" spans="1:4" hidden="1" x14ac:dyDescent="0.3">
      <c r="A5515">
        <v>5513</v>
      </c>
      <c r="B5515" t="s">
        <v>7251</v>
      </c>
      <c r="C5515" t="s">
        <v>7</v>
      </c>
      <c r="D5515">
        <v>1649.78</v>
      </c>
    </row>
    <row r="5516" spans="1:4" hidden="1" x14ac:dyDescent="0.3">
      <c r="A5516">
        <v>5514</v>
      </c>
      <c r="B5516" s="1" t="s">
        <v>7252</v>
      </c>
      <c r="C5516" t="s">
        <v>9</v>
      </c>
      <c r="D5516" s="1" t="s">
        <v>7253</v>
      </c>
    </row>
    <row r="5517" spans="1:4" hidden="1" x14ac:dyDescent="0.3">
      <c r="A5517">
        <v>5515</v>
      </c>
      <c r="B5517" t="s">
        <v>7254</v>
      </c>
      <c r="C5517" t="s">
        <v>14</v>
      </c>
      <c r="D5517">
        <v>87.875</v>
      </c>
    </row>
    <row r="5518" spans="1:4" hidden="1" x14ac:dyDescent="0.3">
      <c r="A5518">
        <v>5516</v>
      </c>
      <c r="B5518" t="s">
        <v>7255</v>
      </c>
      <c r="C5518" t="s">
        <v>16</v>
      </c>
      <c r="D5518">
        <v>4.1984877477702902</v>
      </c>
    </row>
    <row r="5519" spans="1:4" hidden="1" x14ac:dyDescent="0.3">
      <c r="A5519">
        <v>5517</v>
      </c>
      <c r="B5519" s="1" t="s">
        <v>7256</v>
      </c>
      <c r="C5519" t="s">
        <v>140</v>
      </c>
      <c r="D5519" s="1" t="s">
        <v>7257</v>
      </c>
    </row>
    <row r="5520" spans="1:4" hidden="1" x14ac:dyDescent="0.3">
      <c r="A5520">
        <v>5518</v>
      </c>
      <c r="B5520" t="s">
        <v>7258</v>
      </c>
      <c r="C5520" t="s">
        <v>22</v>
      </c>
      <c r="D5520">
        <v>47.8</v>
      </c>
    </row>
    <row r="5521" spans="1:4" hidden="1" x14ac:dyDescent="0.3">
      <c r="A5521">
        <v>5519</v>
      </c>
      <c r="B5521" t="s">
        <v>7259</v>
      </c>
      <c r="C5521" t="s">
        <v>24</v>
      </c>
      <c r="D5521">
        <v>5.5625971562925196</v>
      </c>
    </row>
    <row r="5522" spans="1:4" hidden="1" x14ac:dyDescent="0.3">
      <c r="A5522">
        <v>5520</v>
      </c>
      <c r="B5522" s="1" t="s">
        <v>7260</v>
      </c>
      <c r="C5522" t="s">
        <v>145</v>
      </c>
      <c r="D5522" s="1" t="s">
        <v>7261</v>
      </c>
    </row>
    <row r="5523" spans="1:4" hidden="1" x14ac:dyDescent="0.3">
      <c r="A5523">
        <v>5521</v>
      </c>
      <c r="B5523" t="s">
        <v>7262</v>
      </c>
      <c r="C5523" t="s">
        <v>35</v>
      </c>
      <c r="D5523">
        <v>-1.41539193647422</v>
      </c>
    </row>
    <row r="5524" spans="1:4" hidden="1" x14ac:dyDescent="0.3">
      <c r="A5524">
        <v>5522</v>
      </c>
      <c r="B5524" t="s">
        <v>7263</v>
      </c>
      <c r="C5524" t="s">
        <v>149</v>
      </c>
      <c r="D5524">
        <v>0.54692478209266804</v>
      </c>
    </row>
    <row r="5525" spans="1:4" hidden="1" x14ac:dyDescent="0.3">
      <c r="A5525">
        <v>5523</v>
      </c>
      <c r="B5525" s="1" t="s">
        <v>7264</v>
      </c>
      <c r="C5525" t="s">
        <v>151</v>
      </c>
      <c r="D5525" s="1" t="s">
        <v>7265</v>
      </c>
    </row>
    <row r="5526" spans="1:4" hidden="1" x14ac:dyDescent="0.3">
      <c r="A5526">
        <v>5524</v>
      </c>
      <c r="B5526" t="s">
        <v>7266</v>
      </c>
      <c r="C5526" t="s">
        <v>30</v>
      </c>
      <c r="D5526">
        <v>1.02831948374173</v>
      </c>
    </row>
    <row r="5527" spans="1:4" hidden="1" x14ac:dyDescent="0.3">
      <c r="A5527">
        <v>5525</v>
      </c>
      <c r="B5527" t="s">
        <v>7267</v>
      </c>
      <c r="C5527" t="s">
        <v>32</v>
      </c>
      <c r="D5527">
        <v>0.41193245903644099</v>
      </c>
    </row>
    <row r="5528" spans="1:4" hidden="1" x14ac:dyDescent="0.3">
      <c r="A5528">
        <v>5526</v>
      </c>
      <c r="B5528" s="1" t="s">
        <v>7268</v>
      </c>
      <c r="C5528" t="s">
        <v>155</v>
      </c>
      <c r="D5528" s="1" t="s">
        <v>7269</v>
      </c>
    </row>
    <row r="5529" spans="1:4" hidden="1" x14ac:dyDescent="0.3">
      <c r="A5529">
        <v>5527</v>
      </c>
      <c r="B5529" t="s">
        <v>7270</v>
      </c>
      <c r="C5529" t="s">
        <v>40</v>
      </c>
      <c r="D5529">
        <v>1.38707245273248</v>
      </c>
    </row>
    <row r="5530" spans="1:4" hidden="1" x14ac:dyDescent="0.3">
      <c r="A5530">
        <v>5528</v>
      </c>
      <c r="B5530" t="s">
        <v>7271</v>
      </c>
      <c r="C5530" t="s">
        <v>42</v>
      </c>
      <c r="D5530">
        <v>0.41647252962352399</v>
      </c>
    </row>
    <row r="5531" spans="1:4" hidden="1" x14ac:dyDescent="0.3">
      <c r="A5531">
        <v>5529</v>
      </c>
      <c r="B5531" s="1" t="s">
        <v>7272</v>
      </c>
      <c r="C5531" t="s">
        <v>159</v>
      </c>
      <c r="D5531" s="1" t="s">
        <v>7273</v>
      </c>
    </row>
    <row r="5532" spans="1:4" hidden="1" x14ac:dyDescent="0.3">
      <c r="A5532">
        <v>5530</v>
      </c>
      <c r="B5532" t="s">
        <v>7274</v>
      </c>
      <c r="C5532" t="s">
        <v>161</v>
      </c>
      <c r="D5532">
        <v>0.99522829962176196</v>
      </c>
    </row>
    <row r="5533" spans="1:4" hidden="1" x14ac:dyDescent="0.3">
      <c r="A5533">
        <v>5531</v>
      </c>
      <c r="B5533" t="s">
        <v>7275</v>
      </c>
      <c r="C5533" t="s">
        <v>163</v>
      </c>
      <c r="D5533">
        <v>0.99967326411009805</v>
      </c>
    </row>
    <row r="5534" spans="1:4" hidden="1" x14ac:dyDescent="0.3">
      <c r="A5534">
        <v>5532</v>
      </c>
      <c r="B5534" s="1" t="s">
        <v>7276</v>
      </c>
      <c r="C5534" t="s">
        <v>165</v>
      </c>
      <c r="D5534" s="1" t="s">
        <v>7277</v>
      </c>
    </row>
    <row r="5535" spans="1:4" hidden="1" x14ac:dyDescent="0.3">
      <c r="A5535">
        <v>5533</v>
      </c>
      <c r="B5535" t="s">
        <v>7278</v>
      </c>
      <c r="C5535" t="s">
        <v>168</v>
      </c>
      <c r="D5535">
        <v>1.0031081417463701</v>
      </c>
    </row>
    <row r="5536" spans="1:4" hidden="1" x14ac:dyDescent="0.3">
      <c r="A5536">
        <v>5534</v>
      </c>
      <c r="B5536" t="s">
        <v>7279</v>
      </c>
      <c r="C5536" t="s">
        <v>170</v>
      </c>
      <c r="D5536">
        <v>0.99490130088429096</v>
      </c>
    </row>
    <row r="5537" spans="1:4" hidden="1" x14ac:dyDescent="0.3">
      <c r="A5537">
        <v>5535</v>
      </c>
      <c r="B5537" s="1" t="s">
        <v>7280</v>
      </c>
      <c r="C5537" t="s">
        <v>172</v>
      </c>
      <c r="D5537" s="1" t="s">
        <v>7281</v>
      </c>
    </row>
    <row r="5538" spans="1:4" hidden="1" x14ac:dyDescent="0.3">
      <c r="A5538">
        <v>5536</v>
      </c>
      <c r="B5538" s="1" t="s">
        <v>7282</v>
      </c>
      <c r="C5538" t="s">
        <v>55</v>
      </c>
      <c r="D5538" s="1" t="s">
        <v>7283</v>
      </c>
    </row>
    <row r="5539" spans="1:4" hidden="1" x14ac:dyDescent="0.3">
      <c r="A5539">
        <v>5537</v>
      </c>
      <c r="B5539" s="1" t="s">
        <v>7284</v>
      </c>
      <c r="C5539" t="s">
        <v>52</v>
      </c>
      <c r="D5539" s="1" t="s">
        <v>7285</v>
      </c>
    </row>
    <row r="5540" spans="1:4" hidden="1" x14ac:dyDescent="0.3">
      <c r="A5540">
        <v>5538</v>
      </c>
      <c r="B5540" s="1" t="s">
        <v>7286</v>
      </c>
      <c r="C5540" t="s">
        <v>58</v>
      </c>
      <c r="D5540" s="1" t="s">
        <v>7287</v>
      </c>
    </row>
    <row r="5541" spans="1:4" hidden="1" x14ac:dyDescent="0.3">
      <c r="A5541">
        <v>5539</v>
      </c>
      <c r="B5541" t="s">
        <v>7288</v>
      </c>
      <c r="C5541" t="s">
        <v>61</v>
      </c>
      <c r="D5541">
        <v>136042239.95054299</v>
      </c>
    </row>
    <row r="5542" spans="1:4" hidden="1" x14ac:dyDescent="0.3">
      <c r="A5542">
        <v>5540</v>
      </c>
      <c r="B5542" t="s">
        <v>7289</v>
      </c>
      <c r="C5542" t="s">
        <v>63</v>
      </c>
      <c r="D5542">
        <v>72062926.145274699</v>
      </c>
    </row>
    <row r="5543" spans="1:4" hidden="1" x14ac:dyDescent="0.3">
      <c r="A5543">
        <v>5541</v>
      </c>
      <c r="B5543" t="s">
        <v>7290</v>
      </c>
      <c r="C5543" t="s">
        <v>65</v>
      </c>
      <c r="D5543">
        <v>33856350.394282296</v>
      </c>
    </row>
    <row r="5544" spans="1:4" hidden="1" x14ac:dyDescent="0.3">
      <c r="A5544">
        <v>5542</v>
      </c>
      <c r="B5544" s="1" t="s">
        <v>7291</v>
      </c>
      <c r="C5544" t="s">
        <v>67</v>
      </c>
      <c r="D5544" s="1" t="s">
        <v>7292</v>
      </c>
    </row>
    <row r="5545" spans="1:4" hidden="1" x14ac:dyDescent="0.3">
      <c r="A5545">
        <v>5543</v>
      </c>
      <c r="B5545" s="1" t="s">
        <v>7293</v>
      </c>
      <c r="C5545" t="s">
        <v>70</v>
      </c>
      <c r="D5545" s="1" t="s">
        <v>7294</v>
      </c>
    </row>
    <row r="5546" spans="1:4" hidden="1" x14ac:dyDescent="0.3">
      <c r="A5546">
        <v>5544</v>
      </c>
      <c r="B5546" t="s">
        <v>7295</v>
      </c>
      <c r="C5546" t="s">
        <v>73</v>
      </c>
      <c r="D5546">
        <v>0.99980670596404497</v>
      </c>
    </row>
    <row r="5547" spans="1:4" hidden="1" x14ac:dyDescent="0.3">
      <c r="A5547">
        <v>5545</v>
      </c>
      <c r="B5547" t="s">
        <v>74</v>
      </c>
      <c r="C5547" t="s">
        <v>75</v>
      </c>
      <c r="D5547">
        <v>2.7397260273972599E-3</v>
      </c>
    </row>
    <row r="5548" spans="1:4" hidden="1" x14ac:dyDescent="0.3">
      <c r="A5548">
        <v>5546</v>
      </c>
      <c r="B5548" t="s">
        <v>76</v>
      </c>
      <c r="C5548" t="s">
        <v>77</v>
      </c>
      <c r="D5548">
        <v>0</v>
      </c>
    </row>
    <row r="5549" spans="1:4" hidden="1" x14ac:dyDescent="0.3">
      <c r="A5549">
        <v>5547</v>
      </c>
      <c r="B5549" t="s">
        <v>78</v>
      </c>
      <c r="C5549" t="s">
        <v>79</v>
      </c>
      <c r="D5549">
        <v>0</v>
      </c>
    </row>
    <row r="5550" spans="1:4" hidden="1" x14ac:dyDescent="0.3">
      <c r="A5550">
        <v>5548</v>
      </c>
      <c r="B5550" s="1" t="s">
        <v>7296</v>
      </c>
      <c r="C5550" t="s">
        <v>81</v>
      </c>
      <c r="D5550" s="1" t="s">
        <v>7297</v>
      </c>
    </row>
    <row r="5551" spans="1:4" hidden="1" x14ac:dyDescent="0.3">
      <c r="A5551">
        <v>5549</v>
      </c>
      <c r="B5551" t="s">
        <v>7298</v>
      </c>
      <c r="C5551" t="s">
        <v>84</v>
      </c>
      <c r="D5551">
        <v>0.99982449400650297</v>
      </c>
    </row>
    <row r="5552" spans="1:4" hidden="1" x14ac:dyDescent="0.3">
      <c r="A5552">
        <v>5550</v>
      </c>
      <c r="B5552" s="1" t="s">
        <v>7299</v>
      </c>
      <c r="C5552" t="s">
        <v>86</v>
      </c>
      <c r="D5552" s="1" t="s">
        <v>7300</v>
      </c>
    </row>
    <row r="5553" spans="1:4" hidden="1" x14ac:dyDescent="0.3">
      <c r="A5553">
        <v>5551</v>
      </c>
      <c r="B5553" t="s">
        <v>7301</v>
      </c>
      <c r="C5553" t="s">
        <v>89</v>
      </c>
      <c r="D5553">
        <v>103011492.82888</v>
      </c>
    </row>
    <row r="5554" spans="1:4" hidden="1" x14ac:dyDescent="0.3">
      <c r="A5554">
        <v>5552</v>
      </c>
      <c r="B5554" s="1" t="s">
        <v>7302</v>
      </c>
      <c r="C5554" t="s">
        <v>91</v>
      </c>
      <c r="D5554" s="1" t="s">
        <v>7236</v>
      </c>
    </row>
    <row r="5555" spans="1:4" hidden="1" x14ac:dyDescent="0.3">
      <c r="A5555">
        <v>5553</v>
      </c>
      <c r="B5555" t="s">
        <v>7303</v>
      </c>
      <c r="C5555" t="s">
        <v>94</v>
      </c>
      <c r="D5555">
        <v>72062926.145274699</v>
      </c>
    </row>
    <row r="5556" spans="1:4" hidden="1" x14ac:dyDescent="0.3">
      <c r="A5556">
        <v>5554</v>
      </c>
      <c r="B5556" t="s">
        <v>7304</v>
      </c>
      <c r="C5556" t="s">
        <v>96</v>
      </c>
      <c r="D5556">
        <v>33856350.394282296</v>
      </c>
    </row>
    <row r="5557" spans="1:4" hidden="1" x14ac:dyDescent="0.3">
      <c r="A5557">
        <v>5555</v>
      </c>
      <c r="B5557" t="s">
        <v>7305</v>
      </c>
      <c r="C5557" t="s">
        <v>98</v>
      </c>
      <c r="D5557">
        <v>30122963.410986301</v>
      </c>
    </row>
    <row r="5558" spans="1:4" hidden="1" x14ac:dyDescent="0.3">
      <c r="A5558">
        <v>5556</v>
      </c>
      <c r="B5558" s="1" t="s">
        <v>7306</v>
      </c>
      <c r="C5558" t="s">
        <v>100</v>
      </c>
      <c r="D5558" s="1" t="s">
        <v>7307</v>
      </c>
    </row>
    <row r="5559" spans="1:4" hidden="1" x14ac:dyDescent="0.3">
      <c r="A5559">
        <v>5557</v>
      </c>
      <c r="B5559" t="s">
        <v>7308</v>
      </c>
      <c r="C5559" t="s">
        <v>103</v>
      </c>
      <c r="D5559">
        <v>9.1421707767297394E-3</v>
      </c>
    </row>
    <row r="5560" spans="1:4" hidden="1" x14ac:dyDescent="0.3">
      <c r="A5560">
        <v>5558</v>
      </c>
      <c r="B5560" t="s">
        <v>7309</v>
      </c>
      <c r="C5560" t="s">
        <v>105</v>
      </c>
      <c r="D5560">
        <v>3.1192793375965501E-3</v>
      </c>
    </row>
    <row r="5561" spans="1:4" hidden="1" x14ac:dyDescent="0.3">
      <c r="A5561">
        <v>5559</v>
      </c>
      <c r="B5561" t="s">
        <v>7310</v>
      </c>
      <c r="C5561" t="s">
        <v>107</v>
      </c>
      <c r="D5561">
        <v>1.37955657928554E-2</v>
      </c>
    </row>
    <row r="5562" spans="1:4" hidden="1" x14ac:dyDescent="0.3">
      <c r="A5562">
        <v>5560</v>
      </c>
      <c r="B5562" s="1" t="s">
        <v>7311</v>
      </c>
      <c r="C5562" t="s">
        <v>109</v>
      </c>
      <c r="D5562" s="1" t="s">
        <v>7312</v>
      </c>
    </row>
    <row r="5563" spans="1:4" hidden="1" x14ac:dyDescent="0.3">
      <c r="A5563">
        <v>5561</v>
      </c>
      <c r="B5563" t="s">
        <v>7313</v>
      </c>
      <c r="C5563" t="s">
        <v>208</v>
      </c>
      <c r="D5563">
        <v>136042871.65582001</v>
      </c>
    </row>
    <row r="5564" spans="1:4" hidden="1" x14ac:dyDescent="0.3">
      <c r="A5564">
        <v>5562</v>
      </c>
      <c r="B5564" t="s">
        <v>7314</v>
      </c>
      <c r="C5564" t="s">
        <v>210</v>
      </c>
      <c r="D5564">
        <v>-1282.1144212053</v>
      </c>
    </row>
    <row r="5565" spans="1:4" hidden="1" x14ac:dyDescent="0.3">
      <c r="A5565">
        <v>5563</v>
      </c>
      <c r="B5565" t="s">
        <v>7315</v>
      </c>
      <c r="C5565" t="s">
        <v>212</v>
      </c>
      <c r="D5565">
        <v>-602.35605018274498</v>
      </c>
    </row>
    <row r="5566" spans="1:4" hidden="1" x14ac:dyDescent="0.3">
      <c r="A5566">
        <v>5564</v>
      </c>
      <c r="B5566" s="1" t="s">
        <v>7316</v>
      </c>
      <c r="C5566" t="s">
        <v>214</v>
      </c>
      <c r="D5566" s="1" t="s">
        <v>7317</v>
      </c>
    </row>
    <row r="5567" spans="1:4" hidden="1" x14ac:dyDescent="0.3">
      <c r="A5567">
        <v>5565</v>
      </c>
      <c r="B5567" t="s">
        <v>7318</v>
      </c>
      <c r="C5567" t="s">
        <v>217</v>
      </c>
      <c r="D5567">
        <v>72064669.592881694</v>
      </c>
    </row>
    <row r="5568" spans="1:4" hidden="1" x14ac:dyDescent="0.3">
      <c r="A5568">
        <v>5566</v>
      </c>
      <c r="B5568" t="s">
        <v>7319</v>
      </c>
      <c r="C5568" t="s">
        <v>219</v>
      </c>
      <c r="D5568">
        <v>33857032.5828522</v>
      </c>
    </row>
    <row r="5569" spans="1:4" hidden="1" x14ac:dyDescent="0.3">
      <c r="A5569">
        <v>5567</v>
      </c>
      <c r="B5569" t="s">
        <v>7320</v>
      </c>
      <c r="C5569" t="s">
        <v>221</v>
      </c>
      <c r="D5569">
        <v>30123589.884312801</v>
      </c>
    </row>
    <row r="5570" spans="1:4" hidden="1" x14ac:dyDescent="0.3">
      <c r="A5570">
        <v>5568</v>
      </c>
      <c r="B5570" s="1" t="s">
        <v>7321</v>
      </c>
      <c r="C5570" t="s">
        <v>223</v>
      </c>
      <c r="D5570" s="1" t="s">
        <v>7322</v>
      </c>
    </row>
    <row r="5571" spans="1:4" hidden="1" x14ac:dyDescent="0.3">
      <c r="A5571">
        <v>5569</v>
      </c>
      <c r="B5571" t="s">
        <v>7323</v>
      </c>
      <c r="C5571" t="s">
        <v>226</v>
      </c>
      <c r="D5571">
        <v>103013325.555943</v>
      </c>
    </row>
    <row r="5572" spans="1:4" hidden="1" x14ac:dyDescent="0.3">
      <c r="A5572">
        <v>5570</v>
      </c>
      <c r="B5572" t="s">
        <v>7324</v>
      </c>
      <c r="C5572" t="s">
        <v>228</v>
      </c>
      <c r="D5572">
        <v>-1832.72706331312</v>
      </c>
    </row>
    <row r="5573" spans="1:4" hidden="1" x14ac:dyDescent="0.3">
      <c r="A5573">
        <v>5571</v>
      </c>
      <c r="B5573" s="1" t="s">
        <v>7325</v>
      </c>
      <c r="C5573" t="s">
        <v>230</v>
      </c>
      <c r="D5573" s="1" t="s">
        <v>7326</v>
      </c>
    </row>
    <row r="5574" spans="1:4" hidden="1" x14ac:dyDescent="0.3">
      <c r="A5574">
        <v>5572</v>
      </c>
      <c r="B5574" t="s">
        <v>7327</v>
      </c>
      <c r="C5574" t="s">
        <v>112</v>
      </c>
      <c r="D5574">
        <v>461.33318578710401</v>
      </c>
    </row>
    <row r="5575" spans="1:4" hidden="1" x14ac:dyDescent="0.3">
      <c r="A5575">
        <v>5573</v>
      </c>
      <c r="B5575" t="s">
        <v>7328</v>
      </c>
      <c r="C5575" t="s">
        <v>114</v>
      </c>
      <c r="D5575">
        <v>79.832519727263303</v>
      </c>
    </row>
    <row r="5576" spans="1:4" hidden="1" x14ac:dyDescent="0.3">
      <c r="A5576">
        <v>5574</v>
      </c>
      <c r="B5576" s="1" t="s">
        <v>7329</v>
      </c>
      <c r="C5576" t="s">
        <v>116</v>
      </c>
      <c r="D5576" s="1" t="s">
        <v>7330</v>
      </c>
    </row>
    <row r="5577" spans="1:4" hidden="1" x14ac:dyDescent="0.3">
      <c r="A5577">
        <v>5575</v>
      </c>
      <c r="B5577" t="s">
        <v>7331</v>
      </c>
      <c r="C5577" t="s">
        <v>119</v>
      </c>
      <c r="D5577">
        <v>72064669.592881694</v>
      </c>
    </row>
    <row r="5578" spans="1:4" hidden="1" x14ac:dyDescent="0.3">
      <c r="A5578">
        <v>5576</v>
      </c>
      <c r="B5578" t="s">
        <v>7332</v>
      </c>
      <c r="C5578" t="s">
        <v>121</v>
      </c>
      <c r="D5578">
        <v>33857032.5828522</v>
      </c>
    </row>
    <row r="5579" spans="1:4" hidden="1" x14ac:dyDescent="0.3">
      <c r="A5579">
        <v>5577</v>
      </c>
      <c r="B5579" s="1" t="s">
        <v>7333</v>
      </c>
      <c r="C5579" t="s">
        <v>123</v>
      </c>
      <c r="D5579" s="1" t="s">
        <v>7334</v>
      </c>
    </row>
    <row r="5580" spans="1:4" hidden="1" x14ac:dyDescent="0.3">
      <c r="A5580">
        <v>5578</v>
      </c>
      <c r="B5580" t="s">
        <v>7335</v>
      </c>
      <c r="C5580" t="s">
        <v>126</v>
      </c>
      <c r="D5580">
        <v>0.69968928005651299</v>
      </c>
    </row>
    <row r="5581" spans="1:4" hidden="1" x14ac:dyDescent="0.3">
      <c r="A5581">
        <v>5579</v>
      </c>
      <c r="B5581" t="s">
        <v>7336</v>
      </c>
      <c r="C5581" t="s">
        <v>128</v>
      </c>
      <c r="D5581">
        <v>0.328724226261987</v>
      </c>
    </row>
    <row r="5582" spans="1:4" hidden="1" x14ac:dyDescent="0.3">
      <c r="A5582">
        <v>5580</v>
      </c>
      <c r="B5582" s="1" t="s">
        <v>7337</v>
      </c>
      <c r="C5582" t="s">
        <v>130</v>
      </c>
      <c r="D5582" s="1" t="s">
        <v>7338</v>
      </c>
    </row>
    <row r="5583" spans="1:4" ht="72" x14ac:dyDescent="0.3">
      <c r="A5583">
        <v>5581</v>
      </c>
      <c r="B5583" s="1" t="s">
        <v>7339</v>
      </c>
      <c r="C5583" t="s">
        <v>4</v>
      </c>
      <c r="D5583" t="s">
        <v>7340</v>
      </c>
    </row>
    <row r="5584" spans="1:4" hidden="1" x14ac:dyDescent="0.3">
      <c r="A5584">
        <v>5582</v>
      </c>
      <c r="B5584" t="s">
        <v>7341</v>
      </c>
      <c r="C5584" t="s">
        <v>7</v>
      </c>
      <c r="D5584">
        <v>1653.17</v>
      </c>
    </row>
    <row r="5585" spans="1:4" hidden="1" x14ac:dyDescent="0.3">
      <c r="A5585">
        <v>5583</v>
      </c>
      <c r="B5585" s="1" t="s">
        <v>7342</v>
      </c>
      <c r="C5585" t="s">
        <v>9</v>
      </c>
      <c r="D5585" s="1" t="s">
        <v>7343</v>
      </c>
    </row>
    <row r="5586" spans="1:4" hidden="1" x14ac:dyDescent="0.3">
      <c r="A5586">
        <v>5584</v>
      </c>
      <c r="B5586" t="s">
        <v>7344</v>
      </c>
      <c r="C5586" t="s">
        <v>14</v>
      </c>
      <c r="D5586">
        <v>88.0859375</v>
      </c>
    </row>
    <row r="5587" spans="1:4" hidden="1" x14ac:dyDescent="0.3">
      <c r="A5587">
        <v>5585</v>
      </c>
      <c r="B5587" t="s">
        <v>7345</v>
      </c>
      <c r="C5587" t="s">
        <v>16</v>
      </c>
      <c r="D5587">
        <v>4.2084499889398996</v>
      </c>
    </row>
    <row r="5588" spans="1:4" hidden="1" x14ac:dyDescent="0.3">
      <c r="A5588">
        <v>5586</v>
      </c>
      <c r="B5588" s="1" t="s">
        <v>7346</v>
      </c>
      <c r="C5588" t="s">
        <v>140</v>
      </c>
      <c r="D5588" s="1" t="s">
        <v>7347</v>
      </c>
    </row>
    <row r="5589" spans="1:4" hidden="1" x14ac:dyDescent="0.3">
      <c r="A5589">
        <v>5587</v>
      </c>
      <c r="B5589" t="s">
        <v>7348</v>
      </c>
      <c r="C5589" t="s">
        <v>22</v>
      </c>
      <c r="D5589">
        <v>47.15</v>
      </c>
    </row>
    <row r="5590" spans="1:4" hidden="1" x14ac:dyDescent="0.3">
      <c r="A5590">
        <v>5588</v>
      </c>
      <c r="B5590" t="s">
        <v>7349</v>
      </c>
      <c r="C5590" t="s">
        <v>24</v>
      </c>
      <c r="D5590">
        <v>5.6832379590357496</v>
      </c>
    </row>
    <row r="5591" spans="1:4" hidden="1" x14ac:dyDescent="0.3">
      <c r="A5591">
        <v>5589</v>
      </c>
      <c r="B5591" s="1" t="s">
        <v>7350</v>
      </c>
      <c r="C5591" t="s">
        <v>145</v>
      </c>
      <c r="D5591" s="1" t="s">
        <v>7351</v>
      </c>
    </row>
    <row r="5592" spans="1:4" hidden="1" x14ac:dyDescent="0.3">
      <c r="A5592">
        <v>5590</v>
      </c>
      <c r="B5592" t="s">
        <v>7352</v>
      </c>
      <c r="C5592" t="s">
        <v>35</v>
      </c>
      <c r="D5592">
        <v>-0.13520131744171199</v>
      </c>
    </row>
    <row r="5593" spans="1:4" hidden="1" x14ac:dyDescent="0.3">
      <c r="A5593">
        <v>5591</v>
      </c>
      <c r="B5593" t="s">
        <v>7353</v>
      </c>
      <c r="C5593" t="s">
        <v>149</v>
      </c>
      <c r="D5593">
        <v>0.54915069283768803</v>
      </c>
    </row>
    <row r="5594" spans="1:4" hidden="1" x14ac:dyDescent="0.3">
      <c r="A5594">
        <v>5592</v>
      </c>
      <c r="B5594" s="1" t="s">
        <v>7354</v>
      </c>
      <c r="C5594" t="s">
        <v>151</v>
      </c>
      <c r="D5594" s="1" t="s">
        <v>7355</v>
      </c>
    </row>
    <row r="5595" spans="1:4" hidden="1" x14ac:dyDescent="0.3">
      <c r="A5595">
        <v>5593</v>
      </c>
      <c r="B5595" t="s">
        <v>7356</v>
      </c>
      <c r="C5595" t="s">
        <v>30</v>
      </c>
      <c r="D5595">
        <v>0.477873129854051</v>
      </c>
    </row>
    <row r="5596" spans="1:4" hidden="1" x14ac:dyDescent="0.3">
      <c r="A5596">
        <v>5594</v>
      </c>
      <c r="B5596" t="s">
        <v>7357</v>
      </c>
      <c r="C5596" t="s">
        <v>32</v>
      </c>
      <c r="D5596">
        <v>0.41451346471269002</v>
      </c>
    </row>
    <row r="5597" spans="1:4" hidden="1" x14ac:dyDescent="0.3">
      <c r="A5597">
        <v>5595</v>
      </c>
      <c r="B5597" s="1" t="s">
        <v>7358</v>
      </c>
      <c r="C5597" t="s">
        <v>155</v>
      </c>
      <c r="D5597" s="1" t="s">
        <v>7359</v>
      </c>
    </row>
    <row r="5598" spans="1:4" hidden="1" x14ac:dyDescent="0.3">
      <c r="A5598">
        <v>5596</v>
      </c>
      <c r="B5598" t="s">
        <v>7360</v>
      </c>
      <c r="C5598" t="s">
        <v>40</v>
      </c>
      <c r="D5598">
        <v>0.65732818758765998</v>
      </c>
    </row>
    <row r="5599" spans="1:4" hidden="1" x14ac:dyDescent="0.3">
      <c r="A5599">
        <v>5597</v>
      </c>
      <c r="B5599" t="s">
        <v>7361</v>
      </c>
      <c r="C5599" t="s">
        <v>42</v>
      </c>
      <c r="D5599">
        <v>0.40648032268032103</v>
      </c>
    </row>
    <row r="5600" spans="1:4" hidden="1" x14ac:dyDescent="0.3">
      <c r="A5600">
        <v>5598</v>
      </c>
      <c r="B5600" s="1" t="s">
        <v>7362</v>
      </c>
      <c r="C5600" t="s">
        <v>159</v>
      </c>
      <c r="D5600" s="1" t="s">
        <v>7363</v>
      </c>
    </row>
    <row r="5601" spans="1:4" hidden="1" x14ac:dyDescent="0.3">
      <c r="A5601">
        <v>5599</v>
      </c>
      <c r="B5601" t="s">
        <v>7364</v>
      </c>
      <c r="C5601" t="s">
        <v>161</v>
      </c>
      <c r="D5601">
        <v>1.0020548194304599</v>
      </c>
    </row>
    <row r="5602" spans="1:4" hidden="1" x14ac:dyDescent="0.3">
      <c r="A5602">
        <v>5600</v>
      </c>
      <c r="B5602" t="s">
        <v>7365</v>
      </c>
      <c r="C5602" t="s">
        <v>163</v>
      </c>
      <c r="D5602">
        <v>1.00239916773626</v>
      </c>
    </row>
    <row r="5603" spans="1:4" hidden="1" x14ac:dyDescent="0.3">
      <c r="A5603">
        <v>5601</v>
      </c>
      <c r="B5603" s="1" t="s">
        <v>7366</v>
      </c>
      <c r="C5603" t="s">
        <v>165</v>
      </c>
      <c r="D5603" s="1" t="s">
        <v>7367</v>
      </c>
    </row>
    <row r="5604" spans="1:4" hidden="1" x14ac:dyDescent="0.3">
      <c r="A5604">
        <v>5602</v>
      </c>
      <c r="B5604" t="s">
        <v>7368</v>
      </c>
      <c r="C5604" t="s">
        <v>168</v>
      </c>
      <c r="D5604">
        <v>1.00143892629479</v>
      </c>
    </row>
    <row r="5605" spans="1:4" hidden="1" x14ac:dyDescent="0.3">
      <c r="A5605">
        <v>5603</v>
      </c>
      <c r="B5605" t="s">
        <v>7369</v>
      </c>
      <c r="C5605" t="s">
        <v>170</v>
      </c>
      <c r="D5605">
        <v>1.00182799514221</v>
      </c>
    </row>
    <row r="5606" spans="1:4" hidden="1" x14ac:dyDescent="0.3">
      <c r="A5606">
        <v>5604</v>
      </c>
      <c r="B5606" s="1" t="s">
        <v>7370</v>
      </c>
      <c r="C5606" t="s">
        <v>172</v>
      </c>
      <c r="D5606" s="1" t="s">
        <v>7371</v>
      </c>
    </row>
    <row r="5607" spans="1:4" hidden="1" x14ac:dyDescent="0.3">
      <c r="A5607">
        <v>5605</v>
      </c>
      <c r="B5607" s="1" t="s">
        <v>7372</v>
      </c>
      <c r="C5607" t="s">
        <v>55</v>
      </c>
      <c r="D5607" s="1" t="s">
        <v>7373</v>
      </c>
    </row>
    <row r="5608" spans="1:4" hidden="1" x14ac:dyDescent="0.3">
      <c r="A5608">
        <v>5606</v>
      </c>
      <c r="B5608" s="1" t="s">
        <v>7374</v>
      </c>
      <c r="C5608" t="s">
        <v>52</v>
      </c>
      <c r="D5608" s="1" t="s">
        <v>7375</v>
      </c>
    </row>
    <row r="5609" spans="1:4" hidden="1" x14ac:dyDescent="0.3">
      <c r="A5609">
        <v>5607</v>
      </c>
      <c r="B5609" s="1" t="s">
        <v>7376</v>
      </c>
      <c r="C5609" t="s">
        <v>58</v>
      </c>
      <c r="D5609" s="1" t="s">
        <v>7377</v>
      </c>
    </row>
    <row r="5610" spans="1:4" hidden="1" x14ac:dyDescent="0.3">
      <c r="A5610">
        <v>5608</v>
      </c>
      <c r="B5610" t="s">
        <v>7378</v>
      </c>
      <c r="C5610" t="s">
        <v>61</v>
      </c>
      <c r="D5610">
        <v>135975773.37113401</v>
      </c>
    </row>
    <row r="5611" spans="1:4" hidden="1" x14ac:dyDescent="0.3">
      <c r="A5611">
        <v>5609</v>
      </c>
      <c r="B5611" t="s">
        <v>7379</v>
      </c>
      <c r="C5611" t="s">
        <v>63</v>
      </c>
      <c r="D5611">
        <v>72212749.476211503</v>
      </c>
    </row>
    <row r="5612" spans="1:4" hidden="1" x14ac:dyDescent="0.3">
      <c r="A5612">
        <v>5610</v>
      </c>
      <c r="B5612" t="s">
        <v>7380</v>
      </c>
      <c r="C5612" t="s">
        <v>65</v>
      </c>
      <c r="D5612">
        <v>33938261.283070602</v>
      </c>
    </row>
    <row r="5613" spans="1:4" hidden="1" x14ac:dyDescent="0.3">
      <c r="A5613">
        <v>5611</v>
      </c>
      <c r="B5613" s="1" t="s">
        <v>7381</v>
      </c>
      <c r="C5613" t="s">
        <v>67</v>
      </c>
      <c r="D5613" s="1" t="s">
        <v>7382</v>
      </c>
    </row>
    <row r="5614" spans="1:4" hidden="1" x14ac:dyDescent="0.3">
      <c r="A5614">
        <v>5612</v>
      </c>
      <c r="B5614" s="1" t="s">
        <v>7383</v>
      </c>
      <c r="C5614" t="s">
        <v>70</v>
      </c>
      <c r="D5614" s="1" t="s">
        <v>7384</v>
      </c>
    </row>
    <row r="5615" spans="1:4" hidden="1" x14ac:dyDescent="0.3">
      <c r="A5615">
        <v>5613</v>
      </c>
      <c r="B5615" t="s">
        <v>7385</v>
      </c>
      <c r="C5615" t="s">
        <v>73</v>
      </c>
      <c r="D5615">
        <v>0.99982449400650297</v>
      </c>
    </row>
    <row r="5616" spans="1:4" hidden="1" x14ac:dyDescent="0.3">
      <c r="A5616">
        <v>5614</v>
      </c>
      <c r="B5616" t="s">
        <v>74</v>
      </c>
      <c r="C5616" t="s">
        <v>75</v>
      </c>
      <c r="D5616">
        <v>2.7397260273972599E-3</v>
      </c>
    </row>
    <row r="5617" spans="1:4" hidden="1" x14ac:dyDescent="0.3">
      <c r="A5617">
        <v>5615</v>
      </c>
      <c r="B5617" t="s">
        <v>76</v>
      </c>
      <c r="C5617" t="s">
        <v>77</v>
      </c>
      <c r="D5617">
        <v>0</v>
      </c>
    </row>
    <row r="5618" spans="1:4" hidden="1" x14ac:dyDescent="0.3">
      <c r="A5618">
        <v>5616</v>
      </c>
      <c r="B5618" t="s">
        <v>831</v>
      </c>
      <c r="C5618" t="s">
        <v>79</v>
      </c>
      <c r="D5618" s="2">
        <v>2.2204460492503101E-16</v>
      </c>
    </row>
    <row r="5619" spans="1:4" hidden="1" x14ac:dyDescent="0.3">
      <c r="A5619">
        <v>5617</v>
      </c>
      <c r="B5619" s="1" t="s">
        <v>7386</v>
      </c>
      <c r="C5619" t="s">
        <v>81</v>
      </c>
      <c r="D5619" s="1" t="s">
        <v>7387</v>
      </c>
    </row>
    <row r="5620" spans="1:4" hidden="1" x14ac:dyDescent="0.3">
      <c r="A5620">
        <v>5618</v>
      </c>
      <c r="B5620" t="s">
        <v>7388</v>
      </c>
      <c r="C5620" t="s">
        <v>84</v>
      </c>
      <c r="D5620">
        <v>0.99981862712696201</v>
      </c>
    </row>
    <row r="5621" spans="1:4" hidden="1" x14ac:dyDescent="0.3">
      <c r="A5621">
        <v>5619</v>
      </c>
      <c r="B5621" s="1" t="s">
        <v>7389</v>
      </c>
      <c r="C5621" t="s">
        <v>86</v>
      </c>
      <c r="D5621" s="1" t="s">
        <v>7390</v>
      </c>
    </row>
    <row r="5622" spans="1:4" hidden="1" x14ac:dyDescent="0.3">
      <c r="A5622">
        <v>5620</v>
      </c>
      <c r="B5622" t="s">
        <v>7391</v>
      </c>
      <c r="C5622" t="s">
        <v>89</v>
      </c>
      <c r="D5622">
        <v>103012097.294534</v>
      </c>
    </row>
    <row r="5623" spans="1:4" hidden="1" x14ac:dyDescent="0.3">
      <c r="A5623">
        <v>5621</v>
      </c>
      <c r="B5623" s="1" t="s">
        <v>7392</v>
      </c>
      <c r="C5623" t="s">
        <v>91</v>
      </c>
      <c r="D5623" s="1" t="s">
        <v>7326</v>
      </c>
    </row>
    <row r="5624" spans="1:4" hidden="1" x14ac:dyDescent="0.3">
      <c r="A5624">
        <v>5622</v>
      </c>
      <c r="B5624" t="s">
        <v>7393</v>
      </c>
      <c r="C5624" t="s">
        <v>94</v>
      </c>
      <c r="D5624">
        <v>72212749.476211503</v>
      </c>
    </row>
    <row r="5625" spans="1:4" hidden="1" x14ac:dyDescent="0.3">
      <c r="A5625">
        <v>5623</v>
      </c>
      <c r="B5625" t="s">
        <v>7394</v>
      </c>
      <c r="C5625" t="s">
        <v>96</v>
      </c>
      <c r="D5625">
        <v>33938261.283070602</v>
      </c>
    </row>
    <row r="5626" spans="1:4" hidden="1" x14ac:dyDescent="0.3">
      <c r="A5626">
        <v>5624</v>
      </c>
      <c r="B5626" t="s">
        <v>7395</v>
      </c>
      <c r="C5626" t="s">
        <v>98</v>
      </c>
      <c r="D5626">
        <v>29824762.6118518</v>
      </c>
    </row>
    <row r="5627" spans="1:4" hidden="1" x14ac:dyDescent="0.3">
      <c r="A5627">
        <v>5625</v>
      </c>
      <c r="B5627" s="1" t="s">
        <v>7396</v>
      </c>
      <c r="C5627" t="s">
        <v>100</v>
      </c>
      <c r="D5627" s="1" t="s">
        <v>7397</v>
      </c>
    </row>
    <row r="5628" spans="1:4" hidden="1" x14ac:dyDescent="0.3">
      <c r="A5628">
        <v>5626</v>
      </c>
      <c r="B5628" t="s">
        <v>7398</v>
      </c>
      <c r="C5628" t="s">
        <v>103</v>
      </c>
      <c r="D5628">
        <v>9.1495422460473007E-3</v>
      </c>
    </row>
    <row r="5629" spans="1:4" hidden="1" x14ac:dyDescent="0.3">
      <c r="A5629">
        <v>5627</v>
      </c>
      <c r="B5629" t="s">
        <v>7399</v>
      </c>
      <c r="C5629" t="s">
        <v>105</v>
      </c>
      <c r="D5629">
        <v>3.1308243658319298E-3</v>
      </c>
    </row>
    <row r="5630" spans="1:4" hidden="1" x14ac:dyDescent="0.3">
      <c r="A5630">
        <v>5628</v>
      </c>
      <c r="B5630" t="s">
        <v>7400</v>
      </c>
      <c r="C5630" t="s">
        <v>107</v>
      </c>
      <c r="D5630">
        <v>1.3814465731163799E-2</v>
      </c>
    </row>
    <row r="5631" spans="1:4" hidden="1" x14ac:dyDescent="0.3">
      <c r="A5631">
        <v>5629</v>
      </c>
      <c r="B5631" s="1" t="s">
        <v>7401</v>
      </c>
      <c r="C5631" t="s">
        <v>109</v>
      </c>
      <c r="D5631" s="1" t="s">
        <v>7402</v>
      </c>
    </row>
    <row r="5632" spans="1:4" hidden="1" x14ac:dyDescent="0.3">
      <c r="A5632">
        <v>5630</v>
      </c>
      <c r="B5632" t="s">
        <v>7403</v>
      </c>
      <c r="C5632" t="s">
        <v>208</v>
      </c>
      <c r="D5632">
        <v>135975565.18802601</v>
      </c>
    </row>
    <row r="5633" spans="1:4" hidden="1" x14ac:dyDescent="0.3">
      <c r="A5633">
        <v>5631</v>
      </c>
      <c r="B5633" t="s">
        <v>7404</v>
      </c>
      <c r="C5633" t="s">
        <v>210</v>
      </c>
      <c r="D5633">
        <v>423.73698785205499</v>
      </c>
    </row>
    <row r="5634" spans="1:4" hidden="1" x14ac:dyDescent="0.3">
      <c r="A5634">
        <v>5632</v>
      </c>
      <c r="B5634" t="s">
        <v>7405</v>
      </c>
      <c r="C5634" t="s">
        <v>212</v>
      </c>
      <c r="D5634">
        <v>199.14642201467601</v>
      </c>
    </row>
    <row r="5635" spans="1:4" hidden="1" x14ac:dyDescent="0.3">
      <c r="A5635">
        <v>5633</v>
      </c>
      <c r="B5635" s="1" t="s">
        <v>7406</v>
      </c>
      <c r="C5635" t="s">
        <v>214</v>
      </c>
      <c r="D5635" s="1" t="s">
        <v>7407</v>
      </c>
    </row>
    <row r="5636" spans="1:4" hidden="1" x14ac:dyDescent="0.3">
      <c r="A5636">
        <v>5634</v>
      </c>
      <c r="B5636" t="s">
        <v>7408</v>
      </c>
      <c r="C5636" t="s">
        <v>217</v>
      </c>
      <c r="D5636">
        <v>72212175.225004405</v>
      </c>
    </row>
    <row r="5637" spans="1:4" hidden="1" x14ac:dyDescent="0.3">
      <c r="A5637">
        <v>5635</v>
      </c>
      <c r="B5637" t="s">
        <v>7409</v>
      </c>
      <c r="C5637" t="s">
        <v>219</v>
      </c>
      <c r="D5637">
        <v>33938024.610156097</v>
      </c>
    </row>
    <row r="5638" spans="1:4" hidden="1" x14ac:dyDescent="0.3">
      <c r="A5638">
        <v>5636</v>
      </c>
      <c r="B5638" t="s">
        <v>7410</v>
      </c>
      <c r="C5638" t="s">
        <v>221</v>
      </c>
      <c r="D5638">
        <v>29824567.460569501</v>
      </c>
    </row>
    <row r="5639" spans="1:4" hidden="1" x14ac:dyDescent="0.3">
      <c r="A5639">
        <v>5637</v>
      </c>
      <c r="B5639" s="1" t="s">
        <v>7411</v>
      </c>
      <c r="C5639" t="s">
        <v>223</v>
      </c>
      <c r="D5639" s="1" t="s">
        <v>7412</v>
      </c>
    </row>
    <row r="5640" spans="1:4" hidden="1" x14ac:dyDescent="0.3">
      <c r="A5640">
        <v>5638</v>
      </c>
      <c r="B5640" t="s">
        <v>7413</v>
      </c>
      <c r="C5640" t="s">
        <v>226</v>
      </c>
      <c r="D5640">
        <v>103011492.82888</v>
      </c>
    </row>
    <row r="5641" spans="1:4" hidden="1" x14ac:dyDescent="0.3">
      <c r="A5641">
        <v>5639</v>
      </c>
      <c r="B5641" t="s">
        <v>7414</v>
      </c>
      <c r="C5641" t="s">
        <v>228</v>
      </c>
      <c r="D5641">
        <v>604.465653464198</v>
      </c>
    </row>
    <row r="5642" spans="1:4" hidden="1" x14ac:dyDescent="0.3">
      <c r="A5642">
        <v>5640</v>
      </c>
      <c r="B5642" s="1" t="s">
        <v>7415</v>
      </c>
      <c r="C5642" t="s">
        <v>230</v>
      </c>
      <c r="D5642" s="1" t="s">
        <v>7416</v>
      </c>
    </row>
    <row r="5643" spans="1:4" hidden="1" x14ac:dyDescent="0.3">
      <c r="A5643">
        <v>5641</v>
      </c>
      <c r="B5643" t="s">
        <v>7417</v>
      </c>
      <c r="C5643" t="s">
        <v>112</v>
      </c>
      <c r="D5643">
        <v>-150.51421927961101</v>
      </c>
    </row>
    <row r="5644" spans="1:4" hidden="1" x14ac:dyDescent="0.3">
      <c r="A5644">
        <v>5642</v>
      </c>
      <c r="B5644" t="s">
        <v>7418</v>
      </c>
      <c r="C5644" t="s">
        <v>114</v>
      </c>
      <c r="D5644">
        <v>-37.526492462300503</v>
      </c>
    </row>
    <row r="5645" spans="1:4" hidden="1" x14ac:dyDescent="0.3">
      <c r="A5645">
        <v>5643</v>
      </c>
      <c r="B5645" s="1" t="s">
        <v>7419</v>
      </c>
      <c r="C5645" t="s">
        <v>116</v>
      </c>
      <c r="D5645" s="1" t="s">
        <v>7420</v>
      </c>
    </row>
    <row r="5646" spans="1:4" hidden="1" x14ac:dyDescent="0.3">
      <c r="A5646">
        <v>5644</v>
      </c>
      <c r="B5646" t="s">
        <v>7421</v>
      </c>
      <c r="C5646" t="s">
        <v>119</v>
      </c>
      <c r="D5646">
        <v>72212175.225004405</v>
      </c>
    </row>
    <row r="5647" spans="1:4" hidden="1" x14ac:dyDescent="0.3">
      <c r="A5647">
        <v>5645</v>
      </c>
      <c r="B5647" t="s">
        <v>7422</v>
      </c>
      <c r="C5647" t="s">
        <v>121</v>
      </c>
      <c r="D5647">
        <v>33938024.610156097</v>
      </c>
    </row>
    <row r="5648" spans="1:4" hidden="1" x14ac:dyDescent="0.3">
      <c r="A5648">
        <v>5646</v>
      </c>
      <c r="B5648" s="1" t="s">
        <v>7423</v>
      </c>
      <c r="C5648" t="s">
        <v>123</v>
      </c>
      <c r="D5648" s="1" t="s">
        <v>7424</v>
      </c>
    </row>
    <row r="5649" spans="1:4" hidden="1" x14ac:dyDescent="0.3">
      <c r="A5649">
        <v>5647</v>
      </c>
      <c r="B5649" t="s">
        <v>7425</v>
      </c>
      <c r="C5649" t="s">
        <v>126</v>
      </c>
      <c r="D5649">
        <v>0.70113802787619794</v>
      </c>
    </row>
    <row r="5650" spans="1:4" hidden="1" x14ac:dyDescent="0.3">
      <c r="A5650">
        <v>5648</v>
      </c>
      <c r="B5650" t="s">
        <v>7426</v>
      </c>
      <c r="C5650" t="s">
        <v>128</v>
      </c>
      <c r="D5650">
        <v>0.32951838898406799</v>
      </c>
    </row>
    <row r="5651" spans="1:4" hidden="1" x14ac:dyDescent="0.3">
      <c r="A5651">
        <v>5649</v>
      </c>
      <c r="B5651" s="1" t="s">
        <v>7427</v>
      </c>
      <c r="C5651" t="s">
        <v>130</v>
      </c>
      <c r="D5651" s="1" t="s">
        <v>7428</v>
      </c>
    </row>
    <row r="5652" spans="1:4" ht="72" x14ac:dyDescent="0.3">
      <c r="A5652">
        <v>5650</v>
      </c>
      <c r="B5652" s="1" t="s">
        <v>7429</v>
      </c>
      <c r="C5652" t="s">
        <v>4</v>
      </c>
      <c r="D5652" t="s">
        <v>7430</v>
      </c>
    </row>
    <row r="5653" spans="1:4" hidden="1" x14ac:dyDescent="0.3">
      <c r="A5653">
        <v>5651</v>
      </c>
      <c r="B5653" t="s">
        <v>7431</v>
      </c>
      <c r="C5653" t="s">
        <v>7</v>
      </c>
      <c r="D5653">
        <v>1664.57</v>
      </c>
    </row>
    <row r="5654" spans="1:4" hidden="1" x14ac:dyDescent="0.3">
      <c r="A5654">
        <v>5652</v>
      </c>
      <c r="B5654" s="1" t="s">
        <v>7432</v>
      </c>
      <c r="C5654" t="s">
        <v>9</v>
      </c>
      <c r="D5654" s="1" t="s">
        <v>7433</v>
      </c>
    </row>
    <row r="5655" spans="1:4" hidden="1" x14ac:dyDescent="0.3">
      <c r="A5655">
        <v>5653</v>
      </c>
      <c r="B5655" t="s">
        <v>7434</v>
      </c>
      <c r="C5655" t="s">
        <v>14</v>
      </c>
      <c r="D5655">
        <v>88.31640625</v>
      </c>
    </row>
    <row r="5656" spans="1:4" hidden="1" x14ac:dyDescent="0.3">
      <c r="A5656">
        <v>5654</v>
      </c>
      <c r="B5656" t="s">
        <v>7435</v>
      </c>
      <c r="C5656" t="s">
        <v>16</v>
      </c>
      <c r="D5656">
        <v>4.2119732384987296</v>
      </c>
    </row>
    <row r="5657" spans="1:4" hidden="1" x14ac:dyDescent="0.3">
      <c r="A5657">
        <v>5655</v>
      </c>
      <c r="B5657" s="1" t="s">
        <v>7436</v>
      </c>
      <c r="C5657" t="s">
        <v>140</v>
      </c>
      <c r="D5657" s="1" t="s">
        <v>7437</v>
      </c>
    </row>
    <row r="5658" spans="1:4" hidden="1" x14ac:dyDescent="0.3">
      <c r="A5658">
        <v>5656</v>
      </c>
      <c r="B5658" t="s">
        <v>7438</v>
      </c>
      <c r="C5658" t="s">
        <v>22</v>
      </c>
      <c r="D5658">
        <v>48.1</v>
      </c>
    </row>
    <row r="5659" spans="1:4" hidden="1" x14ac:dyDescent="0.3">
      <c r="A5659">
        <v>5657</v>
      </c>
      <c r="B5659" t="s">
        <v>7439</v>
      </c>
      <c r="C5659" t="s">
        <v>24</v>
      </c>
      <c r="D5659">
        <v>5.6297134464651304</v>
      </c>
    </row>
    <row r="5660" spans="1:4" hidden="1" x14ac:dyDescent="0.3">
      <c r="A5660">
        <v>5658</v>
      </c>
      <c r="B5660" s="1" t="s">
        <v>7440</v>
      </c>
      <c r="C5660" t="s">
        <v>145</v>
      </c>
      <c r="D5660" s="1" t="s">
        <v>7441</v>
      </c>
    </row>
    <row r="5661" spans="1:4" hidden="1" x14ac:dyDescent="0.3">
      <c r="A5661">
        <v>5659</v>
      </c>
      <c r="B5661" t="s">
        <v>7442</v>
      </c>
      <c r="C5661" t="s">
        <v>35</v>
      </c>
      <c r="D5661">
        <v>-2.5246839795946201</v>
      </c>
    </row>
    <row r="5662" spans="1:4" hidden="1" x14ac:dyDescent="0.3">
      <c r="A5662">
        <v>5660</v>
      </c>
      <c r="B5662" t="s">
        <v>7443</v>
      </c>
      <c r="C5662" t="s">
        <v>149</v>
      </c>
      <c r="D5662">
        <v>0.54739887858340497</v>
      </c>
    </row>
    <row r="5663" spans="1:4" hidden="1" x14ac:dyDescent="0.3">
      <c r="A5663">
        <v>5661</v>
      </c>
      <c r="B5663" s="1" t="s">
        <v>7444</v>
      </c>
      <c r="C5663" t="s">
        <v>151</v>
      </c>
      <c r="D5663" s="1" t="s">
        <v>7445</v>
      </c>
    </row>
    <row r="5664" spans="1:4" hidden="1" x14ac:dyDescent="0.3">
      <c r="A5664">
        <v>5662</v>
      </c>
      <c r="B5664" t="s">
        <v>7446</v>
      </c>
      <c r="C5664" t="s">
        <v>30</v>
      </c>
      <c r="D5664">
        <v>1.5064684248134901</v>
      </c>
    </row>
    <row r="5665" spans="1:4" hidden="1" x14ac:dyDescent="0.3">
      <c r="A5665">
        <v>5663</v>
      </c>
      <c r="B5665" t="s">
        <v>7447</v>
      </c>
      <c r="C5665" t="s">
        <v>32</v>
      </c>
      <c r="D5665">
        <v>0.41645401476532801</v>
      </c>
    </row>
    <row r="5666" spans="1:4" hidden="1" x14ac:dyDescent="0.3">
      <c r="A5666">
        <v>5664</v>
      </c>
      <c r="B5666" s="1" t="s">
        <v>7448</v>
      </c>
      <c r="C5666" t="s">
        <v>155</v>
      </c>
      <c r="D5666" s="1" t="s">
        <v>7449</v>
      </c>
    </row>
    <row r="5667" spans="1:4" hidden="1" x14ac:dyDescent="0.3">
      <c r="A5667">
        <v>5665</v>
      </c>
      <c r="B5667" t="s">
        <v>7450</v>
      </c>
      <c r="C5667" t="s">
        <v>40</v>
      </c>
      <c r="D5667">
        <v>2.0182155547811198</v>
      </c>
    </row>
    <row r="5668" spans="1:4" hidden="1" x14ac:dyDescent="0.3">
      <c r="A5668">
        <v>5666</v>
      </c>
      <c r="B5668" t="s">
        <v>7451</v>
      </c>
      <c r="C5668" t="s">
        <v>42</v>
      </c>
      <c r="D5668">
        <v>0.41036741129945498</v>
      </c>
    </row>
    <row r="5669" spans="1:4" hidden="1" x14ac:dyDescent="0.3">
      <c r="A5669">
        <v>5667</v>
      </c>
      <c r="B5669" s="1" t="s">
        <v>7452</v>
      </c>
      <c r="C5669" t="s">
        <v>159</v>
      </c>
      <c r="D5669" s="1" t="s">
        <v>7453</v>
      </c>
    </row>
    <row r="5670" spans="1:4" hidden="1" x14ac:dyDescent="0.3">
      <c r="A5670">
        <v>5668</v>
      </c>
      <c r="B5670" t="s">
        <v>7454</v>
      </c>
      <c r="C5670" t="s">
        <v>161</v>
      </c>
      <c r="D5670">
        <v>1.00689584253283</v>
      </c>
    </row>
    <row r="5671" spans="1:4" hidden="1" x14ac:dyDescent="0.3">
      <c r="A5671">
        <v>5669</v>
      </c>
      <c r="B5671" t="s">
        <v>7455</v>
      </c>
      <c r="C5671" t="s">
        <v>163</v>
      </c>
      <c r="D5671">
        <v>1.0025352787523101</v>
      </c>
    </row>
    <row r="5672" spans="1:4" hidden="1" x14ac:dyDescent="0.3">
      <c r="A5672">
        <v>5670</v>
      </c>
      <c r="B5672" s="1" t="s">
        <v>7456</v>
      </c>
      <c r="C5672" t="s">
        <v>165</v>
      </c>
      <c r="D5672" s="1" t="s">
        <v>7457</v>
      </c>
    </row>
    <row r="5673" spans="1:4" hidden="1" x14ac:dyDescent="0.3">
      <c r="A5673">
        <v>5671</v>
      </c>
      <c r="B5673" t="s">
        <v>7458</v>
      </c>
      <c r="C5673" t="s">
        <v>168</v>
      </c>
      <c r="D5673">
        <v>0.99886917763237404</v>
      </c>
    </row>
    <row r="5674" spans="1:4" hidden="1" x14ac:dyDescent="0.3">
      <c r="A5674">
        <v>5672</v>
      </c>
      <c r="B5674" t="s">
        <v>7459</v>
      </c>
      <c r="C5674" t="s">
        <v>170</v>
      </c>
      <c r="D5674">
        <v>1.0013718851753901</v>
      </c>
    </row>
    <row r="5675" spans="1:4" hidden="1" x14ac:dyDescent="0.3">
      <c r="A5675">
        <v>5673</v>
      </c>
      <c r="B5675" s="1" t="s">
        <v>7460</v>
      </c>
      <c r="C5675" t="s">
        <v>172</v>
      </c>
      <c r="D5675" s="1" t="s">
        <v>7461</v>
      </c>
    </row>
    <row r="5676" spans="1:4" hidden="1" x14ac:dyDescent="0.3">
      <c r="A5676">
        <v>5674</v>
      </c>
      <c r="B5676" s="1" t="s">
        <v>7462</v>
      </c>
      <c r="C5676" t="s">
        <v>55</v>
      </c>
      <c r="D5676" s="1" t="s">
        <v>7463</v>
      </c>
    </row>
    <row r="5677" spans="1:4" hidden="1" x14ac:dyDescent="0.3">
      <c r="A5677">
        <v>5675</v>
      </c>
      <c r="B5677" s="1" t="s">
        <v>7464</v>
      </c>
      <c r="C5677" t="s">
        <v>52</v>
      </c>
      <c r="D5677" s="1" t="s">
        <v>7465</v>
      </c>
    </row>
    <row r="5678" spans="1:4" hidden="1" x14ac:dyDescent="0.3">
      <c r="A5678">
        <v>5676</v>
      </c>
      <c r="B5678" s="1" t="s">
        <v>7466</v>
      </c>
      <c r="C5678" t="s">
        <v>58</v>
      </c>
      <c r="D5678" s="1" t="s">
        <v>7467</v>
      </c>
    </row>
    <row r="5679" spans="1:4" hidden="1" x14ac:dyDescent="0.3">
      <c r="A5679">
        <v>5677</v>
      </c>
      <c r="B5679" t="s">
        <v>7468</v>
      </c>
      <c r="C5679" t="s">
        <v>61</v>
      </c>
      <c r="D5679">
        <v>137064837.32258999</v>
      </c>
    </row>
    <row r="5680" spans="1:4" hidden="1" x14ac:dyDescent="0.3">
      <c r="A5680">
        <v>5678</v>
      </c>
      <c r="B5680" t="s">
        <v>7469</v>
      </c>
      <c r="C5680" t="s">
        <v>63</v>
      </c>
      <c r="D5680">
        <v>72710139.014309198</v>
      </c>
    </row>
    <row r="5681" spans="1:4" hidden="1" x14ac:dyDescent="0.3">
      <c r="A5681">
        <v>5679</v>
      </c>
      <c r="B5681" t="s">
        <v>7470</v>
      </c>
      <c r="C5681" t="s">
        <v>65</v>
      </c>
      <c r="D5681">
        <v>34024066.962845802</v>
      </c>
    </row>
    <row r="5682" spans="1:4" hidden="1" x14ac:dyDescent="0.3">
      <c r="A5682">
        <v>5680</v>
      </c>
      <c r="B5682" s="1" t="s">
        <v>7471</v>
      </c>
      <c r="C5682" t="s">
        <v>67</v>
      </c>
      <c r="D5682" s="1" t="s">
        <v>7472</v>
      </c>
    </row>
    <row r="5683" spans="1:4" hidden="1" x14ac:dyDescent="0.3">
      <c r="A5683">
        <v>5681</v>
      </c>
      <c r="B5683" s="1" t="s">
        <v>7473</v>
      </c>
      <c r="C5683" t="s">
        <v>70</v>
      </c>
      <c r="D5683" s="1" t="s">
        <v>7474</v>
      </c>
    </row>
    <row r="5684" spans="1:4" hidden="1" x14ac:dyDescent="0.3">
      <c r="A5684">
        <v>5682</v>
      </c>
      <c r="B5684" t="s">
        <v>7475</v>
      </c>
      <c r="C5684" t="s">
        <v>73</v>
      </c>
      <c r="D5684">
        <v>0.99981862712696201</v>
      </c>
    </row>
    <row r="5685" spans="1:4" hidden="1" x14ac:dyDescent="0.3">
      <c r="A5685">
        <v>5683</v>
      </c>
      <c r="B5685" t="s">
        <v>74</v>
      </c>
      <c r="C5685" t="s">
        <v>75</v>
      </c>
      <c r="D5685">
        <v>2.7397260273972599E-3</v>
      </c>
    </row>
    <row r="5686" spans="1:4" hidden="1" x14ac:dyDescent="0.3">
      <c r="A5686">
        <v>5684</v>
      </c>
      <c r="B5686" t="s">
        <v>76</v>
      </c>
      <c r="C5686" t="s">
        <v>77</v>
      </c>
      <c r="D5686">
        <v>0</v>
      </c>
    </row>
    <row r="5687" spans="1:4" hidden="1" x14ac:dyDescent="0.3">
      <c r="A5687">
        <v>5685</v>
      </c>
      <c r="B5687" t="s">
        <v>78</v>
      </c>
      <c r="C5687" t="s">
        <v>79</v>
      </c>
      <c r="D5687">
        <v>0</v>
      </c>
    </row>
    <row r="5688" spans="1:4" hidden="1" x14ac:dyDescent="0.3">
      <c r="A5688">
        <v>5686</v>
      </c>
      <c r="B5688" s="1" t="s">
        <v>7476</v>
      </c>
      <c r="C5688" t="s">
        <v>81</v>
      </c>
      <c r="D5688" s="1" t="s">
        <v>7477</v>
      </c>
    </row>
    <row r="5689" spans="1:4" hidden="1" x14ac:dyDescent="0.3">
      <c r="A5689">
        <v>5687</v>
      </c>
      <c r="B5689" t="s">
        <v>7478</v>
      </c>
      <c r="C5689" t="s">
        <v>84</v>
      </c>
      <c r="D5689">
        <v>0.99980340222335395</v>
      </c>
    </row>
    <row r="5690" spans="1:4" hidden="1" x14ac:dyDescent="0.3">
      <c r="A5690">
        <v>5688</v>
      </c>
      <c r="B5690" s="1" t="s">
        <v>7479</v>
      </c>
      <c r="C5690" t="s">
        <v>86</v>
      </c>
      <c r="D5690" s="1" t="s">
        <v>7480</v>
      </c>
    </row>
    <row r="5691" spans="1:4" hidden="1" x14ac:dyDescent="0.3">
      <c r="A5691">
        <v>5689</v>
      </c>
      <c r="B5691" t="s">
        <v>7481</v>
      </c>
      <c r="C5691" t="s">
        <v>89</v>
      </c>
      <c r="D5691">
        <v>103013665.95218</v>
      </c>
    </row>
    <row r="5692" spans="1:4" hidden="1" x14ac:dyDescent="0.3">
      <c r="A5692">
        <v>5690</v>
      </c>
      <c r="B5692" s="1" t="s">
        <v>7482</v>
      </c>
      <c r="C5692" t="s">
        <v>91</v>
      </c>
      <c r="D5692" s="1" t="s">
        <v>7416</v>
      </c>
    </row>
    <row r="5693" spans="1:4" hidden="1" x14ac:dyDescent="0.3">
      <c r="A5693">
        <v>5691</v>
      </c>
      <c r="B5693" t="s">
        <v>7483</v>
      </c>
      <c r="C5693" t="s">
        <v>94</v>
      </c>
      <c r="D5693">
        <v>72710139.014309198</v>
      </c>
    </row>
    <row r="5694" spans="1:4" hidden="1" x14ac:dyDescent="0.3">
      <c r="A5694">
        <v>5692</v>
      </c>
      <c r="B5694" t="s">
        <v>7484</v>
      </c>
      <c r="C5694" t="s">
        <v>96</v>
      </c>
      <c r="D5694">
        <v>34024066.962845802</v>
      </c>
    </row>
    <row r="5695" spans="1:4" hidden="1" x14ac:dyDescent="0.3">
      <c r="A5695">
        <v>5693</v>
      </c>
      <c r="B5695" t="s">
        <v>7485</v>
      </c>
      <c r="C5695" t="s">
        <v>98</v>
      </c>
      <c r="D5695">
        <v>30330631.345435198</v>
      </c>
    </row>
    <row r="5696" spans="1:4" hidden="1" x14ac:dyDescent="0.3">
      <c r="A5696">
        <v>5694</v>
      </c>
      <c r="B5696" s="1" t="s">
        <v>7486</v>
      </c>
      <c r="C5696" t="s">
        <v>100</v>
      </c>
      <c r="D5696" s="1" t="s">
        <v>7487</v>
      </c>
    </row>
    <row r="5697" spans="1:4" hidden="1" x14ac:dyDescent="0.3">
      <c r="A5697">
        <v>5695</v>
      </c>
      <c r="B5697" t="s">
        <v>7488</v>
      </c>
      <c r="C5697" t="s">
        <v>103</v>
      </c>
      <c r="D5697">
        <v>9.1508263637945907E-3</v>
      </c>
    </row>
    <row r="5698" spans="1:4" hidden="1" x14ac:dyDescent="0.3">
      <c r="A5698">
        <v>5696</v>
      </c>
      <c r="B5698" t="s">
        <v>7489</v>
      </c>
      <c r="C5698" t="s">
        <v>105</v>
      </c>
      <c r="D5698">
        <v>3.1457487478823401E-3</v>
      </c>
    </row>
    <row r="5699" spans="1:4" hidden="1" x14ac:dyDescent="0.3">
      <c r="A5699">
        <v>5697</v>
      </c>
      <c r="B5699" t="s">
        <v>7490</v>
      </c>
      <c r="C5699" t="s">
        <v>107</v>
      </c>
      <c r="D5699">
        <v>1.39899814887371E-2</v>
      </c>
    </row>
    <row r="5700" spans="1:4" hidden="1" x14ac:dyDescent="0.3">
      <c r="A5700">
        <v>5698</v>
      </c>
      <c r="B5700" s="1" t="s">
        <v>7491</v>
      </c>
      <c r="C5700" t="s">
        <v>109</v>
      </c>
      <c r="D5700" s="1" t="s">
        <v>7492</v>
      </c>
    </row>
    <row r="5701" spans="1:4" hidden="1" x14ac:dyDescent="0.3">
      <c r="A5701">
        <v>5699</v>
      </c>
      <c r="B5701" t="s">
        <v>7493</v>
      </c>
      <c r="C5701" t="s">
        <v>208</v>
      </c>
      <c r="D5701">
        <v>137064298.00141501</v>
      </c>
    </row>
    <row r="5702" spans="1:4" hidden="1" x14ac:dyDescent="0.3">
      <c r="A5702">
        <v>5700</v>
      </c>
      <c r="B5702" t="s">
        <v>7494</v>
      </c>
      <c r="C5702" t="s">
        <v>210</v>
      </c>
      <c r="D5702">
        <v>1107.1996486358701</v>
      </c>
    </row>
    <row r="5703" spans="1:4" hidden="1" x14ac:dyDescent="0.3">
      <c r="A5703">
        <v>5701</v>
      </c>
      <c r="B5703" t="s">
        <v>7495</v>
      </c>
      <c r="C5703" t="s">
        <v>212</v>
      </c>
      <c r="D5703">
        <v>518.10608659036905</v>
      </c>
    </row>
    <row r="5704" spans="1:4" hidden="1" x14ac:dyDescent="0.3">
      <c r="A5704">
        <v>5702</v>
      </c>
      <c r="B5704" s="1" t="s">
        <v>7496</v>
      </c>
      <c r="C5704" t="s">
        <v>214</v>
      </c>
      <c r="D5704" s="1" t="s">
        <v>7497</v>
      </c>
    </row>
    <row r="5705" spans="1:4" hidden="1" x14ac:dyDescent="0.3">
      <c r="A5705">
        <v>5703</v>
      </c>
      <c r="B5705" t="s">
        <v>7498</v>
      </c>
      <c r="C5705" t="s">
        <v>217</v>
      </c>
      <c r="D5705">
        <v>72708636.066622198</v>
      </c>
    </row>
    <row r="5706" spans="1:4" hidden="1" x14ac:dyDescent="0.3">
      <c r="A5706">
        <v>5704</v>
      </c>
      <c r="B5706" t="s">
        <v>7499</v>
      </c>
      <c r="C5706" t="s">
        <v>219</v>
      </c>
      <c r="D5706">
        <v>34023481.618887</v>
      </c>
    </row>
    <row r="5707" spans="1:4" hidden="1" x14ac:dyDescent="0.3">
      <c r="A5707">
        <v>5705</v>
      </c>
      <c r="B5707" t="s">
        <v>7500</v>
      </c>
      <c r="C5707" t="s">
        <v>221</v>
      </c>
      <c r="D5707">
        <v>30330093.146625299</v>
      </c>
    </row>
    <row r="5708" spans="1:4" hidden="1" x14ac:dyDescent="0.3">
      <c r="A5708">
        <v>5706</v>
      </c>
      <c r="B5708" s="1" t="s">
        <v>7501</v>
      </c>
      <c r="C5708" t="s">
        <v>223</v>
      </c>
      <c r="D5708" s="1" t="s">
        <v>7502</v>
      </c>
    </row>
    <row r="5709" spans="1:4" hidden="1" x14ac:dyDescent="0.3">
      <c r="A5709">
        <v>5707</v>
      </c>
      <c r="B5709" t="s">
        <v>7503</v>
      </c>
      <c r="C5709" t="s">
        <v>226</v>
      </c>
      <c r="D5709">
        <v>103012097.294534</v>
      </c>
    </row>
    <row r="5710" spans="1:4" hidden="1" x14ac:dyDescent="0.3">
      <c r="A5710">
        <v>5708</v>
      </c>
      <c r="B5710" t="s">
        <v>7504</v>
      </c>
      <c r="C5710" t="s">
        <v>228</v>
      </c>
      <c r="D5710">
        <v>1568.6576464623199</v>
      </c>
    </row>
    <row r="5711" spans="1:4" hidden="1" x14ac:dyDescent="0.3">
      <c r="A5711">
        <v>5709</v>
      </c>
      <c r="B5711" s="1" t="s">
        <v>7505</v>
      </c>
      <c r="C5711" t="s">
        <v>230</v>
      </c>
      <c r="D5711" s="1" t="s">
        <v>7506</v>
      </c>
    </row>
    <row r="5712" spans="1:4" hidden="1" x14ac:dyDescent="0.3">
      <c r="A5712">
        <v>5710</v>
      </c>
      <c r="B5712" t="s">
        <v>7507</v>
      </c>
      <c r="C5712" t="s">
        <v>112</v>
      </c>
      <c r="D5712">
        <v>-395.74803830824101</v>
      </c>
    </row>
    <row r="5713" spans="1:4" hidden="1" x14ac:dyDescent="0.3">
      <c r="A5713">
        <v>5711</v>
      </c>
      <c r="B5713" t="s">
        <v>7508</v>
      </c>
      <c r="C5713" t="s">
        <v>114</v>
      </c>
      <c r="D5713">
        <v>-67.237872211784193</v>
      </c>
    </row>
    <row r="5714" spans="1:4" hidden="1" x14ac:dyDescent="0.3">
      <c r="A5714">
        <v>5712</v>
      </c>
      <c r="B5714" s="1" t="s">
        <v>7509</v>
      </c>
      <c r="C5714" t="s">
        <v>116</v>
      </c>
      <c r="D5714" s="1" t="s">
        <v>7510</v>
      </c>
    </row>
    <row r="5715" spans="1:4" hidden="1" x14ac:dyDescent="0.3">
      <c r="A5715">
        <v>5713</v>
      </c>
      <c r="B5715" t="s">
        <v>7511</v>
      </c>
      <c r="C5715" t="s">
        <v>119</v>
      </c>
      <c r="D5715">
        <v>72708636.066622198</v>
      </c>
    </row>
    <row r="5716" spans="1:4" hidden="1" x14ac:dyDescent="0.3">
      <c r="A5716">
        <v>5714</v>
      </c>
      <c r="B5716" t="s">
        <v>7512</v>
      </c>
      <c r="C5716" t="s">
        <v>121</v>
      </c>
      <c r="D5716">
        <v>34023481.618887</v>
      </c>
    </row>
    <row r="5717" spans="1:4" hidden="1" x14ac:dyDescent="0.3">
      <c r="A5717">
        <v>5715</v>
      </c>
      <c r="B5717" s="1" t="s">
        <v>7513</v>
      </c>
      <c r="C5717" t="s">
        <v>123</v>
      </c>
      <c r="D5717" s="1" t="s">
        <v>7514</v>
      </c>
    </row>
    <row r="5718" spans="1:4" hidden="1" x14ac:dyDescent="0.3">
      <c r="A5718">
        <v>5716</v>
      </c>
      <c r="B5718" t="s">
        <v>7515</v>
      </c>
      <c r="C5718" t="s">
        <v>126</v>
      </c>
      <c r="D5718">
        <v>0.70596498026514698</v>
      </c>
    </row>
    <row r="5719" spans="1:4" hidden="1" x14ac:dyDescent="0.3">
      <c r="A5719">
        <v>5717</v>
      </c>
      <c r="B5719" t="s">
        <v>7516</v>
      </c>
      <c r="C5719" t="s">
        <v>128</v>
      </c>
      <c r="D5719">
        <v>0.33035121863131101</v>
      </c>
    </row>
    <row r="5720" spans="1:4" hidden="1" x14ac:dyDescent="0.3">
      <c r="A5720">
        <v>5718</v>
      </c>
      <c r="B5720" s="1" t="s">
        <v>7517</v>
      </c>
      <c r="C5720" t="s">
        <v>130</v>
      </c>
      <c r="D5720" s="1" t="s">
        <v>7518</v>
      </c>
    </row>
    <row r="5721" spans="1:4" ht="72" x14ac:dyDescent="0.3">
      <c r="A5721">
        <v>5719</v>
      </c>
      <c r="B5721" s="1" t="s">
        <v>7519</v>
      </c>
      <c r="C5721" t="s">
        <v>4</v>
      </c>
      <c r="D5721" t="s">
        <v>7520</v>
      </c>
    </row>
    <row r="5722" spans="1:4" hidden="1" x14ac:dyDescent="0.3">
      <c r="A5722">
        <v>5720</v>
      </c>
      <c r="B5722" t="s">
        <v>7521</v>
      </c>
      <c r="C5722" t="s">
        <v>7</v>
      </c>
      <c r="D5722">
        <v>1663.31</v>
      </c>
    </row>
    <row r="5723" spans="1:4" hidden="1" x14ac:dyDescent="0.3">
      <c r="A5723">
        <v>5721</v>
      </c>
      <c r="B5723" s="1" t="s">
        <v>7522</v>
      </c>
      <c r="C5723" t="s">
        <v>9</v>
      </c>
      <c r="D5723" s="1" t="s">
        <v>7523</v>
      </c>
    </row>
    <row r="5724" spans="1:4" hidden="1" x14ac:dyDescent="0.3">
      <c r="A5724">
        <v>5722</v>
      </c>
      <c r="B5724" t="s">
        <v>7524</v>
      </c>
      <c r="C5724" t="s">
        <v>14</v>
      </c>
      <c r="D5724">
        <v>88.71875</v>
      </c>
    </row>
    <row r="5725" spans="1:4" hidden="1" x14ac:dyDescent="0.3">
      <c r="A5725">
        <v>5723</v>
      </c>
      <c r="B5725" t="s">
        <v>7525</v>
      </c>
      <c r="C5725" t="s">
        <v>16</v>
      </c>
      <c r="D5725">
        <v>4.2164020128860997</v>
      </c>
    </row>
    <row r="5726" spans="1:4" hidden="1" x14ac:dyDescent="0.3">
      <c r="A5726">
        <v>5724</v>
      </c>
      <c r="B5726" s="1" t="s">
        <v>7526</v>
      </c>
      <c r="C5726" t="s">
        <v>140</v>
      </c>
      <c r="D5726" s="1" t="s">
        <v>7527</v>
      </c>
    </row>
    <row r="5727" spans="1:4" hidden="1" x14ac:dyDescent="0.3">
      <c r="A5727">
        <v>5725</v>
      </c>
      <c r="B5727" t="s">
        <v>7528</v>
      </c>
      <c r="C5727" t="s">
        <v>22</v>
      </c>
      <c r="D5727">
        <v>47.9</v>
      </c>
    </row>
    <row r="5728" spans="1:4" hidden="1" x14ac:dyDescent="0.3">
      <c r="A5728">
        <v>5726</v>
      </c>
      <c r="B5728" t="s">
        <v>7529</v>
      </c>
      <c r="C5728" t="s">
        <v>24</v>
      </c>
      <c r="D5728">
        <v>5.6915356658172698</v>
      </c>
    </row>
    <row r="5729" spans="1:4" hidden="1" x14ac:dyDescent="0.3">
      <c r="A5729">
        <v>5727</v>
      </c>
      <c r="B5729" s="1" t="s">
        <v>7530</v>
      </c>
      <c r="C5729" t="s">
        <v>145</v>
      </c>
      <c r="D5729" s="1" t="s">
        <v>7531</v>
      </c>
    </row>
    <row r="5730" spans="1:4" hidden="1" x14ac:dyDescent="0.3">
      <c r="A5730">
        <v>5728</v>
      </c>
      <c r="B5730" t="s">
        <v>7532</v>
      </c>
      <c r="C5730" t="s">
        <v>35</v>
      </c>
      <c r="D5730">
        <v>0.23600266876194401</v>
      </c>
    </row>
    <row r="5731" spans="1:4" hidden="1" x14ac:dyDescent="0.3">
      <c r="A5731">
        <v>5729</v>
      </c>
      <c r="B5731" t="s">
        <v>7533</v>
      </c>
      <c r="C5731" t="s">
        <v>149</v>
      </c>
      <c r="D5731">
        <v>0.54844420266689897</v>
      </c>
    </row>
    <row r="5732" spans="1:4" hidden="1" x14ac:dyDescent="0.3">
      <c r="A5732">
        <v>5730</v>
      </c>
      <c r="B5732" s="1" t="s">
        <v>7534</v>
      </c>
      <c r="C5732" t="s">
        <v>151</v>
      </c>
      <c r="D5732" s="1" t="s">
        <v>7535</v>
      </c>
    </row>
    <row r="5733" spans="1:4" hidden="1" x14ac:dyDescent="0.3">
      <c r="A5733">
        <v>5731</v>
      </c>
      <c r="B5733" t="s">
        <v>7536</v>
      </c>
      <c r="C5733" t="s">
        <v>30</v>
      </c>
      <c r="D5733">
        <v>0.32186873970795998</v>
      </c>
    </row>
    <row r="5734" spans="1:4" hidden="1" x14ac:dyDescent="0.3">
      <c r="A5734">
        <v>5732</v>
      </c>
      <c r="B5734" t="s">
        <v>7537</v>
      </c>
      <c r="C5734" t="s">
        <v>32</v>
      </c>
      <c r="D5734">
        <v>0.41843751808450302</v>
      </c>
    </row>
    <row r="5735" spans="1:4" hidden="1" x14ac:dyDescent="0.3">
      <c r="A5735">
        <v>5733</v>
      </c>
      <c r="B5735" s="1" t="s">
        <v>7538</v>
      </c>
      <c r="C5735" t="s">
        <v>155</v>
      </c>
      <c r="D5735" s="1" t="s">
        <v>7539</v>
      </c>
    </row>
    <row r="5736" spans="1:4" hidden="1" x14ac:dyDescent="0.3">
      <c r="A5736">
        <v>5734</v>
      </c>
      <c r="B5736" t="s">
        <v>7540</v>
      </c>
      <c r="C5736" t="s">
        <v>40</v>
      </c>
      <c r="D5736">
        <v>0.44212859153009498</v>
      </c>
    </row>
    <row r="5737" spans="1:4" hidden="1" x14ac:dyDescent="0.3">
      <c r="A5737">
        <v>5735</v>
      </c>
      <c r="B5737" t="s">
        <v>7541</v>
      </c>
      <c r="C5737" t="s">
        <v>42</v>
      </c>
      <c r="D5737">
        <v>0.40490202153928501</v>
      </c>
    </row>
    <row r="5738" spans="1:4" hidden="1" x14ac:dyDescent="0.3">
      <c r="A5738">
        <v>5736</v>
      </c>
      <c r="B5738" s="1" t="s">
        <v>7542</v>
      </c>
      <c r="C5738" t="s">
        <v>159</v>
      </c>
      <c r="D5738" s="1" t="s">
        <v>7543</v>
      </c>
    </row>
    <row r="5739" spans="1:4" hidden="1" x14ac:dyDescent="0.3">
      <c r="A5739">
        <v>5737</v>
      </c>
      <c r="B5739" t="s">
        <v>7544</v>
      </c>
      <c r="C5739" t="s">
        <v>161</v>
      </c>
      <c r="D5739">
        <v>0.99924304775407402</v>
      </c>
    </row>
    <row r="5740" spans="1:4" hidden="1" x14ac:dyDescent="0.3">
      <c r="A5740">
        <v>5738</v>
      </c>
      <c r="B5740" t="s">
        <v>7545</v>
      </c>
      <c r="C5740" t="s">
        <v>163</v>
      </c>
      <c r="D5740">
        <v>1.0043961920292499</v>
      </c>
    </row>
    <row r="5741" spans="1:4" hidden="1" x14ac:dyDescent="0.3">
      <c r="A5741">
        <v>5739</v>
      </c>
      <c r="B5741" s="1" t="s">
        <v>7546</v>
      </c>
      <c r="C5741" t="s">
        <v>165</v>
      </c>
      <c r="D5741" s="1" t="s">
        <v>7547</v>
      </c>
    </row>
    <row r="5742" spans="1:4" hidden="1" x14ac:dyDescent="0.3">
      <c r="A5742">
        <v>5740</v>
      </c>
      <c r="B5742" t="s">
        <v>7548</v>
      </c>
      <c r="C5742" t="s">
        <v>168</v>
      </c>
      <c r="D5742">
        <v>1.0006755362808899</v>
      </c>
    </row>
    <row r="5743" spans="1:4" hidden="1" x14ac:dyDescent="0.3">
      <c r="A5743">
        <v>5741</v>
      </c>
      <c r="B5743" t="s">
        <v>7549</v>
      </c>
      <c r="C5743" t="s">
        <v>170</v>
      </c>
      <c r="D5743">
        <v>1.0014003301896801</v>
      </c>
    </row>
    <row r="5744" spans="1:4" hidden="1" x14ac:dyDescent="0.3">
      <c r="A5744">
        <v>5742</v>
      </c>
      <c r="B5744" s="1" t="s">
        <v>7550</v>
      </c>
      <c r="C5744" t="s">
        <v>172</v>
      </c>
      <c r="D5744" s="1" t="s">
        <v>7551</v>
      </c>
    </row>
    <row r="5745" spans="1:4" hidden="1" x14ac:dyDescent="0.3">
      <c r="A5745">
        <v>5743</v>
      </c>
      <c r="B5745" s="1" t="s">
        <v>7552</v>
      </c>
      <c r="C5745" t="s">
        <v>55</v>
      </c>
      <c r="D5745" s="1" t="s">
        <v>7553</v>
      </c>
    </row>
    <row r="5746" spans="1:4" hidden="1" x14ac:dyDescent="0.3">
      <c r="A5746">
        <v>5744</v>
      </c>
      <c r="B5746" s="1" t="s">
        <v>7554</v>
      </c>
      <c r="C5746" t="s">
        <v>52</v>
      </c>
      <c r="D5746" s="1" t="s">
        <v>7555</v>
      </c>
    </row>
    <row r="5747" spans="1:4" hidden="1" x14ac:dyDescent="0.3">
      <c r="A5747">
        <v>5745</v>
      </c>
      <c r="B5747" s="1" t="s">
        <v>7556</v>
      </c>
      <c r="C5747" t="s">
        <v>58</v>
      </c>
      <c r="D5747" s="1" t="s">
        <v>7557</v>
      </c>
    </row>
    <row r="5748" spans="1:4" hidden="1" x14ac:dyDescent="0.3">
      <c r="A5748">
        <v>5746</v>
      </c>
      <c r="B5748" t="s">
        <v>7558</v>
      </c>
      <c r="C5748" t="s">
        <v>61</v>
      </c>
      <c r="D5748">
        <v>137078747.117199</v>
      </c>
    </row>
    <row r="5749" spans="1:4" hidden="1" x14ac:dyDescent="0.3">
      <c r="A5749">
        <v>5747</v>
      </c>
      <c r="B5749" t="s">
        <v>7559</v>
      </c>
      <c r="C5749" t="s">
        <v>63</v>
      </c>
      <c r="D5749">
        <v>72653599.101253405</v>
      </c>
    </row>
    <row r="5750" spans="1:4" hidden="1" x14ac:dyDescent="0.3">
      <c r="A5750">
        <v>5748</v>
      </c>
      <c r="B5750" t="s">
        <v>7560</v>
      </c>
      <c r="C5750" t="s">
        <v>65</v>
      </c>
      <c r="D5750">
        <v>34173055.377587497</v>
      </c>
    </row>
    <row r="5751" spans="1:4" hidden="1" x14ac:dyDescent="0.3">
      <c r="A5751">
        <v>5749</v>
      </c>
      <c r="B5751" s="1" t="s">
        <v>7561</v>
      </c>
      <c r="C5751" t="s">
        <v>67</v>
      </c>
      <c r="D5751" s="1" t="s">
        <v>7562</v>
      </c>
    </row>
    <row r="5752" spans="1:4" hidden="1" x14ac:dyDescent="0.3">
      <c r="A5752">
        <v>5750</v>
      </c>
      <c r="B5752" s="1" t="s">
        <v>7563</v>
      </c>
      <c r="C5752" t="s">
        <v>70</v>
      </c>
      <c r="D5752" s="1" t="s">
        <v>7564</v>
      </c>
    </row>
    <row r="5753" spans="1:4" hidden="1" x14ac:dyDescent="0.3">
      <c r="A5753">
        <v>5751</v>
      </c>
      <c r="B5753" t="s">
        <v>7565</v>
      </c>
      <c r="C5753" t="s">
        <v>73</v>
      </c>
      <c r="D5753">
        <v>0.99980340222335395</v>
      </c>
    </row>
    <row r="5754" spans="1:4" hidden="1" x14ac:dyDescent="0.3">
      <c r="A5754">
        <v>5752</v>
      </c>
      <c r="B5754" t="s">
        <v>74</v>
      </c>
      <c r="C5754" t="s">
        <v>75</v>
      </c>
      <c r="D5754">
        <v>2.7397260273972599E-3</v>
      </c>
    </row>
    <row r="5755" spans="1:4" hidden="1" x14ac:dyDescent="0.3">
      <c r="A5755">
        <v>5753</v>
      </c>
      <c r="B5755" t="s">
        <v>76</v>
      </c>
      <c r="C5755" t="s">
        <v>77</v>
      </c>
      <c r="D5755">
        <v>0</v>
      </c>
    </row>
    <row r="5756" spans="1:4" hidden="1" x14ac:dyDescent="0.3">
      <c r="A5756">
        <v>5754</v>
      </c>
      <c r="B5756" t="s">
        <v>831</v>
      </c>
      <c r="C5756" t="s">
        <v>79</v>
      </c>
      <c r="D5756" s="2">
        <v>2.2204460492503101E-16</v>
      </c>
    </row>
    <row r="5757" spans="1:4" hidden="1" x14ac:dyDescent="0.3">
      <c r="A5757">
        <v>5755</v>
      </c>
      <c r="B5757" s="1" t="s">
        <v>7566</v>
      </c>
      <c r="C5757" t="s">
        <v>81</v>
      </c>
      <c r="D5757" s="1" t="s">
        <v>7567</v>
      </c>
    </row>
    <row r="5758" spans="1:4" hidden="1" x14ac:dyDescent="0.3">
      <c r="A5758">
        <v>5756</v>
      </c>
      <c r="B5758" t="s">
        <v>7568</v>
      </c>
      <c r="C5758" t="s">
        <v>84</v>
      </c>
      <c r="D5758">
        <v>0.99979691036962604</v>
      </c>
    </row>
    <row r="5759" spans="1:4" hidden="1" x14ac:dyDescent="0.3">
      <c r="A5759">
        <v>5757</v>
      </c>
      <c r="B5759" s="1" t="s">
        <v>7569</v>
      </c>
      <c r="C5759" t="s">
        <v>86</v>
      </c>
      <c r="D5759" s="1" t="s">
        <v>7570</v>
      </c>
    </row>
    <row r="5760" spans="1:4" hidden="1" x14ac:dyDescent="0.3">
      <c r="A5760">
        <v>5758</v>
      </c>
      <c r="B5760" t="s">
        <v>7571</v>
      </c>
      <c r="C5760" t="s">
        <v>89</v>
      </c>
      <c r="D5760">
        <v>103014334.83767501</v>
      </c>
    </row>
    <row r="5761" spans="1:4" hidden="1" x14ac:dyDescent="0.3">
      <c r="A5761">
        <v>5759</v>
      </c>
      <c r="B5761" s="1" t="s">
        <v>7572</v>
      </c>
      <c r="C5761" t="s">
        <v>91</v>
      </c>
      <c r="D5761" s="1" t="s">
        <v>7506</v>
      </c>
    </row>
    <row r="5762" spans="1:4" hidden="1" x14ac:dyDescent="0.3">
      <c r="A5762">
        <v>5760</v>
      </c>
      <c r="B5762" t="s">
        <v>7573</v>
      </c>
      <c r="C5762" t="s">
        <v>94</v>
      </c>
      <c r="D5762">
        <v>72653599.101253405</v>
      </c>
    </row>
    <row r="5763" spans="1:4" hidden="1" x14ac:dyDescent="0.3">
      <c r="A5763">
        <v>5761</v>
      </c>
      <c r="B5763" t="s">
        <v>7574</v>
      </c>
      <c r="C5763" t="s">
        <v>96</v>
      </c>
      <c r="D5763">
        <v>34173055.377587497</v>
      </c>
    </row>
    <row r="5764" spans="1:4" hidden="1" x14ac:dyDescent="0.3">
      <c r="A5764">
        <v>5762</v>
      </c>
      <c r="B5764" t="s">
        <v>7575</v>
      </c>
      <c r="C5764" t="s">
        <v>98</v>
      </c>
      <c r="D5764">
        <v>30252092.638358701</v>
      </c>
    </row>
    <row r="5765" spans="1:4" hidden="1" x14ac:dyDescent="0.3">
      <c r="A5765">
        <v>5763</v>
      </c>
      <c r="B5765" s="1" t="s">
        <v>7576</v>
      </c>
      <c r="C5765" t="s">
        <v>100</v>
      </c>
      <c r="D5765" s="1" t="s">
        <v>7577</v>
      </c>
    </row>
    <row r="5766" spans="1:4" hidden="1" x14ac:dyDescent="0.3">
      <c r="A5766">
        <v>5764</v>
      </c>
      <c r="B5766" t="s">
        <v>7578</v>
      </c>
      <c r="C5766" t="s">
        <v>103</v>
      </c>
      <c r="D5766">
        <v>9.15219386330683E-3</v>
      </c>
    </row>
    <row r="5767" spans="1:4" hidden="1" x14ac:dyDescent="0.3">
      <c r="A5767">
        <v>5765</v>
      </c>
      <c r="B5767" t="s">
        <v>7579</v>
      </c>
      <c r="C5767" t="s">
        <v>105</v>
      </c>
      <c r="D5767">
        <v>3.17248311288164E-3</v>
      </c>
    </row>
    <row r="5768" spans="1:4" hidden="1" x14ac:dyDescent="0.3">
      <c r="A5768">
        <v>5766</v>
      </c>
      <c r="B5768" t="s">
        <v>7580</v>
      </c>
      <c r="C5768" t="s">
        <v>107</v>
      </c>
      <c r="D5768">
        <v>1.3921549881359199E-2</v>
      </c>
    </row>
    <row r="5769" spans="1:4" hidden="1" x14ac:dyDescent="0.3">
      <c r="A5769">
        <v>5767</v>
      </c>
      <c r="B5769" s="1" t="s">
        <v>7581</v>
      </c>
      <c r="C5769" t="s">
        <v>109</v>
      </c>
      <c r="D5769" s="1" t="s">
        <v>7582</v>
      </c>
    </row>
    <row r="5770" spans="1:4" hidden="1" x14ac:dyDescent="0.3">
      <c r="A5770">
        <v>5768</v>
      </c>
      <c r="B5770" t="s">
        <v>7583</v>
      </c>
      <c r="C5770" t="s">
        <v>208</v>
      </c>
      <c r="D5770">
        <v>137078516.83372501</v>
      </c>
    </row>
    <row r="5771" spans="1:4" hidden="1" x14ac:dyDescent="0.3">
      <c r="A5771">
        <v>5769</v>
      </c>
      <c r="B5771" t="s">
        <v>7584</v>
      </c>
      <c r="C5771" t="s">
        <v>210</v>
      </c>
      <c r="D5771">
        <v>471.74820367696299</v>
      </c>
    </row>
    <row r="5772" spans="1:4" hidden="1" x14ac:dyDescent="0.3">
      <c r="A5772">
        <v>5770</v>
      </c>
      <c r="B5772" t="s">
        <v>7585</v>
      </c>
      <c r="C5772" t="s">
        <v>212</v>
      </c>
      <c r="D5772">
        <v>221.889830469315</v>
      </c>
    </row>
    <row r="5773" spans="1:4" hidden="1" x14ac:dyDescent="0.3">
      <c r="A5773">
        <v>5771</v>
      </c>
      <c r="B5773" s="1" t="s">
        <v>7586</v>
      </c>
      <c r="C5773" t="s">
        <v>214</v>
      </c>
      <c r="D5773" s="1" t="s">
        <v>7587</v>
      </c>
    </row>
    <row r="5774" spans="1:4" hidden="1" x14ac:dyDescent="0.3">
      <c r="A5774">
        <v>5772</v>
      </c>
      <c r="B5774" t="s">
        <v>7588</v>
      </c>
      <c r="C5774" t="s">
        <v>217</v>
      </c>
      <c r="D5774">
        <v>72652961.130176395</v>
      </c>
    </row>
    <row r="5775" spans="1:4" hidden="1" x14ac:dyDescent="0.3">
      <c r="A5775">
        <v>5773</v>
      </c>
      <c r="B5775" t="s">
        <v>7589</v>
      </c>
      <c r="C5775" t="s">
        <v>219</v>
      </c>
      <c r="D5775">
        <v>34172791.973804101</v>
      </c>
    </row>
    <row r="5776" spans="1:4" hidden="1" x14ac:dyDescent="0.3">
      <c r="A5776">
        <v>5774</v>
      </c>
      <c r="B5776" t="s">
        <v>7590</v>
      </c>
      <c r="C5776" t="s">
        <v>221</v>
      </c>
      <c r="D5776">
        <v>30251873.661079202</v>
      </c>
    </row>
    <row r="5777" spans="1:4" hidden="1" x14ac:dyDescent="0.3">
      <c r="A5777">
        <v>5775</v>
      </c>
      <c r="B5777" s="1" t="s">
        <v>7591</v>
      </c>
      <c r="C5777" t="s">
        <v>223</v>
      </c>
      <c r="D5777" s="1" t="s">
        <v>7592</v>
      </c>
    </row>
    <row r="5778" spans="1:4" hidden="1" x14ac:dyDescent="0.3">
      <c r="A5778">
        <v>5776</v>
      </c>
      <c r="B5778" t="s">
        <v>7593</v>
      </c>
      <c r="C5778" t="s">
        <v>226</v>
      </c>
      <c r="D5778">
        <v>103013665.95218</v>
      </c>
    </row>
    <row r="5779" spans="1:4" hidden="1" x14ac:dyDescent="0.3">
      <c r="A5779">
        <v>5777</v>
      </c>
      <c r="B5779" t="s">
        <v>7594</v>
      </c>
      <c r="C5779" t="s">
        <v>228</v>
      </c>
      <c r="D5779">
        <v>668.885494977235</v>
      </c>
    </row>
    <row r="5780" spans="1:4" hidden="1" x14ac:dyDescent="0.3">
      <c r="A5780">
        <v>5778</v>
      </c>
      <c r="B5780" s="1" t="s">
        <v>7595</v>
      </c>
      <c r="C5780" t="s">
        <v>230</v>
      </c>
      <c r="D5780" s="1" t="s">
        <v>7596</v>
      </c>
    </row>
    <row r="5781" spans="1:4" hidden="1" x14ac:dyDescent="0.3">
      <c r="A5781">
        <v>5779</v>
      </c>
      <c r="B5781" t="s">
        <v>7597</v>
      </c>
      <c r="C5781" t="s">
        <v>112</v>
      </c>
      <c r="D5781">
        <v>-166.222873371943</v>
      </c>
    </row>
    <row r="5782" spans="1:4" hidden="1" x14ac:dyDescent="0.3">
      <c r="A5782">
        <v>5780</v>
      </c>
      <c r="B5782" t="s">
        <v>7598</v>
      </c>
      <c r="C5782" t="s">
        <v>114</v>
      </c>
      <c r="D5782">
        <v>-41.513952991327997</v>
      </c>
    </row>
    <row r="5783" spans="1:4" hidden="1" x14ac:dyDescent="0.3">
      <c r="A5783">
        <v>5781</v>
      </c>
      <c r="B5783" s="1" t="s">
        <v>7599</v>
      </c>
      <c r="C5783" t="s">
        <v>116</v>
      </c>
      <c r="D5783" s="1" t="s">
        <v>7600</v>
      </c>
    </row>
    <row r="5784" spans="1:4" hidden="1" x14ac:dyDescent="0.3">
      <c r="A5784">
        <v>5782</v>
      </c>
      <c r="B5784" t="s">
        <v>7601</v>
      </c>
      <c r="C5784" t="s">
        <v>119</v>
      </c>
      <c r="D5784">
        <v>72652961.130176395</v>
      </c>
    </row>
    <row r="5785" spans="1:4" hidden="1" x14ac:dyDescent="0.3">
      <c r="A5785">
        <v>5783</v>
      </c>
      <c r="B5785" t="s">
        <v>7602</v>
      </c>
      <c r="C5785" t="s">
        <v>121</v>
      </c>
      <c r="D5785">
        <v>34172791.973804101</v>
      </c>
    </row>
    <row r="5786" spans="1:4" hidden="1" x14ac:dyDescent="0.3">
      <c r="A5786">
        <v>5784</v>
      </c>
      <c r="B5786" s="1" t="s">
        <v>7603</v>
      </c>
      <c r="C5786" t="s">
        <v>123</v>
      </c>
      <c r="D5786" s="1" t="s">
        <v>7604</v>
      </c>
    </row>
    <row r="5787" spans="1:4" hidden="1" x14ac:dyDescent="0.3">
      <c r="A5787">
        <v>5785</v>
      </c>
      <c r="B5787" t="s">
        <v>7605</v>
      </c>
      <c r="C5787" t="s">
        <v>126</v>
      </c>
      <c r="D5787">
        <v>0.70541824250910101</v>
      </c>
    </row>
    <row r="5788" spans="1:4" hidden="1" x14ac:dyDescent="0.3">
      <c r="A5788">
        <v>5786</v>
      </c>
      <c r="B5788" t="s">
        <v>7606</v>
      </c>
      <c r="C5788" t="s">
        <v>128</v>
      </c>
      <c r="D5788">
        <v>0.33179805035885201</v>
      </c>
    </row>
    <row r="5789" spans="1:4" hidden="1" x14ac:dyDescent="0.3">
      <c r="A5789">
        <v>5787</v>
      </c>
      <c r="B5789" s="1" t="s">
        <v>7607</v>
      </c>
      <c r="C5789" t="s">
        <v>130</v>
      </c>
      <c r="D5789" s="1" t="s">
        <v>7608</v>
      </c>
    </row>
    <row r="5790" spans="1:4" ht="72" x14ac:dyDescent="0.3">
      <c r="A5790">
        <v>5788</v>
      </c>
      <c r="B5790" s="1" t="s">
        <v>7609</v>
      </c>
      <c r="C5790" t="s">
        <v>4</v>
      </c>
      <c r="D5790" t="s">
        <v>7610</v>
      </c>
    </row>
    <row r="5791" spans="1:4" hidden="1" x14ac:dyDescent="0.3">
      <c r="A5791">
        <v>5789</v>
      </c>
      <c r="B5791" t="s">
        <v>7611</v>
      </c>
      <c r="C5791" t="s">
        <v>7</v>
      </c>
      <c r="D5791">
        <v>1644.86</v>
      </c>
    </row>
    <row r="5792" spans="1:4" hidden="1" x14ac:dyDescent="0.3">
      <c r="A5792">
        <v>5790</v>
      </c>
      <c r="B5792" s="1" t="s">
        <v>7612</v>
      </c>
      <c r="C5792" t="s">
        <v>9</v>
      </c>
      <c r="D5792" s="1" t="s">
        <v>7613</v>
      </c>
    </row>
    <row r="5793" spans="1:4" hidden="1" x14ac:dyDescent="0.3">
      <c r="A5793">
        <v>5791</v>
      </c>
      <c r="B5793" t="s">
        <v>6264</v>
      </c>
      <c r="C5793" t="s">
        <v>14</v>
      </c>
      <c r="D5793">
        <v>88.40234375</v>
      </c>
    </row>
    <row r="5794" spans="1:4" hidden="1" x14ac:dyDescent="0.3">
      <c r="A5794">
        <v>5792</v>
      </c>
      <c r="B5794" t="s">
        <v>7614</v>
      </c>
      <c r="C5794" t="s">
        <v>16</v>
      </c>
      <c r="D5794">
        <v>4.2131230453183202</v>
      </c>
    </row>
    <row r="5795" spans="1:4" hidden="1" x14ac:dyDescent="0.3">
      <c r="A5795">
        <v>5793</v>
      </c>
      <c r="B5795" s="1" t="s">
        <v>7615</v>
      </c>
      <c r="C5795" t="s">
        <v>140</v>
      </c>
      <c r="D5795" s="1" t="s">
        <v>7616</v>
      </c>
    </row>
    <row r="5796" spans="1:4" hidden="1" x14ac:dyDescent="0.3">
      <c r="A5796">
        <v>5794</v>
      </c>
      <c r="B5796" t="s">
        <v>7617</v>
      </c>
      <c r="C5796" t="s">
        <v>22</v>
      </c>
      <c r="D5796">
        <v>48.45</v>
      </c>
    </row>
    <row r="5797" spans="1:4" hidden="1" x14ac:dyDescent="0.3">
      <c r="A5797">
        <v>5795</v>
      </c>
      <c r="B5797" t="s">
        <v>7618</v>
      </c>
      <c r="C5797" t="s">
        <v>24</v>
      </c>
      <c r="D5797">
        <v>5.6151911176823903</v>
      </c>
    </row>
    <row r="5798" spans="1:4" hidden="1" x14ac:dyDescent="0.3">
      <c r="A5798">
        <v>5796</v>
      </c>
      <c r="B5798" s="1" t="s">
        <v>7619</v>
      </c>
      <c r="C5798" t="s">
        <v>145</v>
      </c>
      <c r="D5798" s="1" t="s">
        <v>7620</v>
      </c>
    </row>
    <row r="5799" spans="1:4" hidden="1" x14ac:dyDescent="0.3">
      <c r="A5799">
        <v>5797</v>
      </c>
      <c r="B5799" t="s">
        <v>7621</v>
      </c>
      <c r="C5799" t="s">
        <v>35</v>
      </c>
      <c r="D5799">
        <v>0.349540967739632</v>
      </c>
    </row>
    <row r="5800" spans="1:4" hidden="1" x14ac:dyDescent="0.3">
      <c r="A5800">
        <v>5798</v>
      </c>
      <c r="B5800" t="s">
        <v>7622</v>
      </c>
      <c r="C5800" t="s">
        <v>149</v>
      </c>
      <c r="D5800">
        <v>0.54592448402590399</v>
      </c>
    </row>
    <row r="5801" spans="1:4" hidden="1" x14ac:dyDescent="0.3">
      <c r="A5801">
        <v>5799</v>
      </c>
      <c r="B5801" s="1" t="s">
        <v>7623</v>
      </c>
      <c r="C5801" t="s">
        <v>151</v>
      </c>
      <c r="D5801" s="1" t="s">
        <v>7624</v>
      </c>
    </row>
    <row r="5802" spans="1:4" hidden="1" x14ac:dyDescent="0.3">
      <c r="A5802">
        <v>5800</v>
      </c>
      <c r="B5802" t="s">
        <v>7625</v>
      </c>
      <c r="C5802" t="s">
        <v>30</v>
      </c>
      <c r="D5802">
        <v>0.27574689255356499</v>
      </c>
    </row>
    <row r="5803" spans="1:4" hidden="1" x14ac:dyDescent="0.3">
      <c r="A5803">
        <v>5801</v>
      </c>
      <c r="B5803" t="s">
        <v>7626</v>
      </c>
      <c r="C5803" t="s">
        <v>32</v>
      </c>
      <c r="D5803">
        <v>0.4188134254468</v>
      </c>
    </row>
    <row r="5804" spans="1:4" hidden="1" x14ac:dyDescent="0.3">
      <c r="A5804">
        <v>5802</v>
      </c>
      <c r="B5804" s="1" t="s">
        <v>7627</v>
      </c>
      <c r="C5804" t="s">
        <v>155</v>
      </c>
      <c r="D5804" s="1" t="s">
        <v>7628</v>
      </c>
    </row>
    <row r="5805" spans="1:4" hidden="1" x14ac:dyDescent="0.3">
      <c r="A5805">
        <v>5803</v>
      </c>
      <c r="B5805" t="s">
        <v>7629</v>
      </c>
      <c r="C5805" t="s">
        <v>40</v>
      </c>
      <c r="D5805">
        <v>0.37471213970680201</v>
      </c>
    </row>
    <row r="5806" spans="1:4" hidden="1" x14ac:dyDescent="0.3">
      <c r="A5806">
        <v>5804</v>
      </c>
      <c r="B5806" t="s">
        <v>7630</v>
      </c>
      <c r="C5806" t="s">
        <v>42</v>
      </c>
      <c r="D5806">
        <v>0.41294175179956299</v>
      </c>
    </row>
    <row r="5807" spans="1:4" hidden="1" x14ac:dyDescent="0.3">
      <c r="A5807">
        <v>5805</v>
      </c>
      <c r="B5807" s="1" t="s">
        <v>7631</v>
      </c>
      <c r="C5807" t="s">
        <v>159</v>
      </c>
      <c r="D5807" s="1" t="s">
        <v>7632</v>
      </c>
    </row>
    <row r="5808" spans="1:4" hidden="1" x14ac:dyDescent="0.3">
      <c r="A5808">
        <v>5806</v>
      </c>
      <c r="B5808" t="s">
        <v>7633</v>
      </c>
      <c r="C5808" t="s">
        <v>161</v>
      </c>
      <c r="D5808">
        <v>0.98890766002729402</v>
      </c>
    </row>
    <row r="5809" spans="1:4" hidden="1" x14ac:dyDescent="0.3">
      <c r="A5809">
        <v>5807</v>
      </c>
      <c r="B5809" t="s">
        <v>7634</v>
      </c>
      <c r="C5809" t="s">
        <v>163</v>
      </c>
      <c r="D5809">
        <v>0.99656012595187304</v>
      </c>
    </row>
    <row r="5810" spans="1:4" hidden="1" x14ac:dyDescent="0.3">
      <c r="A5810">
        <v>5808</v>
      </c>
      <c r="B5810" s="1" t="s">
        <v>7635</v>
      </c>
      <c r="C5810" t="s">
        <v>165</v>
      </c>
      <c r="D5810" s="1" t="s">
        <v>7636</v>
      </c>
    </row>
    <row r="5811" spans="1:4" hidden="1" x14ac:dyDescent="0.3">
      <c r="A5811">
        <v>5809</v>
      </c>
      <c r="B5811" t="s">
        <v>7637</v>
      </c>
      <c r="C5811" t="s">
        <v>168</v>
      </c>
      <c r="D5811">
        <v>0.99837274172575496</v>
      </c>
    </row>
    <row r="5812" spans="1:4" hidden="1" x14ac:dyDescent="0.3">
      <c r="A5812">
        <v>5810</v>
      </c>
      <c r="B5812" t="s">
        <v>7638</v>
      </c>
      <c r="C5812" t="s">
        <v>170</v>
      </c>
      <c r="D5812">
        <v>1.0002650151011201</v>
      </c>
    </row>
    <row r="5813" spans="1:4" hidden="1" x14ac:dyDescent="0.3">
      <c r="A5813">
        <v>5811</v>
      </c>
      <c r="B5813" s="1" t="s">
        <v>7639</v>
      </c>
      <c r="C5813" t="s">
        <v>172</v>
      </c>
      <c r="D5813" s="1" t="s">
        <v>7640</v>
      </c>
    </row>
    <row r="5814" spans="1:4" hidden="1" x14ac:dyDescent="0.3">
      <c r="A5814">
        <v>5812</v>
      </c>
      <c r="B5814" s="1" t="s">
        <v>7641</v>
      </c>
      <c r="C5814" t="s">
        <v>55</v>
      </c>
      <c r="D5814" s="1" t="s">
        <v>7642</v>
      </c>
    </row>
    <row r="5815" spans="1:4" hidden="1" x14ac:dyDescent="0.3">
      <c r="A5815">
        <v>5813</v>
      </c>
      <c r="B5815" s="1" t="s">
        <v>7643</v>
      </c>
      <c r="C5815" t="s">
        <v>52</v>
      </c>
      <c r="D5815" s="1" t="s">
        <v>7644</v>
      </c>
    </row>
    <row r="5816" spans="1:4" hidden="1" x14ac:dyDescent="0.3">
      <c r="A5816">
        <v>5814</v>
      </c>
      <c r="B5816" s="1" t="s">
        <v>7645</v>
      </c>
      <c r="C5816" t="s">
        <v>58</v>
      </c>
      <c r="D5816" s="1" t="s">
        <v>7646</v>
      </c>
    </row>
    <row r="5817" spans="1:4" hidden="1" x14ac:dyDescent="0.3">
      <c r="A5817">
        <v>5815</v>
      </c>
      <c r="B5817" t="s">
        <v>7647</v>
      </c>
      <c r="C5817" t="s">
        <v>61</v>
      </c>
      <c r="D5817">
        <v>136421558.97716901</v>
      </c>
    </row>
    <row r="5818" spans="1:4" hidden="1" x14ac:dyDescent="0.3">
      <c r="A5818">
        <v>5816</v>
      </c>
      <c r="B5818" t="s">
        <v>7648</v>
      </c>
      <c r="C5818" t="s">
        <v>63</v>
      </c>
      <c r="D5818">
        <v>71847069.785296693</v>
      </c>
    </row>
    <row r="5819" spans="1:4" hidden="1" x14ac:dyDescent="0.3">
      <c r="A5819">
        <v>5817</v>
      </c>
      <c r="B5819" t="s">
        <v>7649</v>
      </c>
      <c r="C5819" t="s">
        <v>65</v>
      </c>
      <c r="D5819">
        <v>34055241.8735414</v>
      </c>
    </row>
    <row r="5820" spans="1:4" hidden="1" x14ac:dyDescent="0.3">
      <c r="A5820">
        <v>5818</v>
      </c>
      <c r="B5820" s="1" t="s">
        <v>7650</v>
      </c>
      <c r="C5820" t="s">
        <v>67</v>
      </c>
      <c r="D5820" s="1" t="s">
        <v>7651</v>
      </c>
    </row>
    <row r="5821" spans="1:4" hidden="1" x14ac:dyDescent="0.3">
      <c r="A5821">
        <v>5819</v>
      </c>
      <c r="B5821" s="1" t="s">
        <v>7652</v>
      </c>
      <c r="C5821" t="s">
        <v>70</v>
      </c>
      <c r="D5821" s="1" t="s">
        <v>7653</v>
      </c>
    </row>
    <row r="5822" spans="1:4" hidden="1" x14ac:dyDescent="0.3">
      <c r="A5822">
        <v>5820</v>
      </c>
      <c r="B5822" t="s">
        <v>7654</v>
      </c>
      <c r="C5822" t="s">
        <v>73</v>
      </c>
      <c r="D5822">
        <v>0.99979691036962604</v>
      </c>
    </row>
    <row r="5823" spans="1:4" hidden="1" x14ac:dyDescent="0.3">
      <c r="A5823">
        <v>5821</v>
      </c>
      <c r="B5823" t="s">
        <v>74</v>
      </c>
      <c r="C5823" t="s">
        <v>75</v>
      </c>
      <c r="D5823">
        <v>2.7397260273972599E-3</v>
      </c>
    </row>
    <row r="5824" spans="1:4" hidden="1" x14ac:dyDescent="0.3">
      <c r="A5824">
        <v>5822</v>
      </c>
      <c r="B5824" t="s">
        <v>76</v>
      </c>
      <c r="C5824" t="s">
        <v>77</v>
      </c>
      <c r="D5824">
        <v>0</v>
      </c>
    </row>
    <row r="5825" spans="1:4" hidden="1" x14ac:dyDescent="0.3">
      <c r="A5825">
        <v>5823</v>
      </c>
      <c r="B5825" t="s">
        <v>78</v>
      </c>
      <c r="C5825" t="s">
        <v>79</v>
      </c>
      <c r="D5825">
        <v>0</v>
      </c>
    </row>
    <row r="5826" spans="1:4" hidden="1" x14ac:dyDescent="0.3">
      <c r="A5826">
        <v>5824</v>
      </c>
      <c r="B5826" s="1" t="s">
        <v>7655</v>
      </c>
      <c r="C5826" t="s">
        <v>81</v>
      </c>
      <c r="D5826" s="1" t="s">
        <v>7656</v>
      </c>
    </row>
    <row r="5827" spans="1:4" hidden="1" x14ac:dyDescent="0.3">
      <c r="A5827">
        <v>5825</v>
      </c>
      <c r="B5827" t="s">
        <v>7657</v>
      </c>
      <c r="C5827" t="s">
        <v>84</v>
      </c>
      <c r="D5827">
        <v>0.999790433307991</v>
      </c>
    </row>
    <row r="5828" spans="1:4" hidden="1" x14ac:dyDescent="0.3">
      <c r="A5828">
        <v>5826</v>
      </c>
      <c r="B5828" s="1" t="s">
        <v>7658</v>
      </c>
      <c r="C5828" t="s">
        <v>86</v>
      </c>
      <c r="D5828" s="1" t="s">
        <v>7659</v>
      </c>
    </row>
    <row r="5829" spans="1:4" hidden="1" x14ac:dyDescent="0.3">
      <c r="A5829">
        <v>5827</v>
      </c>
      <c r="B5829" t="s">
        <v>7660</v>
      </c>
      <c r="C5829" t="s">
        <v>89</v>
      </c>
      <c r="D5829">
        <v>103015002.20773</v>
      </c>
    </row>
    <row r="5830" spans="1:4" hidden="1" x14ac:dyDescent="0.3">
      <c r="A5830">
        <v>5828</v>
      </c>
      <c r="B5830" s="1" t="s">
        <v>7661</v>
      </c>
      <c r="C5830" t="s">
        <v>91</v>
      </c>
      <c r="D5830" s="1" t="s">
        <v>7596</v>
      </c>
    </row>
    <row r="5831" spans="1:4" hidden="1" x14ac:dyDescent="0.3">
      <c r="A5831">
        <v>5829</v>
      </c>
      <c r="B5831" t="s">
        <v>7662</v>
      </c>
      <c r="C5831" t="s">
        <v>94</v>
      </c>
      <c r="D5831">
        <v>71847069.785296693</v>
      </c>
    </row>
    <row r="5832" spans="1:4" hidden="1" x14ac:dyDescent="0.3">
      <c r="A5832">
        <v>5830</v>
      </c>
      <c r="B5832" t="s">
        <v>7663</v>
      </c>
      <c r="C5832" t="s">
        <v>96</v>
      </c>
      <c r="D5832">
        <v>34055241.8735414</v>
      </c>
    </row>
    <row r="5833" spans="1:4" hidden="1" x14ac:dyDescent="0.3">
      <c r="A5833">
        <v>5831</v>
      </c>
      <c r="B5833" t="s">
        <v>7664</v>
      </c>
      <c r="C5833" t="s">
        <v>98</v>
      </c>
      <c r="D5833">
        <v>30519247.318330899</v>
      </c>
    </row>
    <row r="5834" spans="1:4" hidden="1" x14ac:dyDescent="0.3">
      <c r="A5834">
        <v>5832</v>
      </c>
      <c r="B5834" s="1" t="s">
        <v>7665</v>
      </c>
      <c r="C5834" t="s">
        <v>100</v>
      </c>
      <c r="D5834" s="1" t="s">
        <v>7666</v>
      </c>
    </row>
    <row r="5835" spans="1:4" hidden="1" x14ac:dyDescent="0.3">
      <c r="A5835">
        <v>5833</v>
      </c>
      <c r="B5835" t="s">
        <v>7667</v>
      </c>
      <c r="C5835" t="s">
        <v>103</v>
      </c>
      <c r="D5835">
        <v>9.1319380992674597E-3</v>
      </c>
    </row>
    <row r="5836" spans="1:4" hidden="1" x14ac:dyDescent="0.3">
      <c r="A5836">
        <v>5834</v>
      </c>
      <c r="B5836" t="s">
        <v>7668</v>
      </c>
      <c r="C5836" t="s">
        <v>105</v>
      </c>
      <c r="D5836">
        <v>3.1745182168116701E-3</v>
      </c>
    </row>
    <row r="5837" spans="1:4" hidden="1" x14ac:dyDescent="0.3">
      <c r="A5837">
        <v>5835</v>
      </c>
      <c r="B5837" t="s">
        <v>7669</v>
      </c>
      <c r="C5837" t="s">
        <v>107</v>
      </c>
      <c r="D5837">
        <v>1.3993613264436201E-2</v>
      </c>
    </row>
    <row r="5838" spans="1:4" hidden="1" x14ac:dyDescent="0.3">
      <c r="A5838">
        <v>5836</v>
      </c>
      <c r="B5838" s="1" t="s">
        <v>7670</v>
      </c>
      <c r="C5838" t="s">
        <v>109</v>
      </c>
      <c r="D5838" s="1" t="s">
        <v>7671</v>
      </c>
    </row>
    <row r="5839" spans="1:4" hidden="1" x14ac:dyDescent="0.3">
      <c r="A5839">
        <v>5837</v>
      </c>
      <c r="B5839" t="s">
        <v>7672</v>
      </c>
      <c r="C5839" t="s">
        <v>208</v>
      </c>
      <c r="D5839">
        <v>136421329.38592201</v>
      </c>
    </row>
    <row r="5840" spans="1:4" hidden="1" x14ac:dyDescent="0.3">
      <c r="A5840">
        <v>5838</v>
      </c>
      <c r="B5840" t="s">
        <v>7673</v>
      </c>
      <c r="C5840" t="s">
        <v>210</v>
      </c>
      <c r="D5840">
        <v>465.45141442706898</v>
      </c>
    </row>
    <row r="5841" spans="1:4" hidden="1" x14ac:dyDescent="0.3">
      <c r="A5841">
        <v>5839</v>
      </c>
      <c r="B5841" t="s">
        <v>7674</v>
      </c>
      <c r="C5841" t="s">
        <v>212</v>
      </c>
      <c r="D5841">
        <v>220.62244936965101</v>
      </c>
    </row>
    <row r="5842" spans="1:4" hidden="1" x14ac:dyDescent="0.3">
      <c r="A5842">
        <v>5840</v>
      </c>
      <c r="B5842" s="1" t="s">
        <v>7675</v>
      </c>
      <c r="C5842" t="s">
        <v>214</v>
      </c>
      <c r="D5842" s="1" t="s">
        <v>7676</v>
      </c>
    </row>
    <row r="5843" spans="1:4" hidden="1" x14ac:dyDescent="0.3">
      <c r="A5843">
        <v>5841</v>
      </c>
      <c r="B5843" t="s">
        <v>7677</v>
      </c>
      <c r="C5843" t="s">
        <v>217</v>
      </c>
      <c r="D5843">
        <v>71846447.896046698</v>
      </c>
    </row>
    <row r="5844" spans="1:4" hidden="1" x14ac:dyDescent="0.3">
      <c r="A5844">
        <v>5842</v>
      </c>
      <c r="B5844" t="s">
        <v>7678</v>
      </c>
      <c r="C5844" t="s">
        <v>219</v>
      </c>
      <c r="D5844">
        <v>34054981.512616001</v>
      </c>
    </row>
    <row r="5845" spans="1:4" hidden="1" x14ac:dyDescent="0.3">
      <c r="A5845">
        <v>5843</v>
      </c>
      <c r="B5845" t="s">
        <v>7679</v>
      </c>
      <c r="C5845" t="s">
        <v>221</v>
      </c>
      <c r="D5845">
        <v>30519016.1884128</v>
      </c>
    </row>
    <row r="5846" spans="1:4" hidden="1" x14ac:dyDescent="0.3">
      <c r="A5846">
        <v>5844</v>
      </c>
      <c r="B5846" s="1" t="s">
        <v>7680</v>
      </c>
      <c r="C5846" t="s">
        <v>223</v>
      </c>
      <c r="D5846" s="1" t="s">
        <v>7681</v>
      </c>
    </row>
    <row r="5847" spans="1:4" hidden="1" x14ac:dyDescent="0.3">
      <c r="A5847">
        <v>5845</v>
      </c>
      <c r="B5847" t="s">
        <v>7682</v>
      </c>
      <c r="C5847" t="s">
        <v>226</v>
      </c>
      <c r="D5847">
        <v>103014334.83767501</v>
      </c>
    </row>
    <row r="5848" spans="1:4" hidden="1" x14ac:dyDescent="0.3">
      <c r="A5848">
        <v>5846</v>
      </c>
      <c r="B5848" t="s">
        <v>7683</v>
      </c>
      <c r="C5848" t="s">
        <v>228</v>
      </c>
      <c r="D5848">
        <v>667.37005461752403</v>
      </c>
    </row>
    <row r="5849" spans="1:4" hidden="1" x14ac:dyDescent="0.3">
      <c r="A5849">
        <v>5847</v>
      </c>
      <c r="B5849" s="1" t="s">
        <v>7684</v>
      </c>
      <c r="C5849" t="s">
        <v>230</v>
      </c>
      <c r="D5849" s="1" t="s">
        <v>7685</v>
      </c>
    </row>
    <row r="5850" spans="1:4" hidden="1" x14ac:dyDescent="0.3">
      <c r="A5850">
        <v>5848</v>
      </c>
      <c r="B5850" t="s">
        <v>7686</v>
      </c>
      <c r="C5850" t="s">
        <v>112</v>
      </c>
      <c r="D5850">
        <v>-156.43783556205699</v>
      </c>
    </row>
    <row r="5851" spans="1:4" hidden="1" x14ac:dyDescent="0.3">
      <c r="A5851">
        <v>5849</v>
      </c>
      <c r="B5851" t="s">
        <v>7687</v>
      </c>
      <c r="C5851" t="s">
        <v>114</v>
      </c>
      <c r="D5851">
        <v>-39.738476014352699</v>
      </c>
    </row>
    <row r="5852" spans="1:4" hidden="1" x14ac:dyDescent="0.3">
      <c r="A5852">
        <v>5850</v>
      </c>
      <c r="B5852" s="1" t="s">
        <v>7688</v>
      </c>
      <c r="C5852" t="s">
        <v>116</v>
      </c>
      <c r="D5852" s="1" t="s">
        <v>7689</v>
      </c>
    </row>
    <row r="5853" spans="1:4" hidden="1" x14ac:dyDescent="0.3">
      <c r="A5853">
        <v>5851</v>
      </c>
      <c r="B5853" t="s">
        <v>7690</v>
      </c>
      <c r="C5853" t="s">
        <v>119</v>
      </c>
      <c r="D5853">
        <v>71846447.896046698</v>
      </c>
    </row>
    <row r="5854" spans="1:4" hidden="1" x14ac:dyDescent="0.3">
      <c r="A5854">
        <v>5852</v>
      </c>
      <c r="B5854" t="s">
        <v>7691</v>
      </c>
      <c r="C5854" t="s">
        <v>121</v>
      </c>
      <c r="D5854">
        <v>34054981.512616001</v>
      </c>
    </row>
    <row r="5855" spans="1:4" hidden="1" x14ac:dyDescent="0.3">
      <c r="A5855">
        <v>5853</v>
      </c>
      <c r="B5855" s="1" t="s">
        <v>7692</v>
      </c>
      <c r="C5855" t="s">
        <v>123</v>
      </c>
      <c r="D5855" s="1" t="s">
        <v>7693</v>
      </c>
    </row>
    <row r="5856" spans="1:4" hidden="1" x14ac:dyDescent="0.3">
      <c r="A5856">
        <v>5854</v>
      </c>
      <c r="B5856" t="s">
        <v>7694</v>
      </c>
      <c r="C5856" t="s">
        <v>126</v>
      </c>
      <c r="D5856">
        <v>0.69758745506368902</v>
      </c>
    </row>
    <row r="5857" spans="1:4" hidden="1" x14ac:dyDescent="0.3">
      <c r="A5857">
        <v>5855</v>
      </c>
      <c r="B5857" t="s">
        <v>7695</v>
      </c>
      <c r="C5857" t="s">
        <v>128</v>
      </c>
      <c r="D5857">
        <v>0.33065417402401498</v>
      </c>
    </row>
    <row r="5858" spans="1:4" hidden="1" x14ac:dyDescent="0.3">
      <c r="A5858">
        <v>5856</v>
      </c>
      <c r="B5858" s="1" t="s">
        <v>7696</v>
      </c>
      <c r="C5858" t="s">
        <v>130</v>
      </c>
      <c r="D5858" s="1" t="s">
        <v>7697</v>
      </c>
    </row>
    <row r="5859" spans="1:4" ht="72" x14ac:dyDescent="0.3">
      <c r="A5859">
        <v>5857</v>
      </c>
      <c r="B5859" s="1" t="s">
        <v>7698</v>
      </c>
      <c r="C5859" t="s">
        <v>4</v>
      </c>
      <c r="D5859" t="s">
        <v>7699</v>
      </c>
    </row>
    <row r="5860" spans="1:4" hidden="1" x14ac:dyDescent="0.3">
      <c r="A5860">
        <v>5858</v>
      </c>
      <c r="B5860" t="s">
        <v>7700</v>
      </c>
      <c r="C5860" t="s">
        <v>7</v>
      </c>
      <c r="D5860">
        <v>1633.56</v>
      </c>
    </row>
    <row r="5861" spans="1:4" hidden="1" x14ac:dyDescent="0.3">
      <c r="A5861">
        <v>5859</v>
      </c>
      <c r="B5861" s="1" t="s">
        <v>7701</v>
      </c>
      <c r="C5861" t="s">
        <v>9</v>
      </c>
      <c r="D5861" s="1" t="s">
        <v>7702</v>
      </c>
    </row>
    <row r="5862" spans="1:4" hidden="1" x14ac:dyDescent="0.3">
      <c r="A5862">
        <v>5860</v>
      </c>
      <c r="B5862" t="s">
        <v>7703</v>
      </c>
      <c r="C5862" t="s">
        <v>14</v>
      </c>
      <c r="D5862">
        <v>88.21484375</v>
      </c>
    </row>
    <row r="5863" spans="1:4" hidden="1" x14ac:dyDescent="0.3">
      <c r="A5863">
        <v>5861</v>
      </c>
      <c r="B5863" t="s">
        <v>7704</v>
      </c>
      <c r="C5863" t="s">
        <v>16</v>
      </c>
      <c r="D5863">
        <v>4.2080241095239099</v>
      </c>
    </row>
    <row r="5864" spans="1:4" hidden="1" x14ac:dyDescent="0.3">
      <c r="A5864">
        <v>5862</v>
      </c>
      <c r="B5864" s="1" t="s">
        <v>7705</v>
      </c>
      <c r="C5864" t="s">
        <v>140</v>
      </c>
      <c r="D5864" s="1" t="s">
        <v>7706</v>
      </c>
    </row>
    <row r="5865" spans="1:4" hidden="1" x14ac:dyDescent="0.3">
      <c r="A5865">
        <v>5863</v>
      </c>
      <c r="B5865" t="s">
        <v>7707</v>
      </c>
      <c r="C5865" t="s">
        <v>22</v>
      </c>
      <c r="D5865">
        <v>46.4</v>
      </c>
    </row>
    <row r="5866" spans="1:4" hidden="1" x14ac:dyDescent="0.3">
      <c r="A5866">
        <v>5864</v>
      </c>
      <c r="B5866" t="s">
        <v>7708</v>
      </c>
      <c r="C5866" t="s">
        <v>24</v>
      </c>
      <c r="D5866">
        <v>5.6693705294962804</v>
      </c>
    </row>
    <row r="5867" spans="1:4" hidden="1" x14ac:dyDescent="0.3">
      <c r="A5867">
        <v>5865</v>
      </c>
      <c r="B5867" s="1" t="s">
        <v>7709</v>
      </c>
      <c r="C5867" t="s">
        <v>145</v>
      </c>
      <c r="D5867" s="1" t="s">
        <v>7710</v>
      </c>
    </row>
    <row r="5868" spans="1:4" hidden="1" x14ac:dyDescent="0.3">
      <c r="A5868">
        <v>5866</v>
      </c>
      <c r="B5868" t="s">
        <v>7711</v>
      </c>
      <c r="C5868" t="s">
        <v>35</v>
      </c>
      <c r="D5868">
        <v>0.27843666333781097</v>
      </c>
    </row>
    <row r="5869" spans="1:4" hidden="1" x14ac:dyDescent="0.3">
      <c r="A5869">
        <v>5867</v>
      </c>
      <c r="B5869" t="s">
        <v>7712</v>
      </c>
      <c r="C5869" t="s">
        <v>149</v>
      </c>
      <c r="D5869">
        <v>0.54579743767269795</v>
      </c>
    </row>
    <row r="5870" spans="1:4" hidden="1" x14ac:dyDescent="0.3">
      <c r="A5870">
        <v>5868</v>
      </c>
      <c r="B5870" s="1" t="s">
        <v>7713</v>
      </c>
      <c r="C5870" t="s">
        <v>151</v>
      </c>
      <c r="D5870" s="1" t="s">
        <v>7714</v>
      </c>
    </row>
    <row r="5871" spans="1:4" hidden="1" x14ac:dyDescent="0.3">
      <c r="A5871">
        <v>5869</v>
      </c>
      <c r="B5871" t="s">
        <v>7715</v>
      </c>
      <c r="C5871" t="s">
        <v>30</v>
      </c>
      <c r="D5871">
        <v>0.29918003537195798</v>
      </c>
    </row>
    <row r="5872" spans="1:4" hidden="1" x14ac:dyDescent="0.3">
      <c r="A5872">
        <v>5870</v>
      </c>
      <c r="B5872" t="s">
        <v>7716</v>
      </c>
      <c r="C5872" t="s">
        <v>32</v>
      </c>
      <c r="D5872">
        <v>0.42154752772693599</v>
      </c>
    </row>
    <row r="5873" spans="1:4" hidden="1" x14ac:dyDescent="0.3">
      <c r="A5873">
        <v>5871</v>
      </c>
      <c r="B5873" s="1" t="s">
        <v>7717</v>
      </c>
      <c r="C5873" t="s">
        <v>155</v>
      </c>
      <c r="D5873" s="1" t="s">
        <v>7718</v>
      </c>
    </row>
    <row r="5874" spans="1:4" hidden="1" x14ac:dyDescent="0.3">
      <c r="A5874">
        <v>5872</v>
      </c>
      <c r="B5874" t="s">
        <v>7719</v>
      </c>
      <c r="C5874" t="s">
        <v>40</v>
      </c>
      <c r="D5874">
        <v>0.422383301290229</v>
      </c>
    </row>
    <row r="5875" spans="1:4" hidden="1" x14ac:dyDescent="0.3">
      <c r="A5875">
        <v>5873</v>
      </c>
      <c r="B5875" t="s">
        <v>7720</v>
      </c>
      <c r="C5875" t="s">
        <v>42</v>
      </c>
      <c r="D5875">
        <v>0.41063403080884298</v>
      </c>
    </row>
    <row r="5876" spans="1:4" hidden="1" x14ac:dyDescent="0.3">
      <c r="A5876">
        <v>5874</v>
      </c>
      <c r="B5876" s="1" t="s">
        <v>7721</v>
      </c>
      <c r="C5876" t="s">
        <v>159</v>
      </c>
      <c r="D5876" s="1" t="s">
        <v>7722</v>
      </c>
    </row>
    <row r="5877" spans="1:4" hidden="1" x14ac:dyDescent="0.3">
      <c r="A5877">
        <v>5875</v>
      </c>
      <c r="B5877" t="s">
        <v>7723</v>
      </c>
      <c r="C5877" t="s">
        <v>161</v>
      </c>
      <c r="D5877">
        <v>0.99313011441703203</v>
      </c>
    </row>
    <row r="5878" spans="1:4" hidden="1" x14ac:dyDescent="0.3">
      <c r="A5878">
        <v>5876</v>
      </c>
      <c r="B5878" t="s">
        <v>7724</v>
      </c>
      <c r="C5878" t="s">
        <v>163</v>
      </c>
      <c r="D5878">
        <v>0.99792044522951995</v>
      </c>
    </row>
    <row r="5879" spans="1:4" hidden="1" x14ac:dyDescent="0.3">
      <c r="A5879">
        <v>5877</v>
      </c>
      <c r="B5879" s="1" t="s">
        <v>7725</v>
      </c>
      <c r="C5879" t="s">
        <v>165</v>
      </c>
      <c r="D5879" s="1" t="s">
        <v>7726</v>
      </c>
    </row>
    <row r="5880" spans="1:4" hidden="1" x14ac:dyDescent="0.3">
      <c r="A5880">
        <v>5878</v>
      </c>
      <c r="B5880" t="s">
        <v>7727</v>
      </c>
      <c r="C5880" t="s">
        <v>168</v>
      </c>
      <c r="D5880">
        <v>0.99991781852573103</v>
      </c>
    </row>
    <row r="5881" spans="1:4" hidden="1" x14ac:dyDescent="0.3">
      <c r="A5881">
        <v>5879</v>
      </c>
      <c r="B5881" t="s">
        <v>7728</v>
      </c>
      <c r="C5881" t="s">
        <v>170</v>
      </c>
      <c r="D5881">
        <v>1.0019270344014899</v>
      </c>
    </row>
    <row r="5882" spans="1:4" hidden="1" x14ac:dyDescent="0.3">
      <c r="A5882">
        <v>5880</v>
      </c>
      <c r="B5882" s="1" t="s">
        <v>7729</v>
      </c>
      <c r="C5882" t="s">
        <v>172</v>
      </c>
      <c r="D5882" s="1" t="s">
        <v>7730</v>
      </c>
    </row>
    <row r="5883" spans="1:4" hidden="1" x14ac:dyDescent="0.3">
      <c r="A5883">
        <v>5881</v>
      </c>
      <c r="B5883" s="1" t="s">
        <v>7731</v>
      </c>
      <c r="C5883" t="s">
        <v>55</v>
      </c>
      <c r="D5883" s="1" t="s">
        <v>7732</v>
      </c>
    </row>
    <row r="5884" spans="1:4" hidden="1" x14ac:dyDescent="0.3">
      <c r="A5884">
        <v>5882</v>
      </c>
      <c r="B5884" s="1" t="s">
        <v>7733</v>
      </c>
      <c r="C5884" t="s">
        <v>52</v>
      </c>
      <c r="D5884" s="1" t="s">
        <v>7734</v>
      </c>
    </row>
    <row r="5885" spans="1:4" hidden="1" x14ac:dyDescent="0.3">
      <c r="A5885">
        <v>5883</v>
      </c>
      <c r="B5885" s="1" t="s">
        <v>7735</v>
      </c>
      <c r="C5885" t="s">
        <v>58</v>
      </c>
      <c r="D5885" s="1" t="s">
        <v>7736</v>
      </c>
    </row>
    <row r="5886" spans="1:4" hidden="1" x14ac:dyDescent="0.3">
      <c r="A5886">
        <v>5884</v>
      </c>
      <c r="B5886" t="s">
        <v>7737</v>
      </c>
      <c r="C5886" t="s">
        <v>61</v>
      </c>
      <c r="D5886">
        <v>134729437.74790299</v>
      </c>
    </row>
    <row r="5887" spans="1:4" hidden="1" x14ac:dyDescent="0.3">
      <c r="A5887">
        <v>5885</v>
      </c>
      <c r="B5887" t="s">
        <v>7738</v>
      </c>
      <c r="C5887" t="s">
        <v>63</v>
      </c>
      <c r="D5887">
        <v>71352871.019458294</v>
      </c>
    </row>
    <row r="5888" spans="1:4" hidden="1" x14ac:dyDescent="0.3">
      <c r="A5888">
        <v>5886</v>
      </c>
      <c r="B5888" t="s">
        <v>7739</v>
      </c>
      <c r="C5888" t="s">
        <v>65</v>
      </c>
      <c r="D5888">
        <v>33984162.313352801</v>
      </c>
    </row>
    <row r="5889" spans="1:4" hidden="1" x14ac:dyDescent="0.3">
      <c r="A5889">
        <v>5887</v>
      </c>
      <c r="B5889" s="1" t="s">
        <v>7740</v>
      </c>
      <c r="C5889" t="s">
        <v>67</v>
      </c>
      <c r="D5889" s="1" t="s">
        <v>7741</v>
      </c>
    </row>
    <row r="5890" spans="1:4" hidden="1" x14ac:dyDescent="0.3">
      <c r="A5890">
        <v>5888</v>
      </c>
      <c r="B5890" s="1" t="s">
        <v>7742</v>
      </c>
      <c r="C5890" t="s">
        <v>70</v>
      </c>
      <c r="D5890" s="1" t="s">
        <v>7743</v>
      </c>
    </row>
    <row r="5891" spans="1:4" hidden="1" x14ac:dyDescent="0.3">
      <c r="A5891">
        <v>5889</v>
      </c>
      <c r="B5891" t="s">
        <v>7744</v>
      </c>
      <c r="C5891" t="s">
        <v>73</v>
      </c>
      <c r="D5891">
        <v>0.999790433307991</v>
      </c>
    </row>
    <row r="5892" spans="1:4" hidden="1" x14ac:dyDescent="0.3">
      <c r="A5892">
        <v>5890</v>
      </c>
      <c r="B5892" t="s">
        <v>74</v>
      </c>
      <c r="C5892" t="s">
        <v>75</v>
      </c>
      <c r="D5892">
        <v>2.7397260273972599E-3</v>
      </c>
    </row>
    <row r="5893" spans="1:4" hidden="1" x14ac:dyDescent="0.3">
      <c r="A5893">
        <v>5891</v>
      </c>
      <c r="B5893" t="s">
        <v>76</v>
      </c>
      <c r="C5893" t="s">
        <v>77</v>
      </c>
      <c r="D5893">
        <v>0</v>
      </c>
    </row>
    <row r="5894" spans="1:4" hidden="1" x14ac:dyDescent="0.3">
      <c r="A5894">
        <v>5892</v>
      </c>
      <c r="B5894" t="s">
        <v>78</v>
      </c>
      <c r="C5894" t="s">
        <v>79</v>
      </c>
      <c r="D5894">
        <v>0</v>
      </c>
    </row>
    <row r="5895" spans="1:4" hidden="1" x14ac:dyDescent="0.3">
      <c r="A5895">
        <v>5893</v>
      </c>
      <c r="B5895" s="1" t="s">
        <v>7745</v>
      </c>
      <c r="C5895" t="s">
        <v>81</v>
      </c>
      <c r="D5895" s="1" t="s">
        <v>7746</v>
      </c>
    </row>
    <row r="5896" spans="1:4" hidden="1" x14ac:dyDescent="0.3">
      <c r="A5896">
        <v>5894</v>
      </c>
      <c r="B5896" t="s">
        <v>7747</v>
      </c>
      <c r="C5896" t="s">
        <v>84</v>
      </c>
      <c r="D5896">
        <v>0.99978603206780503</v>
      </c>
    </row>
    <row r="5897" spans="1:4" hidden="1" x14ac:dyDescent="0.3">
      <c r="A5897">
        <v>5895</v>
      </c>
      <c r="B5897" s="1" t="s">
        <v>7748</v>
      </c>
      <c r="C5897" t="s">
        <v>86</v>
      </c>
      <c r="D5897" s="1" t="s">
        <v>7749</v>
      </c>
    </row>
    <row r="5898" spans="1:4" hidden="1" x14ac:dyDescent="0.3">
      <c r="A5898">
        <v>5896</v>
      </c>
      <c r="B5898" t="s">
        <v>7750</v>
      </c>
      <c r="C5898" t="s">
        <v>89</v>
      </c>
      <c r="D5898">
        <v>103015455.69853</v>
      </c>
    </row>
    <row r="5899" spans="1:4" hidden="1" x14ac:dyDescent="0.3">
      <c r="A5899">
        <v>5897</v>
      </c>
      <c r="B5899" s="1" t="s">
        <v>7751</v>
      </c>
      <c r="C5899" t="s">
        <v>91</v>
      </c>
      <c r="D5899" s="1" t="s">
        <v>7685</v>
      </c>
    </row>
    <row r="5900" spans="1:4" hidden="1" x14ac:dyDescent="0.3">
      <c r="A5900">
        <v>5898</v>
      </c>
      <c r="B5900" t="s">
        <v>7752</v>
      </c>
      <c r="C5900" t="s">
        <v>94</v>
      </c>
      <c r="D5900">
        <v>71352871.019458294</v>
      </c>
    </row>
    <row r="5901" spans="1:4" hidden="1" x14ac:dyDescent="0.3">
      <c r="A5901">
        <v>5899</v>
      </c>
      <c r="B5901" t="s">
        <v>7753</v>
      </c>
      <c r="C5901" t="s">
        <v>96</v>
      </c>
      <c r="D5901">
        <v>33984162.313352801</v>
      </c>
    </row>
    <row r="5902" spans="1:4" hidden="1" x14ac:dyDescent="0.3">
      <c r="A5902">
        <v>5900</v>
      </c>
      <c r="B5902" t="s">
        <v>7754</v>
      </c>
      <c r="C5902" t="s">
        <v>98</v>
      </c>
      <c r="D5902">
        <v>29392404.415091999</v>
      </c>
    </row>
    <row r="5903" spans="1:4" hidden="1" x14ac:dyDescent="0.3">
      <c r="A5903">
        <v>5901</v>
      </c>
      <c r="B5903" s="1" t="s">
        <v>7755</v>
      </c>
      <c r="C5903" t="s">
        <v>100</v>
      </c>
      <c r="D5903" s="1" t="s">
        <v>7756</v>
      </c>
    </row>
    <row r="5904" spans="1:4" hidden="1" x14ac:dyDescent="0.3">
      <c r="A5904">
        <v>5902</v>
      </c>
      <c r="B5904" t="s">
        <v>7757</v>
      </c>
      <c r="C5904" t="s">
        <v>103</v>
      </c>
      <c r="D5904">
        <v>9.0921009843663997E-3</v>
      </c>
    </row>
    <row r="5905" spans="1:4" hidden="1" x14ac:dyDescent="0.3">
      <c r="A5905">
        <v>5903</v>
      </c>
      <c r="B5905" t="s">
        <v>7758</v>
      </c>
      <c r="C5905" t="s">
        <v>105</v>
      </c>
      <c r="D5905">
        <v>3.1791206744648101E-3</v>
      </c>
    </row>
    <row r="5906" spans="1:4" hidden="1" x14ac:dyDescent="0.3">
      <c r="A5906">
        <v>5904</v>
      </c>
      <c r="B5906" t="s">
        <v>7759</v>
      </c>
      <c r="C5906" t="s">
        <v>107</v>
      </c>
      <c r="D5906">
        <v>1.4503441882416399E-2</v>
      </c>
    </row>
    <row r="5907" spans="1:4" hidden="1" x14ac:dyDescent="0.3">
      <c r="A5907">
        <v>5905</v>
      </c>
      <c r="B5907" s="1" t="s">
        <v>7760</v>
      </c>
      <c r="C5907" t="s">
        <v>109</v>
      </c>
      <c r="D5907" s="1" t="s">
        <v>7761</v>
      </c>
    </row>
    <row r="5908" spans="1:4" hidden="1" x14ac:dyDescent="0.3">
      <c r="A5908">
        <v>5906</v>
      </c>
      <c r="B5908" t="s">
        <v>7762</v>
      </c>
      <c r="C5908" t="s">
        <v>208</v>
      </c>
      <c r="D5908">
        <v>134729281.508331</v>
      </c>
    </row>
    <row r="5909" spans="1:4" hidden="1" x14ac:dyDescent="0.3">
      <c r="A5909">
        <v>5907</v>
      </c>
      <c r="B5909" t="s">
        <v>7763</v>
      </c>
      <c r="C5909" t="s">
        <v>210</v>
      </c>
      <c r="D5909">
        <v>314.10645479509901</v>
      </c>
    </row>
    <row r="5910" spans="1:4" hidden="1" x14ac:dyDescent="0.3">
      <c r="A5910">
        <v>5908</v>
      </c>
      <c r="B5910" t="s">
        <v>7764</v>
      </c>
      <c r="C5910" t="s">
        <v>212</v>
      </c>
      <c r="D5910">
        <v>149.603685596584</v>
      </c>
    </row>
    <row r="5911" spans="1:4" hidden="1" x14ac:dyDescent="0.3">
      <c r="A5911">
        <v>5909</v>
      </c>
      <c r="B5911" s="1" t="s">
        <v>7765</v>
      </c>
      <c r="C5911" t="s">
        <v>214</v>
      </c>
      <c r="D5911" s="1" t="s">
        <v>7766</v>
      </c>
    </row>
    <row r="5912" spans="1:4" hidden="1" x14ac:dyDescent="0.3">
      <c r="A5912">
        <v>5910</v>
      </c>
      <c r="B5912" t="s">
        <v>7767</v>
      </c>
      <c r="C5912" t="s">
        <v>217</v>
      </c>
      <c r="D5912">
        <v>71352444.506125703</v>
      </c>
    </row>
    <row r="5913" spans="1:4" hidden="1" x14ac:dyDescent="0.3">
      <c r="A5913">
        <v>5911</v>
      </c>
      <c r="B5913" t="s">
        <v>7768</v>
      </c>
      <c r="C5913" t="s">
        <v>219</v>
      </c>
      <c r="D5913">
        <v>33983983.810219698</v>
      </c>
    </row>
    <row r="5914" spans="1:4" hidden="1" x14ac:dyDescent="0.3">
      <c r="A5914">
        <v>5912</v>
      </c>
      <c r="B5914" t="s">
        <v>7769</v>
      </c>
      <c r="C5914" t="s">
        <v>221</v>
      </c>
      <c r="D5914">
        <v>29392260.091763701</v>
      </c>
    </row>
    <row r="5915" spans="1:4" hidden="1" x14ac:dyDescent="0.3">
      <c r="A5915">
        <v>5913</v>
      </c>
      <c r="B5915" s="1" t="s">
        <v>7770</v>
      </c>
      <c r="C5915" t="s">
        <v>223</v>
      </c>
      <c r="D5915" s="1" t="s">
        <v>7771</v>
      </c>
    </row>
    <row r="5916" spans="1:4" hidden="1" x14ac:dyDescent="0.3">
      <c r="A5916">
        <v>5914</v>
      </c>
      <c r="B5916" t="s">
        <v>7772</v>
      </c>
      <c r="C5916" t="s">
        <v>226</v>
      </c>
      <c r="D5916">
        <v>103015002.20773</v>
      </c>
    </row>
    <row r="5917" spans="1:4" hidden="1" x14ac:dyDescent="0.3">
      <c r="A5917">
        <v>5915</v>
      </c>
      <c r="B5917" t="s">
        <v>7773</v>
      </c>
      <c r="C5917" t="s">
        <v>228</v>
      </c>
      <c r="D5917">
        <v>453.490799903869</v>
      </c>
    </row>
    <row r="5918" spans="1:4" hidden="1" x14ac:dyDescent="0.3">
      <c r="A5918">
        <v>5916</v>
      </c>
      <c r="B5918" s="1" t="s">
        <v>7774</v>
      </c>
      <c r="C5918" t="s">
        <v>230</v>
      </c>
      <c r="D5918" s="1" t="s">
        <v>7775</v>
      </c>
    </row>
    <row r="5919" spans="1:4" hidden="1" x14ac:dyDescent="0.3">
      <c r="A5919">
        <v>5917</v>
      </c>
      <c r="B5919" t="s">
        <v>7776</v>
      </c>
      <c r="C5919" t="s">
        <v>112</v>
      </c>
      <c r="D5919">
        <v>-112.406877738611</v>
      </c>
    </row>
    <row r="5920" spans="1:4" hidden="1" x14ac:dyDescent="0.3">
      <c r="A5920">
        <v>5918</v>
      </c>
      <c r="B5920" t="s">
        <v>7777</v>
      </c>
      <c r="C5920" t="s">
        <v>114</v>
      </c>
      <c r="D5920">
        <v>-28.899447495521301</v>
      </c>
    </row>
    <row r="5921" spans="1:4" hidden="1" x14ac:dyDescent="0.3">
      <c r="A5921">
        <v>5919</v>
      </c>
      <c r="B5921" s="1" t="s">
        <v>7778</v>
      </c>
      <c r="C5921" t="s">
        <v>116</v>
      </c>
      <c r="D5921" s="1" t="s">
        <v>7779</v>
      </c>
    </row>
    <row r="5922" spans="1:4" hidden="1" x14ac:dyDescent="0.3">
      <c r="A5922">
        <v>5920</v>
      </c>
      <c r="B5922" t="s">
        <v>7780</v>
      </c>
      <c r="C5922" t="s">
        <v>119</v>
      </c>
      <c r="D5922">
        <v>71352444.506125703</v>
      </c>
    </row>
    <row r="5923" spans="1:4" hidden="1" x14ac:dyDescent="0.3">
      <c r="A5923">
        <v>5921</v>
      </c>
      <c r="B5923" t="s">
        <v>7781</v>
      </c>
      <c r="C5923" t="s">
        <v>121</v>
      </c>
      <c r="D5923">
        <v>33983983.810219698</v>
      </c>
    </row>
    <row r="5924" spans="1:4" hidden="1" x14ac:dyDescent="0.3">
      <c r="A5924">
        <v>5922</v>
      </c>
      <c r="B5924" s="1" t="s">
        <v>7782</v>
      </c>
      <c r="C5924" t="s">
        <v>123</v>
      </c>
      <c r="D5924" s="1" t="s">
        <v>7783</v>
      </c>
    </row>
    <row r="5925" spans="1:4" hidden="1" x14ac:dyDescent="0.3">
      <c r="A5925">
        <v>5923</v>
      </c>
      <c r="B5925" t="s">
        <v>7784</v>
      </c>
      <c r="C5925" t="s">
        <v>126</v>
      </c>
      <c r="D5925">
        <v>0.692789529476463</v>
      </c>
    </row>
    <row r="5926" spans="1:4" hidden="1" x14ac:dyDescent="0.3">
      <c r="A5926">
        <v>5924</v>
      </c>
      <c r="B5926" t="s">
        <v>7785</v>
      </c>
      <c r="C5926" t="s">
        <v>128</v>
      </c>
      <c r="D5926">
        <v>0.32996414231605697</v>
      </c>
    </row>
    <row r="5927" spans="1:4" hidden="1" x14ac:dyDescent="0.3">
      <c r="A5927">
        <v>5925</v>
      </c>
      <c r="B5927" s="1" t="s">
        <v>7786</v>
      </c>
      <c r="C5927" t="s">
        <v>130</v>
      </c>
      <c r="D5927" s="1" t="s">
        <v>7787</v>
      </c>
    </row>
    <row r="5928" spans="1:4" ht="72" x14ac:dyDescent="0.3">
      <c r="A5928">
        <v>5926</v>
      </c>
      <c r="B5928" s="1" t="s">
        <v>7788</v>
      </c>
      <c r="C5928" t="s">
        <v>4</v>
      </c>
      <c r="D5928" t="s">
        <v>7789</v>
      </c>
    </row>
    <row r="5929" spans="1:4" hidden="1" x14ac:dyDescent="0.3">
      <c r="A5929">
        <v>5927</v>
      </c>
      <c r="B5929" t="s">
        <v>7790</v>
      </c>
      <c r="C5929" t="s">
        <v>7</v>
      </c>
      <c r="D5929">
        <v>1647.98</v>
      </c>
    </row>
    <row r="5930" spans="1:4" hidden="1" x14ac:dyDescent="0.3">
      <c r="A5930">
        <v>5928</v>
      </c>
      <c r="B5930" s="1" t="s">
        <v>7791</v>
      </c>
      <c r="C5930" t="s">
        <v>9</v>
      </c>
      <c r="D5930" s="1" t="s">
        <v>7792</v>
      </c>
    </row>
    <row r="5931" spans="1:4" hidden="1" x14ac:dyDescent="0.3">
      <c r="A5931">
        <v>5929</v>
      </c>
      <c r="B5931" t="s">
        <v>7793</v>
      </c>
      <c r="C5931" t="s">
        <v>14</v>
      </c>
      <c r="D5931">
        <v>88.1015625</v>
      </c>
    </row>
    <row r="5932" spans="1:4" hidden="1" x14ac:dyDescent="0.3">
      <c r="A5932">
        <v>5930</v>
      </c>
      <c r="B5932" t="s">
        <v>7794</v>
      </c>
      <c r="C5932" t="s">
        <v>16</v>
      </c>
      <c r="D5932">
        <v>4.2105355260034703</v>
      </c>
    </row>
    <row r="5933" spans="1:4" hidden="1" x14ac:dyDescent="0.3">
      <c r="A5933">
        <v>5931</v>
      </c>
      <c r="B5933" s="1" t="s">
        <v>7795</v>
      </c>
      <c r="C5933" t="s">
        <v>140</v>
      </c>
      <c r="D5933" s="1" t="s">
        <v>7796</v>
      </c>
    </row>
    <row r="5934" spans="1:4" hidden="1" x14ac:dyDescent="0.3">
      <c r="A5934">
        <v>5932</v>
      </c>
      <c r="B5934" t="s">
        <v>7528</v>
      </c>
      <c r="C5934" t="s">
        <v>22</v>
      </c>
      <c r="D5934">
        <v>47.9</v>
      </c>
    </row>
    <row r="5935" spans="1:4" hidden="1" x14ac:dyDescent="0.3">
      <c r="A5935">
        <v>5933</v>
      </c>
      <c r="B5935" t="s">
        <v>7797</v>
      </c>
      <c r="C5935" t="s">
        <v>24</v>
      </c>
      <c r="D5935">
        <v>5.5381908074427901</v>
      </c>
    </row>
    <row r="5936" spans="1:4" hidden="1" x14ac:dyDescent="0.3">
      <c r="A5936">
        <v>5934</v>
      </c>
      <c r="B5936" s="1" t="s">
        <v>7798</v>
      </c>
      <c r="C5936" t="s">
        <v>145</v>
      </c>
      <c r="D5936" s="1" t="s">
        <v>7799</v>
      </c>
    </row>
    <row r="5937" spans="1:4" hidden="1" x14ac:dyDescent="0.3">
      <c r="A5937">
        <v>5935</v>
      </c>
      <c r="B5937" t="s">
        <v>7800</v>
      </c>
      <c r="C5937" t="s">
        <v>35</v>
      </c>
      <c r="D5937">
        <v>-0.70410176276075898</v>
      </c>
    </row>
    <row r="5938" spans="1:4" hidden="1" x14ac:dyDescent="0.3">
      <c r="A5938">
        <v>5936</v>
      </c>
      <c r="B5938" t="s">
        <v>7801</v>
      </c>
      <c r="C5938" t="s">
        <v>149</v>
      </c>
      <c r="D5938">
        <v>0.54136561315173104</v>
      </c>
    </row>
    <row r="5939" spans="1:4" hidden="1" x14ac:dyDescent="0.3">
      <c r="A5939">
        <v>5937</v>
      </c>
      <c r="B5939" s="1" t="s">
        <v>7802</v>
      </c>
      <c r="C5939" t="s">
        <v>151</v>
      </c>
      <c r="D5939" s="1" t="s">
        <v>7803</v>
      </c>
    </row>
    <row r="5940" spans="1:4" hidden="1" x14ac:dyDescent="0.3">
      <c r="A5940">
        <v>5938</v>
      </c>
      <c r="B5940" t="s">
        <v>7804</v>
      </c>
      <c r="C5940" t="s">
        <v>30</v>
      </c>
      <c r="D5940">
        <v>0.73118306416144097</v>
      </c>
    </row>
    <row r="5941" spans="1:4" hidden="1" x14ac:dyDescent="0.3">
      <c r="A5941">
        <v>5939</v>
      </c>
      <c r="B5941" t="s">
        <v>7805</v>
      </c>
      <c r="C5941" t="s">
        <v>32</v>
      </c>
      <c r="D5941">
        <v>0.42345933584798401</v>
      </c>
    </row>
    <row r="5942" spans="1:4" hidden="1" x14ac:dyDescent="0.3">
      <c r="A5942">
        <v>5940</v>
      </c>
      <c r="B5942" s="1" t="s">
        <v>7806</v>
      </c>
      <c r="C5942" t="s">
        <v>155</v>
      </c>
      <c r="D5942" s="1" t="s">
        <v>7807</v>
      </c>
    </row>
    <row r="5943" spans="1:4" hidden="1" x14ac:dyDescent="0.3">
      <c r="A5943">
        <v>5941</v>
      </c>
      <c r="B5943" t="s">
        <v>7808</v>
      </c>
      <c r="C5943" t="s">
        <v>40</v>
      </c>
      <c r="D5943">
        <v>0.97291869859931701</v>
      </c>
    </row>
    <row r="5944" spans="1:4" hidden="1" x14ac:dyDescent="0.3">
      <c r="A5944">
        <v>5942</v>
      </c>
      <c r="B5944" t="s">
        <v>7809</v>
      </c>
      <c r="C5944" t="s">
        <v>42</v>
      </c>
      <c r="D5944">
        <v>0.42372115679206801</v>
      </c>
    </row>
    <row r="5945" spans="1:4" hidden="1" x14ac:dyDescent="0.3">
      <c r="A5945">
        <v>5943</v>
      </c>
      <c r="B5945" s="1" t="s">
        <v>7810</v>
      </c>
      <c r="C5945" t="s">
        <v>159</v>
      </c>
      <c r="D5945" s="1" t="s">
        <v>7811</v>
      </c>
    </row>
    <row r="5946" spans="1:4" hidden="1" x14ac:dyDescent="0.3">
      <c r="A5946">
        <v>5944</v>
      </c>
      <c r="B5946" t="s">
        <v>7812</v>
      </c>
      <c r="C5946" t="s">
        <v>161</v>
      </c>
      <c r="D5946">
        <v>1.00882734640906</v>
      </c>
    </row>
    <row r="5947" spans="1:4" hidden="1" x14ac:dyDescent="0.3">
      <c r="A5947">
        <v>5945</v>
      </c>
      <c r="B5947" t="s">
        <v>7813</v>
      </c>
      <c r="C5947" t="s">
        <v>163</v>
      </c>
      <c r="D5947">
        <v>0.99880148889462295</v>
      </c>
    </row>
    <row r="5948" spans="1:4" hidden="1" x14ac:dyDescent="0.3">
      <c r="A5948">
        <v>5946</v>
      </c>
      <c r="B5948" s="1" t="s">
        <v>7814</v>
      </c>
      <c r="C5948" t="s">
        <v>165</v>
      </c>
      <c r="D5948" s="1" t="s">
        <v>7815</v>
      </c>
    </row>
    <row r="5949" spans="1:4" hidden="1" x14ac:dyDescent="0.3">
      <c r="A5949">
        <v>5947</v>
      </c>
      <c r="B5949" t="s">
        <v>7816</v>
      </c>
      <c r="C5949" t="s">
        <v>168</v>
      </c>
      <c r="D5949">
        <v>0.99713298494811797</v>
      </c>
    </row>
    <row r="5950" spans="1:4" hidden="1" x14ac:dyDescent="0.3">
      <c r="A5950">
        <v>5948</v>
      </c>
      <c r="B5950" t="s">
        <v>7817</v>
      </c>
      <c r="C5950" t="s">
        <v>170</v>
      </c>
      <c r="D5950">
        <v>1.0013448780879699</v>
      </c>
    </row>
    <row r="5951" spans="1:4" hidden="1" x14ac:dyDescent="0.3">
      <c r="A5951">
        <v>5949</v>
      </c>
      <c r="B5951" s="1" t="s">
        <v>7818</v>
      </c>
      <c r="C5951" t="s">
        <v>172</v>
      </c>
      <c r="D5951" s="1" t="s">
        <v>7819</v>
      </c>
    </row>
    <row r="5952" spans="1:4" hidden="1" x14ac:dyDescent="0.3">
      <c r="A5952">
        <v>5950</v>
      </c>
      <c r="B5952" s="1" t="s">
        <v>7820</v>
      </c>
      <c r="C5952" t="s">
        <v>55</v>
      </c>
      <c r="D5952" s="1" t="s">
        <v>7821</v>
      </c>
    </row>
    <row r="5953" spans="1:4" hidden="1" x14ac:dyDescent="0.3">
      <c r="A5953">
        <v>5951</v>
      </c>
      <c r="B5953" s="1" t="s">
        <v>7822</v>
      </c>
      <c r="C5953" t="s">
        <v>52</v>
      </c>
      <c r="D5953" s="1" t="s">
        <v>7823</v>
      </c>
    </row>
    <row r="5954" spans="1:4" hidden="1" x14ac:dyDescent="0.3">
      <c r="A5954">
        <v>5952</v>
      </c>
      <c r="B5954" s="1" t="s">
        <v>7824</v>
      </c>
      <c r="C5954" t="s">
        <v>58</v>
      </c>
      <c r="D5954" s="1" t="s">
        <v>7825</v>
      </c>
    </row>
    <row r="5955" spans="1:4" hidden="1" x14ac:dyDescent="0.3">
      <c r="A5955">
        <v>5953</v>
      </c>
      <c r="B5955" t="s">
        <v>7826</v>
      </c>
      <c r="C5955" t="s">
        <v>61</v>
      </c>
      <c r="D5955">
        <v>136090486.369488</v>
      </c>
    </row>
    <row r="5956" spans="1:4" hidden="1" x14ac:dyDescent="0.3">
      <c r="A5956">
        <v>5954</v>
      </c>
      <c r="B5956" t="s">
        <v>7827</v>
      </c>
      <c r="C5956" t="s">
        <v>63</v>
      </c>
      <c r="D5956">
        <v>71982297.2509152</v>
      </c>
    </row>
    <row r="5957" spans="1:4" hidden="1" x14ac:dyDescent="0.3">
      <c r="A5957">
        <v>5955</v>
      </c>
      <c r="B5957" t="s">
        <v>7828</v>
      </c>
      <c r="C5957" t="s">
        <v>65</v>
      </c>
      <c r="D5957">
        <v>33943253.628218196</v>
      </c>
    </row>
    <row r="5958" spans="1:4" hidden="1" x14ac:dyDescent="0.3">
      <c r="A5958">
        <v>5956</v>
      </c>
      <c r="B5958" s="1" t="s">
        <v>7829</v>
      </c>
      <c r="C5958" t="s">
        <v>67</v>
      </c>
      <c r="D5958" s="1" t="s">
        <v>7830</v>
      </c>
    </row>
    <row r="5959" spans="1:4" hidden="1" x14ac:dyDescent="0.3">
      <c r="A5959">
        <v>5957</v>
      </c>
      <c r="B5959" s="1" t="s">
        <v>7831</v>
      </c>
      <c r="C5959" t="s">
        <v>70</v>
      </c>
      <c r="D5959" s="1" t="s">
        <v>7832</v>
      </c>
    </row>
    <row r="5960" spans="1:4" hidden="1" x14ac:dyDescent="0.3">
      <c r="A5960">
        <v>5958</v>
      </c>
      <c r="B5960" t="s">
        <v>7833</v>
      </c>
      <c r="C5960" t="s">
        <v>73</v>
      </c>
      <c r="D5960">
        <v>0.99978603206780503</v>
      </c>
    </row>
    <row r="5961" spans="1:4" hidden="1" x14ac:dyDescent="0.3">
      <c r="A5961">
        <v>5959</v>
      </c>
      <c r="B5961" t="s">
        <v>74</v>
      </c>
      <c r="C5961" t="s">
        <v>75</v>
      </c>
      <c r="D5961">
        <v>2.7397260273972599E-3</v>
      </c>
    </row>
    <row r="5962" spans="1:4" hidden="1" x14ac:dyDescent="0.3">
      <c r="A5962">
        <v>5960</v>
      </c>
      <c r="B5962" t="s">
        <v>76</v>
      </c>
      <c r="C5962" t="s">
        <v>77</v>
      </c>
      <c r="D5962">
        <v>0</v>
      </c>
    </row>
    <row r="5963" spans="1:4" hidden="1" x14ac:dyDescent="0.3">
      <c r="A5963">
        <v>5961</v>
      </c>
      <c r="B5963" t="s">
        <v>78</v>
      </c>
      <c r="C5963" t="s">
        <v>79</v>
      </c>
      <c r="D5963">
        <v>0</v>
      </c>
    </row>
    <row r="5964" spans="1:4" hidden="1" x14ac:dyDescent="0.3">
      <c r="A5964">
        <v>5962</v>
      </c>
      <c r="B5964" s="1" t="s">
        <v>7834</v>
      </c>
      <c r="C5964" t="s">
        <v>81</v>
      </c>
      <c r="D5964" s="1" t="s">
        <v>7835</v>
      </c>
    </row>
    <row r="5965" spans="1:4" hidden="1" x14ac:dyDescent="0.3">
      <c r="A5965">
        <v>5963</v>
      </c>
      <c r="B5965" t="s">
        <v>7836</v>
      </c>
      <c r="C5965" t="s">
        <v>84</v>
      </c>
      <c r="D5965">
        <v>0.99982653209745198</v>
      </c>
    </row>
    <row r="5966" spans="1:4" hidden="1" x14ac:dyDescent="0.3">
      <c r="A5966">
        <v>5964</v>
      </c>
      <c r="B5966" s="1" t="s">
        <v>7837</v>
      </c>
      <c r="C5966" t="s">
        <v>86</v>
      </c>
      <c r="D5966" s="1" t="s">
        <v>7838</v>
      </c>
    </row>
    <row r="5967" spans="1:4" hidden="1" x14ac:dyDescent="0.3">
      <c r="A5967">
        <v>5965</v>
      </c>
      <c r="B5967" t="s">
        <v>7839</v>
      </c>
      <c r="C5967" t="s">
        <v>89</v>
      </c>
      <c r="D5967">
        <v>103011282.84566399</v>
      </c>
    </row>
    <row r="5968" spans="1:4" hidden="1" x14ac:dyDescent="0.3">
      <c r="A5968">
        <v>5966</v>
      </c>
      <c r="B5968" s="1" t="s">
        <v>7840</v>
      </c>
      <c r="C5968" t="s">
        <v>91</v>
      </c>
      <c r="D5968" s="1" t="s">
        <v>7775</v>
      </c>
    </row>
    <row r="5969" spans="1:4" hidden="1" x14ac:dyDescent="0.3">
      <c r="A5969">
        <v>5967</v>
      </c>
      <c r="B5969" t="s">
        <v>7841</v>
      </c>
      <c r="C5969" t="s">
        <v>94</v>
      </c>
      <c r="D5969">
        <v>71982297.2509152</v>
      </c>
    </row>
    <row r="5970" spans="1:4" hidden="1" x14ac:dyDescent="0.3">
      <c r="A5970">
        <v>5968</v>
      </c>
      <c r="B5970" t="s">
        <v>7842</v>
      </c>
      <c r="C5970" t="s">
        <v>96</v>
      </c>
      <c r="D5970">
        <v>33943253.628218196</v>
      </c>
    </row>
    <row r="5971" spans="1:4" hidden="1" x14ac:dyDescent="0.3">
      <c r="A5971">
        <v>5969</v>
      </c>
      <c r="B5971" t="s">
        <v>7843</v>
      </c>
      <c r="C5971" t="s">
        <v>98</v>
      </c>
      <c r="D5971">
        <v>30164935.490355201</v>
      </c>
    </row>
    <row r="5972" spans="1:4" hidden="1" x14ac:dyDescent="0.3">
      <c r="A5972">
        <v>5970</v>
      </c>
      <c r="B5972" s="1" t="s">
        <v>7844</v>
      </c>
      <c r="C5972" t="s">
        <v>100</v>
      </c>
      <c r="D5972" s="1" t="s">
        <v>7845</v>
      </c>
    </row>
    <row r="5973" spans="1:4" hidden="1" x14ac:dyDescent="0.3">
      <c r="A5973">
        <v>5971</v>
      </c>
      <c r="B5973" t="s">
        <v>7846</v>
      </c>
      <c r="C5973" t="s">
        <v>103</v>
      </c>
      <c r="D5973">
        <v>9.0102368870732495E-3</v>
      </c>
    </row>
    <row r="5974" spans="1:4" hidden="1" x14ac:dyDescent="0.3">
      <c r="A5974">
        <v>5972</v>
      </c>
      <c r="B5974" t="s">
        <v>7847</v>
      </c>
      <c r="C5974" t="s">
        <v>105</v>
      </c>
      <c r="D5974">
        <v>3.1601240356346301E-3</v>
      </c>
    </row>
    <row r="5975" spans="1:4" hidden="1" x14ac:dyDescent="0.3">
      <c r="A5975">
        <v>5973</v>
      </c>
      <c r="B5975" t="s">
        <v>7848</v>
      </c>
      <c r="C5975" t="s">
        <v>107</v>
      </c>
      <c r="D5975">
        <v>1.4893000401370701E-2</v>
      </c>
    </row>
    <row r="5976" spans="1:4" hidden="1" x14ac:dyDescent="0.3">
      <c r="A5976">
        <v>5974</v>
      </c>
      <c r="B5976" s="1" t="s">
        <v>7849</v>
      </c>
      <c r="C5976" t="s">
        <v>109</v>
      </c>
      <c r="D5976" s="1" t="s">
        <v>7850</v>
      </c>
    </row>
    <row r="5977" spans="1:4" hidden="1" x14ac:dyDescent="0.3">
      <c r="A5977">
        <v>5975</v>
      </c>
      <c r="B5977" t="s">
        <v>7851</v>
      </c>
      <c r="C5977" t="s">
        <v>208</v>
      </c>
      <c r="D5977">
        <v>136091919.214605</v>
      </c>
    </row>
    <row r="5978" spans="1:4" hidden="1" x14ac:dyDescent="0.3">
      <c r="A5978">
        <v>5976</v>
      </c>
      <c r="B5978" t="s">
        <v>7852</v>
      </c>
      <c r="C5978" t="s">
        <v>210</v>
      </c>
      <c r="D5978">
        <v>-2915.95101237474</v>
      </c>
    </row>
    <row r="5979" spans="1:4" hidden="1" x14ac:dyDescent="0.3">
      <c r="A5979">
        <v>5977</v>
      </c>
      <c r="B5979" t="s">
        <v>7853</v>
      </c>
      <c r="C5979" t="s">
        <v>212</v>
      </c>
      <c r="D5979">
        <v>-1375.00744263002</v>
      </c>
    </row>
    <row r="5980" spans="1:4" hidden="1" x14ac:dyDescent="0.3">
      <c r="A5980">
        <v>5978</v>
      </c>
      <c r="B5980" s="1" t="s">
        <v>7854</v>
      </c>
      <c r="C5980" t="s">
        <v>214</v>
      </c>
      <c r="D5980" s="1" t="s">
        <v>7855</v>
      </c>
    </row>
    <row r="5981" spans="1:4" hidden="1" x14ac:dyDescent="0.3">
      <c r="A5981">
        <v>5979</v>
      </c>
      <c r="B5981" t="s">
        <v>7856</v>
      </c>
      <c r="C5981" t="s">
        <v>217</v>
      </c>
      <c r="D5981">
        <v>71986248.255238995</v>
      </c>
    </row>
    <row r="5982" spans="1:4" hidden="1" x14ac:dyDescent="0.3">
      <c r="A5982">
        <v>5980</v>
      </c>
      <c r="B5982" t="s">
        <v>7857</v>
      </c>
      <c r="C5982" t="s">
        <v>219</v>
      </c>
      <c r="D5982">
        <v>33944886.830371</v>
      </c>
    </row>
    <row r="5983" spans="1:4" hidden="1" x14ac:dyDescent="0.3">
      <c r="A5983">
        <v>5981</v>
      </c>
      <c r="B5983" t="s">
        <v>7858</v>
      </c>
      <c r="C5983" t="s">
        <v>221</v>
      </c>
      <c r="D5983">
        <v>30166297.035343401</v>
      </c>
    </row>
    <row r="5984" spans="1:4" hidden="1" x14ac:dyDescent="0.3">
      <c r="A5984">
        <v>5982</v>
      </c>
      <c r="B5984" s="1" t="s">
        <v>7859</v>
      </c>
      <c r="C5984" t="s">
        <v>223</v>
      </c>
      <c r="D5984" s="1" t="s">
        <v>7860</v>
      </c>
    </row>
    <row r="5985" spans="1:4" hidden="1" x14ac:dyDescent="0.3">
      <c r="A5985">
        <v>5983</v>
      </c>
      <c r="B5985" t="s">
        <v>7861</v>
      </c>
      <c r="C5985" t="s">
        <v>226</v>
      </c>
      <c r="D5985">
        <v>103015455.69853</v>
      </c>
    </row>
    <row r="5986" spans="1:4" hidden="1" x14ac:dyDescent="0.3">
      <c r="A5986">
        <v>5984</v>
      </c>
      <c r="B5986" t="s">
        <v>7862</v>
      </c>
      <c r="C5986" t="s">
        <v>228</v>
      </c>
      <c r="D5986">
        <v>-4172.8528658598598</v>
      </c>
    </row>
    <row r="5987" spans="1:4" hidden="1" x14ac:dyDescent="0.3">
      <c r="A5987">
        <v>5985</v>
      </c>
      <c r="B5987" s="1" t="s">
        <v>7863</v>
      </c>
      <c r="C5987" t="s">
        <v>230</v>
      </c>
      <c r="D5987" s="1" t="s">
        <v>7864</v>
      </c>
    </row>
    <row r="5988" spans="1:4" hidden="1" x14ac:dyDescent="0.3">
      <c r="A5988">
        <v>5986</v>
      </c>
      <c r="B5988" t="s">
        <v>7865</v>
      </c>
      <c r="C5988" t="s">
        <v>112</v>
      </c>
      <c r="D5988">
        <v>1035.0533113901299</v>
      </c>
    </row>
    <row r="5989" spans="1:4" hidden="1" x14ac:dyDescent="0.3">
      <c r="A5989">
        <v>5987</v>
      </c>
      <c r="B5989" t="s">
        <v>7866</v>
      </c>
      <c r="C5989" t="s">
        <v>114</v>
      </c>
      <c r="D5989">
        <v>258.19471007529398</v>
      </c>
    </row>
    <row r="5990" spans="1:4" hidden="1" x14ac:dyDescent="0.3">
      <c r="A5990">
        <v>5988</v>
      </c>
      <c r="B5990" s="1" t="s">
        <v>7867</v>
      </c>
      <c r="C5990" t="s">
        <v>116</v>
      </c>
      <c r="D5990" s="1" t="s">
        <v>7868</v>
      </c>
    </row>
    <row r="5991" spans="1:4" hidden="1" x14ac:dyDescent="0.3">
      <c r="A5991">
        <v>5989</v>
      </c>
      <c r="B5991" t="s">
        <v>7869</v>
      </c>
      <c r="C5991" t="s">
        <v>119</v>
      </c>
      <c r="D5991">
        <v>71986248.255238995</v>
      </c>
    </row>
    <row r="5992" spans="1:4" hidden="1" x14ac:dyDescent="0.3">
      <c r="A5992">
        <v>5990</v>
      </c>
      <c r="B5992" t="s">
        <v>7870</v>
      </c>
      <c r="C5992" t="s">
        <v>121</v>
      </c>
      <c r="D5992">
        <v>33944886.830371</v>
      </c>
    </row>
    <row r="5993" spans="1:4" hidden="1" x14ac:dyDescent="0.3">
      <c r="A5993">
        <v>5991</v>
      </c>
      <c r="B5993" s="1" t="s">
        <v>7871</v>
      </c>
      <c r="C5993" t="s">
        <v>123</v>
      </c>
      <c r="D5993" s="1" t="s">
        <v>7872</v>
      </c>
    </row>
    <row r="5994" spans="1:4" hidden="1" x14ac:dyDescent="0.3">
      <c r="A5994">
        <v>5992</v>
      </c>
      <c r="B5994" t="s">
        <v>7873</v>
      </c>
      <c r="C5994" t="s">
        <v>126</v>
      </c>
      <c r="D5994">
        <v>0.69891199565198503</v>
      </c>
    </row>
    <row r="5995" spans="1:4" hidden="1" x14ac:dyDescent="0.3">
      <c r="A5995">
        <v>5993</v>
      </c>
      <c r="B5995" t="s">
        <v>7874</v>
      </c>
      <c r="C5995" t="s">
        <v>128</v>
      </c>
      <c r="D5995">
        <v>0.329569732717231</v>
      </c>
    </row>
    <row r="5996" spans="1:4" hidden="1" x14ac:dyDescent="0.3">
      <c r="A5996">
        <v>5994</v>
      </c>
      <c r="B5996" s="1" t="s">
        <v>7875</v>
      </c>
      <c r="C5996" t="s">
        <v>130</v>
      </c>
      <c r="D5996" s="1" t="s">
        <v>7876</v>
      </c>
    </row>
    <row r="5997" spans="1:4" ht="72" x14ac:dyDescent="0.3">
      <c r="A5997">
        <v>5995</v>
      </c>
      <c r="B5997" s="1" t="s">
        <v>7877</v>
      </c>
      <c r="C5997" t="s">
        <v>4</v>
      </c>
      <c r="D5997" t="s">
        <v>7878</v>
      </c>
    </row>
    <row r="5998" spans="1:4" hidden="1" x14ac:dyDescent="0.3">
      <c r="A5998">
        <v>5996</v>
      </c>
      <c r="B5998" t="s">
        <v>7879</v>
      </c>
      <c r="C5998" t="s">
        <v>7</v>
      </c>
      <c r="D5998">
        <v>1635.24</v>
      </c>
    </row>
    <row r="5999" spans="1:4" hidden="1" x14ac:dyDescent="0.3">
      <c r="A5999">
        <v>5997</v>
      </c>
      <c r="B5999" s="1" t="s">
        <v>7880</v>
      </c>
      <c r="C5999" t="s">
        <v>9</v>
      </c>
      <c r="D5999" s="1" t="s">
        <v>7881</v>
      </c>
    </row>
    <row r="6000" spans="1:4" hidden="1" x14ac:dyDescent="0.3">
      <c r="A6000">
        <v>5998</v>
      </c>
      <c r="B6000" t="s">
        <v>7882</v>
      </c>
      <c r="C6000" t="s">
        <v>14</v>
      </c>
      <c r="D6000">
        <v>87.90625</v>
      </c>
    </row>
    <row r="6001" spans="1:4" hidden="1" x14ac:dyDescent="0.3">
      <c r="A6001">
        <v>5999</v>
      </c>
      <c r="B6001" t="s">
        <v>7883</v>
      </c>
      <c r="C6001" t="s">
        <v>16</v>
      </c>
      <c r="D6001">
        <v>4.2090436390349097</v>
      </c>
    </row>
    <row r="6002" spans="1:4" hidden="1" x14ac:dyDescent="0.3">
      <c r="A6002">
        <v>6000</v>
      </c>
      <c r="B6002" s="1" t="s">
        <v>7884</v>
      </c>
      <c r="C6002" t="s">
        <v>140</v>
      </c>
      <c r="D6002" s="1" t="s">
        <v>7885</v>
      </c>
    </row>
    <row r="6003" spans="1:4" hidden="1" x14ac:dyDescent="0.3">
      <c r="A6003">
        <v>6001</v>
      </c>
      <c r="B6003" t="s">
        <v>7886</v>
      </c>
      <c r="C6003" t="s">
        <v>22</v>
      </c>
      <c r="D6003">
        <v>49.3</v>
      </c>
    </row>
    <row r="6004" spans="1:4" hidden="1" x14ac:dyDescent="0.3">
      <c r="A6004">
        <v>6002</v>
      </c>
      <c r="B6004" t="s">
        <v>7887</v>
      </c>
      <c r="C6004" t="s">
        <v>24</v>
      </c>
      <c r="D6004">
        <v>5.3881332884301996</v>
      </c>
    </row>
    <row r="6005" spans="1:4" hidden="1" x14ac:dyDescent="0.3">
      <c r="A6005">
        <v>6003</v>
      </c>
      <c r="B6005" s="1" t="s">
        <v>7888</v>
      </c>
      <c r="C6005" t="s">
        <v>145</v>
      </c>
      <c r="D6005" s="1" t="s">
        <v>7889</v>
      </c>
    </row>
    <row r="6006" spans="1:4" hidden="1" x14ac:dyDescent="0.3">
      <c r="A6006">
        <v>6004</v>
      </c>
      <c r="B6006" t="s">
        <v>7890</v>
      </c>
      <c r="C6006" t="s">
        <v>35</v>
      </c>
      <c r="D6006">
        <v>-0.20088510459331199</v>
      </c>
    </row>
    <row r="6007" spans="1:4" hidden="1" x14ac:dyDescent="0.3">
      <c r="A6007">
        <v>6005</v>
      </c>
      <c r="B6007" t="s">
        <v>7891</v>
      </c>
      <c r="C6007" t="s">
        <v>149</v>
      </c>
      <c r="D6007">
        <v>0.53811843246188396</v>
      </c>
    </row>
    <row r="6008" spans="1:4" hidden="1" x14ac:dyDescent="0.3">
      <c r="A6008">
        <v>6006</v>
      </c>
      <c r="B6008" s="1" t="s">
        <v>7892</v>
      </c>
      <c r="C6008" t="s">
        <v>151</v>
      </c>
      <c r="D6008" s="1" t="s">
        <v>7893</v>
      </c>
    </row>
    <row r="6009" spans="1:4" hidden="1" x14ac:dyDescent="0.3">
      <c r="A6009">
        <v>6007</v>
      </c>
      <c r="B6009" t="s">
        <v>7894</v>
      </c>
      <c r="C6009" t="s">
        <v>30</v>
      </c>
      <c r="D6009">
        <v>0.513687536281214</v>
      </c>
    </row>
    <row r="6010" spans="1:4" hidden="1" x14ac:dyDescent="0.3">
      <c r="A6010">
        <v>6008</v>
      </c>
      <c r="B6010" t="s">
        <v>7895</v>
      </c>
      <c r="C6010" t="s">
        <v>32</v>
      </c>
      <c r="D6010">
        <v>0.42289347510813102</v>
      </c>
    </row>
    <row r="6011" spans="1:4" hidden="1" x14ac:dyDescent="0.3">
      <c r="A6011">
        <v>6009</v>
      </c>
      <c r="B6011" s="1" t="s">
        <v>7896</v>
      </c>
      <c r="C6011" t="s">
        <v>155</v>
      </c>
      <c r="D6011" s="1" t="s">
        <v>7897</v>
      </c>
    </row>
    <row r="6012" spans="1:4" hidden="1" x14ac:dyDescent="0.3">
      <c r="A6012">
        <v>6010</v>
      </c>
      <c r="B6012" t="s">
        <v>7898</v>
      </c>
      <c r="C6012" t="s">
        <v>40</v>
      </c>
      <c r="D6012">
        <v>0.687197568312097</v>
      </c>
    </row>
    <row r="6013" spans="1:4" hidden="1" x14ac:dyDescent="0.3">
      <c r="A6013">
        <v>6011</v>
      </c>
      <c r="B6013" t="s">
        <v>7899</v>
      </c>
      <c r="C6013" t="s">
        <v>42</v>
      </c>
      <c r="D6013">
        <v>0.43543350214297999</v>
      </c>
    </row>
    <row r="6014" spans="1:4" hidden="1" x14ac:dyDescent="0.3">
      <c r="A6014">
        <v>6012</v>
      </c>
      <c r="B6014" s="1" t="s">
        <v>7900</v>
      </c>
      <c r="C6014" t="s">
        <v>159</v>
      </c>
      <c r="D6014" s="1" t="s">
        <v>7901</v>
      </c>
    </row>
    <row r="6015" spans="1:4" hidden="1" x14ac:dyDescent="0.3">
      <c r="A6015">
        <v>6013</v>
      </c>
      <c r="B6015" t="s">
        <v>7902</v>
      </c>
      <c r="C6015" t="s">
        <v>161</v>
      </c>
      <c r="D6015">
        <v>0.99226932365683995</v>
      </c>
    </row>
    <row r="6016" spans="1:4" hidden="1" x14ac:dyDescent="0.3">
      <c r="A6016">
        <v>6014</v>
      </c>
      <c r="B6016" t="s">
        <v>7903</v>
      </c>
      <c r="C6016" t="s">
        <v>163</v>
      </c>
      <c r="D6016">
        <v>0.99786805422932601</v>
      </c>
    </row>
    <row r="6017" spans="1:4" hidden="1" x14ac:dyDescent="0.3">
      <c r="A6017">
        <v>6015</v>
      </c>
      <c r="B6017" s="1" t="s">
        <v>7904</v>
      </c>
      <c r="C6017" t="s">
        <v>165</v>
      </c>
      <c r="D6017" s="1" t="s">
        <v>7905</v>
      </c>
    </row>
    <row r="6018" spans="1:4" hidden="1" x14ac:dyDescent="0.3">
      <c r="A6018">
        <v>6016</v>
      </c>
      <c r="B6018" t="s">
        <v>7906</v>
      </c>
      <c r="C6018" t="s">
        <v>168</v>
      </c>
      <c r="D6018">
        <v>0.99789330924334796</v>
      </c>
    </row>
    <row r="6019" spans="1:4" hidden="1" x14ac:dyDescent="0.3">
      <c r="A6019">
        <v>6017</v>
      </c>
      <c r="B6019" t="s">
        <v>7907</v>
      </c>
      <c r="C6019" t="s">
        <v>170</v>
      </c>
      <c r="D6019">
        <v>0.99960247495267196</v>
      </c>
    </row>
    <row r="6020" spans="1:4" hidden="1" x14ac:dyDescent="0.3">
      <c r="A6020">
        <v>6018</v>
      </c>
      <c r="B6020" s="1" t="s">
        <v>7908</v>
      </c>
      <c r="C6020" t="s">
        <v>172</v>
      </c>
      <c r="D6020" s="1" t="s">
        <v>7909</v>
      </c>
    </row>
    <row r="6021" spans="1:4" hidden="1" x14ac:dyDescent="0.3">
      <c r="A6021">
        <v>6019</v>
      </c>
      <c r="B6021" s="1" t="s">
        <v>7910</v>
      </c>
      <c r="C6021" t="s">
        <v>55</v>
      </c>
      <c r="D6021" s="1" t="s">
        <v>7911</v>
      </c>
    </row>
    <row r="6022" spans="1:4" hidden="1" x14ac:dyDescent="0.3">
      <c r="A6022">
        <v>6020</v>
      </c>
      <c r="B6022" s="1" t="s">
        <v>7912</v>
      </c>
      <c r="C6022" t="s">
        <v>52</v>
      </c>
      <c r="D6022" s="1" t="s">
        <v>7913</v>
      </c>
    </row>
    <row r="6023" spans="1:4" hidden="1" x14ac:dyDescent="0.3">
      <c r="A6023">
        <v>6021</v>
      </c>
      <c r="B6023" s="1" t="s">
        <v>7914</v>
      </c>
      <c r="C6023" t="s">
        <v>58</v>
      </c>
      <c r="D6023" s="1" t="s">
        <v>7915</v>
      </c>
    </row>
    <row r="6024" spans="1:4" hidden="1" x14ac:dyDescent="0.3">
      <c r="A6024">
        <v>6022</v>
      </c>
      <c r="B6024" t="s">
        <v>7916</v>
      </c>
      <c r="C6024" t="s">
        <v>61</v>
      </c>
      <c r="D6024">
        <v>136174163.85973799</v>
      </c>
    </row>
    <row r="6025" spans="1:4" hidden="1" x14ac:dyDescent="0.3">
      <c r="A6025">
        <v>6023</v>
      </c>
      <c r="B6025" t="s">
        <v>7917</v>
      </c>
      <c r="C6025" t="s">
        <v>63</v>
      </c>
      <c r="D6025">
        <v>71429745.868819401</v>
      </c>
    </row>
    <row r="6026" spans="1:4" hidden="1" x14ac:dyDescent="0.3">
      <c r="A6026">
        <v>6024</v>
      </c>
      <c r="B6026" t="s">
        <v>7918</v>
      </c>
      <c r="C6026" t="s">
        <v>65</v>
      </c>
      <c r="D6026">
        <v>33872518.172456898</v>
      </c>
    </row>
    <row r="6027" spans="1:4" hidden="1" x14ac:dyDescent="0.3">
      <c r="A6027">
        <v>6025</v>
      </c>
      <c r="B6027" s="1" t="s">
        <v>7919</v>
      </c>
      <c r="C6027" t="s">
        <v>67</v>
      </c>
      <c r="D6027" s="1" t="s">
        <v>7920</v>
      </c>
    </row>
    <row r="6028" spans="1:4" hidden="1" x14ac:dyDescent="0.3">
      <c r="A6028">
        <v>6026</v>
      </c>
      <c r="B6028" s="1" t="s">
        <v>7921</v>
      </c>
      <c r="C6028" t="s">
        <v>70</v>
      </c>
      <c r="D6028" s="1" t="s">
        <v>7922</v>
      </c>
    </row>
    <row r="6029" spans="1:4" hidden="1" x14ac:dyDescent="0.3">
      <c r="A6029">
        <v>6027</v>
      </c>
      <c r="B6029" t="s">
        <v>7923</v>
      </c>
      <c r="C6029" t="s">
        <v>73</v>
      </c>
      <c r="D6029">
        <v>0.99982653209745198</v>
      </c>
    </row>
    <row r="6030" spans="1:4" hidden="1" x14ac:dyDescent="0.3">
      <c r="A6030">
        <v>6028</v>
      </c>
      <c r="B6030" t="s">
        <v>74</v>
      </c>
      <c r="C6030" t="s">
        <v>75</v>
      </c>
      <c r="D6030">
        <v>2.7397260273972599E-3</v>
      </c>
    </row>
    <row r="6031" spans="1:4" hidden="1" x14ac:dyDescent="0.3">
      <c r="A6031">
        <v>6029</v>
      </c>
      <c r="B6031" t="s">
        <v>76</v>
      </c>
      <c r="C6031" t="s">
        <v>77</v>
      </c>
      <c r="D6031">
        <v>0</v>
      </c>
    </row>
    <row r="6032" spans="1:4" hidden="1" x14ac:dyDescent="0.3">
      <c r="A6032">
        <v>6030</v>
      </c>
      <c r="B6032" t="s">
        <v>78</v>
      </c>
      <c r="C6032" t="s">
        <v>79</v>
      </c>
      <c r="D6032">
        <v>0</v>
      </c>
    </row>
    <row r="6033" spans="1:4" hidden="1" x14ac:dyDescent="0.3">
      <c r="A6033">
        <v>6031</v>
      </c>
      <c r="B6033" s="1" t="s">
        <v>7924</v>
      </c>
      <c r="C6033" t="s">
        <v>81</v>
      </c>
      <c r="D6033" s="1" t="s">
        <v>7925</v>
      </c>
    </row>
    <row r="6034" spans="1:4" hidden="1" x14ac:dyDescent="0.3">
      <c r="A6034">
        <v>6032</v>
      </c>
      <c r="B6034" t="s">
        <v>7926</v>
      </c>
      <c r="C6034" t="s">
        <v>84</v>
      </c>
      <c r="D6034">
        <v>0.99982861839422299</v>
      </c>
    </row>
    <row r="6035" spans="1:4" hidden="1" x14ac:dyDescent="0.3">
      <c r="A6035">
        <v>6033</v>
      </c>
      <c r="B6035" s="1" t="s">
        <v>7927</v>
      </c>
      <c r="C6035" t="s">
        <v>86</v>
      </c>
      <c r="D6035" s="1" t="s">
        <v>7928</v>
      </c>
    </row>
    <row r="6036" spans="1:4" hidden="1" x14ac:dyDescent="0.3">
      <c r="A6036">
        <v>6034</v>
      </c>
      <c r="B6036" t="s">
        <v>7929</v>
      </c>
      <c r="C6036" t="s">
        <v>89</v>
      </c>
      <c r="D6036">
        <v>103011067.89671899</v>
      </c>
    </row>
    <row r="6037" spans="1:4" hidden="1" x14ac:dyDescent="0.3">
      <c r="A6037">
        <v>6035</v>
      </c>
      <c r="B6037" s="1" t="s">
        <v>7930</v>
      </c>
      <c r="C6037" t="s">
        <v>91</v>
      </c>
      <c r="D6037" s="1" t="s">
        <v>7864</v>
      </c>
    </row>
    <row r="6038" spans="1:4" hidden="1" x14ac:dyDescent="0.3">
      <c r="A6038">
        <v>6036</v>
      </c>
      <c r="B6038" t="s">
        <v>7931</v>
      </c>
      <c r="C6038" t="s">
        <v>94</v>
      </c>
      <c r="D6038">
        <v>71429745.868819401</v>
      </c>
    </row>
    <row r="6039" spans="1:4" hidden="1" x14ac:dyDescent="0.3">
      <c r="A6039">
        <v>6037</v>
      </c>
      <c r="B6039" t="s">
        <v>7932</v>
      </c>
      <c r="C6039" t="s">
        <v>96</v>
      </c>
      <c r="D6039">
        <v>33872518.172456898</v>
      </c>
    </row>
    <row r="6040" spans="1:4" hidden="1" x14ac:dyDescent="0.3">
      <c r="A6040">
        <v>6038</v>
      </c>
      <c r="B6040" t="s">
        <v>7933</v>
      </c>
      <c r="C6040" t="s">
        <v>98</v>
      </c>
      <c r="D6040">
        <v>30871899.8184621</v>
      </c>
    </row>
    <row r="6041" spans="1:4" hidden="1" x14ac:dyDescent="0.3">
      <c r="A6041">
        <v>6039</v>
      </c>
      <c r="B6041" s="1" t="s">
        <v>7934</v>
      </c>
      <c r="C6041" t="s">
        <v>100</v>
      </c>
      <c r="D6041" s="1" t="s">
        <v>7935</v>
      </c>
    </row>
    <row r="6042" spans="1:4" hidden="1" x14ac:dyDescent="0.3">
      <c r="A6042">
        <v>6040</v>
      </c>
      <c r="B6042" t="s">
        <v>7936</v>
      </c>
      <c r="C6042" t="s">
        <v>103</v>
      </c>
      <c r="D6042">
        <v>9.0381424635294604E-3</v>
      </c>
    </row>
    <row r="6043" spans="1:4" hidden="1" x14ac:dyDescent="0.3">
      <c r="A6043">
        <v>6041</v>
      </c>
      <c r="B6043" t="s">
        <v>7937</v>
      </c>
      <c r="C6043" t="s">
        <v>105</v>
      </c>
      <c r="D6043">
        <v>3.1618017644690602E-3</v>
      </c>
    </row>
    <row r="6044" spans="1:4" hidden="1" x14ac:dyDescent="0.3">
      <c r="A6044">
        <v>6042</v>
      </c>
      <c r="B6044" t="s">
        <v>7938</v>
      </c>
      <c r="C6044" t="s">
        <v>107</v>
      </c>
      <c r="D6044">
        <v>1.5213922370375599E-2</v>
      </c>
    </row>
    <row r="6045" spans="1:4" hidden="1" x14ac:dyDescent="0.3">
      <c r="A6045">
        <v>6043</v>
      </c>
      <c r="B6045" s="1" t="s">
        <v>7939</v>
      </c>
      <c r="C6045" t="s">
        <v>109</v>
      </c>
      <c r="D6045" s="1" t="s">
        <v>7940</v>
      </c>
    </row>
    <row r="6046" spans="1:4" hidden="1" x14ac:dyDescent="0.3">
      <c r="A6046">
        <v>6044</v>
      </c>
      <c r="B6046" t="s">
        <v>7941</v>
      </c>
      <c r="C6046" t="s">
        <v>208</v>
      </c>
      <c r="D6046">
        <v>136174237.700993</v>
      </c>
    </row>
    <row r="6047" spans="1:4" hidden="1" x14ac:dyDescent="0.3">
      <c r="A6047">
        <v>6045</v>
      </c>
      <c r="B6047" t="s">
        <v>7942</v>
      </c>
      <c r="C6047" t="s">
        <v>210</v>
      </c>
      <c r="D6047">
        <v>-149.04962108173001</v>
      </c>
    </row>
    <row r="6048" spans="1:4" hidden="1" x14ac:dyDescent="0.3">
      <c r="A6048">
        <v>6046</v>
      </c>
      <c r="B6048" t="s">
        <v>7943</v>
      </c>
      <c r="C6048" t="s">
        <v>212</v>
      </c>
      <c r="D6048">
        <v>-70.680406642686606</v>
      </c>
    </row>
    <row r="6049" spans="1:4" hidden="1" x14ac:dyDescent="0.3">
      <c r="A6049">
        <v>6047</v>
      </c>
      <c r="B6049" s="1" t="s">
        <v>7944</v>
      </c>
      <c r="C6049" t="s">
        <v>214</v>
      </c>
      <c r="D6049" s="1" t="s">
        <v>7945</v>
      </c>
    </row>
    <row r="6050" spans="1:4" hidden="1" x14ac:dyDescent="0.3">
      <c r="A6050">
        <v>6048</v>
      </c>
      <c r="B6050" t="s">
        <v>7946</v>
      </c>
      <c r="C6050" t="s">
        <v>217</v>
      </c>
      <c r="D6050">
        <v>71429951.2840707</v>
      </c>
    </row>
    <row r="6051" spans="1:4" hidden="1" x14ac:dyDescent="0.3">
      <c r="A6051">
        <v>6049</v>
      </c>
      <c r="B6051" t="s">
        <v>7947</v>
      </c>
      <c r="C6051" t="s">
        <v>219</v>
      </c>
      <c r="D6051">
        <v>33872598.712995</v>
      </c>
    </row>
    <row r="6052" spans="1:4" hidden="1" x14ac:dyDescent="0.3">
      <c r="A6052">
        <v>6050</v>
      </c>
      <c r="B6052" t="s">
        <v>7948</v>
      </c>
      <c r="C6052" t="s">
        <v>221</v>
      </c>
      <c r="D6052">
        <v>30871971.853090901</v>
      </c>
    </row>
    <row r="6053" spans="1:4" hidden="1" x14ac:dyDescent="0.3">
      <c r="A6053">
        <v>6051</v>
      </c>
      <c r="B6053" s="1" t="s">
        <v>7949</v>
      </c>
      <c r="C6053" t="s">
        <v>223</v>
      </c>
      <c r="D6053" s="1" t="s">
        <v>7950</v>
      </c>
    </row>
    <row r="6054" spans="1:4" hidden="1" x14ac:dyDescent="0.3">
      <c r="A6054">
        <v>6052</v>
      </c>
      <c r="B6054" t="s">
        <v>7951</v>
      </c>
      <c r="C6054" t="s">
        <v>226</v>
      </c>
      <c r="D6054">
        <v>103011282.84566399</v>
      </c>
    </row>
    <row r="6055" spans="1:4" hidden="1" x14ac:dyDescent="0.3">
      <c r="A6055">
        <v>6053</v>
      </c>
      <c r="B6055" t="s">
        <v>7952</v>
      </c>
      <c r="C6055" t="s">
        <v>228</v>
      </c>
      <c r="D6055">
        <v>-214.948945075273</v>
      </c>
    </row>
    <row r="6056" spans="1:4" hidden="1" x14ac:dyDescent="0.3">
      <c r="A6056">
        <v>6054</v>
      </c>
      <c r="B6056" s="1" t="s">
        <v>7953</v>
      </c>
      <c r="C6056" t="s">
        <v>230</v>
      </c>
      <c r="D6056" s="1" t="s">
        <v>7954</v>
      </c>
    </row>
    <row r="6057" spans="1:4" hidden="1" x14ac:dyDescent="0.3">
      <c r="A6057">
        <v>6055</v>
      </c>
      <c r="B6057" t="s">
        <v>7955</v>
      </c>
      <c r="C6057" t="s">
        <v>112</v>
      </c>
      <c r="D6057">
        <v>56.365630247780302</v>
      </c>
    </row>
    <row r="6058" spans="1:4" hidden="1" x14ac:dyDescent="0.3">
      <c r="A6058">
        <v>6056</v>
      </c>
      <c r="B6058" t="s">
        <v>7956</v>
      </c>
      <c r="C6058" t="s">
        <v>114</v>
      </c>
      <c r="D6058">
        <v>9.8601314117726204</v>
      </c>
    </row>
    <row r="6059" spans="1:4" hidden="1" x14ac:dyDescent="0.3">
      <c r="A6059">
        <v>6057</v>
      </c>
      <c r="B6059" s="1" t="s">
        <v>7957</v>
      </c>
      <c r="C6059" t="s">
        <v>116</v>
      </c>
      <c r="D6059" s="1" t="s">
        <v>7958</v>
      </c>
    </row>
    <row r="6060" spans="1:4" hidden="1" x14ac:dyDescent="0.3">
      <c r="A6060">
        <v>6058</v>
      </c>
      <c r="B6060" t="s">
        <v>7959</v>
      </c>
      <c r="C6060" t="s">
        <v>119</v>
      </c>
      <c r="D6060">
        <v>71429951.2840707</v>
      </c>
    </row>
    <row r="6061" spans="1:4" hidden="1" x14ac:dyDescent="0.3">
      <c r="A6061">
        <v>6059</v>
      </c>
      <c r="B6061" t="s">
        <v>7960</v>
      </c>
      <c r="C6061" t="s">
        <v>121</v>
      </c>
      <c r="D6061">
        <v>33872598.712995</v>
      </c>
    </row>
    <row r="6062" spans="1:4" hidden="1" x14ac:dyDescent="0.3">
      <c r="A6062">
        <v>6060</v>
      </c>
      <c r="B6062" s="1" t="s">
        <v>7961</v>
      </c>
      <c r="C6062" t="s">
        <v>123</v>
      </c>
      <c r="D6062" s="1" t="s">
        <v>7962</v>
      </c>
    </row>
    <row r="6063" spans="1:4" hidden="1" x14ac:dyDescent="0.3">
      <c r="A6063">
        <v>6061</v>
      </c>
      <c r="B6063" t="s">
        <v>7963</v>
      </c>
      <c r="C6063" t="s">
        <v>126</v>
      </c>
      <c r="D6063">
        <v>0.69353757363875901</v>
      </c>
    </row>
    <row r="6064" spans="1:4" hidden="1" x14ac:dyDescent="0.3">
      <c r="A6064">
        <v>6062</v>
      </c>
      <c r="B6064" t="s">
        <v>7964</v>
      </c>
      <c r="C6064" t="s">
        <v>128</v>
      </c>
      <c r="D6064">
        <v>0.32888052563307202</v>
      </c>
    </row>
    <row r="6065" spans="1:4" hidden="1" x14ac:dyDescent="0.3">
      <c r="A6065">
        <v>6063</v>
      </c>
      <c r="B6065" s="1" t="s">
        <v>7965</v>
      </c>
      <c r="C6065" t="s">
        <v>130</v>
      </c>
      <c r="D6065" s="1" t="s">
        <v>7966</v>
      </c>
    </row>
    <row r="6066" spans="1:4" ht="72" x14ac:dyDescent="0.3">
      <c r="A6066">
        <v>6064</v>
      </c>
      <c r="B6066" s="1" t="s">
        <v>7967</v>
      </c>
      <c r="C6066" t="s">
        <v>4</v>
      </c>
      <c r="D6066" t="s">
        <v>7968</v>
      </c>
    </row>
    <row r="6067" spans="1:4" hidden="1" x14ac:dyDescent="0.3">
      <c r="A6067">
        <v>6065</v>
      </c>
      <c r="B6067" t="s">
        <v>7969</v>
      </c>
      <c r="C6067" t="s">
        <v>7</v>
      </c>
      <c r="D6067">
        <v>1629.49</v>
      </c>
    </row>
    <row r="6068" spans="1:4" hidden="1" x14ac:dyDescent="0.3">
      <c r="A6068">
        <v>6066</v>
      </c>
      <c r="B6068" s="1" t="s">
        <v>7970</v>
      </c>
      <c r="C6068" t="s">
        <v>9</v>
      </c>
      <c r="D6068" s="1" t="s">
        <v>7971</v>
      </c>
    </row>
    <row r="6069" spans="1:4" hidden="1" x14ac:dyDescent="0.3">
      <c r="A6069">
        <v>6067</v>
      </c>
      <c r="B6069" t="s">
        <v>7972</v>
      </c>
      <c r="C6069" t="s">
        <v>14</v>
      </c>
      <c r="D6069">
        <v>87.7109375</v>
      </c>
    </row>
    <row r="6070" spans="1:4" hidden="1" x14ac:dyDescent="0.3">
      <c r="A6070">
        <v>6068</v>
      </c>
      <c r="B6070" t="s">
        <v>7973</v>
      </c>
      <c r="C6070" t="s">
        <v>16</v>
      </c>
      <c r="D6070">
        <v>4.2068518973613704</v>
      </c>
    </row>
    <row r="6071" spans="1:4" hidden="1" x14ac:dyDescent="0.3">
      <c r="A6071">
        <v>6069</v>
      </c>
      <c r="B6071" s="1" t="s">
        <v>7974</v>
      </c>
      <c r="C6071" t="s">
        <v>140</v>
      </c>
      <c r="D6071" s="1" t="s">
        <v>7975</v>
      </c>
    </row>
    <row r="6072" spans="1:4" hidden="1" x14ac:dyDescent="0.3">
      <c r="A6072">
        <v>6070</v>
      </c>
      <c r="B6072" t="s">
        <v>7976</v>
      </c>
      <c r="C6072" t="s">
        <v>22</v>
      </c>
      <c r="D6072">
        <v>48.8</v>
      </c>
    </row>
    <row r="6073" spans="1:4" hidden="1" x14ac:dyDescent="0.3">
      <c r="A6073">
        <v>6071</v>
      </c>
      <c r="B6073" t="s">
        <v>7977</v>
      </c>
      <c r="C6073" t="s">
        <v>24</v>
      </c>
      <c r="D6073">
        <v>5.4031576729662403</v>
      </c>
    </row>
    <row r="6074" spans="1:4" hidden="1" x14ac:dyDescent="0.3">
      <c r="A6074">
        <v>6072</v>
      </c>
      <c r="B6074" s="1" t="s">
        <v>7978</v>
      </c>
      <c r="C6074" t="s">
        <v>145</v>
      </c>
      <c r="D6074" s="1" t="s">
        <v>7979</v>
      </c>
    </row>
    <row r="6075" spans="1:4" hidden="1" x14ac:dyDescent="0.3">
      <c r="A6075">
        <v>6073</v>
      </c>
      <c r="B6075" t="s">
        <v>7980</v>
      </c>
      <c r="C6075" t="s">
        <v>35</v>
      </c>
      <c r="D6075">
        <v>0.69791015464066697</v>
      </c>
    </row>
    <row r="6076" spans="1:4" hidden="1" x14ac:dyDescent="0.3">
      <c r="A6076">
        <v>6074</v>
      </c>
      <c r="B6076" t="s">
        <v>7981</v>
      </c>
      <c r="C6076" t="s">
        <v>149</v>
      </c>
      <c r="D6076">
        <v>0.53697771568228403</v>
      </c>
    </row>
    <row r="6077" spans="1:4" hidden="1" x14ac:dyDescent="0.3">
      <c r="A6077">
        <v>6075</v>
      </c>
      <c r="B6077" s="1" t="s">
        <v>7982</v>
      </c>
      <c r="C6077" t="s">
        <v>151</v>
      </c>
      <c r="D6077" s="1" t="s">
        <v>7983</v>
      </c>
    </row>
    <row r="6078" spans="1:4" hidden="1" x14ac:dyDescent="0.3">
      <c r="A6078">
        <v>6076</v>
      </c>
      <c r="B6078" t="s">
        <v>7984</v>
      </c>
      <c r="C6078" t="s">
        <v>30</v>
      </c>
      <c r="D6078">
        <v>0.130712015758533</v>
      </c>
    </row>
    <row r="6079" spans="1:4" hidden="1" x14ac:dyDescent="0.3">
      <c r="A6079">
        <v>6077</v>
      </c>
      <c r="B6079" t="s">
        <v>7985</v>
      </c>
      <c r="C6079" t="s">
        <v>32</v>
      </c>
      <c r="D6079">
        <v>0.42430324773169698</v>
      </c>
    </row>
    <row r="6080" spans="1:4" hidden="1" x14ac:dyDescent="0.3">
      <c r="A6080">
        <v>6078</v>
      </c>
      <c r="B6080" s="1" t="s">
        <v>7986</v>
      </c>
      <c r="C6080" t="s">
        <v>155</v>
      </c>
      <c r="D6080" s="1" t="s">
        <v>7987</v>
      </c>
    </row>
    <row r="6081" spans="1:4" hidden="1" x14ac:dyDescent="0.3">
      <c r="A6081">
        <v>6079</v>
      </c>
      <c r="B6081" t="s">
        <v>7988</v>
      </c>
      <c r="C6081" t="s">
        <v>40</v>
      </c>
      <c r="D6081">
        <v>0.171377829600799</v>
      </c>
    </row>
    <row r="6082" spans="1:4" hidden="1" x14ac:dyDescent="0.3">
      <c r="A6082">
        <v>6080</v>
      </c>
      <c r="B6082" t="s">
        <v>7989</v>
      </c>
      <c r="C6082" t="s">
        <v>42</v>
      </c>
      <c r="D6082">
        <v>0.43797142549081902</v>
      </c>
    </row>
    <row r="6083" spans="1:4" hidden="1" x14ac:dyDescent="0.3">
      <c r="A6083">
        <v>6081</v>
      </c>
      <c r="B6083" s="1" t="s">
        <v>7990</v>
      </c>
      <c r="C6083" t="s">
        <v>159</v>
      </c>
      <c r="D6083" s="1" t="s">
        <v>7991</v>
      </c>
    </row>
    <row r="6084" spans="1:4" hidden="1" x14ac:dyDescent="0.3">
      <c r="A6084">
        <v>6082</v>
      </c>
      <c r="B6084" t="s">
        <v>7992</v>
      </c>
      <c r="C6084" t="s">
        <v>161</v>
      </c>
      <c r="D6084">
        <v>0.99648369658276403</v>
      </c>
    </row>
    <row r="6085" spans="1:4" hidden="1" x14ac:dyDescent="0.3">
      <c r="A6085">
        <v>6083</v>
      </c>
      <c r="B6085" t="s">
        <v>7993</v>
      </c>
      <c r="C6085" t="s">
        <v>163</v>
      </c>
      <c r="D6085">
        <v>0.99785590173063399</v>
      </c>
    </row>
    <row r="6086" spans="1:4" hidden="1" x14ac:dyDescent="0.3">
      <c r="A6086">
        <v>6084</v>
      </c>
      <c r="B6086" s="1" t="s">
        <v>7994</v>
      </c>
      <c r="C6086" t="s">
        <v>165</v>
      </c>
      <c r="D6086" s="1" t="s">
        <v>7995</v>
      </c>
    </row>
    <row r="6087" spans="1:4" hidden="1" x14ac:dyDescent="0.3">
      <c r="A6087">
        <v>6085</v>
      </c>
      <c r="B6087" t="s">
        <v>7996</v>
      </c>
      <c r="C6087" t="s">
        <v>168</v>
      </c>
      <c r="D6087">
        <v>0.99925836869546303</v>
      </c>
    </row>
    <row r="6088" spans="1:4" hidden="1" x14ac:dyDescent="0.3">
      <c r="A6088">
        <v>6086</v>
      </c>
      <c r="B6088" t="s">
        <v>7997</v>
      </c>
      <c r="C6088" t="s">
        <v>170</v>
      </c>
      <c r="D6088">
        <v>1.00099077875345</v>
      </c>
    </row>
    <row r="6089" spans="1:4" hidden="1" x14ac:dyDescent="0.3">
      <c r="A6089">
        <v>6087</v>
      </c>
      <c r="B6089" s="1" t="s">
        <v>7998</v>
      </c>
      <c r="C6089" t="s">
        <v>172</v>
      </c>
      <c r="D6089" s="1" t="s">
        <v>7999</v>
      </c>
    </row>
    <row r="6090" spans="1:4" hidden="1" x14ac:dyDescent="0.3">
      <c r="A6090">
        <v>6088</v>
      </c>
      <c r="B6090" s="1" t="s">
        <v>8000</v>
      </c>
      <c r="C6090" t="s">
        <v>55</v>
      </c>
      <c r="D6090" s="1" t="s">
        <v>8001</v>
      </c>
    </row>
    <row r="6091" spans="1:4" hidden="1" x14ac:dyDescent="0.3">
      <c r="A6091">
        <v>6089</v>
      </c>
      <c r="B6091" s="1" t="s">
        <v>8002</v>
      </c>
      <c r="C6091" t="s">
        <v>52</v>
      </c>
      <c r="D6091" s="1" t="s">
        <v>8003</v>
      </c>
    </row>
    <row r="6092" spans="1:4" hidden="1" x14ac:dyDescent="0.3">
      <c r="A6092">
        <v>6090</v>
      </c>
      <c r="B6092" s="1" t="s">
        <v>8004</v>
      </c>
      <c r="C6092" t="s">
        <v>58</v>
      </c>
      <c r="D6092" s="1" t="s">
        <v>8005</v>
      </c>
    </row>
    <row r="6093" spans="1:4" hidden="1" x14ac:dyDescent="0.3">
      <c r="A6093">
        <v>6091</v>
      </c>
      <c r="B6093" t="s">
        <v>8006</v>
      </c>
      <c r="C6093" t="s">
        <v>61</v>
      </c>
      <c r="D6093">
        <v>135576952.93635699</v>
      </c>
    </row>
    <row r="6094" spans="1:4" hidden="1" x14ac:dyDescent="0.3">
      <c r="A6094">
        <v>6092</v>
      </c>
      <c r="B6094" t="s">
        <v>8007</v>
      </c>
      <c r="C6094" t="s">
        <v>63</v>
      </c>
      <c r="D6094">
        <v>71178781.902277604</v>
      </c>
    </row>
    <row r="6095" spans="1:4" hidden="1" x14ac:dyDescent="0.3">
      <c r="A6095">
        <v>6093</v>
      </c>
      <c r="B6095" t="s">
        <v>8008</v>
      </c>
      <c r="C6095" t="s">
        <v>65</v>
      </c>
      <c r="D6095">
        <v>33799972.532715604</v>
      </c>
    </row>
    <row r="6096" spans="1:4" hidden="1" x14ac:dyDescent="0.3">
      <c r="A6096">
        <v>6094</v>
      </c>
      <c r="B6096" s="1" t="s">
        <v>8009</v>
      </c>
      <c r="C6096" t="s">
        <v>67</v>
      </c>
      <c r="D6096" s="1" t="s">
        <v>8010</v>
      </c>
    </row>
    <row r="6097" spans="1:4" hidden="1" x14ac:dyDescent="0.3">
      <c r="A6097">
        <v>6095</v>
      </c>
      <c r="B6097" s="1" t="s">
        <v>8011</v>
      </c>
      <c r="C6097" t="s">
        <v>70</v>
      </c>
      <c r="D6097" s="1" t="s">
        <v>8012</v>
      </c>
    </row>
    <row r="6098" spans="1:4" hidden="1" x14ac:dyDescent="0.3">
      <c r="A6098">
        <v>6096</v>
      </c>
      <c r="B6098" t="s">
        <v>8013</v>
      </c>
      <c r="C6098" t="s">
        <v>73</v>
      </c>
      <c r="D6098">
        <v>0.99982861839422299</v>
      </c>
    </row>
    <row r="6099" spans="1:4" hidden="1" x14ac:dyDescent="0.3">
      <c r="A6099">
        <v>6097</v>
      </c>
      <c r="B6099" t="s">
        <v>74</v>
      </c>
      <c r="C6099" t="s">
        <v>75</v>
      </c>
      <c r="D6099">
        <v>2.7397260273972599E-3</v>
      </c>
    </row>
    <row r="6100" spans="1:4" hidden="1" x14ac:dyDescent="0.3">
      <c r="A6100">
        <v>6098</v>
      </c>
      <c r="B6100" t="s">
        <v>76</v>
      </c>
      <c r="C6100" t="s">
        <v>77</v>
      </c>
      <c r="D6100">
        <v>0</v>
      </c>
    </row>
    <row r="6101" spans="1:4" hidden="1" x14ac:dyDescent="0.3">
      <c r="A6101">
        <v>6099</v>
      </c>
      <c r="B6101" t="s">
        <v>78</v>
      </c>
      <c r="C6101" t="s">
        <v>79</v>
      </c>
      <c r="D6101">
        <v>0</v>
      </c>
    </row>
    <row r="6102" spans="1:4" hidden="1" x14ac:dyDescent="0.3">
      <c r="A6102">
        <v>6100</v>
      </c>
      <c r="B6102" s="1" t="s">
        <v>8014</v>
      </c>
      <c r="C6102" t="s">
        <v>81</v>
      </c>
      <c r="D6102" s="1" t="s">
        <v>8015</v>
      </c>
    </row>
    <row r="6103" spans="1:4" hidden="1" x14ac:dyDescent="0.3">
      <c r="A6103">
        <v>6101</v>
      </c>
      <c r="B6103" t="s">
        <v>8016</v>
      </c>
      <c r="C6103" t="s">
        <v>84</v>
      </c>
      <c r="D6103">
        <v>0.99979446369867198</v>
      </c>
    </row>
    <row r="6104" spans="1:4" hidden="1" x14ac:dyDescent="0.3">
      <c r="A6104">
        <v>6102</v>
      </c>
      <c r="B6104" s="1" t="s">
        <v>8017</v>
      </c>
      <c r="C6104" t="s">
        <v>86</v>
      </c>
      <c r="D6104" s="1" t="s">
        <v>8018</v>
      </c>
    </row>
    <row r="6105" spans="1:4" hidden="1" x14ac:dyDescent="0.3">
      <c r="A6105">
        <v>6103</v>
      </c>
      <c r="B6105" t="s">
        <v>8019</v>
      </c>
      <c r="C6105" t="s">
        <v>89</v>
      </c>
      <c r="D6105">
        <v>103014586.93167099</v>
      </c>
    </row>
    <row r="6106" spans="1:4" hidden="1" x14ac:dyDescent="0.3">
      <c r="A6106">
        <v>6104</v>
      </c>
      <c r="B6106" s="1" t="s">
        <v>8020</v>
      </c>
      <c r="C6106" t="s">
        <v>91</v>
      </c>
      <c r="D6106" s="1" t="s">
        <v>7954</v>
      </c>
    </row>
    <row r="6107" spans="1:4" hidden="1" x14ac:dyDescent="0.3">
      <c r="A6107">
        <v>6105</v>
      </c>
      <c r="B6107" t="s">
        <v>8021</v>
      </c>
      <c r="C6107" t="s">
        <v>94</v>
      </c>
      <c r="D6107">
        <v>71178781.902277604</v>
      </c>
    </row>
    <row r="6108" spans="1:4" hidden="1" x14ac:dyDescent="0.3">
      <c r="A6108">
        <v>6106</v>
      </c>
      <c r="B6108" t="s">
        <v>8022</v>
      </c>
      <c r="C6108" t="s">
        <v>96</v>
      </c>
      <c r="D6108">
        <v>33799972.532715604</v>
      </c>
    </row>
    <row r="6109" spans="1:4" hidden="1" x14ac:dyDescent="0.3">
      <c r="A6109">
        <v>6107</v>
      </c>
      <c r="B6109" t="s">
        <v>8023</v>
      </c>
      <c r="C6109" t="s">
        <v>98</v>
      </c>
      <c r="D6109">
        <v>30598198.501364399</v>
      </c>
    </row>
    <row r="6110" spans="1:4" hidden="1" x14ac:dyDescent="0.3">
      <c r="A6110">
        <v>6108</v>
      </c>
      <c r="B6110" s="1" t="s">
        <v>8024</v>
      </c>
      <c r="C6110" t="s">
        <v>100</v>
      </c>
      <c r="D6110" s="1" t="s">
        <v>8025</v>
      </c>
    </row>
    <row r="6111" spans="1:4" hidden="1" x14ac:dyDescent="0.3">
      <c r="A6111">
        <v>6109</v>
      </c>
      <c r="B6111" t="s">
        <v>8026</v>
      </c>
      <c r="C6111" t="s">
        <v>103</v>
      </c>
      <c r="D6111">
        <v>9.0605523307454496E-3</v>
      </c>
    </row>
    <row r="6112" spans="1:4" hidden="1" x14ac:dyDescent="0.3">
      <c r="A6112">
        <v>6110</v>
      </c>
      <c r="B6112" t="s">
        <v>8027</v>
      </c>
      <c r="C6112" t="s">
        <v>105</v>
      </c>
      <c r="D6112">
        <v>3.1656630124872898E-3</v>
      </c>
    </row>
    <row r="6113" spans="1:4" hidden="1" x14ac:dyDescent="0.3">
      <c r="A6113">
        <v>6111</v>
      </c>
      <c r="B6113" t="s">
        <v>8028</v>
      </c>
      <c r="C6113" t="s">
        <v>107</v>
      </c>
      <c r="D6113">
        <v>1.5220329043756E-2</v>
      </c>
    </row>
    <row r="6114" spans="1:4" hidden="1" x14ac:dyDescent="0.3">
      <c r="A6114">
        <v>6112</v>
      </c>
      <c r="B6114" s="1" t="s">
        <v>8029</v>
      </c>
      <c r="C6114" t="s">
        <v>109</v>
      </c>
      <c r="D6114" s="1" t="s">
        <v>8030</v>
      </c>
    </row>
    <row r="6115" spans="1:4" hidden="1" x14ac:dyDescent="0.3">
      <c r="A6115">
        <v>6113</v>
      </c>
      <c r="B6115" t="s">
        <v>8031</v>
      </c>
      <c r="C6115" t="s">
        <v>208</v>
      </c>
      <c r="D6115">
        <v>135575743.89346099</v>
      </c>
    </row>
    <row r="6116" spans="1:4" hidden="1" x14ac:dyDescent="0.3">
      <c r="A6116">
        <v>6114</v>
      </c>
      <c r="B6116" t="s">
        <v>8032</v>
      </c>
      <c r="C6116" t="s">
        <v>210</v>
      </c>
      <c r="D6116">
        <v>2431.47675353774</v>
      </c>
    </row>
    <row r="6117" spans="1:4" hidden="1" x14ac:dyDescent="0.3">
      <c r="A6117">
        <v>6115</v>
      </c>
      <c r="B6117" t="s">
        <v>8033</v>
      </c>
      <c r="C6117" t="s">
        <v>212</v>
      </c>
      <c r="D6117">
        <v>1154.6181745246199</v>
      </c>
    </row>
    <row r="6118" spans="1:4" hidden="1" x14ac:dyDescent="0.3">
      <c r="A6118">
        <v>6116</v>
      </c>
      <c r="B6118" s="1" t="s">
        <v>8034</v>
      </c>
      <c r="C6118" t="s">
        <v>214</v>
      </c>
      <c r="D6118" s="1" t="s">
        <v>8035</v>
      </c>
    </row>
    <row r="6119" spans="1:4" hidden="1" x14ac:dyDescent="0.3">
      <c r="A6119">
        <v>6117</v>
      </c>
      <c r="B6119" t="s">
        <v>8036</v>
      </c>
      <c r="C6119" t="s">
        <v>217</v>
      </c>
      <c r="D6119">
        <v>71175484.294101596</v>
      </c>
    </row>
    <row r="6120" spans="1:4" hidden="1" x14ac:dyDescent="0.3">
      <c r="A6120">
        <v>6118</v>
      </c>
      <c r="B6120" t="s">
        <v>8037</v>
      </c>
      <c r="C6120" t="s">
        <v>219</v>
      </c>
      <c r="D6120">
        <v>33798598.990095399</v>
      </c>
    </row>
    <row r="6121" spans="1:4" hidden="1" x14ac:dyDescent="0.3">
      <c r="A6121">
        <v>6119</v>
      </c>
      <c r="B6121" t="s">
        <v>8038</v>
      </c>
      <c r="C6121" t="s">
        <v>221</v>
      </c>
      <c r="D6121">
        <v>30597029.267280199</v>
      </c>
    </row>
    <row r="6122" spans="1:4" hidden="1" x14ac:dyDescent="0.3">
      <c r="A6122">
        <v>6120</v>
      </c>
      <c r="B6122" s="1" t="s">
        <v>8039</v>
      </c>
      <c r="C6122" t="s">
        <v>223</v>
      </c>
      <c r="D6122" s="1" t="s">
        <v>8040</v>
      </c>
    </row>
    <row r="6123" spans="1:4" hidden="1" x14ac:dyDescent="0.3">
      <c r="A6123">
        <v>6121</v>
      </c>
      <c r="B6123" t="s">
        <v>8041</v>
      </c>
      <c r="C6123" t="s">
        <v>226</v>
      </c>
      <c r="D6123">
        <v>103011067.89671899</v>
      </c>
    </row>
    <row r="6124" spans="1:4" hidden="1" x14ac:dyDescent="0.3">
      <c r="A6124">
        <v>6122</v>
      </c>
      <c r="B6124" t="s">
        <v>8042</v>
      </c>
      <c r="C6124" t="s">
        <v>228</v>
      </c>
      <c r="D6124">
        <v>3519.0349518805701</v>
      </c>
    </row>
    <row r="6125" spans="1:4" hidden="1" x14ac:dyDescent="0.3">
      <c r="A6125">
        <v>6123</v>
      </c>
      <c r="B6125" s="1" t="s">
        <v>8043</v>
      </c>
      <c r="C6125" t="s">
        <v>230</v>
      </c>
      <c r="D6125" s="1" t="s">
        <v>8044</v>
      </c>
    </row>
    <row r="6126" spans="1:4" hidden="1" x14ac:dyDescent="0.3">
      <c r="A6126">
        <v>6124</v>
      </c>
      <c r="B6126" t="s">
        <v>8045</v>
      </c>
      <c r="C6126" t="s">
        <v>112</v>
      </c>
      <c r="D6126">
        <v>-866.13142249910402</v>
      </c>
    </row>
    <row r="6127" spans="1:4" hidden="1" x14ac:dyDescent="0.3">
      <c r="A6127">
        <v>6125</v>
      </c>
      <c r="B6127" t="s">
        <v>8046</v>
      </c>
      <c r="C6127" t="s">
        <v>114</v>
      </c>
      <c r="D6127">
        <v>-218.92444558999199</v>
      </c>
    </row>
    <row r="6128" spans="1:4" hidden="1" x14ac:dyDescent="0.3">
      <c r="A6128">
        <v>6126</v>
      </c>
      <c r="B6128" s="1" t="s">
        <v>8047</v>
      </c>
      <c r="C6128" t="s">
        <v>116</v>
      </c>
      <c r="D6128" s="1" t="s">
        <v>8048</v>
      </c>
    </row>
    <row r="6129" spans="1:4" hidden="1" x14ac:dyDescent="0.3">
      <c r="A6129">
        <v>6127</v>
      </c>
      <c r="B6129" t="s">
        <v>8049</v>
      </c>
      <c r="C6129" t="s">
        <v>119</v>
      </c>
      <c r="D6129">
        <v>71175484.294101596</v>
      </c>
    </row>
    <row r="6130" spans="1:4" hidden="1" x14ac:dyDescent="0.3">
      <c r="A6130">
        <v>6128</v>
      </c>
      <c r="B6130" t="s">
        <v>8050</v>
      </c>
      <c r="C6130" t="s">
        <v>121</v>
      </c>
      <c r="D6130">
        <v>33798598.990095399</v>
      </c>
    </row>
    <row r="6131" spans="1:4" hidden="1" x14ac:dyDescent="0.3">
      <c r="A6131">
        <v>6129</v>
      </c>
      <c r="B6131" s="1" t="s">
        <v>8051</v>
      </c>
      <c r="C6131" t="s">
        <v>123</v>
      </c>
      <c r="D6131" s="1" t="s">
        <v>8052</v>
      </c>
    </row>
    <row r="6132" spans="1:4" hidden="1" x14ac:dyDescent="0.3">
      <c r="A6132">
        <v>6130</v>
      </c>
      <c r="B6132" t="s">
        <v>8053</v>
      </c>
      <c r="C6132" t="s">
        <v>126</v>
      </c>
      <c r="D6132">
        <v>0.69109191760543498</v>
      </c>
    </row>
    <row r="6133" spans="1:4" hidden="1" x14ac:dyDescent="0.3">
      <c r="A6133">
        <v>6131</v>
      </c>
      <c r="B6133" t="s">
        <v>8054</v>
      </c>
      <c r="C6133" t="s">
        <v>128</v>
      </c>
      <c r="D6133">
        <v>0.32817393264126898</v>
      </c>
    </row>
    <row r="6134" spans="1:4" hidden="1" x14ac:dyDescent="0.3">
      <c r="A6134">
        <v>6132</v>
      </c>
      <c r="B6134" s="1" t="s">
        <v>8055</v>
      </c>
      <c r="C6134" t="s">
        <v>130</v>
      </c>
      <c r="D6134" s="1" t="s">
        <v>8056</v>
      </c>
    </row>
    <row r="6135" spans="1:4" ht="72" x14ac:dyDescent="0.3">
      <c r="A6135">
        <v>6133</v>
      </c>
      <c r="B6135" s="1" t="s">
        <v>8057</v>
      </c>
      <c r="C6135" t="s">
        <v>4</v>
      </c>
      <c r="D6135" t="s">
        <v>8058</v>
      </c>
    </row>
    <row r="6136" spans="1:4" hidden="1" x14ac:dyDescent="0.3">
      <c r="A6136">
        <v>6134</v>
      </c>
      <c r="B6136" t="s">
        <v>8059</v>
      </c>
      <c r="C6136" t="s">
        <v>7</v>
      </c>
      <c r="D6136">
        <v>1681.87</v>
      </c>
    </row>
    <row r="6137" spans="1:4" hidden="1" x14ac:dyDescent="0.3">
      <c r="A6137">
        <v>6135</v>
      </c>
      <c r="B6137" s="1" t="s">
        <v>8060</v>
      </c>
      <c r="C6137" t="s">
        <v>9</v>
      </c>
      <c r="D6137" s="1" t="s">
        <v>8061</v>
      </c>
    </row>
    <row r="6138" spans="1:4" hidden="1" x14ac:dyDescent="0.3">
      <c r="A6138">
        <v>6136</v>
      </c>
      <c r="B6138" t="s">
        <v>8062</v>
      </c>
      <c r="C6138" t="s">
        <v>14</v>
      </c>
      <c r="D6138">
        <v>87.8828125</v>
      </c>
    </row>
    <row r="6139" spans="1:4" hidden="1" x14ac:dyDescent="0.3">
      <c r="A6139">
        <v>6137</v>
      </c>
      <c r="B6139" t="s">
        <v>8063</v>
      </c>
      <c r="C6139" t="s">
        <v>16</v>
      </c>
      <c r="D6139">
        <v>4.2041465271187999</v>
      </c>
    </row>
    <row r="6140" spans="1:4" hidden="1" x14ac:dyDescent="0.3">
      <c r="A6140">
        <v>6138</v>
      </c>
      <c r="B6140" s="1" t="s">
        <v>8064</v>
      </c>
      <c r="C6140" t="s">
        <v>140</v>
      </c>
      <c r="D6140" s="1" t="s">
        <v>8065</v>
      </c>
    </row>
    <row r="6141" spans="1:4" hidden="1" x14ac:dyDescent="0.3">
      <c r="A6141">
        <v>6139</v>
      </c>
      <c r="B6141" t="s">
        <v>8066</v>
      </c>
      <c r="C6141" t="s">
        <v>22</v>
      </c>
      <c r="D6141">
        <v>49.8</v>
      </c>
    </row>
    <row r="6142" spans="1:4" hidden="1" x14ac:dyDescent="0.3">
      <c r="A6142">
        <v>6140</v>
      </c>
      <c r="B6142" t="s">
        <v>8067</v>
      </c>
      <c r="C6142" t="s">
        <v>24</v>
      </c>
      <c r="D6142">
        <v>5.2944518644985896</v>
      </c>
    </row>
    <row r="6143" spans="1:4" hidden="1" x14ac:dyDescent="0.3">
      <c r="A6143">
        <v>6141</v>
      </c>
      <c r="B6143" s="1" t="s">
        <v>8068</v>
      </c>
      <c r="C6143" t="s">
        <v>145</v>
      </c>
      <c r="D6143" s="1" t="s">
        <v>8069</v>
      </c>
    </row>
    <row r="6144" spans="1:4" hidden="1" x14ac:dyDescent="0.3">
      <c r="A6144">
        <v>6142</v>
      </c>
      <c r="B6144" t="s">
        <v>8070</v>
      </c>
      <c r="C6144" t="s">
        <v>35</v>
      </c>
      <c r="D6144">
        <v>2.7403792454990201</v>
      </c>
    </row>
    <row r="6145" spans="1:4" hidden="1" x14ac:dyDescent="0.3">
      <c r="A6145">
        <v>6143</v>
      </c>
      <c r="B6145" t="s">
        <v>8071</v>
      </c>
      <c r="C6145" t="s">
        <v>149</v>
      </c>
      <c r="D6145">
        <v>0.53387105099532395</v>
      </c>
    </row>
    <row r="6146" spans="1:4" hidden="1" x14ac:dyDescent="0.3">
      <c r="A6146">
        <v>6144</v>
      </c>
      <c r="B6146" s="1" t="s">
        <v>8072</v>
      </c>
      <c r="C6146" t="s">
        <v>151</v>
      </c>
      <c r="D6146" s="1" t="s">
        <v>8073</v>
      </c>
    </row>
    <row r="6147" spans="1:4" hidden="1" x14ac:dyDescent="0.3">
      <c r="A6147">
        <v>6145</v>
      </c>
      <c r="B6147" t="s">
        <v>8074</v>
      </c>
      <c r="C6147" t="s">
        <v>30</v>
      </c>
      <c r="D6147">
        <v>-0.75344206064719799</v>
      </c>
    </row>
    <row r="6148" spans="1:4" hidden="1" x14ac:dyDescent="0.3">
      <c r="A6148">
        <v>6146</v>
      </c>
      <c r="B6148" t="s">
        <v>8075</v>
      </c>
      <c r="C6148" t="s">
        <v>32</v>
      </c>
      <c r="D6148">
        <v>0.42547783997303201</v>
      </c>
    </row>
    <row r="6149" spans="1:4" hidden="1" x14ac:dyDescent="0.3">
      <c r="A6149">
        <v>6147</v>
      </c>
      <c r="B6149" s="1" t="s">
        <v>8076</v>
      </c>
      <c r="C6149" t="s">
        <v>155</v>
      </c>
      <c r="D6149" s="1" t="s">
        <v>8077</v>
      </c>
    </row>
    <row r="6150" spans="1:4" hidden="1" x14ac:dyDescent="0.3">
      <c r="A6150">
        <v>6148</v>
      </c>
      <c r="B6150" t="s">
        <v>8078</v>
      </c>
      <c r="C6150" t="s">
        <v>40</v>
      </c>
      <c r="D6150">
        <v>-0.98693718485182502</v>
      </c>
    </row>
    <row r="6151" spans="1:4" hidden="1" x14ac:dyDescent="0.3">
      <c r="A6151">
        <v>6149</v>
      </c>
      <c r="B6151" t="s">
        <v>8079</v>
      </c>
      <c r="C6151" t="s">
        <v>42</v>
      </c>
      <c r="D6151">
        <v>0.447633650405862</v>
      </c>
    </row>
    <row r="6152" spans="1:4" hidden="1" x14ac:dyDescent="0.3">
      <c r="A6152">
        <v>6150</v>
      </c>
      <c r="B6152" s="1" t="s">
        <v>8080</v>
      </c>
      <c r="C6152" t="s">
        <v>159</v>
      </c>
      <c r="D6152" s="1" t="s">
        <v>8081</v>
      </c>
    </row>
    <row r="6153" spans="1:4" hidden="1" x14ac:dyDescent="0.3">
      <c r="A6153">
        <v>6151</v>
      </c>
      <c r="B6153" t="s">
        <v>8082</v>
      </c>
      <c r="C6153" t="s">
        <v>161</v>
      </c>
      <c r="D6153">
        <v>1.0321450269716199</v>
      </c>
    </row>
    <row r="6154" spans="1:4" hidden="1" x14ac:dyDescent="0.3">
      <c r="A6154">
        <v>6152</v>
      </c>
      <c r="B6154" t="s">
        <v>8083</v>
      </c>
      <c r="C6154" t="s">
        <v>163</v>
      </c>
      <c r="D6154">
        <v>1.00184044493309</v>
      </c>
    </row>
    <row r="6155" spans="1:4" hidden="1" x14ac:dyDescent="0.3">
      <c r="A6155">
        <v>6153</v>
      </c>
      <c r="B6155" s="1" t="s">
        <v>8084</v>
      </c>
      <c r="C6155" t="s">
        <v>165</v>
      </c>
      <c r="D6155" s="1" t="s">
        <v>8085</v>
      </c>
    </row>
    <row r="6156" spans="1:4" hidden="1" x14ac:dyDescent="0.3">
      <c r="A6156">
        <v>6154</v>
      </c>
      <c r="B6156" t="s">
        <v>8086</v>
      </c>
      <c r="C6156" t="s">
        <v>168</v>
      </c>
      <c r="D6156">
        <v>0.99797871845813901</v>
      </c>
    </row>
    <row r="6157" spans="1:4" hidden="1" x14ac:dyDescent="0.3">
      <c r="A6157">
        <v>6155</v>
      </c>
      <c r="B6157" t="s">
        <v>8087</v>
      </c>
      <c r="C6157" t="s">
        <v>170</v>
      </c>
      <c r="D6157">
        <v>1.0008246784827599</v>
      </c>
    </row>
    <row r="6158" spans="1:4" hidden="1" x14ac:dyDescent="0.3">
      <c r="A6158">
        <v>6156</v>
      </c>
      <c r="B6158" s="1" t="s">
        <v>8088</v>
      </c>
      <c r="C6158" t="s">
        <v>172</v>
      </c>
      <c r="D6158" s="1" t="s">
        <v>8089</v>
      </c>
    </row>
    <row r="6159" spans="1:4" hidden="1" x14ac:dyDescent="0.3">
      <c r="A6159">
        <v>6157</v>
      </c>
      <c r="B6159" s="1" t="s">
        <v>8090</v>
      </c>
      <c r="C6159" t="s">
        <v>55</v>
      </c>
      <c r="D6159" s="1" t="s">
        <v>8091</v>
      </c>
    </row>
    <row r="6160" spans="1:4" hidden="1" x14ac:dyDescent="0.3">
      <c r="A6160">
        <v>6158</v>
      </c>
      <c r="B6160" s="1" t="s">
        <v>8092</v>
      </c>
      <c r="C6160" t="s">
        <v>52</v>
      </c>
      <c r="D6160" s="1" t="s">
        <v>8093</v>
      </c>
    </row>
    <row r="6161" spans="1:4" hidden="1" x14ac:dyDescent="0.3">
      <c r="A6161">
        <v>6159</v>
      </c>
      <c r="B6161" s="1" t="s">
        <v>8094</v>
      </c>
      <c r="C6161" t="s">
        <v>58</v>
      </c>
      <c r="D6161" s="1" t="s">
        <v>8095</v>
      </c>
    </row>
    <row r="6162" spans="1:4" hidden="1" x14ac:dyDescent="0.3">
      <c r="A6162">
        <v>6160</v>
      </c>
      <c r="B6162" t="s">
        <v>8096</v>
      </c>
      <c r="C6162" t="s">
        <v>61</v>
      </c>
      <c r="D6162">
        <v>138424379.703614</v>
      </c>
    </row>
    <row r="6163" spans="1:4" hidden="1" x14ac:dyDescent="0.3">
      <c r="A6163">
        <v>6161</v>
      </c>
      <c r="B6163" t="s">
        <v>8097</v>
      </c>
      <c r="C6163" t="s">
        <v>63</v>
      </c>
      <c r="D6163">
        <v>73463422.156454206</v>
      </c>
    </row>
    <row r="6164" spans="1:4" hidden="1" x14ac:dyDescent="0.3">
      <c r="A6164">
        <v>6162</v>
      </c>
      <c r="B6164" t="s">
        <v>8098</v>
      </c>
      <c r="C6164" t="s">
        <v>65</v>
      </c>
      <c r="D6164">
        <v>33860803.450352401</v>
      </c>
    </row>
    <row r="6165" spans="1:4" hidden="1" x14ac:dyDescent="0.3">
      <c r="A6165">
        <v>6163</v>
      </c>
      <c r="B6165" s="1" t="s">
        <v>8099</v>
      </c>
      <c r="C6165" t="s">
        <v>67</v>
      </c>
      <c r="D6165" s="1" t="s">
        <v>8100</v>
      </c>
    </row>
    <row r="6166" spans="1:4" hidden="1" x14ac:dyDescent="0.3">
      <c r="A6166">
        <v>6164</v>
      </c>
      <c r="B6166" s="1" t="s">
        <v>8101</v>
      </c>
      <c r="C6166" t="s">
        <v>70</v>
      </c>
      <c r="D6166" s="1" t="s">
        <v>8102</v>
      </c>
    </row>
    <row r="6167" spans="1:4" hidden="1" x14ac:dyDescent="0.3">
      <c r="A6167">
        <v>6165</v>
      </c>
      <c r="B6167" t="s">
        <v>8103</v>
      </c>
      <c r="C6167" t="s">
        <v>73</v>
      </c>
      <c r="D6167">
        <v>0.99979446369867198</v>
      </c>
    </row>
    <row r="6168" spans="1:4" hidden="1" x14ac:dyDescent="0.3">
      <c r="A6168">
        <v>6166</v>
      </c>
      <c r="B6168" t="s">
        <v>74</v>
      </c>
      <c r="C6168" t="s">
        <v>75</v>
      </c>
      <c r="D6168">
        <v>2.7397260273972599E-3</v>
      </c>
    </row>
    <row r="6169" spans="1:4" hidden="1" x14ac:dyDescent="0.3">
      <c r="A6169">
        <v>6167</v>
      </c>
      <c r="B6169" t="s">
        <v>76</v>
      </c>
      <c r="C6169" t="s">
        <v>77</v>
      </c>
      <c r="D6169">
        <v>0</v>
      </c>
    </row>
    <row r="6170" spans="1:4" hidden="1" x14ac:dyDescent="0.3">
      <c r="A6170">
        <v>6168</v>
      </c>
      <c r="B6170" t="s">
        <v>78</v>
      </c>
      <c r="C6170" t="s">
        <v>79</v>
      </c>
      <c r="D6170">
        <v>0</v>
      </c>
    </row>
    <row r="6171" spans="1:4" hidden="1" x14ac:dyDescent="0.3">
      <c r="A6171">
        <v>6169</v>
      </c>
      <c r="B6171" s="1" t="s">
        <v>8104</v>
      </c>
      <c r="C6171" t="s">
        <v>81</v>
      </c>
      <c r="D6171" s="1" t="s">
        <v>8105</v>
      </c>
    </row>
    <row r="6172" spans="1:4" hidden="1" x14ac:dyDescent="0.3">
      <c r="A6172">
        <v>6170</v>
      </c>
      <c r="B6172" t="s">
        <v>8106</v>
      </c>
      <c r="C6172" t="s">
        <v>84</v>
      </c>
      <c r="D6172">
        <v>0.999805638410314</v>
      </c>
    </row>
    <row r="6173" spans="1:4" hidden="1" x14ac:dyDescent="0.3">
      <c r="A6173">
        <v>6171</v>
      </c>
      <c r="B6173" s="1" t="s">
        <v>8107</v>
      </c>
      <c r="C6173" t="s">
        <v>86</v>
      </c>
      <c r="D6173" s="1" t="s">
        <v>8108</v>
      </c>
    </row>
    <row r="6174" spans="1:4" hidden="1" x14ac:dyDescent="0.3">
      <c r="A6174">
        <v>6172</v>
      </c>
      <c r="B6174" t="s">
        <v>8109</v>
      </c>
      <c r="C6174" t="s">
        <v>89</v>
      </c>
      <c r="D6174">
        <v>103013435.549582</v>
      </c>
    </row>
    <row r="6175" spans="1:4" hidden="1" x14ac:dyDescent="0.3">
      <c r="A6175">
        <v>6173</v>
      </c>
      <c r="B6175" s="1" t="s">
        <v>8110</v>
      </c>
      <c r="C6175" t="s">
        <v>91</v>
      </c>
      <c r="D6175" s="1" t="s">
        <v>8044</v>
      </c>
    </row>
    <row r="6176" spans="1:4" hidden="1" x14ac:dyDescent="0.3">
      <c r="A6176">
        <v>6174</v>
      </c>
      <c r="B6176" t="s">
        <v>8111</v>
      </c>
      <c r="C6176" t="s">
        <v>94</v>
      </c>
      <c r="D6176">
        <v>73463422.156454206</v>
      </c>
    </row>
    <row r="6177" spans="1:4" hidden="1" x14ac:dyDescent="0.3">
      <c r="A6177">
        <v>6175</v>
      </c>
      <c r="B6177" t="s">
        <v>8112</v>
      </c>
      <c r="C6177" t="s">
        <v>96</v>
      </c>
      <c r="D6177">
        <v>33860803.450352401</v>
      </c>
    </row>
    <row r="6178" spans="1:4" hidden="1" x14ac:dyDescent="0.3">
      <c r="A6178">
        <v>6176</v>
      </c>
      <c r="B6178" t="s">
        <v>8113</v>
      </c>
      <c r="C6178" t="s">
        <v>98</v>
      </c>
      <c r="D6178">
        <v>31100154.0968078</v>
      </c>
    </row>
    <row r="6179" spans="1:4" hidden="1" x14ac:dyDescent="0.3">
      <c r="A6179">
        <v>6177</v>
      </c>
      <c r="B6179" s="1" t="s">
        <v>8114</v>
      </c>
      <c r="C6179" t="s">
        <v>100</v>
      </c>
      <c r="D6179" s="1" t="s">
        <v>8115</v>
      </c>
    </row>
    <row r="6180" spans="1:4" hidden="1" x14ac:dyDescent="0.3">
      <c r="A6180">
        <v>6178</v>
      </c>
      <c r="B6180" t="s">
        <v>8116</v>
      </c>
      <c r="C6180" t="s">
        <v>103</v>
      </c>
      <c r="D6180">
        <v>9.0618833527439206E-3</v>
      </c>
    </row>
    <row r="6181" spans="1:4" hidden="1" x14ac:dyDescent="0.3">
      <c r="A6181">
        <v>6179</v>
      </c>
      <c r="B6181" t="s">
        <v>8117</v>
      </c>
      <c r="C6181" t="s">
        <v>105</v>
      </c>
      <c r="D6181">
        <v>3.17303946175261E-3</v>
      </c>
    </row>
    <row r="6182" spans="1:4" hidden="1" x14ac:dyDescent="0.3">
      <c r="A6182">
        <v>6180</v>
      </c>
      <c r="B6182" t="s">
        <v>8118</v>
      </c>
      <c r="C6182" t="s">
        <v>107</v>
      </c>
      <c r="D6182">
        <v>1.54025444641952E-2</v>
      </c>
    </row>
    <row r="6183" spans="1:4" hidden="1" x14ac:dyDescent="0.3">
      <c r="A6183">
        <v>6181</v>
      </c>
      <c r="B6183" s="1" t="s">
        <v>8119</v>
      </c>
      <c r="C6183" t="s">
        <v>109</v>
      </c>
      <c r="D6183" s="1" t="s">
        <v>8120</v>
      </c>
    </row>
    <row r="6184" spans="1:4" hidden="1" x14ac:dyDescent="0.3">
      <c r="A6184">
        <v>6182</v>
      </c>
      <c r="B6184" t="s">
        <v>8121</v>
      </c>
      <c r="C6184" t="s">
        <v>208</v>
      </c>
      <c r="D6184">
        <v>138424774.17143101</v>
      </c>
    </row>
    <row r="6185" spans="1:4" hidden="1" x14ac:dyDescent="0.3">
      <c r="A6185">
        <v>6183</v>
      </c>
      <c r="B6185" t="s">
        <v>8122</v>
      </c>
      <c r="C6185" t="s">
        <v>210</v>
      </c>
      <c r="D6185">
        <v>-821.104379798374</v>
      </c>
    </row>
    <row r="6186" spans="1:4" hidden="1" x14ac:dyDescent="0.3">
      <c r="A6186">
        <v>6184</v>
      </c>
      <c r="B6186" t="s">
        <v>8123</v>
      </c>
      <c r="C6186" t="s">
        <v>212</v>
      </c>
      <c r="D6186">
        <v>-378.46325909332302</v>
      </c>
    </row>
    <row r="6187" spans="1:4" hidden="1" x14ac:dyDescent="0.3">
      <c r="A6187">
        <v>6185</v>
      </c>
      <c r="B6187" s="1" t="s">
        <v>8124</v>
      </c>
      <c r="C6187" t="s">
        <v>214</v>
      </c>
      <c r="D6187" s="1" t="s">
        <v>8125</v>
      </c>
    </row>
    <row r="6188" spans="1:4" hidden="1" x14ac:dyDescent="0.3">
      <c r="A6188">
        <v>6186</v>
      </c>
      <c r="B6188" t="s">
        <v>8126</v>
      </c>
      <c r="C6188" t="s">
        <v>217</v>
      </c>
      <c r="D6188">
        <v>73464516.575165495</v>
      </c>
    </row>
    <row r="6189" spans="1:4" hidden="1" x14ac:dyDescent="0.3">
      <c r="A6189">
        <v>6187</v>
      </c>
      <c r="B6189" t="s">
        <v>8127</v>
      </c>
      <c r="C6189" t="s">
        <v>219</v>
      </c>
      <c r="D6189">
        <v>33861249.622831002</v>
      </c>
    </row>
    <row r="6190" spans="1:4" hidden="1" x14ac:dyDescent="0.3">
      <c r="A6190">
        <v>6188</v>
      </c>
      <c r="B6190" t="s">
        <v>8128</v>
      </c>
      <c r="C6190" t="s">
        <v>221</v>
      </c>
      <c r="D6190">
        <v>31100555.148371</v>
      </c>
    </row>
    <row r="6191" spans="1:4" hidden="1" x14ac:dyDescent="0.3">
      <c r="A6191">
        <v>6189</v>
      </c>
      <c r="B6191" s="1" t="s">
        <v>8129</v>
      </c>
      <c r="C6191" t="s">
        <v>223</v>
      </c>
      <c r="D6191" s="1" t="s">
        <v>8130</v>
      </c>
    </row>
    <row r="6192" spans="1:4" hidden="1" x14ac:dyDescent="0.3">
      <c r="A6192">
        <v>6190</v>
      </c>
      <c r="B6192" t="s">
        <v>8131</v>
      </c>
      <c r="C6192" t="s">
        <v>226</v>
      </c>
      <c r="D6192">
        <v>103014586.93167099</v>
      </c>
    </row>
    <row r="6193" spans="1:4" hidden="1" x14ac:dyDescent="0.3">
      <c r="A6193">
        <v>6191</v>
      </c>
      <c r="B6193" t="s">
        <v>8132</v>
      </c>
      <c r="C6193" t="s">
        <v>228</v>
      </c>
      <c r="D6193">
        <v>-1151.3820883333599</v>
      </c>
    </row>
    <row r="6194" spans="1:4" hidden="1" x14ac:dyDescent="0.3">
      <c r="A6194">
        <v>6192</v>
      </c>
      <c r="B6194" s="1" t="s">
        <v>8133</v>
      </c>
      <c r="C6194" t="s">
        <v>230</v>
      </c>
      <c r="D6194" s="1" t="s">
        <v>8134</v>
      </c>
    </row>
    <row r="6195" spans="1:4" hidden="1" x14ac:dyDescent="0.3">
      <c r="A6195">
        <v>6193</v>
      </c>
      <c r="B6195" t="s">
        <v>8135</v>
      </c>
      <c r="C6195" t="s">
        <v>112</v>
      </c>
      <c r="D6195">
        <v>273.31433145159701</v>
      </c>
    </row>
    <row r="6196" spans="1:4" hidden="1" x14ac:dyDescent="0.3">
      <c r="A6196">
        <v>6194</v>
      </c>
      <c r="B6196" t="s">
        <v>8136</v>
      </c>
      <c r="C6196" t="s">
        <v>114</v>
      </c>
      <c r="D6196">
        <v>67.709219503798707</v>
      </c>
    </row>
    <row r="6197" spans="1:4" hidden="1" x14ac:dyDescent="0.3">
      <c r="A6197">
        <v>6195</v>
      </c>
      <c r="B6197" s="1" t="s">
        <v>8137</v>
      </c>
      <c r="C6197" t="s">
        <v>116</v>
      </c>
      <c r="D6197" s="1" t="s">
        <v>8138</v>
      </c>
    </row>
    <row r="6198" spans="1:4" hidden="1" x14ac:dyDescent="0.3">
      <c r="A6198">
        <v>6196</v>
      </c>
      <c r="B6198" t="s">
        <v>8139</v>
      </c>
      <c r="C6198" t="s">
        <v>119</v>
      </c>
      <c r="D6198">
        <v>73464516.575165495</v>
      </c>
    </row>
    <row r="6199" spans="1:4" hidden="1" x14ac:dyDescent="0.3">
      <c r="A6199">
        <v>6197</v>
      </c>
      <c r="B6199" t="s">
        <v>8140</v>
      </c>
      <c r="C6199" t="s">
        <v>121</v>
      </c>
      <c r="D6199">
        <v>33861249.622831002</v>
      </c>
    </row>
    <row r="6200" spans="1:4" hidden="1" x14ac:dyDescent="0.3">
      <c r="A6200">
        <v>6198</v>
      </c>
      <c r="B6200" s="1" t="s">
        <v>8141</v>
      </c>
      <c r="C6200" t="s">
        <v>123</v>
      </c>
      <c r="D6200" s="1" t="s">
        <v>8142</v>
      </c>
    </row>
    <row r="6201" spans="1:4" hidden="1" x14ac:dyDescent="0.3">
      <c r="A6201">
        <v>6199</v>
      </c>
      <c r="B6201" t="s">
        <v>8143</v>
      </c>
      <c r="C6201" t="s">
        <v>126</v>
      </c>
      <c r="D6201">
        <v>0.71328537268122105</v>
      </c>
    </row>
    <row r="6202" spans="1:4" hidden="1" x14ac:dyDescent="0.3">
      <c r="A6202">
        <v>6200</v>
      </c>
      <c r="B6202" t="s">
        <v>8144</v>
      </c>
      <c r="C6202" t="s">
        <v>128</v>
      </c>
      <c r="D6202">
        <v>0.32876734487132903</v>
      </c>
    </row>
    <row r="6203" spans="1:4" hidden="1" x14ac:dyDescent="0.3">
      <c r="A6203">
        <v>6201</v>
      </c>
      <c r="B6203" s="1" t="s">
        <v>8145</v>
      </c>
      <c r="C6203" t="s">
        <v>130</v>
      </c>
      <c r="D6203" s="1" t="s">
        <v>8146</v>
      </c>
    </row>
    <row r="6204" spans="1:4" ht="72" x14ac:dyDescent="0.3">
      <c r="A6204">
        <v>6202</v>
      </c>
      <c r="B6204" s="1" t="s">
        <v>8147</v>
      </c>
      <c r="C6204" t="s">
        <v>4</v>
      </c>
      <c r="D6204" t="s">
        <v>8148</v>
      </c>
    </row>
    <row r="6205" spans="1:4" hidden="1" x14ac:dyDescent="0.3">
      <c r="A6205">
        <v>6203</v>
      </c>
      <c r="B6205" t="s">
        <v>8149</v>
      </c>
      <c r="C6205" t="s">
        <v>7</v>
      </c>
      <c r="D6205">
        <v>1675.63</v>
      </c>
    </row>
    <row r="6206" spans="1:4" hidden="1" x14ac:dyDescent="0.3">
      <c r="A6206">
        <v>6204</v>
      </c>
      <c r="B6206" s="1" t="s">
        <v>8150</v>
      </c>
      <c r="C6206" t="s">
        <v>9</v>
      </c>
      <c r="D6206" s="1" t="s">
        <v>8151</v>
      </c>
    </row>
    <row r="6207" spans="1:4" hidden="1" x14ac:dyDescent="0.3">
      <c r="A6207">
        <v>6205</v>
      </c>
      <c r="B6207" t="s">
        <v>8152</v>
      </c>
      <c r="C6207" t="s">
        <v>14</v>
      </c>
      <c r="D6207">
        <v>87.75</v>
      </c>
    </row>
    <row r="6208" spans="1:4" hidden="1" x14ac:dyDescent="0.3">
      <c r="A6208">
        <v>6206</v>
      </c>
      <c r="B6208" t="s">
        <v>8153</v>
      </c>
      <c r="C6208" t="s">
        <v>16</v>
      </c>
      <c r="D6208">
        <v>4.2010447589800997</v>
      </c>
    </row>
    <row r="6209" spans="1:4" hidden="1" x14ac:dyDescent="0.3">
      <c r="A6209">
        <v>6207</v>
      </c>
      <c r="B6209" s="1" t="s">
        <v>8154</v>
      </c>
      <c r="C6209" t="s">
        <v>140</v>
      </c>
      <c r="D6209" s="1" t="s">
        <v>8155</v>
      </c>
    </row>
    <row r="6210" spans="1:4" hidden="1" x14ac:dyDescent="0.3">
      <c r="A6210">
        <v>6208</v>
      </c>
      <c r="B6210" t="s">
        <v>8156</v>
      </c>
      <c r="C6210" t="s">
        <v>22</v>
      </c>
      <c r="D6210">
        <v>51.75</v>
      </c>
    </row>
    <row r="6211" spans="1:4" hidden="1" x14ac:dyDescent="0.3">
      <c r="A6211">
        <v>6209</v>
      </c>
      <c r="B6211" t="s">
        <v>8157</v>
      </c>
      <c r="C6211" t="s">
        <v>24</v>
      </c>
      <c r="D6211">
        <v>5.0608926088761299</v>
      </c>
    </row>
    <row r="6212" spans="1:4" hidden="1" x14ac:dyDescent="0.3">
      <c r="A6212">
        <v>6210</v>
      </c>
      <c r="B6212" s="1" t="s">
        <v>8158</v>
      </c>
      <c r="C6212" t="s">
        <v>145</v>
      </c>
      <c r="D6212" s="1" t="s">
        <v>8159</v>
      </c>
    </row>
    <row r="6213" spans="1:4" hidden="1" x14ac:dyDescent="0.3">
      <c r="A6213">
        <v>6211</v>
      </c>
      <c r="B6213" t="s">
        <v>8160</v>
      </c>
      <c r="C6213" t="s">
        <v>35</v>
      </c>
      <c r="D6213">
        <v>-3.97478472992763</v>
      </c>
    </row>
    <row r="6214" spans="1:4" hidden="1" x14ac:dyDescent="0.3">
      <c r="A6214">
        <v>6212</v>
      </c>
      <c r="B6214" t="s">
        <v>8161</v>
      </c>
      <c r="C6214" t="s">
        <v>149</v>
      </c>
      <c r="D6214">
        <v>0.54146290731580304</v>
      </c>
    </row>
    <row r="6215" spans="1:4" hidden="1" x14ac:dyDescent="0.3">
      <c r="A6215">
        <v>6213</v>
      </c>
      <c r="B6215" s="1" t="s">
        <v>8162</v>
      </c>
      <c r="C6215" t="s">
        <v>151</v>
      </c>
      <c r="D6215" s="1" t="s">
        <v>8163</v>
      </c>
    </row>
    <row r="6216" spans="1:4" hidden="1" x14ac:dyDescent="0.3">
      <c r="A6216">
        <v>6214</v>
      </c>
      <c r="B6216" t="s">
        <v>8164</v>
      </c>
      <c r="C6216" t="s">
        <v>30</v>
      </c>
      <c r="D6216">
        <v>2.2165057141852298</v>
      </c>
    </row>
    <row r="6217" spans="1:4" hidden="1" x14ac:dyDescent="0.3">
      <c r="A6217">
        <v>6215</v>
      </c>
      <c r="B6217" t="s">
        <v>8165</v>
      </c>
      <c r="C6217" t="s">
        <v>32</v>
      </c>
      <c r="D6217">
        <v>0.40113541987625201</v>
      </c>
    </row>
    <row r="6218" spans="1:4" hidden="1" x14ac:dyDescent="0.3">
      <c r="A6218">
        <v>6216</v>
      </c>
      <c r="B6218" s="1" t="s">
        <v>8166</v>
      </c>
      <c r="C6218" t="s">
        <v>155</v>
      </c>
      <c r="D6218" s="1" t="s">
        <v>8167</v>
      </c>
    </row>
    <row r="6219" spans="1:4" hidden="1" x14ac:dyDescent="0.3">
      <c r="A6219">
        <v>6217</v>
      </c>
      <c r="B6219" t="s">
        <v>8168</v>
      </c>
      <c r="C6219" t="s">
        <v>40</v>
      </c>
      <c r="D6219">
        <v>2.7582790157424002</v>
      </c>
    </row>
    <row r="6220" spans="1:4" hidden="1" x14ac:dyDescent="0.3">
      <c r="A6220">
        <v>6218</v>
      </c>
      <c r="B6220" t="s">
        <v>8169</v>
      </c>
      <c r="C6220" t="s">
        <v>42</v>
      </c>
      <c r="D6220">
        <v>0.44571315735557299</v>
      </c>
    </row>
    <row r="6221" spans="1:4" hidden="1" x14ac:dyDescent="0.3">
      <c r="A6221">
        <v>6219</v>
      </c>
      <c r="B6221" s="1" t="s">
        <v>8170</v>
      </c>
      <c r="C6221" t="s">
        <v>159</v>
      </c>
      <c r="D6221" s="1" t="s">
        <v>8171</v>
      </c>
    </row>
    <row r="6222" spans="1:4" hidden="1" x14ac:dyDescent="0.3">
      <c r="A6222">
        <v>6220</v>
      </c>
      <c r="B6222" t="s">
        <v>8172</v>
      </c>
      <c r="C6222" t="s">
        <v>161</v>
      </c>
      <c r="D6222">
        <v>0.99628984404264298</v>
      </c>
    </row>
    <row r="6223" spans="1:4" hidden="1" x14ac:dyDescent="0.3">
      <c r="A6223">
        <v>6221</v>
      </c>
      <c r="B6223" t="s">
        <v>8173</v>
      </c>
      <c r="C6223" t="s">
        <v>163</v>
      </c>
      <c r="D6223">
        <v>0.99852406606131106</v>
      </c>
    </row>
    <row r="6224" spans="1:4" hidden="1" x14ac:dyDescent="0.3">
      <c r="A6224">
        <v>6222</v>
      </c>
      <c r="B6224" s="1" t="s">
        <v>8174</v>
      </c>
      <c r="C6224" t="s">
        <v>165</v>
      </c>
      <c r="D6224" s="1" t="s">
        <v>8175</v>
      </c>
    </row>
    <row r="6225" spans="1:4" hidden="1" x14ac:dyDescent="0.3">
      <c r="A6225">
        <v>6223</v>
      </c>
      <c r="B6225" t="s">
        <v>8176</v>
      </c>
      <c r="C6225" t="s">
        <v>168</v>
      </c>
      <c r="D6225">
        <v>1.0049494749350301</v>
      </c>
    </row>
    <row r="6226" spans="1:4" hidden="1" x14ac:dyDescent="0.3">
      <c r="A6226">
        <v>6224</v>
      </c>
      <c r="B6226" t="s">
        <v>8177</v>
      </c>
      <c r="C6226" t="s">
        <v>170</v>
      </c>
      <c r="D6226">
        <v>0.98292332618987599</v>
      </c>
    </row>
    <row r="6227" spans="1:4" hidden="1" x14ac:dyDescent="0.3">
      <c r="A6227">
        <v>6225</v>
      </c>
      <c r="B6227" s="1" t="s">
        <v>8178</v>
      </c>
      <c r="C6227" t="s">
        <v>172</v>
      </c>
      <c r="D6227" s="1" t="s">
        <v>8179</v>
      </c>
    </row>
    <row r="6228" spans="1:4" hidden="1" x14ac:dyDescent="0.3">
      <c r="A6228">
        <v>6226</v>
      </c>
      <c r="B6228" s="1" t="s">
        <v>8180</v>
      </c>
      <c r="C6228" t="s">
        <v>55</v>
      </c>
      <c r="D6228" s="1" t="s">
        <v>8181</v>
      </c>
    </row>
    <row r="6229" spans="1:4" hidden="1" x14ac:dyDescent="0.3">
      <c r="A6229">
        <v>6227</v>
      </c>
      <c r="B6229" s="1" t="s">
        <v>8182</v>
      </c>
      <c r="C6229" t="s">
        <v>52</v>
      </c>
      <c r="D6229" s="1" t="s">
        <v>8183</v>
      </c>
    </row>
    <row r="6230" spans="1:4" hidden="1" x14ac:dyDescent="0.3">
      <c r="A6230">
        <v>6228</v>
      </c>
      <c r="B6230" s="1" t="s">
        <v>8184</v>
      </c>
      <c r="C6230" t="s">
        <v>58</v>
      </c>
      <c r="D6230" s="1" t="s">
        <v>8185</v>
      </c>
    </row>
    <row r="6231" spans="1:4" hidden="1" x14ac:dyDescent="0.3">
      <c r="A6231">
        <v>6229</v>
      </c>
      <c r="B6231" t="s">
        <v>8186</v>
      </c>
      <c r="C6231" t="s">
        <v>61</v>
      </c>
      <c r="D6231">
        <v>139072702.17378899</v>
      </c>
    </row>
    <row r="6232" spans="1:4" hidden="1" x14ac:dyDescent="0.3">
      <c r="A6232">
        <v>6230</v>
      </c>
      <c r="B6232" t="s">
        <v>8187</v>
      </c>
      <c r="C6232" t="s">
        <v>63</v>
      </c>
      <c r="D6232">
        <v>73191951.761339799</v>
      </c>
    </row>
    <row r="6233" spans="1:4" hidden="1" x14ac:dyDescent="0.3">
      <c r="A6233">
        <v>6231</v>
      </c>
      <c r="B6233" t="s">
        <v>8188</v>
      </c>
      <c r="C6233" t="s">
        <v>65</v>
      </c>
      <c r="D6233">
        <v>33811272.655306302</v>
      </c>
    </row>
    <row r="6234" spans="1:4" hidden="1" x14ac:dyDescent="0.3">
      <c r="A6234">
        <v>6232</v>
      </c>
      <c r="B6234" s="1" t="s">
        <v>8189</v>
      </c>
      <c r="C6234" t="s">
        <v>67</v>
      </c>
      <c r="D6234" s="1" t="s">
        <v>8190</v>
      </c>
    </row>
    <row r="6235" spans="1:4" hidden="1" x14ac:dyDescent="0.3">
      <c r="A6235">
        <v>6233</v>
      </c>
      <c r="B6235" s="1" t="s">
        <v>8191</v>
      </c>
      <c r="C6235" t="s">
        <v>70</v>
      </c>
      <c r="D6235" s="1" t="s">
        <v>8192</v>
      </c>
    </row>
    <row r="6236" spans="1:4" hidden="1" x14ac:dyDescent="0.3">
      <c r="A6236">
        <v>6234</v>
      </c>
      <c r="B6236" t="s">
        <v>8193</v>
      </c>
      <c r="C6236" t="s">
        <v>73</v>
      </c>
      <c r="D6236">
        <v>0.999805638410314</v>
      </c>
    </row>
    <row r="6237" spans="1:4" hidden="1" x14ac:dyDescent="0.3">
      <c r="A6237">
        <v>6235</v>
      </c>
      <c r="B6237" t="s">
        <v>74</v>
      </c>
      <c r="C6237" t="s">
        <v>75</v>
      </c>
      <c r="D6237">
        <v>2.7397260273972599E-3</v>
      </c>
    </row>
    <row r="6238" spans="1:4" hidden="1" x14ac:dyDescent="0.3">
      <c r="A6238">
        <v>6236</v>
      </c>
      <c r="B6238" t="s">
        <v>76</v>
      </c>
      <c r="C6238" t="s">
        <v>77</v>
      </c>
      <c r="D6238">
        <v>0</v>
      </c>
    </row>
    <row r="6239" spans="1:4" hidden="1" x14ac:dyDescent="0.3">
      <c r="A6239">
        <v>6237</v>
      </c>
      <c r="B6239" t="s">
        <v>188</v>
      </c>
      <c r="C6239" t="s">
        <v>79</v>
      </c>
      <c r="D6239" s="2">
        <v>-2.2204460492503101E-16</v>
      </c>
    </row>
    <row r="6240" spans="1:4" hidden="1" x14ac:dyDescent="0.3">
      <c r="A6240">
        <v>6238</v>
      </c>
      <c r="B6240" s="1" t="s">
        <v>8194</v>
      </c>
      <c r="C6240" t="s">
        <v>81</v>
      </c>
      <c r="D6240" s="1" t="s">
        <v>8195</v>
      </c>
    </row>
    <row r="6241" spans="1:4" hidden="1" x14ac:dyDescent="0.3">
      <c r="A6241">
        <v>6239</v>
      </c>
      <c r="B6241" t="s">
        <v>8196</v>
      </c>
      <c r="C6241" t="s">
        <v>84</v>
      </c>
      <c r="D6241">
        <v>0.99978583972480695</v>
      </c>
    </row>
    <row r="6242" spans="1:4" hidden="1" x14ac:dyDescent="0.3">
      <c r="A6242">
        <v>6240</v>
      </c>
      <c r="B6242" s="1" t="s">
        <v>8197</v>
      </c>
      <c r="C6242" t="s">
        <v>86</v>
      </c>
      <c r="D6242" s="1" t="s">
        <v>8198</v>
      </c>
    </row>
    <row r="6243" spans="1:4" hidden="1" x14ac:dyDescent="0.3">
      <c r="A6243">
        <v>6241</v>
      </c>
      <c r="B6243" t="s">
        <v>8199</v>
      </c>
      <c r="C6243" t="s">
        <v>89</v>
      </c>
      <c r="D6243">
        <v>103015475.517076</v>
      </c>
    </row>
    <row r="6244" spans="1:4" hidden="1" x14ac:dyDescent="0.3">
      <c r="A6244">
        <v>6242</v>
      </c>
      <c r="B6244" s="1" t="s">
        <v>8200</v>
      </c>
      <c r="C6244" t="s">
        <v>91</v>
      </c>
      <c r="D6244" s="1" t="s">
        <v>8134</v>
      </c>
    </row>
    <row r="6245" spans="1:4" hidden="1" x14ac:dyDescent="0.3">
      <c r="A6245">
        <v>6243</v>
      </c>
      <c r="B6245" t="s">
        <v>8201</v>
      </c>
      <c r="C6245" t="s">
        <v>94</v>
      </c>
      <c r="D6245">
        <v>73191951.761339799</v>
      </c>
    </row>
    <row r="6246" spans="1:4" hidden="1" x14ac:dyDescent="0.3">
      <c r="A6246">
        <v>6244</v>
      </c>
      <c r="B6246" t="s">
        <v>8202</v>
      </c>
      <c r="C6246" t="s">
        <v>96</v>
      </c>
      <c r="D6246">
        <v>33811272.655306302</v>
      </c>
    </row>
    <row r="6247" spans="1:4" hidden="1" x14ac:dyDescent="0.3">
      <c r="A6247">
        <v>6245</v>
      </c>
      <c r="B6247" t="s">
        <v>8203</v>
      </c>
      <c r="C6247" t="s">
        <v>98</v>
      </c>
      <c r="D6247">
        <v>32069477.757143199</v>
      </c>
    </row>
    <row r="6248" spans="1:4" hidden="1" x14ac:dyDescent="0.3">
      <c r="A6248">
        <v>6246</v>
      </c>
      <c r="B6248" s="1" t="s">
        <v>8204</v>
      </c>
      <c r="C6248" t="s">
        <v>100</v>
      </c>
      <c r="D6248" s="1" t="s">
        <v>8205</v>
      </c>
    </row>
    <row r="6249" spans="1:4" hidden="1" x14ac:dyDescent="0.3">
      <c r="A6249">
        <v>6247</v>
      </c>
      <c r="B6249" t="s">
        <v>8206</v>
      </c>
      <c r="C6249" t="s">
        <v>103</v>
      </c>
      <c r="D6249">
        <v>9.5625142080998492E-3</v>
      </c>
    </row>
    <row r="6250" spans="1:4" hidden="1" x14ac:dyDescent="0.3">
      <c r="A6250">
        <v>6248</v>
      </c>
      <c r="B6250" t="s">
        <v>8207</v>
      </c>
      <c r="C6250" t="s">
        <v>105</v>
      </c>
      <c r="D6250">
        <v>3.0919140471111798E-3</v>
      </c>
    </row>
    <row r="6251" spans="1:4" hidden="1" x14ac:dyDescent="0.3">
      <c r="A6251">
        <v>6249</v>
      </c>
      <c r="B6251" t="s">
        <v>8208</v>
      </c>
      <c r="C6251" t="s">
        <v>107</v>
      </c>
      <c r="D6251">
        <v>1.5963033867952E-2</v>
      </c>
    </row>
    <row r="6252" spans="1:4" hidden="1" x14ac:dyDescent="0.3">
      <c r="A6252">
        <v>6250</v>
      </c>
      <c r="B6252" s="1" t="s">
        <v>8209</v>
      </c>
      <c r="C6252" t="s">
        <v>109</v>
      </c>
      <c r="D6252" s="1" t="s">
        <v>8210</v>
      </c>
    </row>
    <row r="6253" spans="1:4" hidden="1" x14ac:dyDescent="0.3">
      <c r="A6253">
        <v>6251</v>
      </c>
      <c r="B6253" t="s">
        <v>8211</v>
      </c>
      <c r="C6253" t="s">
        <v>208</v>
      </c>
      <c r="D6253">
        <v>139071999.89289299</v>
      </c>
    </row>
    <row r="6254" spans="1:4" hidden="1" x14ac:dyDescent="0.3">
      <c r="A6254">
        <v>6252</v>
      </c>
      <c r="B6254" t="s">
        <v>8212</v>
      </c>
      <c r="C6254" t="s">
        <v>210</v>
      </c>
      <c r="D6254">
        <v>1449.37668247499</v>
      </c>
    </row>
    <row r="6255" spans="1:4" hidden="1" x14ac:dyDescent="0.3">
      <c r="A6255">
        <v>6253</v>
      </c>
      <c r="B6255" t="s">
        <v>8213</v>
      </c>
      <c r="C6255" t="s">
        <v>212</v>
      </c>
      <c r="D6255">
        <v>669.54658902845597</v>
      </c>
    </row>
    <row r="6256" spans="1:4" hidden="1" x14ac:dyDescent="0.3">
      <c r="A6256">
        <v>6254</v>
      </c>
      <c r="B6256" s="1" t="s">
        <v>8214</v>
      </c>
      <c r="C6256" t="s">
        <v>214</v>
      </c>
      <c r="D6256" s="1" t="s">
        <v>8215</v>
      </c>
    </row>
    <row r="6257" spans="1:4" hidden="1" x14ac:dyDescent="0.3">
      <c r="A6257">
        <v>6255</v>
      </c>
      <c r="B6257" t="s">
        <v>8216</v>
      </c>
      <c r="C6257" t="s">
        <v>217</v>
      </c>
      <c r="D6257">
        <v>73190024.818303898</v>
      </c>
    </row>
    <row r="6258" spans="1:4" hidden="1" x14ac:dyDescent="0.3">
      <c r="A6258">
        <v>6256</v>
      </c>
      <c r="B6258" t="s">
        <v>8217</v>
      </c>
      <c r="C6258" t="s">
        <v>219</v>
      </c>
      <c r="D6258">
        <v>33810486.991085403</v>
      </c>
    </row>
    <row r="6259" spans="1:4" hidden="1" x14ac:dyDescent="0.3">
      <c r="A6259">
        <v>6257</v>
      </c>
      <c r="B6259" t="s">
        <v>8218</v>
      </c>
      <c r="C6259" t="s">
        <v>221</v>
      </c>
      <c r="D6259">
        <v>32068734.105448399</v>
      </c>
    </row>
    <row r="6260" spans="1:4" hidden="1" x14ac:dyDescent="0.3">
      <c r="A6260">
        <v>6258</v>
      </c>
      <c r="B6260" s="1" t="s">
        <v>8219</v>
      </c>
      <c r="C6260" t="s">
        <v>223</v>
      </c>
      <c r="D6260" s="1" t="s">
        <v>8220</v>
      </c>
    </row>
    <row r="6261" spans="1:4" hidden="1" x14ac:dyDescent="0.3">
      <c r="A6261">
        <v>6259</v>
      </c>
      <c r="B6261" t="s">
        <v>8221</v>
      </c>
      <c r="C6261" t="s">
        <v>226</v>
      </c>
      <c r="D6261">
        <v>103013435.549582</v>
      </c>
    </row>
    <row r="6262" spans="1:4" hidden="1" x14ac:dyDescent="0.3">
      <c r="A6262">
        <v>6260</v>
      </c>
      <c r="B6262" t="s">
        <v>8222</v>
      </c>
      <c r="C6262" t="s">
        <v>228</v>
      </c>
      <c r="D6262">
        <v>2039.9674933552701</v>
      </c>
    </row>
    <row r="6263" spans="1:4" hidden="1" x14ac:dyDescent="0.3">
      <c r="A6263">
        <v>6261</v>
      </c>
      <c r="B6263" s="1" t="s">
        <v>8223</v>
      </c>
      <c r="C6263" t="s">
        <v>230</v>
      </c>
      <c r="D6263" s="1" t="s">
        <v>8224</v>
      </c>
    </row>
    <row r="6264" spans="1:4" hidden="1" x14ac:dyDescent="0.3">
      <c r="A6264">
        <v>6262</v>
      </c>
      <c r="B6264" t="s">
        <v>8225</v>
      </c>
      <c r="C6264" t="s">
        <v>112</v>
      </c>
      <c r="D6264">
        <v>-477.56635343301298</v>
      </c>
    </row>
    <row r="6265" spans="1:4" hidden="1" x14ac:dyDescent="0.3">
      <c r="A6265">
        <v>6263</v>
      </c>
      <c r="B6265" t="s">
        <v>8226</v>
      </c>
      <c r="C6265" t="s">
        <v>114</v>
      </c>
      <c r="D6265">
        <v>-116.117631781892</v>
      </c>
    </row>
    <row r="6266" spans="1:4" hidden="1" x14ac:dyDescent="0.3">
      <c r="A6266">
        <v>6264</v>
      </c>
      <c r="B6266" s="1" t="s">
        <v>8227</v>
      </c>
      <c r="C6266" t="s">
        <v>116</v>
      </c>
      <c r="D6266" s="1" t="s">
        <v>8228</v>
      </c>
    </row>
    <row r="6267" spans="1:4" hidden="1" x14ac:dyDescent="0.3">
      <c r="A6267">
        <v>6265</v>
      </c>
      <c r="B6267" t="s">
        <v>8229</v>
      </c>
      <c r="C6267" t="s">
        <v>119</v>
      </c>
      <c r="D6267">
        <v>73190024.818303898</v>
      </c>
    </row>
    <row r="6268" spans="1:4" hidden="1" x14ac:dyDescent="0.3">
      <c r="A6268">
        <v>6266</v>
      </c>
      <c r="B6268" t="s">
        <v>8230</v>
      </c>
      <c r="C6268" t="s">
        <v>121</v>
      </c>
      <c r="D6268">
        <v>33810486.991085403</v>
      </c>
    </row>
    <row r="6269" spans="1:4" hidden="1" x14ac:dyDescent="0.3">
      <c r="A6269">
        <v>6267</v>
      </c>
      <c r="B6269" s="1" t="s">
        <v>8231</v>
      </c>
      <c r="C6269" t="s">
        <v>123</v>
      </c>
      <c r="D6269" s="1" t="s">
        <v>8232</v>
      </c>
    </row>
    <row r="6270" spans="1:4" hidden="1" x14ac:dyDescent="0.3">
      <c r="A6270">
        <v>6268</v>
      </c>
      <c r="B6270" t="s">
        <v>8233</v>
      </c>
      <c r="C6270" t="s">
        <v>126</v>
      </c>
      <c r="D6270">
        <v>0.71064227866157104</v>
      </c>
    </row>
    <row r="6271" spans="1:4" hidden="1" x14ac:dyDescent="0.3">
      <c r="A6271">
        <v>6269</v>
      </c>
      <c r="B6271" t="s">
        <v>8234</v>
      </c>
      <c r="C6271" t="s">
        <v>128</v>
      </c>
      <c r="D6271">
        <v>0.32828464777338701</v>
      </c>
    </row>
    <row r="6272" spans="1:4" hidden="1" x14ac:dyDescent="0.3">
      <c r="A6272">
        <v>6270</v>
      </c>
      <c r="B6272" s="1" t="s">
        <v>8235</v>
      </c>
      <c r="C6272" t="s">
        <v>130</v>
      </c>
      <c r="D6272" s="1" t="s">
        <v>8236</v>
      </c>
    </row>
    <row r="6273" spans="1:4" ht="72" x14ac:dyDescent="0.3">
      <c r="A6273">
        <v>6271</v>
      </c>
      <c r="B6273" s="1" t="s">
        <v>8237</v>
      </c>
      <c r="C6273" t="s">
        <v>4</v>
      </c>
      <c r="D6273" t="s">
        <v>8238</v>
      </c>
    </row>
    <row r="6274" spans="1:4" hidden="1" x14ac:dyDescent="0.3">
      <c r="A6274">
        <v>6272</v>
      </c>
      <c r="B6274" t="s">
        <v>8239</v>
      </c>
      <c r="C6274" t="s">
        <v>7</v>
      </c>
      <c r="D6274">
        <v>1712.42</v>
      </c>
    </row>
    <row r="6275" spans="1:4" hidden="1" x14ac:dyDescent="0.3">
      <c r="A6275">
        <v>6273</v>
      </c>
      <c r="B6275" s="1" t="s">
        <v>8240</v>
      </c>
      <c r="C6275" t="s">
        <v>9</v>
      </c>
      <c r="D6275" s="1" t="s">
        <v>8241</v>
      </c>
    </row>
    <row r="6276" spans="1:4" hidden="1" x14ac:dyDescent="0.3">
      <c r="A6276">
        <v>6274</v>
      </c>
      <c r="B6276" t="s">
        <v>8242</v>
      </c>
      <c r="C6276" t="s">
        <v>14</v>
      </c>
      <c r="D6276">
        <v>87.99609375</v>
      </c>
    </row>
    <row r="6277" spans="1:4" hidden="1" x14ac:dyDescent="0.3">
      <c r="A6277">
        <v>6275</v>
      </c>
      <c r="B6277" t="s">
        <v>8243</v>
      </c>
      <c r="C6277" t="s">
        <v>16</v>
      </c>
      <c r="D6277">
        <v>4.2059005939679697</v>
      </c>
    </row>
    <row r="6278" spans="1:4" hidden="1" x14ac:dyDescent="0.3">
      <c r="A6278">
        <v>6276</v>
      </c>
      <c r="B6278" s="1" t="s">
        <v>8244</v>
      </c>
      <c r="C6278" t="s">
        <v>140</v>
      </c>
      <c r="D6278" s="1" t="s">
        <v>8245</v>
      </c>
    </row>
    <row r="6279" spans="1:4" hidden="1" x14ac:dyDescent="0.3">
      <c r="A6279">
        <v>6277</v>
      </c>
      <c r="B6279" t="s">
        <v>8246</v>
      </c>
      <c r="C6279" t="s">
        <v>22</v>
      </c>
      <c r="D6279">
        <v>51.85</v>
      </c>
    </row>
    <row r="6280" spans="1:4" hidden="1" x14ac:dyDescent="0.3">
      <c r="A6280">
        <v>6278</v>
      </c>
      <c r="B6280" t="s">
        <v>8247</v>
      </c>
      <c r="C6280" t="s">
        <v>24</v>
      </c>
      <c r="D6280">
        <v>5.09723280666904</v>
      </c>
    </row>
    <row r="6281" spans="1:4" hidden="1" x14ac:dyDescent="0.3">
      <c r="A6281">
        <v>6279</v>
      </c>
      <c r="B6281" s="1" t="s">
        <v>8248</v>
      </c>
      <c r="C6281" t="s">
        <v>145</v>
      </c>
      <c r="D6281" s="1" t="s">
        <v>8249</v>
      </c>
    </row>
    <row r="6282" spans="1:4" hidden="1" x14ac:dyDescent="0.3">
      <c r="A6282">
        <v>6280</v>
      </c>
      <c r="B6282" t="s">
        <v>8250</v>
      </c>
      <c r="C6282" t="s">
        <v>35</v>
      </c>
      <c r="D6282">
        <v>0.17149260384468101</v>
      </c>
    </row>
    <row r="6283" spans="1:4" hidden="1" x14ac:dyDescent="0.3">
      <c r="A6283">
        <v>6281</v>
      </c>
      <c r="B6283" t="s">
        <v>8251</v>
      </c>
      <c r="C6283" t="s">
        <v>149</v>
      </c>
      <c r="D6283">
        <v>0.53164674297647097</v>
      </c>
    </row>
    <row r="6284" spans="1:4" hidden="1" x14ac:dyDescent="0.3">
      <c r="A6284">
        <v>6282</v>
      </c>
      <c r="B6284" s="1" t="s">
        <v>8252</v>
      </c>
      <c r="C6284" t="s">
        <v>151</v>
      </c>
      <c r="D6284" s="1" t="s">
        <v>8253</v>
      </c>
    </row>
    <row r="6285" spans="1:4" hidden="1" x14ac:dyDescent="0.3">
      <c r="A6285">
        <v>6283</v>
      </c>
      <c r="B6285" t="s">
        <v>8254</v>
      </c>
      <c r="C6285" t="s">
        <v>30</v>
      </c>
      <c r="D6285">
        <v>0.37109301075281598</v>
      </c>
    </row>
    <row r="6286" spans="1:4" hidden="1" x14ac:dyDescent="0.3">
      <c r="A6286">
        <v>6284</v>
      </c>
      <c r="B6286" t="s">
        <v>8255</v>
      </c>
      <c r="C6286" t="s">
        <v>32</v>
      </c>
      <c r="D6286">
        <v>0.418985995629712</v>
      </c>
    </row>
    <row r="6287" spans="1:4" hidden="1" x14ac:dyDescent="0.3">
      <c r="A6287">
        <v>6285</v>
      </c>
      <c r="B6287" s="1" t="s">
        <v>8256</v>
      </c>
      <c r="C6287" t="s">
        <v>155</v>
      </c>
      <c r="D6287" s="1" t="s">
        <v>8257</v>
      </c>
    </row>
    <row r="6288" spans="1:4" hidden="1" x14ac:dyDescent="0.3">
      <c r="A6288">
        <v>6286</v>
      </c>
      <c r="B6288" t="s">
        <v>8258</v>
      </c>
      <c r="C6288" t="s">
        <v>40</v>
      </c>
      <c r="D6288">
        <v>0.45741438540250101</v>
      </c>
    </row>
    <row r="6289" spans="1:4" hidden="1" x14ac:dyDescent="0.3">
      <c r="A6289">
        <v>6287</v>
      </c>
      <c r="B6289" t="s">
        <v>8259</v>
      </c>
      <c r="C6289" t="s">
        <v>42</v>
      </c>
      <c r="D6289">
        <v>0.46196223401881398</v>
      </c>
    </row>
    <row r="6290" spans="1:4" hidden="1" x14ac:dyDescent="0.3">
      <c r="A6290">
        <v>6288</v>
      </c>
      <c r="B6290" s="1" t="s">
        <v>8260</v>
      </c>
      <c r="C6290" t="s">
        <v>159</v>
      </c>
      <c r="D6290" s="1" t="s">
        <v>8261</v>
      </c>
    </row>
    <row r="6291" spans="1:4" hidden="1" x14ac:dyDescent="0.3">
      <c r="A6291">
        <v>6289</v>
      </c>
      <c r="B6291" t="s">
        <v>8262</v>
      </c>
      <c r="C6291" t="s">
        <v>161</v>
      </c>
      <c r="D6291">
        <v>1.0219559210565501</v>
      </c>
    </row>
    <row r="6292" spans="1:4" hidden="1" x14ac:dyDescent="0.3">
      <c r="A6292">
        <v>6290</v>
      </c>
      <c r="B6292" t="s">
        <v>8263</v>
      </c>
      <c r="C6292" t="s">
        <v>163</v>
      </c>
      <c r="D6292">
        <v>1.00272916512961</v>
      </c>
    </row>
    <row r="6293" spans="1:4" hidden="1" x14ac:dyDescent="0.3">
      <c r="A6293">
        <v>6291</v>
      </c>
      <c r="B6293" s="1" t="s">
        <v>8264</v>
      </c>
      <c r="C6293" t="s">
        <v>165</v>
      </c>
      <c r="D6293" s="1" t="s">
        <v>8265</v>
      </c>
    </row>
    <row r="6294" spans="1:4" hidden="1" x14ac:dyDescent="0.3">
      <c r="A6294">
        <v>6292</v>
      </c>
      <c r="B6294" t="s">
        <v>8266</v>
      </c>
      <c r="C6294" t="s">
        <v>168</v>
      </c>
      <c r="D6294">
        <v>0.99363191660808403</v>
      </c>
    </row>
    <row r="6295" spans="1:4" hidden="1" x14ac:dyDescent="0.3">
      <c r="A6295">
        <v>6293</v>
      </c>
      <c r="B6295" t="s">
        <v>8267</v>
      </c>
      <c r="C6295" t="s">
        <v>170</v>
      </c>
      <c r="D6295">
        <v>1.01274007886763</v>
      </c>
    </row>
    <row r="6296" spans="1:4" hidden="1" x14ac:dyDescent="0.3">
      <c r="A6296">
        <v>6294</v>
      </c>
      <c r="B6296" s="1" t="s">
        <v>8268</v>
      </c>
      <c r="C6296" t="s">
        <v>172</v>
      </c>
      <c r="D6296" s="1" t="s">
        <v>8269</v>
      </c>
    </row>
    <row r="6297" spans="1:4" hidden="1" x14ac:dyDescent="0.3">
      <c r="A6297">
        <v>6295</v>
      </c>
      <c r="B6297" s="1" t="s">
        <v>8270</v>
      </c>
      <c r="C6297" t="s">
        <v>55</v>
      </c>
      <c r="D6297" s="1" t="s">
        <v>8271</v>
      </c>
    </row>
    <row r="6298" spans="1:4" hidden="1" x14ac:dyDescent="0.3">
      <c r="A6298">
        <v>6296</v>
      </c>
      <c r="B6298" s="1" t="s">
        <v>8272</v>
      </c>
      <c r="C6298" t="s">
        <v>52</v>
      </c>
      <c r="D6298" s="1" t="s">
        <v>8273</v>
      </c>
    </row>
    <row r="6299" spans="1:4" hidden="1" x14ac:dyDescent="0.3">
      <c r="A6299">
        <v>6297</v>
      </c>
      <c r="B6299" s="1" t="s">
        <v>8274</v>
      </c>
      <c r="C6299" t="s">
        <v>58</v>
      </c>
      <c r="D6299" s="1" t="s">
        <v>8275</v>
      </c>
    </row>
    <row r="6300" spans="1:4" hidden="1" x14ac:dyDescent="0.3">
      <c r="A6300">
        <v>6298</v>
      </c>
      <c r="B6300" t="s">
        <v>8276</v>
      </c>
      <c r="C6300" t="s">
        <v>61</v>
      </c>
      <c r="D6300">
        <v>140845436.33029401</v>
      </c>
    </row>
    <row r="6301" spans="1:4" hidden="1" x14ac:dyDescent="0.3">
      <c r="A6301">
        <v>6299</v>
      </c>
      <c r="B6301" t="s">
        <v>8277</v>
      </c>
      <c r="C6301" t="s">
        <v>63</v>
      </c>
      <c r="D6301">
        <v>74796979.225342095</v>
      </c>
    </row>
    <row r="6302" spans="1:4" hidden="1" x14ac:dyDescent="0.3">
      <c r="A6302">
        <v>6300</v>
      </c>
      <c r="B6302" t="s">
        <v>8278</v>
      </c>
      <c r="C6302" t="s">
        <v>65</v>
      </c>
      <c r="D6302">
        <v>33902761.393196799</v>
      </c>
    </row>
    <row r="6303" spans="1:4" hidden="1" x14ac:dyDescent="0.3">
      <c r="A6303">
        <v>6301</v>
      </c>
      <c r="B6303" s="1" t="s">
        <v>8279</v>
      </c>
      <c r="C6303" t="s">
        <v>67</v>
      </c>
      <c r="D6303" s="1" t="s">
        <v>8280</v>
      </c>
    </row>
    <row r="6304" spans="1:4" hidden="1" x14ac:dyDescent="0.3">
      <c r="A6304">
        <v>6302</v>
      </c>
      <c r="B6304" s="1" t="s">
        <v>8281</v>
      </c>
      <c r="C6304" t="s">
        <v>70</v>
      </c>
      <c r="D6304" s="1" t="s">
        <v>8282</v>
      </c>
    </row>
    <row r="6305" spans="1:4" hidden="1" x14ac:dyDescent="0.3">
      <c r="A6305">
        <v>6303</v>
      </c>
      <c r="B6305" t="s">
        <v>8283</v>
      </c>
      <c r="C6305" t="s">
        <v>73</v>
      </c>
      <c r="D6305">
        <v>0.99978583972480695</v>
      </c>
    </row>
    <row r="6306" spans="1:4" hidden="1" x14ac:dyDescent="0.3">
      <c r="A6306">
        <v>6304</v>
      </c>
      <c r="B6306" t="s">
        <v>74</v>
      </c>
      <c r="C6306" t="s">
        <v>75</v>
      </c>
      <c r="D6306">
        <v>2.7397260273972599E-3</v>
      </c>
    </row>
    <row r="6307" spans="1:4" hidden="1" x14ac:dyDescent="0.3">
      <c r="A6307">
        <v>6305</v>
      </c>
      <c r="B6307" t="s">
        <v>76</v>
      </c>
      <c r="C6307" t="s">
        <v>77</v>
      </c>
      <c r="D6307">
        <v>0</v>
      </c>
    </row>
    <row r="6308" spans="1:4" hidden="1" x14ac:dyDescent="0.3">
      <c r="A6308">
        <v>6306</v>
      </c>
      <c r="B6308" t="s">
        <v>78</v>
      </c>
      <c r="C6308" t="s">
        <v>79</v>
      </c>
      <c r="D6308">
        <v>0</v>
      </c>
    </row>
    <row r="6309" spans="1:4" hidden="1" x14ac:dyDescent="0.3">
      <c r="A6309">
        <v>6307</v>
      </c>
      <c r="B6309" s="1" t="s">
        <v>8284</v>
      </c>
      <c r="C6309" t="s">
        <v>81</v>
      </c>
      <c r="D6309" s="1" t="s">
        <v>8285</v>
      </c>
    </row>
    <row r="6310" spans="1:4" hidden="1" x14ac:dyDescent="0.3">
      <c r="A6310">
        <v>6308</v>
      </c>
      <c r="B6310" t="s">
        <v>8286</v>
      </c>
      <c r="C6310" t="s">
        <v>84</v>
      </c>
      <c r="D6310">
        <v>0.99978415312031799</v>
      </c>
    </row>
    <row r="6311" spans="1:4" hidden="1" x14ac:dyDescent="0.3">
      <c r="A6311">
        <v>6309</v>
      </c>
      <c r="B6311" s="1" t="s">
        <v>8287</v>
      </c>
      <c r="C6311" t="s">
        <v>86</v>
      </c>
      <c r="D6311" s="1" t="s">
        <v>8288</v>
      </c>
    </row>
    <row r="6312" spans="1:4" hidden="1" x14ac:dyDescent="0.3">
      <c r="A6312">
        <v>6310</v>
      </c>
      <c r="B6312" t="s">
        <v>8289</v>
      </c>
      <c r="C6312" t="s">
        <v>89</v>
      </c>
      <c r="D6312">
        <v>103015649.30095001</v>
      </c>
    </row>
    <row r="6313" spans="1:4" hidden="1" x14ac:dyDescent="0.3">
      <c r="A6313">
        <v>6311</v>
      </c>
      <c r="B6313" s="1" t="s">
        <v>8290</v>
      </c>
      <c r="C6313" t="s">
        <v>91</v>
      </c>
      <c r="D6313" s="1" t="s">
        <v>8224</v>
      </c>
    </row>
    <row r="6314" spans="1:4" hidden="1" x14ac:dyDescent="0.3">
      <c r="A6314">
        <v>6312</v>
      </c>
      <c r="B6314" t="s">
        <v>8291</v>
      </c>
      <c r="C6314" t="s">
        <v>94</v>
      </c>
      <c r="D6314">
        <v>74796979.225342095</v>
      </c>
    </row>
    <row r="6315" spans="1:4" hidden="1" x14ac:dyDescent="0.3">
      <c r="A6315">
        <v>6313</v>
      </c>
      <c r="B6315" t="s">
        <v>8292</v>
      </c>
      <c r="C6315" t="s">
        <v>96</v>
      </c>
      <c r="D6315">
        <v>33902761.393196799</v>
      </c>
    </row>
    <row r="6316" spans="1:4" hidden="1" x14ac:dyDescent="0.3">
      <c r="A6316">
        <v>6314</v>
      </c>
      <c r="B6316" t="s">
        <v>8293</v>
      </c>
      <c r="C6316" t="s">
        <v>98</v>
      </c>
      <c r="D6316">
        <v>32145695.711755201</v>
      </c>
    </row>
    <row r="6317" spans="1:4" hidden="1" x14ac:dyDescent="0.3">
      <c r="A6317">
        <v>6315</v>
      </c>
      <c r="B6317" s="1" t="s">
        <v>8294</v>
      </c>
      <c r="C6317" t="s">
        <v>100</v>
      </c>
      <c r="D6317" s="1" t="s">
        <v>8295</v>
      </c>
    </row>
    <row r="6318" spans="1:4" hidden="1" x14ac:dyDescent="0.3">
      <c r="A6318">
        <v>6316</v>
      </c>
      <c r="B6318" t="s">
        <v>8296</v>
      </c>
      <c r="C6318" t="s">
        <v>103</v>
      </c>
      <c r="D6318">
        <v>9.1682955394684993E-3</v>
      </c>
    </row>
    <row r="6319" spans="1:4" hidden="1" x14ac:dyDescent="0.3">
      <c r="A6319">
        <v>6317</v>
      </c>
      <c r="B6319" t="s">
        <v>8297</v>
      </c>
      <c r="C6319" t="s">
        <v>105</v>
      </c>
      <c r="D6319">
        <v>3.0026822472981498E-3</v>
      </c>
    </row>
    <row r="6320" spans="1:4" hidden="1" x14ac:dyDescent="0.3">
      <c r="A6320">
        <v>6318</v>
      </c>
      <c r="B6320" t="s">
        <v>8298</v>
      </c>
      <c r="C6320" t="s">
        <v>107</v>
      </c>
      <c r="D6320">
        <v>1.5969192727488601E-2</v>
      </c>
    </row>
    <row r="6321" spans="1:4" hidden="1" x14ac:dyDescent="0.3">
      <c r="A6321">
        <v>6319</v>
      </c>
      <c r="B6321" s="1" t="s">
        <v>8299</v>
      </c>
      <c r="C6321" t="s">
        <v>109</v>
      </c>
      <c r="D6321" s="1" t="s">
        <v>8300</v>
      </c>
    </row>
    <row r="6322" spans="1:4" hidden="1" x14ac:dyDescent="0.3">
      <c r="A6322">
        <v>6320</v>
      </c>
      <c r="B6322" t="s">
        <v>8301</v>
      </c>
      <c r="C6322" t="s">
        <v>208</v>
      </c>
      <c r="D6322">
        <v>140845376.82170099</v>
      </c>
    </row>
    <row r="6323" spans="1:4" hidden="1" x14ac:dyDescent="0.3">
      <c r="A6323">
        <v>6321</v>
      </c>
      <c r="B6323" t="s">
        <v>8302</v>
      </c>
      <c r="C6323" t="s">
        <v>210</v>
      </c>
      <c r="D6323">
        <v>126.179865831467</v>
      </c>
    </row>
    <row r="6324" spans="1:4" hidden="1" x14ac:dyDescent="0.3">
      <c r="A6324">
        <v>6322</v>
      </c>
      <c r="B6324" t="s">
        <v>8303</v>
      </c>
      <c r="C6324" t="s">
        <v>212</v>
      </c>
      <c r="D6324">
        <v>57.1927857821616</v>
      </c>
    </row>
    <row r="6325" spans="1:4" hidden="1" x14ac:dyDescent="0.3">
      <c r="A6325">
        <v>6323</v>
      </c>
      <c r="B6325" s="1" t="s">
        <v>8304</v>
      </c>
      <c r="C6325" t="s">
        <v>214</v>
      </c>
      <c r="D6325" s="1" t="s">
        <v>8305</v>
      </c>
    </row>
    <row r="6326" spans="1:4" hidden="1" x14ac:dyDescent="0.3">
      <c r="A6326">
        <v>6324</v>
      </c>
      <c r="B6326" t="s">
        <v>8306</v>
      </c>
      <c r="C6326" t="s">
        <v>217</v>
      </c>
      <c r="D6326">
        <v>74796806.9107721</v>
      </c>
    </row>
    <row r="6327" spans="1:4" hidden="1" x14ac:dyDescent="0.3">
      <c r="A6327">
        <v>6325</v>
      </c>
      <c r="B6327" t="s">
        <v>8307</v>
      </c>
      <c r="C6327" t="s">
        <v>219</v>
      </c>
      <c r="D6327">
        <v>33902696.9687161</v>
      </c>
    </row>
    <row r="6328" spans="1:4" hidden="1" x14ac:dyDescent="0.3">
      <c r="A6328">
        <v>6326</v>
      </c>
      <c r="B6328" t="s">
        <v>8308</v>
      </c>
      <c r="C6328" t="s">
        <v>221</v>
      </c>
      <c r="D6328">
        <v>32145635.340883601</v>
      </c>
    </row>
    <row r="6329" spans="1:4" hidden="1" x14ac:dyDescent="0.3">
      <c r="A6329">
        <v>6327</v>
      </c>
      <c r="B6329" s="1" t="s">
        <v>8309</v>
      </c>
      <c r="C6329" t="s">
        <v>223</v>
      </c>
      <c r="D6329" s="1" t="s">
        <v>8310</v>
      </c>
    </row>
    <row r="6330" spans="1:4" hidden="1" x14ac:dyDescent="0.3">
      <c r="A6330">
        <v>6328</v>
      </c>
      <c r="B6330" t="s">
        <v>8311</v>
      </c>
      <c r="C6330" t="s">
        <v>226</v>
      </c>
      <c r="D6330">
        <v>103015475.517076</v>
      </c>
    </row>
    <row r="6331" spans="1:4" hidden="1" x14ac:dyDescent="0.3">
      <c r="A6331">
        <v>6329</v>
      </c>
      <c r="B6331" t="s">
        <v>8312</v>
      </c>
      <c r="C6331" t="s">
        <v>228</v>
      </c>
      <c r="D6331">
        <v>173.78387415409</v>
      </c>
    </row>
    <row r="6332" spans="1:4" hidden="1" x14ac:dyDescent="0.3">
      <c r="A6332">
        <v>6330</v>
      </c>
      <c r="B6332" s="1" t="s">
        <v>8313</v>
      </c>
      <c r="C6332" t="s">
        <v>230</v>
      </c>
      <c r="D6332" s="1" t="s">
        <v>8314</v>
      </c>
    </row>
    <row r="6333" spans="1:4" hidden="1" x14ac:dyDescent="0.3">
      <c r="A6333">
        <v>6331</v>
      </c>
      <c r="B6333" t="s">
        <v>8315</v>
      </c>
      <c r="C6333" t="s">
        <v>112</v>
      </c>
      <c r="D6333">
        <v>-46.134704107570997</v>
      </c>
    </row>
    <row r="6334" spans="1:4" hidden="1" x14ac:dyDescent="0.3">
      <c r="A6334">
        <v>6332</v>
      </c>
      <c r="B6334" t="s">
        <v>8316</v>
      </c>
      <c r="C6334" t="s">
        <v>114</v>
      </c>
      <c r="D6334">
        <v>-7.2316949547811999</v>
      </c>
    </row>
    <row r="6335" spans="1:4" hidden="1" x14ac:dyDescent="0.3">
      <c r="A6335">
        <v>6333</v>
      </c>
      <c r="B6335" s="1" t="s">
        <v>8317</v>
      </c>
      <c r="C6335" t="s">
        <v>116</v>
      </c>
      <c r="D6335" s="1" t="s">
        <v>8318</v>
      </c>
    </row>
    <row r="6336" spans="1:4" hidden="1" x14ac:dyDescent="0.3">
      <c r="A6336">
        <v>6334</v>
      </c>
      <c r="B6336" t="s">
        <v>8319</v>
      </c>
      <c r="C6336" t="s">
        <v>119</v>
      </c>
      <c r="D6336">
        <v>74796806.9107721</v>
      </c>
    </row>
    <row r="6337" spans="1:4" hidden="1" x14ac:dyDescent="0.3">
      <c r="A6337">
        <v>6335</v>
      </c>
      <c r="B6337" t="s">
        <v>8320</v>
      </c>
      <c r="C6337" t="s">
        <v>121</v>
      </c>
      <c r="D6337">
        <v>33902696.9687161</v>
      </c>
    </row>
    <row r="6338" spans="1:4" hidden="1" x14ac:dyDescent="0.3">
      <c r="A6338">
        <v>6336</v>
      </c>
      <c r="B6338" s="1" t="s">
        <v>8321</v>
      </c>
      <c r="C6338" t="s">
        <v>123</v>
      </c>
      <c r="D6338" s="1" t="s">
        <v>8322</v>
      </c>
    </row>
    <row r="6339" spans="1:4" hidden="1" x14ac:dyDescent="0.3">
      <c r="A6339">
        <v>6337</v>
      </c>
      <c r="B6339" t="s">
        <v>8323</v>
      </c>
      <c r="C6339" t="s">
        <v>126</v>
      </c>
      <c r="D6339">
        <v>0.72623025499968796</v>
      </c>
    </row>
    <row r="6340" spans="1:4" hidden="1" x14ac:dyDescent="0.3">
      <c r="A6340">
        <v>6338</v>
      </c>
      <c r="B6340" t="s">
        <v>8324</v>
      </c>
      <c r="C6340" t="s">
        <v>128</v>
      </c>
      <c r="D6340">
        <v>0.32917400196159902</v>
      </c>
    </row>
    <row r="6341" spans="1:4" hidden="1" x14ac:dyDescent="0.3">
      <c r="A6341">
        <v>6339</v>
      </c>
      <c r="B6341" s="1" t="s">
        <v>8325</v>
      </c>
      <c r="C6341" t="s">
        <v>130</v>
      </c>
      <c r="D6341" s="1" t="s">
        <v>8326</v>
      </c>
    </row>
    <row r="6342" spans="1:4" ht="72" x14ac:dyDescent="0.3">
      <c r="A6342">
        <v>6340</v>
      </c>
      <c r="B6342" s="1" t="s">
        <v>8327</v>
      </c>
      <c r="C6342" t="s">
        <v>4</v>
      </c>
      <c r="D6342" t="s">
        <v>8328</v>
      </c>
    </row>
    <row r="6343" spans="1:4" hidden="1" x14ac:dyDescent="0.3">
      <c r="A6343">
        <v>6341</v>
      </c>
      <c r="B6343" t="s">
        <v>8329</v>
      </c>
      <c r="C6343" t="s">
        <v>7</v>
      </c>
      <c r="D6343">
        <v>1706.74</v>
      </c>
    </row>
    <row r="6344" spans="1:4" hidden="1" x14ac:dyDescent="0.3">
      <c r="A6344">
        <v>6342</v>
      </c>
      <c r="B6344" s="1" t="s">
        <v>8330</v>
      </c>
      <c r="C6344" t="s">
        <v>9</v>
      </c>
      <c r="D6344" s="1" t="s">
        <v>8331</v>
      </c>
    </row>
    <row r="6345" spans="1:4" hidden="1" x14ac:dyDescent="0.3">
      <c r="A6345">
        <v>6343</v>
      </c>
      <c r="B6345" t="s">
        <v>8332</v>
      </c>
      <c r="C6345" t="s">
        <v>14</v>
      </c>
      <c r="D6345">
        <v>88.1953125</v>
      </c>
    </row>
    <row r="6346" spans="1:4" hidden="1" x14ac:dyDescent="0.3">
      <c r="A6346">
        <v>6344</v>
      </c>
      <c r="B6346" t="s">
        <v>8333</v>
      </c>
      <c r="C6346" t="s">
        <v>16</v>
      </c>
      <c r="D6346">
        <v>4.2066623221808204</v>
      </c>
    </row>
    <row r="6347" spans="1:4" hidden="1" x14ac:dyDescent="0.3">
      <c r="A6347">
        <v>6345</v>
      </c>
      <c r="B6347" s="1" t="s">
        <v>8334</v>
      </c>
      <c r="C6347" t="s">
        <v>140</v>
      </c>
      <c r="D6347" s="1" t="s">
        <v>8335</v>
      </c>
    </row>
    <row r="6348" spans="1:4" hidden="1" x14ac:dyDescent="0.3">
      <c r="A6348">
        <v>6346</v>
      </c>
      <c r="B6348" t="s">
        <v>8066</v>
      </c>
      <c r="C6348" t="s">
        <v>22</v>
      </c>
      <c r="D6348">
        <v>49.8</v>
      </c>
    </row>
    <row r="6349" spans="1:4" hidden="1" x14ac:dyDescent="0.3">
      <c r="A6349">
        <v>6347</v>
      </c>
      <c r="B6349" t="s">
        <v>8336</v>
      </c>
      <c r="C6349" t="s">
        <v>24</v>
      </c>
      <c r="D6349">
        <v>5.2188828938546497</v>
      </c>
    </row>
    <row r="6350" spans="1:4" hidden="1" x14ac:dyDescent="0.3">
      <c r="A6350">
        <v>6348</v>
      </c>
      <c r="B6350" s="1" t="s">
        <v>8337</v>
      </c>
      <c r="C6350" t="s">
        <v>145</v>
      </c>
      <c r="D6350" s="1" t="s">
        <v>8338</v>
      </c>
    </row>
    <row r="6351" spans="1:4" hidden="1" x14ac:dyDescent="0.3">
      <c r="A6351">
        <v>6349</v>
      </c>
      <c r="B6351" t="s">
        <v>8339</v>
      </c>
      <c r="C6351" t="s">
        <v>35</v>
      </c>
      <c r="D6351">
        <v>2.96928408964594</v>
      </c>
    </row>
    <row r="6352" spans="1:4" hidden="1" x14ac:dyDescent="0.3">
      <c r="A6352">
        <v>6350</v>
      </c>
      <c r="B6352" t="s">
        <v>8340</v>
      </c>
      <c r="C6352" t="s">
        <v>149</v>
      </c>
      <c r="D6352">
        <v>0.54280488969303098</v>
      </c>
    </row>
    <row r="6353" spans="1:4" hidden="1" x14ac:dyDescent="0.3">
      <c r="A6353">
        <v>6351</v>
      </c>
      <c r="B6353" s="1" t="s">
        <v>8341</v>
      </c>
      <c r="C6353" t="s">
        <v>151</v>
      </c>
      <c r="D6353" s="1" t="s">
        <v>8342</v>
      </c>
    </row>
    <row r="6354" spans="1:4" hidden="1" x14ac:dyDescent="0.3">
      <c r="A6354">
        <v>6352</v>
      </c>
      <c r="B6354" t="s">
        <v>8343</v>
      </c>
      <c r="C6354" t="s">
        <v>30</v>
      </c>
      <c r="D6354">
        <v>-0.86189840590165701</v>
      </c>
    </row>
    <row r="6355" spans="1:4" hidden="1" x14ac:dyDescent="0.3">
      <c r="A6355">
        <v>6353</v>
      </c>
      <c r="B6355" t="s">
        <v>8344</v>
      </c>
      <c r="C6355" t="s">
        <v>32</v>
      </c>
      <c r="D6355">
        <v>0.40844602700809102</v>
      </c>
    </row>
    <row r="6356" spans="1:4" hidden="1" x14ac:dyDescent="0.3">
      <c r="A6356">
        <v>6354</v>
      </c>
      <c r="B6356" s="1" t="s">
        <v>8345</v>
      </c>
      <c r="C6356" t="s">
        <v>155</v>
      </c>
      <c r="D6356" s="1" t="s">
        <v>8346</v>
      </c>
    </row>
    <row r="6357" spans="1:4" hidden="1" x14ac:dyDescent="0.3">
      <c r="A6357">
        <v>6355</v>
      </c>
      <c r="B6357" t="s">
        <v>8347</v>
      </c>
      <c r="C6357" t="s">
        <v>40</v>
      </c>
      <c r="D6357">
        <v>-1.1073856837442799</v>
      </c>
    </row>
    <row r="6358" spans="1:4" hidden="1" x14ac:dyDescent="0.3">
      <c r="A6358">
        <v>6356</v>
      </c>
      <c r="B6358" t="s">
        <v>8348</v>
      </c>
      <c r="C6358" t="s">
        <v>42</v>
      </c>
      <c r="D6358">
        <v>0.43383656658741399</v>
      </c>
    </row>
    <row r="6359" spans="1:4" hidden="1" x14ac:dyDescent="0.3">
      <c r="A6359">
        <v>6357</v>
      </c>
      <c r="B6359" s="1" t="s">
        <v>8349</v>
      </c>
      <c r="C6359" t="s">
        <v>159</v>
      </c>
      <c r="D6359" s="1" t="s">
        <v>8350</v>
      </c>
    </row>
    <row r="6360" spans="1:4" hidden="1" x14ac:dyDescent="0.3">
      <c r="A6360">
        <v>6358</v>
      </c>
      <c r="B6360" t="s">
        <v>8351</v>
      </c>
      <c r="C6360" t="s">
        <v>161</v>
      </c>
      <c r="D6360">
        <v>0.99668305672673696</v>
      </c>
    </row>
    <row r="6361" spans="1:4" hidden="1" x14ac:dyDescent="0.3">
      <c r="A6361">
        <v>6359</v>
      </c>
      <c r="B6361" t="s">
        <v>8352</v>
      </c>
      <c r="C6361" t="s">
        <v>163</v>
      </c>
      <c r="D6361">
        <v>1.0021689387484001</v>
      </c>
    </row>
    <row r="6362" spans="1:4" hidden="1" x14ac:dyDescent="0.3">
      <c r="A6362">
        <v>6360</v>
      </c>
      <c r="B6362" s="1" t="s">
        <v>8353</v>
      </c>
      <c r="C6362" t="s">
        <v>165</v>
      </c>
      <c r="D6362" s="1" t="s">
        <v>8354</v>
      </c>
    </row>
    <row r="6363" spans="1:4" hidden="1" x14ac:dyDescent="0.3">
      <c r="A6363">
        <v>6361</v>
      </c>
      <c r="B6363" t="s">
        <v>8355</v>
      </c>
      <c r="C6363" t="s">
        <v>168</v>
      </c>
      <c r="D6363">
        <v>1.0072850654158501</v>
      </c>
    </row>
    <row r="6364" spans="1:4" hidden="1" x14ac:dyDescent="0.3">
      <c r="A6364">
        <v>6362</v>
      </c>
      <c r="B6364" t="s">
        <v>8356</v>
      </c>
      <c r="C6364" t="s">
        <v>170</v>
      </c>
      <c r="D6364">
        <v>0.99257218277411996</v>
      </c>
    </row>
    <row r="6365" spans="1:4" hidden="1" x14ac:dyDescent="0.3">
      <c r="A6365">
        <v>6363</v>
      </c>
      <c r="B6365" s="1" t="s">
        <v>8357</v>
      </c>
      <c r="C6365" t="s">
        <v>172</v>
      </c>
      <c r="D6365" s="1" t="s">
        <v>8358</v>
      </c>
    </row>
    <row r="6366" spans="1:4" hidden="1" x14ac:dyDescent="0.3">
      <c r="A6366">
        <v>6364</v>
      </c>
      <c r="B6366" s="1" t="s">
        <v>8359</v>
      </c>
      <c r="C6366" t="s">
        <v>55</v>
      </c>
      <c r="D6366" s="1" t="s">
        <v>8360</v>
      </c>
    </row>
    <row r="6367" spans="1:4" hidden="1" x14ac:dyDescent="0.3">
      <c r="A6367">
        <v>6365</v>
      </c>
      <c r="B6367" s="1" t="s">
        <v>8361</v>
      </c>
      <c r="C6367" t="s">
        <v>52</v>
      </c>
      <c r="D6367" s="1" t="s">
        <v>8362</v>
      </c>
    </row>
    <row r="6368" spans="1:4" hidden="1" x14ac:dyDescent="0.3">
      <c r="A6368">
        <v>6366</v>
      </c>
      <c r="B6368" s="1" t="s">
        <v>8363</v>
      </c>
      <c r="C6368" t="s">
        <v>58</v>
      </c>
      <c r="D6368" s="1" t="s">
        <v>8364</v>
      </c>
    </row>
    <row r="6369" spans="1:4" hidden="1" x14ac:dyDescent="0.3">
      <c r="A6369">
        <v>6367</v>
      </c>
      <c r="B6369" t="s">
        <v>8365</v>
      </c>
      <c r="C6369" t="s">
        <v>61</v>
      </c>
      <c r="D6369">
        <v>139582058.291188</v>
      </c>
    </row>
    <row r="6370" spans="1:4" hidden="1" x14ac:dyDescent="0.3">
      <c r="A6370">
        <v>6368</v>
      </c>
      <c r="B6370" t="s">
        <v>8366</v>
      </c>
      <c r="C6370" t="s">
        <v>63</v>
      </c>
      <c r="D6370">
        <v>74548710.145227894</v>
      </c>
    </row>
    <row r="6371" spans="1:4" hidden="1" x14ac:dyDescent="0.3">
      <c r="A6371">
        <v>6369</v>
      </c>
      <c r="B6371" t="s">
        <v>8367</v>
      </c>
      <c r="C6371" t="s">
        <v>65</v>
      </c>
      <c r="D6371">
        <v>33976229.841847003</v>
      </c>
    </row>
    <row r="6372" spans="1:4" hidden="1" x14ac:dyDescent="0.3">
      <c r="A6372">
        <v>6370</v>
      </c>
      <c r="B6372" s="1" t="s">
        <v>8368</v>
      </c>
      <c r="C6372" t="s">
        <v>67</v>
      </c>
      <c r="D6372" s="1" t="s">
        <v>8369</v>
      </c>
    </row>
    <row r="6373" spans="1:4" hidden="1" x14ac:dyDescent="0.3">
      <c r="A6373">
        <v>6371</v>
      </c>
      <c r="B6373" s="1" t="s">
        <v>8370</v>
      </c>
      <c r="C6373" t="s">
        <v>70</v>
      </c>
      <c r="D6373" s="1" t="s">
        <v>8371</v>
      </c>
    </row>
    <row r="6374" spans="1:4" hidden="1" x14ac:dyDescent="0.3">
      <c r="A6374">
        <v>6372</v>
      </c>
      <c r="B6374" t="s">
        <v>8372</v>
      </c>
      <c r="C6374" t="s">
        <v>73</v>
      </c>
      <c r="D6374">
        <v>0.99978415312031799</v>
      </c>
    </row>
    <row r="6375" spans="1:4" hidden="1" x14ac:dyDescent="0.3">
      <c r="A6375">
        <v>6373</v>
      </c>
      <c r="B6375" t="s">
        <v>74</v>
      </c>
      <c r="C6375" t="s">
        <v>75</v>
      </c>
      <c r="D6375">
        <v>2.7397260273972599E-3</v>
      </c>
    </row>
    <row r="6376" spans="1:4" hidden="1" x14ac:dyDescent="0.3">
      <c r="A6376">
        <v>6374</v>
      </c>
      <c r="B6376" t="s">
        <v>76</v>
      </c>
      <c r="C6376" t="s">
        <v>77</v>
      </c>
      <c r="D6376">
        <v>0</v>
      </c>
    </row>
    <row r="6377" spans="1:4" hidden="1" x14ac:dyDescent="0.3">
      <c r="A6377">
        <v>6375</v>
      </c>
      <c r="B6377" t="s">
        <v>188</v>
      </c>
      <c r="C6377" t="s">
        <v>79</v>
      </c>
      <c r="D6377" s="2">
        <v>-2.2204460492503101E-16</v>
      </c>
    </row>
    <row r="6378" spans="1:4" hidden="1" x14ac:dyDescent="0.3">
      <c r="A6378">
        <v>6376</v>
      </c>
      <c r="B6378" s="1" t="s">
        <v>8373</v>
      </c>
      <c r="C6378" t="s">
        <v>81</v>
      </c>
      <c r="D6378" s="1" t="s">
        <v>8374</v>
      </c>
    </row>
    <row r="6379" spans="1:4" hidden="1" x14ac:dyDescent="0.3">
      <c r="A6379">
        <v>6377</v>
      </c>
      <c r="B6379" t="s">
        <v>8375</v>
      </c>
      <c r="C6379" t="s">
        <v>84</v>
      </c>
      <c r="D6379">
        <v>0.99974964635103003</v>
      </c>
    </row>
    <row r="6380" spans="1:4" hidden="1" x14ac:dyDescent="0.3">
      <c r="A6380">
        <v>6378</v>
      </c>
      <c r="B6380" s="1" t="s">
        <v>8376</v>
      </c>
      <c r="C6380" t="s">
        <v>86</v>
      </c>
      <c r="D6380" s="1" t="s">
        <v>8377</v>
      </c>
    </row>
    <row r="6381" spans="1:4" hidden="1" x14ac:dyDescent="0.3">
      <c r="A6381">
        <v>6379</v>
      </c>
      <c r="B6381" t="s">
        <v>8378</v>
      </c>
      <c r="C6381" t="s">
        <v>89</v>
      </c>
      <c r="D6381">
        <v>103019204.92835701</v>
      </c>
    </row>
    <row r="6382" spans="1:4" hidden="1" x14ac:dyDescent="0.3">
      <c r="A6382">
        <v>6380</v>
      </c>
      <c r="B6382" s="1" t="s">
        <v>8379</v>
      </c>
      <c r="C6382" t="s">
        <v>91</v>
      </c>
      <c r="D6382" s="1" t="s">
        <v>8314</v>
      </c>
    </row>
    <row r="6383" spans="1:4" hidden="1" x14ac:dyDescent="0.3">
      <c r="A6383">
        <v>6381</v>
      </c>
      <c r="B6383" t="s">
        <v>8380</v>
      </c>
      <c r="C6383" t="s">
        <v>94</v>
      </c>
      <c r="D6383">
        <v>74548710.145227894</v>
      </c>
    </row>
    <row r="6384" spans="1:4" hidden="1" x14ac:dyDescent="0.3">
      <c r="A6384">
        <v>6382</v>
      </c>
      <c r="B6384" t="s">
        <v>8381</v>
      </c>
      <c r="C6384" t="s">
        <v>96</v>
      </c>
      <c r="D6384">
        <v>33976229.841847003</v>
      </c>
    </row>
    <row r="6385" spans="1:4" hidden="1" x14ac:dyDescent="0.3">
      <c r="A6385">
        <v>6383</v>
      </c>
      <c r="B6385" t="s">
        <v>8382</v>
      </c>
      <c r="C6385" t="s">
        <v>98</v>
      </c>
      <c r="D6385">
        <v>31057118.304113802</v>
      </c>
    </row>
    <row r="6386" spans="1:4" hidden="1" x14ac:dyDescent="0.3">
      <c r="A6386">
        <v>6384</v>
      </c>
      <c r="B6386" s="1" t="s">
        <v>8383</v>
      </c>
      <c r="C6386" t="s">
        <v>100</v>
      </c>
      <c r="D6386" s="1" t="s">
        <v>8384</v>
      </c>
    </row>
    <row r="6387" spans="1:4" hidden="1" x14ac:dyDescent="0.3">
      <c r="A6387">
        <v>6385</v>
      </c>
      <c r="B6387" t="s">
        <v>8385</v>
      </c>
      <c r="C6387" t="s">
        <v>103</v>
      </c>
      <c r="D6387">
        <v>9.4335296036948506E-3</v>
      </c>
    </row>
    <row r="6388" spans="1:4" hidden="1" x14ac:dyDescent="0.3">
      <c r="A6388">
        <v>6386</v>
      </c>
      <c r="B6388" t="s">
        <v>8386</v>
      </c>
      <c r="C6388" t="s">
        <v>105</v>
      </c>
      <c r="D6388">
        <v>2.99059124789776E-3</v>
      </c>
    </row>
    <row r="6389" spans="1:4" hidden="1" x14ac:dyDescent="0.3">
      <c r="A6389">
        <v>6387</v>
      </c>
      <c r="B6389" t="s">
        <v>8387</v>
      </c>
      <c r="C6389" t="s">
        <v>107</v>
      </c>
      <c r="D6389">
        <v>1.6385701421533599E-2</v>
      </c>
    </row>
    <row r="6390" spans="1:4" hidden="1" x14ac:dyDescent="0.3">
      <c r="A6390">
        <v>6388</v>
      </c>
      <c r="B6390" s="1" t="s">
        <v>8388</v>
      </c>
      <c r="C6390" t="s">
        <v>109</v>
      </c>
      <c r="D6390" s="1" t="s">
        <v>8389</v>
      </c>
    </row>
    <row r="6391" spans="1:4" hidden="1" x14ac:dyDescent="0.3">
      <c r="A6391">
        <v>6389</v>
      </c>
      <c r="B6391" t="s">
        <v>8390</v>
      </c>
      <c r="C6391" t="s">
        <v>208</v>
      </c>
      <c r="D6391">
        <v>139580829.93787199</v>
      </c>
    </row>
    <row r="6392" spans="1:4" hidden="1" x14ac:dyDescent="0.3">
      <c r="A6392">
        <v>6390</v>
      </c>
      <c r="B6392" t="s">
        <v>8391</v>
      </c>
      <c r="C6392" t="s">
        <v>210</v>
      </c>
      <c r="D6392">
        <v>2572.9597040570602</v>
      </c>
    </row>
    <row r="6393" spans="1:4" hidden="1" x14ac:dyDescent="0.3">
      <c r="A6393">
        <v>6391</v>
      </c>
      <c r="B6393" t="s">
        <v>8392</v>
      </c>
      <c r="C6393" t="s">
        <v>212</v>
      </c>
      <c r="D6393">
        <v>1172.65572018743</v>
      </c>
    </row>
    <row r="6394" spans="1:4" hidden="1" x14ac:dyDescent="0.3">
      <c r="A6394">
        <v>6392</v>
      </c>
      <c r="B6394" s="1" t="s">
        <v>8393</v>
      </c>
      <c r="C6394" t="s">
        <v>214</v>
      </c>
      <c r="D6394" s="1" t="s">
        <v>8394</v>
      </c>
    </row>
    <row r="6395" spans="1:4" hidden="1" x14ac:dyDescent="0.3">
      <c r="A6395">
        <v>6393</v>
      </c>
      <c r="B6395" t="s">
        <v>8395</v>
      </c>
      <c r="C6395" t="s">
        <v>217</v>
      </c>
      <c r="D6395">
        <v>74545244.521768793</v>
      </c>
    </row>
    <row r="6396" spans="1:4" hidden="1" x14ac:dyDescent="0.3">
      <c r="A6396">
        <v>6394</v>
      </c>
      <c r="B6396" t="s">
        <v>8396</v>
      </c>
      <c r="C6396" t="s">
        <v>219</v>
      </c>
      <c r="D6396">
        <v>33974845.102853797</v>
      </c>
    </row>
    <row r="6397" spans="1:4" hidden="1" x14ac:dyDescent="0.3">
      <c r="A6397">
        <v>6395</v>
      </c>
      <c r="B6397" t="s">
        <v>8397</v>
      </c>
      <c r="C6397" t="s">
        <v>221</v>
      </c>
      <c r="D6397">
        <v>31055922.789907102</v>
      </c>
    </row>
    <row r="6398" spans="1:4" hidden="1" x14ac:dyDescent="0.3">
      <c r="A6398">
        <v>6396</v>
      </c>
      <c r="B6398" s="1" t="s">
        <v>8398</v>
      </c>
      <c r="C6398" t="s">
        <v>223</v>
      </c>
      <c r="D6398" s="1" t="s">
        <v>8399</v>
      </c>
    </row>
    <row r="6399" spans="1:4" hidden="1" x14ac:dyDescent="0.3">
      <c r="A6399">
        <v>6397</v>
      </c>
      <c r="B6399" t="s">
        <v>8400</v>
      </c>
      <c r="C6399" t="s">
        <v>226</v>
      </c>
      <c r="D6399">
        <v>103015649.30095001</v>
      </c>
    </row>
    <row r="6400" spans="1:4" hidden="1" x14ac:dyDescent="0.3">
      <c r="A6400">
        <v>6398</v>
      </c>
      <c r="B6400" t="s">
        <v>8401</v>
      </c>
      <c r="C6400" t="s">
        <v>228</v>
      </c>
      <c r="D6400">
        <v>3555.62740774452</v>
      </c>
    </row>
    <row r="6401" spans="1:4" hidden="1" x14ac:dyDescent="0.3">
      <c r="A6401">
        <v>6399</v>
      </c>
      <c r="B6401" s="1" t="s">
        <v>8402</v>
      </c>
      <c r="C6401" t="s">
        <v>230</v>
      </c>
      <c r="D6401" s="1" t="s">
        <v>8403</v>
      </c>
    </row>
    <row r="6402" spans="1:4" hidden="1" x14ac:dyDescent="0.3">
      <c r="A6402">
        <v>6400</v>
      </c>
      <c r="B6402" t="s">
        <v>8404</v>
      </c>
      <c r="C6402" t="s">
        <v>112</v>
      </c>
      <c r="D6402">
        <v>-892.66375505628298</v>
      </c>
    </row>
    <row r="6403" spans="1:4" hidden="1" x14ac:dyDescent="0.3">
      <c r="A6403">
        <v>6401</v>
      </c>
      <c r="B6403" t="s">
        <v>8405</v>
      </c>
      <c r="C6403" t="s">
        <v>114</v>
      </c>
      <c r="D6403">
        <v>-212.08327296285</v>
      </c>
    </row>
    <row r="6404" spans="1:4" hidden="1" x14ac:dyDescent="0.3">
      <c r="A6404">
        <v>6402</v>
      </c>
      <c r="B6404" s="1" t="s">
        <v>8406</v>
      </c>
      <c r="C6404" t="s">
        <v>116</v>
      </c>
      <c r="D6404" s="1" t="s">
        <v>8407</v>
      </c>
    </row>
    <row r="6405" spans="1:4" hidden="1" x14ac:dyDescent="0.3">
      <c r="A6405">
        <v>6403</v>
      </c>
      <c r="B6405" t="s">
        <v>8408</v>
      </c>
      <c r="C6405" t="s">
        <v>119</v>
      </c>
      <c r="D6405">
        <v>74545244.521768793</v>
      </c>
    </row>
    <row r="6406" spans="1:4" hidden="1" x14ac:dyDescent="0.3">
      <c r="A6406">
        <v>6404</v>
      </c>
      <c r="B6406" t="s">
        <v>8409</v>
      </c>
      <c r="C6406" t="s">
        <v>121</v>
      </c>
      <c r="D6406">
        <v>33974845.102853797</v>
      </c>
    </row>
    <row r="6407" spans="1:4" hidden="1" x14ac:dyDescent="0.3">
      <c r="A6407">
        <v>6405</v>
      </c>
      <c r="B6407" s="1" t="s">
        <v>8410</v>
      </c>
      <c r="C6407" t="s">
        <v>123</v>
      </c>
      <c r="D6407" s="1" t="s">
        <v>8411</v>
      </c>
    </row>
    <row r="6408" spans="1:4" hidden="1" x14ac:dyDescent="0.3">
      <c r="A6408">
        <v>6406</v>
      </c>
      <c r="B6408" t="s">
        <v>8412</v>
      </c>
      <c r="C6408" t="s">
        <v>126</v>
      </c>
      <c r="D6408">
        <v>0.72381150218599799</v>
      </c>
    </row>
    <row r="6409" spans="1:4" hidden="1" x14ac:dyDescent="0.3">
      <c r="A6409">
        <v>6407</v>
      </c>
      <c r="B6409" t="s">
        <v>8413</v>
      </c>
      <c r="C6409" t="s">
        <v>128</v>
      </c>
      <c r="D6409">
        <v>0.32988534450714702</v>
      </c>
    </row>
    <row r="6410" spans="1:4" hidden="1" x14ac:dyDescent="0.3">
      <c r="A6410">
        <v>6408</v>
      </c>
      <c r="B6410" s="1" t="s">
        <v>8414</v>
      </c>
      <c r="C6410" t="s">
        <v>130</v>
      </c>
      <c r="D6410" s="1" t="s">
        <v>8415</v>
      </c>
    </row>
    <row r="6411" spans="1:4" ht="72" x14ac:dyDescent="0.3">
      <c r="A6411">
        <v>6409</v>
      </c>
      <c r="B6411" s="1" t="s">
        <v>8416</v>
      </c>
      <c r="C6411" t="s">
        <v>4</v>
      </c>
      <c r="D6411" t="s">
        <v>8417</v>
      </c>
    </row>
    <row r="6412" spans="1:4" hidden="1" x14ac:dyDescent="0.3">
      <c r="A6412">
        <v>6410</v>
      </c>
      <c r="B6412" t="s">
        <v>8418</v>
      </c>
      <c r="C6412" t="s">
        <v>7</v>
      </c>
      <c r="D6412">
        <v>1755.45</v>
      </c>
    </row>
    <row r="6413" spans="1:4" hidden="1" x14ac:dyDescent="0.3">
      <c r="A6413">
        <v>6411</v>
      </c>
      <c r="B6413" s="1" t="s">
        <v>8419</v>
      </c>
      <c r="C6413" t="s">
        <v>9</v>
      </c>
      <c r="D6413" s="1" t="s">
        <v>8420</v>
      </c>
    </row>
    <row r="6414" spans="1:4" hidden="1" x14ac:dyDescent="0.3">
      <c r="A6414">
        <v>6412</v>
      </c>
      <c r="B6414" t="s">
        <v>8421</v>
      </c>
      <c r="C6414" t="s">
        <v>14</v>
      </c>
      <c r="D6414">
        <v>89.0625</v>
      </c>
    </row>
    <row r="6415" spans="1:4" hidden="1" x14ac:dyDescent="0.3">
      <c r="A6415">
        <v>6413</v>
      </c>
      <c r="B6415" t="s">
        <v>8422</v>
      </c>
      <c r="C6415" t="s">
        <v>16</v>
      </c>
      <c r="D6415">
        <v>4.2253855880258797</v>
      </c>
    </row>
    <row r="6416" spans="1:4" hidden="1" x14ac:dyDescent="0.3">
      <c r="A6416">
        <v>6414</v>
      </c>
      <c r="B6416" s="1" t="s">
        <v>8423</v>
      </c>
      <c r="C6416" t="s">
        <v>140</v>
      </c>
      <c r="D6416" s="1" t="s">
        <v>8424</v>
      </c>
    </row>
    <row r="6417" spans="1:4" hidden="1" x14ac:dyDescent="0.3">
      <c r="A6417">
        <v>6415</v>
      </c>
      <c r="B6417" t="s">
        <v>8425</v>
      </c>
      <c r="C6417" t="s">
        <v>22</v>
      </c>
      <c r="D6417">
        <v>50.95</v>
      </c>
    </row>
    <row r="6418" spans="1:4" hidden="1" x14ac:dyDescent="0.3">
      <c r="A6418">
        <v>6416</v>
      </c>
      <c r="B6418" t="s">
        <v>8426</v>
      </c>
      <c r="C6418" t="s">
        <v>24</v>
      </c>
      <c r="D6418">
        <v>5.2737581724145697</v>
      </c>
    </row>
    <row r="6419" spans="1:4" hidden="1" x14ac:dyDescent="0.3">
      <c r="A6419">
        <v>6417</v>
      </c>
      <c r="B6419" s="1" t="s">
        <v>8427</v>
      </c>
      <c r="C6419" t="s">
        <v>145</v>
      </c>
      <c r="D6419" s="1" t="s">
        <v>8428</v>
      </c>
    </row>
    <row r="6420" spans="1:4" hidden="1" x14ac:dyDescent="0.3">
      <c r="A6420">
        <v>6418</v>
      </c>
      <c r="B6420" t="s">
        <v>8429</v>
      </c>
      <c r="C6420" t="s">
        <v>35</v>
      </c>
      <c r="D6420">
        <v>-1.7846503195563299</v>
      </c>
    </row>
    <row r="6421" spans="1:4" hidden="1" x14ac:dyDescent="0.3">
      <c r="A6421">
        <v>6419</v>
      </c>
      <c r="B6421" t="s">
        <v>8430</v>
      </c>
      <c r="C6421" t="s">
        <v>149</v>
      </c>
      <c r="D6421">
        <v>0.53976218467292403</v>
      </c>
    </row>
    <row r="6422" spans="1:4" hidden="1" x14ac:dyDescent="0.3">
      <c r="A6422">
        <v>6420</v>
      </c>
      <c r="B6422" s="1" t="s">
        <v>8431</v>
      </c>
      <c r="C6422" t="s">
        <v>151</v>
      </c>
      <c r="D6422" s="1" t="s">
        <v>8432</v>
      </c>
    </row>
    <row r="6423" spans="1:4" hidden="1" x14ac:dyDescent="0.3">
      <c r="A6423">
        <v>6421</v>
      </c>
      <c r="B6423" t="s">
        <v>8433</v>
      </c>
      <c r="C6423" t="s">
        <v>30</v>
      </c>
      <c r="D6423">
        <v>1.20878172358142</v>
      </c>
    </row>
    <row r="6424" spans="1:4" hidden="1" x14ac:dyDescent="0.3">
      <c r="A6424">
        <v>6422</v>
      </c>
      <c r="B6424" t="s">
        <v>8434</v>
      </c>
      <c r="C6424" t="s">
        <v>32</v>
      </c>
      <c r="D6424">
        <v>0.41870509142655099</v>
      </c>
    </row>
    <row r="6425" spans="1:4" hidden="1" x14ac:dyDescent="0.3">
      <c r="A6425">
        <v>6423</v>
      </c>
      <c r="B6425" s="1" t="s">
        <v>8435</v>
      </c>
      <c r="C6425" t="s">
        <v>155</v>
      </c>
      <c r="D6425" s="1" t="s">
        <v>8436</v>
      </c>
    </row>
    <row r="6426" spans="1:4" hidden="1" x14ac:dyDescent="0.3">
      <c r="A6426">
        <v>6424</v>
      </c>
      <c r="B6426" t="s">
        <v>8437</v>
      </c>
      <c r="C6426" t="s">
        <v>40</v>
      </c>
      <c r="D6426">
        <v>1.5758685959748999</v>
      </c>
    </row>
    <row r="6427" spans="1:4" hidden="1" x14ac:dyDescent="0.3">
      <c r="A6427">
        <v>6425</v>
      </c>
      <c r="B6427" t="s">
        <v>8438</v>
      </c>
      <c r="C6427" t="s">
        <v>42</v>
      </c>
      <c r="D6427">
        <v>0.43396267300003799</v>
      </c>
    </row>
    <row r="6428" spans="1:4" hidden="1" x14ac:dyDescent="0.3">
      <c r="A6428">
        <v>6426</v>
      </c>
      <c r="B6428" s="1" t="s">
        <v>8439</v>
      </c>
      <c r="C6428" t="s">
        <v>159</v>
      </c>
      <c r="D6428" s="1" t="s">
        <v>8440</v>
      </c>
    </row>
    <row r="6429" spans="1:4" hidden="1" x14ac:dyDescent="0.3">
      <c r="A6429">
        <v>6427</v>
      </c>
      <c r="B6429" t="s">
        <v>8441</v>
      </c>
      <c r="C6429" t="s">
        <v>161</v>
      </c>
      <c r="D6429">
        <v>1.02853978930592</v>
      </c>
    </row>
    <row r="6430" spans="1:4" hidden="1" x14ac:dyDescent="0.3">
      <c r="A6430">
        <v>6428</v>
      </c>
      <c r="B6430" t="s">
        <v>8442</v>
      </c>
      <c r="C6430" t="s">
        <v>163</v>
      </c>
      <c r="D6430">
        <v>1.0095875739403799</v>
      </c>
    </row>
    <row r="6431" spans="1:4" hidden="1" x14ac:dyDescent="0.3">
      <c r="A6431">
        <v>6429</v>
      </c>
      <c r="B6431" s="1" t="s">
        <v>8443</v>
      </c>
      <c r="C6431" t="s">
        <v>165</v>
      </c>
      <c r="D6431" s="1" t="s">
        <v>8444</v>
      </c>
    </row>
    <row r="6432" spans="1:4" hidden="1" x14ac:dyDescent="0.3">
      <c r="A6432">
        <v>6430</v>
      </c>
      <c r="B6432" t="s">
        <v>8445</v>
      </c>
      <c r="C6432" t="s">
        <v>168</v>
      </c>
      <c r="D6432">
        <v>0.998027809582123</v>
      </c>
    </row>
    <row r="6433" spans="1:4" hidden="1" x14ac:dyDescent="0.3">
      <c r="A6433">
        <v>6431</v>
      </c>
      <c r="B6433" t="s">
        <v>8446</v>
      </c>
      <c r="C6433" t="s">
        <v>170</v>
      </c>
      <c r="D6433">
        <v>1.0072839599258501</v>
      </c>
    </row>
    <row r="6434" spans="1:4" hidden="1" x14ac:dyDescent="0.3">
      <c r="A6434">
        <v>6432</v>
      </c>
      <c r="B6434" s="1" t="s">
        <v>8447</v>
      </c>
      <c r="C6434" t="s">
        <v>172</v>
      </c>
      <c r="D6434" s="1" t="s">
        <v>8448</v>
      </c>
    </row>
    <row r="6435" spans="1:4" hidden="1" x14ac:dyDescent="0.3">
      <c r="A6435">
        <v>6433</v>
      </c>
      <c r="B6435" s="1" t="s">
        <v>8449</v>
      </c>
      <c r="C6435" t="s">
        <v>55</v>
      </c>
      <c r="D6435" s="1" t="s">
        <v>8450</v>
      </c>
    </row>
    <row r="6436" spans="1:4" hidden="1" x14ac:dyDescent="0.3">
      <c r="A6436">
        <v>6434</v>
      </c>
      <c r="B6436" s="1" t="s">
        <v>8451</v>
      </c>
      <c r="C6436" t="s">
        <v>52</v>
      </c>
      <c r="D6436" s="1" t="s">
        <v>8452</v>
      </c>
    </row>
    <row r="6437" spans="1:4" hidden="1" x14ac:dyDescent="0.3">
      <c r="A6437">
        <v>6435</v>
      </c>
      <c r="B6437" s="1" t="s">
        <v>8453</v>
      </c>
      <c r="C6437" t="s">
        <v>58</v>
      </c>
      <c r="D6437" s="1" t="s">
        <v>8454</v>
      </c>
    </row>
    <row r="6438" spans="1:4" hidden="1" x14ac:dyDescent="0.3">
      <c r="A6438">
        <v>6436</v>
      </c>
      <c r="B6438" t="s">
        <v>8455</v>
      </c>
      <c r="C6438" t="s">
        <v>61</v>
      </c>
      <c r="D6438">
        <v>142709357.441158</v>
      </c>
    </row>
    <row r="6439" spans="1:4" hidden="1" x14ac:dyDescent="0.3">
      <c r="A6439">
        <v>6437</v>
      </c>
      <c r="B6439" t="s">
        <v>8456</v>
      </c>
      <c r="C6439" t="s">
        <v>63</v>
      </c>
      <c r="D6439">
        <v>76672750.094179004</v>
      </c>
    </row>
    <row r="6440" spans="1:4" hidden="1" x14ac:dyDescent="0.3">
      <c r="A6440">
        <v>6438</v>
      </c>
      <c r="B6440" t="s">
        <v>8457</v>
      </c>
      <c r="C6440" t="s">
        <v>65</v>
      </c>
      <c r="D6440">
        <v>34300581.442390501</v>
      </c>
    </row>
    <row r="6441" spans="1:4" hidden="1" x14ac:dyDescent="0.3">
      <c r="A6441">
        <v>6439</v>
      </c>
      <c r="B6441" s="1" t="s">
        <v>8458</v>
      </c>
      <c r="C6441" t="s">
        <v>67</v>
      </c>
      <c r="D6441" s="1" t="s">
        <v>8459</v>
      </c>
    </row>
    <row r="6442" spans="1:4" hidden="1" x14ac:dyDescent="0.3">
      <c r="A6442">
        <v>6440</v>
      </c>
      <c r="B6442" s="1" t="s">
        <v>8460</v>
      </c>
      <c r="C6442" t="s">
        <v>70</v>
      </c>
      <c r="D6442" s="1" t="s">
        <v>8461</v>
      </c>
    </row>
    <row r="6443" spans="1:4" hidden="1" x14ac:dyDescent="0.3">
      <c r="A6443">
        <v>6441</v>
      </c>
      <c r="B6443" t="s">
        <v>8462</v>
      </c>
      <c r="C6443" t="s">
        <v>73</v>
      </c>
      <c r="D6443">
        <v>0.99974964635103003</v>
      </c>
    </row>
    <row r="6444" spans="1:4" hidden="1" x14ac:dyDescent="0.3">
      <c r="A6444">
        <v>6442</v>
      </c>
      <c r="B6444" t="s">
        <v>74</v>
      </c>
      <c r="C6444" t="s">
        <v>75</v>
      </c>
      <c r="D6444">
        <v>2.7397260273972599E-3</v>
      </c>
    </row>
    <row r="6445" spans="1:4" hidden="1" x14ac:dyDescent="0.3">
      <c r="A6445">
        <v>6443</v>
      </c>
      <c r="B6445" t="s">
        <v>76</v>
      </c>
      <c r="C6445" t="s">
        <v>77</v>
      </c>
      <c r="D6445">
        <v>0</v>
      </c>
    </row>
    <row r="6446" spans="1:4" hidden="1" x14ac:dyDescent="0.3">
      <c r="A6446">
        <v>6444</v>
      </c>
      <c r="B6446" t="s">
        <v>78</v>
      </c>
      <c r="C6446" t="s">
        <v>79</v>
      </c>
      <c r="D6446">
        <v>0</v>
      </c>
    </row>
    <row r="6447" spans="1:4" hidden="1" x14ac:dyDescent="0.3">
      <c r="A6447">
        <v>6445</v>
      </c>
      <c r="B6447" s="1" t="s">
        <v>8463</v>
      </c>
      <c r="C6447" t="s">
        <v>81</v>
      </c>
      <c r="D6447" s="1" t="s">
        <v>8464</v>
      </c>
    </row>
    <row r="6448" spans="1:4" hidden="1" x14ac:dyDescent="0.3">
      <c r="A6448">
        <v>6446</v>
      </c>
      <c r="B6448" t="s">
        <v>8465</v>
      </c>
      <c r="C6448" t="s">
        <v>84</v>
      </c>
      <c r="D6448">
        <v>0.99978736184257699</v>
      </c>
    </row>
    <row r="6449" spans="1:4" hidden="1" x14ac:dyDescent="0.3">
      <c r="A6449">
        <v>6447</v>
      </c>
      <c r="B6449" s="1" t="s">
        <v>8466</v>
      </c>
      <c r="C6449" t="s">
        <v>86</v>
      </c>
      <c r="D6449" s="1" t="s">
        <v>8467</v>
      </c>
    </row>
    <row r="6450" spans="1:4" hidden="1" x14ac:dyDescent="0.3">
      <c r="A6450">
        <v>6448</v>
      </c>
      <c r="B6450" t="s">
        <v>8468</v>
      </c>
      <c r="C6450" t="s">
        <v>89</v>
      </c>
      <c r="D6450">
        <v>103015318.68204001</v>
      </c>
    </row>
    <row r="6451" spans="1:4" hidden="1" x14ac:dyDescent="0.3">
      <c r="A6451">
        <v>6449</v>
      </c>
      <c r="B6451" s="1" t="s">
        <v>8469</v>
      </c>
      <c r="C6451" t="s">
        <v>91</v>
      </c>
      <c r="D6451" s="1" t="s">
        <v>8403</v>
      </c>
    </row>
    <row r="6452" spans="1:4" hidden="1" x14ac:dyDescent="0.3">
      <c r="A6452">
        <v>6450</v>
      </c>
      <c r="B6452" t="s">
        <v>8470</v>
      </c>
      <c r="C6452" t="s">
        <v>94</v>
      </c>
      <c r="D6452">
        <v>76672750.094179004</v>
      </c>
    </row>
    <row r="6453" spans="1:4" hidden="1" x14ac:dyDescent="0.3">
      <c r="A6453">
        <v>6451</v>
      </c>
      <c r="B6453" t="s">
        <v>8471</v>
      </c>
      <c r="C6453" t="s">
        <v>96</v>
      </c>
      <c r="D6453">
        <v>34300581.442390501</v>
      </c>
    </row>
    <row r="6454" spans="1:4" hidden="1" x14ac:dyDescent="0.3">
      <c r="A6454">
        <v>6452</v>
      </c>
      <c r="B6454" t="s">
        <v>8472</v>
      </c>
      <c r="C6454" t="s">
        <v>98</v>
      </c>
      <c r="D6454">
        <v>31736025.904588901</v>
      </c>
    </row>
    <row r="6455" spans="1:4" hidden="1" x14ac:dyDescent="0.3">
      <c r="A6455">
        <v>6453</v>
      </c>
      <c r="B6455" s="1" t="s">
        <v>8473</v>
      </c>
      <c r="C6455" t="s">
        <v>100</v>
      </c>
      <c r="D6455" s="1" t="s">
        <v>8474</v>
      </c>
    </row>
    <row r="6456" spans="1:4" hidden="1" x14ac:dyDescent="0.3">
      <c r="A6456">
        <v>6454</v>
      </c>
      <c r="B6456" t="s">
        <v>8475</v>
      </c>
      <c r="C6456" t="s">
        <v>103</v>
      </c>
      <c r="D6456">
        <v>9.3214574356076194E-3</v>
      </c>
    </row>
    <row r="6457" spans="1:4" hidden="1" x14ac:dyDescent="0.3">
      <c r="A6457">
        <v>6455</v>
      </c>
      <c r="B6457" t="s">
        <v>8476</v>
      </c>
      <c r="C6457" t="s">
        <v>105</v>
      </c>
      <c r="D6457">
        <v>3.03727938493226E-3</v>
      </c>
    </row>
    <row r="6458" spans="1:4" hidden="1" x14ac:dyDescent="0.3">
      <c r="A6458">
        <v>6456</v>
      </c>
      <c r="B6458" t="s">
        <v>8477</v>
      </c>
      <c r="C6458" t="s">
        <v>107</v>
      </c>
      <c r="D6458">
        <v>1.6592950271149199E-2</v>
      </c>
    </row>
    <row r="6459" spans="1:4" hidden="1" x14ac:dyDescent="0.3">
      <c r="A6459">
        <v>6457</v>
      </c>
      <c r="B6459" s="1" t="s">
        <v>8478</v>
      </c>
      <c r="C6459" t="s">
        <v>109</v>
      </c>
      <c r="D6459" s="1" t="s">
        <v>8479</v>
      </c>
    </row>
    <row r="6460" spans="1:4" hidden="1" x14ac:dyDescent="0.3">
      <c r="A6460">
        <v>6458</v>
      </c>
      <c r="B6460" t="s">
        <v>8480</v>
      </c>
      <c r="C6460" t="s">
        <v>208</v>
      </c>
      <c r="D6460">
        <v>142710692.419752</v>
      </c>
    </row>
    <row r="6461" spans="1:4" hidden="1" x14ac:dyDescent="0.3">
      <c r="A6461">
        <v>6459</v>
      </c>
      <c r="B6461" t="s">
        <v>8481</v>
      </c>
      <c r="C6461" t="s">
        <v>210</v>
      </c>
      <c r="D6461">
        <v>-2892.5099376450198</v>
      </c>
    </row>
    <row r="6462" spans="1:4" hidden="1" x14ac:dyDescent="0.3">
      <c r="A6462">
        <v>6460</v>
      </c>
      <c r="B6462" t="s">
        <v>8482</v>
      </c>
      <c r="C6462" t="s">
        <v>212</v>
      </c>
      <c r="D6462">
        <v>-1293.99552850125</v>
      </c>
    </row>
    <row r="6463" spans="1:4" hidden="1" x14ac:dyDescent="0.3">
      <c r="A6463">
        <v>6461</v>
      </c>
      <c r="B6463" s="1" t="s">
        <v>8483</v>
      </c>
      <c r="C6463" t="s">
        <v>214</v>
      </c>
      <c r="D6463" s="1" t="s">
        <v>8484</v>
      </c>
    </row>
    <row r="6464" spans="1:4" hidden="1" x14ac:dyDescent="0.3">
      <c r="A6464">
        <v>6462</v>
      </c>
      <c r="B6464" t="s">
        <v>8485</v>
      </c>
      <c r="C6464" t="s">
        <v>217</v>
      </c>
      <c r="D6464">
        <v>76676579.331756294</v>
      </c>
    </row>
    <row r="6465" spans="1:4" hidden="1" x14ac:dyDescent="0.3">
      <c r="A6465">
        <v>6463</v>
      </c>
      <c r="B6465" t="s">
        <v>8486</v>
      </c>
      <c r="C6465" t="s">
        <v>219</v>
      </c>
      <c r="D6465">
        <v>34302095.043740898</v>
      </c>
    </row>
    <row r="6466" spans="1:4" hidden="1" x14ac:dyDescent="0.3">
      <c r="A6466">
        <v>6464</v>
      </c>
      <c r="B6466" t="s">
        <v>8487</v>
      </c>
      <c r="C6466" t="s">
        <v>221</v>
      </c>
      <c r="D6466">
        <v>31737401.796010301</v>
      </c>
    </row>
    <row r="6467" spans="1:4" hidden="1" x14ac:dyDescent="0.3">
      <c r="A6467">
        <v>6465</v>
      </c>
      <c r="B6467" s="1" t="s">
        <v>8488</v>
      </c>
      <c r="C6467" t="s">
        <v>223</v>
      </c>
      <c r="D6467" s="1" t="s">
        <v>8489</v>
      </c>
    </row>
    <row r="6468" spans="1:4" hidden="1" x14ac:dyDescent="0.3">
      <c r="A6468">
        <v>6466</v>
      </c>
      <c r="B6468" t="s">
        <v>8490</v>
      </c>
      <c r="C6468" t="s">
        <v>226</v>
      </c>
      <c r="D6468">
        <v>103019204.92835701</v>
      </c>
    </row>
    <row r="6469" spans="1:4" hidden="1" x14ac:dyDescent="0.3">
      <c r="A6469">
        <v>6467</v>
      </c>
      <c r="B6469" t="s">
        <v>8491</v>
      </c>
      <c r="C6469" t="s">
        <v>228</v>
      </c>
      <c r="D6469">
        <v>-3886.2463169395901</v>
      </c>
    </row>
    <row r="6470" spans="1:4" hidden="1" x14ac:dyDescent="0.3">
      <c r="A6470">
        <v>6468</v>
      </c>
      <c r="B6470" s="1" t="s">
        <v>8492</v>
      </c>
      <c r="C6470" t="s">
        <v>230</v>
      </c>
      <c r="D6470" s="1" t="s">
        <v>8493</v>
      </c>
    </row>
    <row r="6471" spans="1:4" hidden="1" x14ac:dyDescent="0.3">
      <c r="A6471">
        <v>6469</v>
      </c>
      <c r="B6471" t="s">
        <v>8494</v>
      </c>
      <c r="C6471" t="s">
        <v>112</v>
      </c>
      <c r="D6471">
        <v>936.72763972537098</v>
      </c>
    </row>
    <row r="6472" spans="1:4" hidden="1" x14ac:dyDescent="0.3">
      <c r="A6472">
        <v>6470</v>
      </c>
      <c r="B6472" t="s">
        <v>8495</v>
      </c>
      <c r="C6472" t="s">
        <v>114</v>
      </c>
      <c r="D6472">
        <v>219.60582191426101</v>
      </c>
    </row>
    <row r="6473" spans="1:4" hidden="1" x14ac:dyDescent="0.3">
      <c r="A6473">
        <v>6471</v>
      </c>
      <c r="B6473" s="1" t="s">
        <v>8496</v>
      </c>
      <c r="C6473" t="s">
        <v>116</v>
      </c>
      <c r="D6473" s="1" t="s">
        <v>8497</v>
      </c>
    </row>
    <row r="6474" spans="1:4" hidden="1" x14ac:dyDescent="0.3">
      <c r="A6474">
        <v>6472</v>
      </c>
      <c r="B6474" t="s">
        <v>8498</v>
      </c>
      <c r="C6474" t="s">
        <v>119</v>
      </c>
      <c r="D6474">
        <v>76676579.331756294</v>
      </c>
    </row>
    <row r="6475" spans="1:4" hidden="1" x14ac:dyDescent="0.3">
      <c r="A6475">
        <v>6473</v>
      </c>
      <c r="B6475" t="s">
        <v>8499</v>
      </c>
      <c r="C6475" t="s">
        <v>121</v>
      </c>
      <c r="D6475">
        <v>34302095.043740898</v>
      </c>
    </row>
    <row r="6476" spans="1:4" hidden="1" x14ac:dyDescent="0.3">
      <c r="A6476">
        <v>6474</v>
      </c>
      <c r="B6476" s="1" t="s">
        <v>8500</v>
      </c>
      <c r="C6476" t="s">
        <v>123</v>
      </c>
      <c r="D6476" s="1" t="s">
        <v>8501</v>
      </c>
    </row>
    <row r="6477" spans="1:4" hidden="1" x14ac:dyDescent="0.3">
      <c r="A6477">
        <v>6475</v>
      </c>
      <c r="B6477" t="s">
        <v>8502</v>
      </c>
      <c r="C6477" t="s">
        <v>126</v>
      </c>
      <c r="D6477">
        <v>0.74445233021653401</v>
      </c>
    </row>
    <row r="6478" spans="1:4" hidden="1" x14ac:dyDescent="0.3">
      <c r="A6478">
        <v>6476</v>
      </c>
      <c r="B6478" t="s">
        <v>8503</v>
      </c>
      <c r="C6478" t="s">
        <v>128</v>
      </c>
      <c r="D6478">
        <v>0.33303878197453501</v>
      </c>
    </row>
    <row r="6479" spans="1:4" hidden="1" x14ac:dyDescent="0.3">
      <c r="A6479">
        <v>6477</v>
      </c>
      <c r="B6479" s="1" t="s">
        <v>8504</v>
      </c>
      <c r="C6479" t="s">
        <v>130</v>
      </c>
      <c r="D6479" s="1" t="s">
        <v>8505</v>
      </c>
    </row>
    <row r="6480" spans="1:4" ht="72" x14ac:dyDescent="0.3">
      <c r="A6480">
        <v>6478</v>
      </c>
      <c r="B6480" s="1" t="s">
        <v>8506</v>
      </c>
      <c r="C6480" t="s">
        <v>4</v>
      </c>
      <c r="D6480" t="s">
        <v>8507</v>
      </c>
    </row>
    <row r="6481" spans="1:4" hidden="1" x14ac:dyDescent="0.3">
      <c r="A6481">
        <v>6479</v>
      </c>
      <c r="B6481" t="s">
        <v>8508</v>
      </c>
      <c r="C6481" t="s">
        <v>7</v>
      </c>
      <c r="D6481">
        <v>1771.4</v>
      </c>
    </row>
    <row r="6482" spans="1:4" hidden="1" x14ac:dyDescent="0.3">
      <c r="A6482">
        <v>6480</v>
      </c>
      <c r="B6482" s="1" t="s">
        <v>8509</v>
      </c>
      <c r="C6482" t="s">
        <v>9</v>
      </c>
      <c r="D6482" s="1" t="s">
        <v>8510</v>
      </c>
    </row>
    <row r="6483" spans="1:4" hidden="1" x14ac:dyDescent="0.3">
      <c r="A6483">
        <v>6481</v>
      </c>
      <c r="B6483" t="s">
        <v>8511</v>
      </c>
      <c r="C6483" t="s">
        <v>14</v>
      </c>
      <c r="D6483">
        <v>88.95703125</v>
      </c>
    </row>
    <row r="6484" spans="1:4" hidden="1" x14ac:dyDescent="0.3">
      <c r="A6484">
        <v>6482</v>
      </c>
      <c r="B6484" t="s">
        <v>8512</v>
      </c>
      <c r="C6484" t="s">
        <v>16</v>
      </c>
      <c r="D6484">
        <v>4.2213952704469602</v>
      </c>
    </row>
    <row r="6485" spans="1:4" hidden="1" x14ac:dyDescent="0.3">
      <c r="A6485">
        <v>6483</v>
      </c>
      <c r="B6485" s="1" t="s">
        <v>8513</v>
      </c>
      <c r="C6485" t="s">
        <v>140</v>
      </c>
      <c r="D6485" s="1" t="s">
        <v>8514</v>
      </c>
    </row>
    <row r="6486" spans="1:4" hidden="1" x14ac:dyDescent="0.3">
      <c r="A6486">
        <v>6484</v>
      </c>
      <c r="B6486" t="s">
        <v>8515</v>
      </c>
      <c r="C6486" t="s">
        <v>22</v>
      </c>
      <c r="D6486">
        <v>55</v>
      </c>
    </row>
    <row r="6487" spans="1:4" hidden="1" x14ac:dyDescent="0.3">
      <c r="A6487">
        <v>6485</v>
      </c>
      <c r="B6487" t="s">
        <v>8516</v>
      </c>
      <c r="C6487" t="s">
        <v>24</v>
      </c>
      <c r="D6487">
        <v>4.7753189277254098</v>
      </c>
    </row>
    <row r="6488" spans="1:4" hidden="1" x14ac:dyDescent="0.3">
      <c r="A6488">
        <v>6486</v>
      </c>
      <c r="B6488" s="1" t="s">
        <v>8517</v>
      </c>
      <c r="C6488" t="s">
        <v>145</v>
      </c>
      <c r="D6488" s="1" t="s">
        <v>8518</v>
      </c>
    </row>
    <row r="6489" spans="1:4" hidden="1" x14ac:dyDescent="0.3">
      <c r="A6489">
        <v>6487</v>
      </c>
      <c r="B6489" t="s">
        <v>8519</v>
      </c>
      <c r="C6489" t="s">
        <v>35</v>
      </c>
      <c r="D6489">
        <v>2.5489733811821198</v>
      </c>
    </row>
    <row r="6490" spans="1:4" hidden="1" x14ac:dyDescent="0.3">
      <c r="A6490">
        <v>6488</v>
      </c>
      <c r="B6490" t="s">
        <v>8520</v>
      </c>
      <c r="C6490" t="s">
        <v>149</v>
      </c>
      <c r="D6490">
        <v>0.53268986987739597</v>
      </c>
    </row>
    <row r="6491" spans="1:4" hidden="1" x14ac:dyDescent="0.3">
      <c r="A6491">
        <v>6489</v>
      </c>
      <c r="B6491" s="1" t="s">
        <v>8521</v>
      </c>
      <c r="C6491" t="s">
        <v>151</v>
      </c>
      <c r="D6491" s="1" t="s">
        <v>8522</v>
      </c>
    </row>
    <row r="6492" spans="1:4" hidden="1" x14ac:dyDescent="0.3">
      <c r="A6492">
        <v>6490</v>
      </c>
      <c r="B6492" t="s">
        <v>8523</v>
      </c>
      <c r="C6492" t="s">
        <v>30</v>
      </c>
      <c r="D6492">
        <v>-0.69420850851639004</v>
      </c>
    </row>
    <row r="6493" spans="1:4" hidden="1" x14ac:dyDescent="0.3">
      <c r="A6493">
        <v>6491</v>
      </c>
      <c r="B6493" t="s">
        <v>8524</v>
      </c>
      <c r="C6493" t="s">
        <v>32</v>
      </c>
      <c r="D6493">
        <v>0.40727925753400801</v>
      </c>
    </row>
    <row r="6494" spans="1:4" hidden="1" x14ac:dyDescent="0.3">
      <c r="A6494">
        <v>6492</v>
      </c>
      <c r="B6494" s="1" t="s">
        <v>8525</v>
      </c>
      <c r="C6494" t="s">
        <v>155</v>
      </c>
      <c r="D6494" s="1" t="s">
        <v>8526</v>
      </c>
    </row>
    <row r="6495" spans="1:4" hidden="1" x14ac:dyDescent="0.3">
      <c r="A6495">
        <v>6493</v>
      </c>
      <c r="B6495" t="s">
        <v>8527</v>
      </c>
      <c r="C6495" t="s">
        <v>40</v>
      </c>
      <c r="D6495">
        <v>-0.85476487266573498</v>
      </c>
    </row>
    <row r="6496" spans="1:4" hidden="1" x14ac:dyDescent="0.3">
      <c r="A6496">
        <v>6494</v>
      </c>
      <c r="B6496" t="s">
        <v>8528</v>
      </c>
      <c r="C6496" t="s">
        <v>42</v>
      </c>
      <c r="D6496">
        <v>0.469985651277115</v>
      </c>
    </row>
    <row r="6497" spans="1:4" hidden="1" x14ac:dyDescent="0.3">
      <c r="A6497">
        <v>6495</v>
      </c>
      <c r="B6497" s="1" t="s">
        <v>8529</v>
      </c>
      <c r="C6497" t="s">
        <v>159</v>
      </c>
      <c r="D6497" s="1" t="s">
        <v>8530</v>
      </c>
    </row>
    <row r="6498" spans="1:4" hidden="1" x14ac:dyDescent="0.3">
      <c r="A6498">
        <v>6496</v>
      </c>
      <c r="B6498" t="s">
        <v>8531</v>
      </c>
      <c r="C6498" t="s">
        <v>161</v>
      </c>
      <c r="D6498">
        <v>1.00908598934746</v>
      </c>
    </row>
    <row r="6499" spans="1:4" hidden="1" x14ac:dyDescent="0.3">
      <c r="A6499">
        <v>6497</v>
      </c>
      <c r="B6499" t="s">
        <v>8532</v>
      </c>
      <c r="C6499" t="s">
        <v>163</v>
      </c>
      <c r="D6499">
        <v>0.99882665292616502</v>
      </c>
    </row>
    <row r="6500" spans="1:4" hidden="1" x14ac:dyDescent="0.3">
      <c r="A6500">
        <v>6498</v>
      </c>
      <c r="B6500" s="1" t="s">
        <v>8533</v>
      </c>
      <c r="C6500" t="s">
        <v>165</v>
      </c>
      <c r="D6500" s="1" t="s">
        <v>8534</v>
      </c>
    </row>
    <row r="6501" spans="1:4" hidden="1" x14ac:dyDescent="0.3">
      <c r="A6501">
        <v>6499</v>
      </c>
      <c r="B6501" t="s">
        <v>8535</v>
      </c>
      <c r="C6501" t="s">
        <v>168</v>
      </c>
      <c r="D6501">
        <v>0.99540687849985598</v>
      </c>
    </row>
    <row r="6502" spans="1:4" hidden="1" x14ac:dyDescent="0.3">
      <c r="A6502">
        <v>6500</v>
      </c>
      <c r="B6502" t="s">
        <v>8536</v>
      </c>
      <c r="C6502" t="s">
        <v>170</v>
      </c>
      <c r="D6502">
        <v>0.99194629386925304</v>
      </c>
    </row>
    <row r="6503" spans="1:4" hidden="1" x14ac:dyDescent="0.3">
      <c r="A6503">
        <v>6501</v>
      </c>
      <c r="B6503" s="1" t="s">
        <v>8537</v>
      </c>
      <c r="C6503" t="s">
        <v>172</v>
      </c>
      <c r="D6503" s="1" t="s">
        <v>8538</v>
      </c>
    </row>
    <row r="6504" spans="1:4" hidden="1" x14ac:dyDescent="0.3">
      <c r="A6504">
        <v>6502</v>
      </c>
      <c r="B6504" s="1" t="s">
        <v>8539</v>
      </c>
      <c r="C6504" t="s">
        <v>55</v>
      </c>
      <c r="D6504" s="1" t="s">
        <v>8540</v>
      </c>
    </row>
    <row r="6505" spans="1:4" hidden="1" x14ac:dyDescent="0.3">
      <c r="A6505">
        <v>6503</v>
      </c>
      <c r="B6505" s="1" t="s">
        <v>8541</v>
      </c>
      <c r="C6505" t="s">
        <v>52</v>
      </c>
      <c r="D6505" s="1" t="s">
        <v>8542</v>
      </c>
    </row>
    <row r="6506" spans="1:4" hidden="1" x14ac:dyDescent="0.3">
      <c r="A6506">
        <v>6504</v>
      </c>
      <c r="B6506" s="1" t="s">
        <v>8543</v>
      </c>
      <c r="C6506" t="s">
        <v>58</v>
      </c>
      <c r="D6506" s="1" t="s">
        <v>8544</v>
      </c>
    </row>
    <row r="6507" spans="1:4" hidden="1" x14ac:dyDescent="0.3">
      <c r="A6507">
        <v>6505</v>
      </c>
      <c r="B6507" t="s">
        <v>8545</v>
      </c>
      <c r="C6507" t="s">
        <v>61</v>
      </c>
      <c r="D6507">
        <v>145377309.07429999</v>
      </c>
    </row>
    <row r="6508" spans="1:4" hidden="1" x14ac:dyDescent="0.3">
      <c r="A6508">
        <v>6506</v>
      </c>
      <c r="B6508" t="s">
        <v>8546</v>
      </c>
      <c r="C6508" t="s">
        <v>63</v>
      </c>
      <c r="D6508">
        <v>77373261.914764404</v>
      </c>
    </row>
    <row r="6509" spans="1:4" hidden="1" x14ac:dyDescent="0.3">
      <c r="A6509">
        <v>6507</v>
      </c>
      <c r="B6509" t="s">
        <v>8547</v>
      </c>
      <c r="C6509" t="s">
        <v>65</v>
      </c>
      <c r="D6509">
        <v>34261846.780894898</v>
      </c>
    </row>
    <row r="6510" spans="1:4" hidden="1" x14ac:dyDescent="0.3">
      <c r="A6510">
        <v>6508</v>
      </c>
      <c r="B6510" s="1" t="s">
        <v>8548</v>
      </c>
      <c r="C6510" t="s">
        <v>67</v>
      </c>
      <c r="D6510" s="1" t="s">
        <v>8549</v>
      </c>
    </row>
    <row r="6511" spans="1:4" hidden="1" x14ac:dyDescent="0.3">
      <c r="A6511">
        <v>6509</v>
      </c>
      <c r="B6511" s="1" t="s">
        <v>8550</v>
      </c>
      <c r="C6511" t="s">
        <v>70</v>
      </c>
      <c r="D6511" s="1" t="s">
        <v>8551</v>
      </c>
    </row>
    <row r="6512" spans="1:4" hidden="1" x14ac:dyDescent="0.3">
      <c r="A6512">
        <v>6510</v>
      </c>
      <c r="B6512" t="s">
        <v>8552</v>
      </c>
      <c r="C6512" t="s">
        <v>73</v>
      </c>
      <c r="D6512">
        <v>0.99978736184257699</v>
      </c>
    </row>
    <row r="6513" spans="1:4" hidden="1" x14ac:dyDescent="0.3">
      <c r="A6513">
        <v>6511</v>
      </c>
      <c r="B6513" t="s">
        <v>74</v>
      </c>
      <c r="C6513" t="s">
        <v>75</v>
      </c>
      <c r="D6513">
        <v>2.7397260273972599E-3</v>
      </c>
    </row>
    <row r="6514" spans="1:4" hidden="1" x14ac:dyDescent="0.3">
      <c r="A6514">
        <v>6512</v>
      </c>
      <c r="B6514" t="s">
        <v>76</v>
      </c>
      <c r="C6514" t="s">
        <v>77</v>
      </c>
      <c r="D6514">
        <v>0</v>
      </c>
    </row>
    <row r="6515" spans="1:4" hidden="1" x14ac:dyDescent="0.3">
      <c r="A6515">
        <v>6513</v>
      </c>
      <c r="B6515" t="s">
        <v>78</v>
      </c>
      <c r="C6515" t="s">
        <v>79</v>
      </c>
      <c r="D6515">
        <v>0</v>
      </c>
    </row>
    <row r="6516" spans="1:4" hidden="1" x14ac:dyDescent="0.3">
      <c r="A6516">
        <v>6514</v>
      </c>
      <c r="B6516" s="1" t="s">
        <v>8553</v>
      </c>
      <c r="C6516" t="s">
        <v>81</v>
      </c>
      <c r="D6516" s="1" t="s">
        <v>8554</v>
      </c>
    </row>
    <row r="6517" spans="1:4" hidden="1" x14ac:dyDescent="0.3">
      <c r="A6517">
        <v>6515</v>
      </c>
      <c r="B6517" t="s">
        <v>8555</v>
      </c>
      <c r="C6517" t="s">
        <v>84</v>
      </c>
      <c r="D6517">
        <v>0.999733142479726</v>
      </c>
    </row>
    <row r="6518" spans="1:4" hidden="1" x14ac:dyDescent="0.3">
      <c r="A6518">
        <v>6516</v>
      </c>
      <c r="B6518" s="1" t="s">
        <v>8556</v>
      </c>
      <c r="C6518" t="s">
        <v>86</v>
      </c>
      <c r="D6518" s="1" t="s">
        <v>8557</v>
      </c>
    </row>
    <row r="6519" spans="1:4" hidden="1" x14ac:dyDescent="0.3">
      <c r="A6519">
        <v>6517</v>
      </c>
      <c r="B6519" t="s">
        <v>8558</v>
      </c>
      <c r="C6519" t="s">
        <v>89</v>
      </c>
      <c r="D6519">
        <v>103020905.597894</v>
      </c>
    </row>
    <row r="6520" spans="1:4" hidden="1" x14ac:dyDescent="0.3">
      <c r="A6520">
        <v>6518</v>
      </c>
      <c r="B6520" s="1" t="s">
        <v>8559</v>
      </c>
      <c r="C6520" t="s">
        <v>91</v>
      </c>
      <c r="D6520" s="1" t="s">
        <v>8493</v>
      </c>
    </row>
    <row r="6521" spans="1:4" hidden="1" x14ac:dyDescent="0.3">
      <c r="A6521">
        <v>6519</v>
      </c>
      <c r="B6521" t="s">
        <v>8560</v>
      </c>
      <c r="C6521" t="s">
        <v>94</v>
      </c>
      <c r="D6521">
        <v>77373261.914764404</v>
      </c>
    </row>
    <row r="6522" spans="1:4" hidden="1" x14ac:dyDescent="0.3">
      <c r="A6522">
        <v>6520</v>
      </c>
      <c r="B6522" t="s">
        <v>8561</v>
      </c>
      <c r="C6522" t="s">
        <v>96</v>
      </c>
      <c r="D6522">
        <v>34261846.780894898</v>
      </c>
    </row>
    <row r="6523" spans="1:4" hidden="1" x14ac:dyDescent="0.3">
      <c r="A6523">
        <v>6521</v>
      </c>
      <c r="B6523" t="s">
        <v>8562</v>
      </c>
      <c r="C6523" t="s">
        <v>98</v>
      </c>
      <c r="D6523">
        <v>33742200.378641203</v>
      </c>
    </row>
    <row r="6524" spans="1:4" hidden="1" x14ac:dyDescent="0.3">
      <c r="A6524">
        <v>6522</v>
      </c>
      <c r="B6524" s="1" t="s">
        <v>8563</v>
      </c>
      <c r="C6524" t="s">
        <v>100</v>
      </c>
      <c r="D6524" s="1" t="s">
        <v>8564</v>
      </c>
    </row>
    <row r="6525" spans="1:4" hidden="1" x14ac:dyDescent="0.3">
      <c r="A6525">
        <v>6523</v>
      </c>
      <c r="B6525" t="s">
        <v>8565</v>
      </c>
      <c r="C6525" t="s">
        <v>103</v>
      </c>
      <c r="D6525">
        <v>9.6808701335902997E-3</v>
      </c>
    </row>
    <row r="6526" spans="1:4" hidden="1" x14ac:dyDescent="0.3">
      <c r="A6526">
        <v>6524</v>
      </c>
      <c r="B6526" t="s">
        <v>8566</v>
      </c>
      <c r="C6526" t="s">
        <v>105</v>
      </c>
      <c r="D6526">
        <v>3.0275872547905198E-3</v>
      </c>
    </row>
    <row r="6527" spans="1:4" hidden="1" x14ac:dyDescent="0.3">
      <c r="A6527">
        <v>6525</v>
      </c>
      <c r="B6527" t="s">
        <v>8567</v>
      </c>
      <c r="C6527" t="s">
        <v>107</v>
      </c>
      <c r="D6527">
        <v>1.80448922692877E-2</v>
      </c>
    </row>
    <row r="6528" spans="1:4" hidden="1" x14ac:dyDescent="0.3">
      <c r="A6528">
        <v>6526</v>
      </c>
      <c r="B6528" s="1" t="s">
        <v>8568</v>
      </c>
      <c r="C6528" t="s">
        <v>109</v>
      </c>
      <c r="D6528" s="1" t="s">
        <v>8569</v>
      </c>
    </row>
    <row r="6529" spans="1:4" hidden="1" x14ac:dyDescent="0.3">
      <c r="A6529">
        <v>6527</v>
      </c>
      <c r="B6529" t="s">
        <v>8570</v>
      </c>
      <c r="C6529" t="s">
        <v>208</v>
      </c>
      <c r="D6529">
        <v>145375391.236027</v>
      </c>
    </row>
    <row r="6530" spans="1:4" hidden="1" x14ac:dyDescent="0.3">
      <c r="A6530">
        <v>6528</v>
      </c>
      <c r="B6530" t="s">
        <v>8571</v>
      </c>
      <c r="C6530" t="s">
        <v>210</v>
      </c>
      <c r="D6530">
        <v>4195.9448078110099</v>
      </c>
    </row>
    <row r="6531" spans="1:4" hidden="1" x14ac:dyDescent="0.3">
      <c r="A6531">
        <v>6529</v>
      </c>
      <c r="B6531" t="s">
        <v>8572</v>
      </c>
      <c r="C6531" t="s">
        <v>212</v>
      </c>
      <c r="D6531">
        <v>1858.03884056423</v>
      </c>
    </row>
    <row r="6532" spans="1:4" hidden="1" x14ac:dyDescent="0.3">
      <c r="A6532">
        <v>6530</v>
      </c>
      <c r="B6532" s="1" t="s">
        <v>8573</v>
      </c>
      <c r="C6532" t="s">
        <v>214</v>
      </c>
      <c r="D6532" s="1" t="s">
        <v>8574</v>
      </c>
    </row>
    <row r="6533" spans="1:4" hidden="1" x14ac:dyDescent="0.3">
      <c r="A6533">
        <v>6531</v>
      </c>
      <c r="B6533" t="s">
        <v>8575</v>
      </c>
      <c r="C6533" t="s">
        <v>217</v>
      </c>
      <c r="D6533">
        <v>77367657.378652304</v>
      </c>
    </row>
    <row r="6534" spans="1:4" hidden="1" x14ac:dyDescent="0.3">
      <c r="A6534">
        <v>6532</v>
      </c>
      <c r="B6534" t="s">
        <v>8576</v>
      </c>
      <c r="C6534" t="s">
        <v>219</v>
      </c>
      <c r="D6534">
        <v>34259771.993520498</v>
      </c>
    </row>
    <row r="6535" spans="1:4" hidden="1" x14ac:dyDescent="0.3">
      <c r="A6535">
        <v>6533</v>
      </c>
      <c r="B6535" t="s">
        <v>8577</v>
      </c>
      <c r="C6535" t="s">
        <v>221</v>
      </c>
      <c r="D6535">
        <v>33740078.026362799</v>
      </c>
    </row>
    <row r="6536" spans="1:4" hidden="1" x14ac:dyDescent="0.3">
      <c r="A6536">
        <v>6534</v>
      </c>
      <c r="B6536" s="1" t="s">
        <v>8578</v>
      </c>
      <c r="C6536" t="s">
        <v>223</v>
      </c>
      <c r="D6536" s="1" t="s">
        <v>8579</v>
      </c>
    </row>
    <row r="6537" spans="1:4" hidden="1" x14ac:dyDescent="0.3">
      <c r="A6537">
        <v>6535</v>
      </c>
      <c r="B6537" t="s">
        <v>8580</v>
      </c>
      <c r="C6537" t="s">
        <v>226</v>
      </c>
      <c r="D6537">
        <v>103015318.68204001</v>
      </c>
    </row>
    <row r="6538" spans="1:4" hidden="1" x14ac:dyDescent="0.3">
      <c r="A6538">
        <v>6536</v>
      </c>
      <c r="B6538" t="s">
        <v>8581</v>
      </c>
      <c r="C6538" t="s">
        <v>228</v>
      </c>
      <c r="D6538">
        <v>5586.9158533960499</v>
      </c>
    </row>
    <row r="6539" spans="1:4" hidden="1" x14ac:dyDescent="0.3">
      <c r="A6539">
        <v>6537</v>
      </c>
      <c r="B6539" s="1" t="s">
        <v>8582</v>
      </c>
      <c r="C6539" t="s">
        <v>230</v>
      </c>
      <c r="D6539" s="1" t="s">
        <v>8583</v>
      </c>
    </row>
    <row r="6540" spans="1:4" hidden="1" x14ac:dyDescent="0.3">
      <c r="A6540">
        <v>6538</v>
      </c>
      <c r="B6540" t="s">
        <v>8584</v>
      </c>
      <c r="C6540" t="s">
        <v>112</v>
      </c>
      <c r="D6540">
        <v>-1408.59130433626</v>
      </c>
    </row>
    <row r="6541" spans="1:4" hidden="1" x14ac:dyDescent="0.3">
      <c r="A6541">
        <v>6539</v>
      </c>
      <c r="B6541" t="s">
        <v>8585</v>
      </c>
      <c r="C6541" t="s">
        <v>114</v>
      </c>
      <c r="D6541">
        <v>-216.74853386585499</v>
      </c>
    </row>
    <row r="6542" spans="1:4" hidden="1" x14ac:dyDescent="0.3">
      <c r="A6542">
        <v>6540</v>
      </c>
      <c r="B6542" s="1" t="s">
        <v>8586</v>
      </c>
      <c r="C6542" t="s">
        <v>116</v>
      </c>
      <c r="D6542" s="1" t="s">
        <v>8587</v>
      </c>
    </row>
    <row r="6543" spans="1:4" hidden="1" x14ac:dyDescent="0.3">
      <c r="A6543">
        <v>6541</v>
      </c>
      <c r="B6543" t="s">
        <v>8588</v>
      </c>
      <c r="C6543" t="s">
        <v>119</v>
      </c>
      <c r="D6543">
        <v>77367657.378652304</v>
      </c>
    </row>
    <row r="6544" spans="1:4" hidden="1" x14ac:dyDescent="0.3">
      <c r="A6544">
        <v>6542</v>
      </c>
      <c r="B6544" t="s">
        <v>8589</v>
      </c>
      <c r="C6544" t="s">
        <v>121</v>
      </c>
      <c r="D6544">
        <v>34259771.993520498</v>
      </c>
    </row>
    <row r="6545" spans="1:4" hidden="1" x14ac:dyDescent="0.3">
      <c r="A6545">
        <v>6543</v>
      </c>
      <c r="B6545" s="1" t="s">
        <v>8590</v>
      </c>
      <c r="C6545" t="s">
        <v>123</v>
      </c>
      <c r="D6545" s="1" t="s">
        <v>8591</v>
      </c>
    </row>
    <row r="6546" spans="1:4" hidden="1" x14ac:dyDescent="0.3">
      <c r="A6546">
        <v>6544</v>
      </c>
      <c r="B6546" t="s">
        <v>8592</v>
      </c>
      <c r="C6546" t="s">
        <v>126</v>
      </c>
      <c r="D6546">
        <v>0.75123107923161503</v>
      </c>
    </row>
    <row r="6547" spans="1:4" hidden="1" x14ac:dyDescent="0.3">
      <c r="A6547">
        <v>6545</v>
      </c>
      <c r="B6547" t="s">
        <v>8593</v>
      </c>
      <c r="C6547" t="s">
        <v>128</v>
      </c>
      <c r="D6547">
        <v>0.33265845652996301</v>
      </c>
    </row>
    <row r="6548" spans="1:4" hidden="1" x14ac:dyDescent="0.3">
      <c r="A6548">
        <v>6546</v>
      </c>
      <c r="B6548" s="1" t="s">
        <v>8594</v>
      </c>
      <c r="C6548" t="s">
        <v>130</v>
      </c>
      <c r="D6548" s="1" t="s">
        <v>8595</v>
      </c>
    </row>
    <row r="6549" spans="1:4" ht="72" x14ac:dyDescent="0.3">
      <c r="A6549">
        <v>6547</v>
      </c>
      <c r="B6549" s="1" t="s">
        <v>8596</v>
      </c>
      <c r="C6549" t="s">
        <v>4</v>
      </c>
      <c r="D6549" t="s">
        <v>8597</v>
      </c>
    </row>
    <row r="6550" spans="1:4" hidden="1" x14ac:dyDescent="0.3">
      <c r="A6550">
        <v>6548</v>
      </c>
      <c r="B6550" t="s">
        <v>8598</v>
      </c>
      <c r="C6550" t="s">
        <v>7</v>
      </c>
      <c r="D6550">
        <v>1778.94</v>
      </c>
    </row>
    <row r="6551" spans="1:4" hidden="1" x14ac:dyDescent="0.3">
      <c r="A6551">
        <v>6549</v>
      </c>
      <c r="B6551" s="1" t="s">
        <v>8599</v>
      </c>
      <c r="C6551" t="s">
        <v>9</v>
      </c>
      <c r="D6551" s="1" t="s">
        <v>8600</v>
      </c>
    </row>
    <row r="6552" spans="1:4" hidden="1" x14ac:dyDescent="0.3">
      <c r="A6552">
        <v>6550</v>
      </c>
      <c r="B6552" t="s">
        <v>8601</v>
      </c>
      <c r="C6552" t="s">
        <v>14</v>
      </c>
      <c r="D6552">
        <v>89.23046875</v>
      </c>
    </row>
    <row r="6553" spans="1:4" hidden="1" x14ac:dyDescent="0.3">
      <c r="A6553">
        <v>6551</v>
      </c>
      <c r="B6553" t="s">
        <v>8602</v>
      </c>
      <c r="C6553" t="s">
        <v>16</v>
      </c>
      <c r="D6553">
        <v>4.22631128767335</v>
      </c>
    </row>
    <row r="6554" spans="1:4" hidden="1" x14ac:dyDescent="0.3">
      <c r="A6554">
        <v>6552</v>
      </c>
      <c r="B6554" s="1" t="s">
        <v>8603</v>
      </c>
      <c r="C6554" t="s">
        <v>140</v>
      </c>
      <c r="D6554" s="1" t="s">
        <v>8604</v>
      </c>
    </row>
    <row r="6555" spans="1:4" hidden="1" x14ac:dyDescent="0.3">
      <c r="A6555">
        <v>6553</v>
      </c>
      <c r="B6555" t="s">
        <v>8605</v>
      </c>
      <c r="C6555" t="s">
        <v>22</v>
      </c>
      <c r="D6555">
        <v>56.5</v>
      </c>
    </row>
    <row r="6556" spans="1:4" hidden="1" x14ac:dyDescent="0.3">
      <c r="A6556">
        <v>6554</v>
      </c>
      <c r="B6556" t="s">
        <v>8606</v>
      </c>
      <c r="C6556" t="s">
        <v>24</v>
      </c>
      <c r="D6556">
        <v>4.7104340453402198</v>
      </c>
    </row>
    <row r="6557" spans="1:4" hidden="1" x14ac:dyDescent="0.3">
      <c r="A6557">
        <v>6555</v>
      </c>
      <c r="B6557" s="1" t="s">
        <v>8607</v>
      </c>
      <c r="C6557" t="s">
        <v>145</v>
      </c>
      <c r="D6557" s="1" t="s">
        <v>8608</v>
      </c>
    </row>
    <row r="6558" spans="1:4" hidden="1" x14ac:dyDescent="0.3">
      <c r="A6558">
        <v>6556</v>
      </c>
      <c r="B6558" t="s">
        <v>8609</v>
      </c>
      <c r="C6558" t="s">
        <v>35</v>
      </c>
      <c r="D6558">
        <v>-0.76507932347852603</v>
      </c>
    </row>
    <row r="6559" spans="1:4" hidden="1" x14ac:dyDescent="0.3">
      <c r="A6559">
        <v>6557</v>
      </c>
      <c r="B6559" t="s">
        <v>8610</v>
      </c>
      <c r="C6559" t="s">
        <v>149</v>
      </c>
      <c r="D6559">
        <v>0.52904268095418405</v>
      </c>
    </row>
    <row r="6560" spans="1:4" hidden="1" x14ac:dyDescent="0.3">
      <c r="A6560">
        <v>6558</v>
      </c>
      <c r="B6560" s="1" t="s">
        <v>8611</v>
      </c>
      <c r="C6560" t="s">
        <v>151</v>
      </c>
      <c r="D6560" s="1" t="s">
        <v>8612</v>
      </c>
    </row>
    <row r="6561" spans="1:4" hidden="1" x14ac:dyDescent="0.3">
      <c r="A6561">
        <v>6559</v>
      </c>
      <c r="B6561" t="s">
        <v>8613</v>
      </c>
      <c r="C6561" t="s">
        <v>30</v>
      </c>
      <c r="D6561">
        <v>0.81335187576448498</v>
      </c>
    </row>
    <row r="6562" spans="1:4" hidden="1" x14ac:dyDescent="0.3">
      <c r="A6562">
        <v>6560</v>
      </c>
      <c r="B6562" t="s">
        <v>8614</v>
      </c>
      <c r="C6562" t="s">
        <v>32</v>
      </c>
      <c r="D6562">
        <v>0.40790338910700402</v>
      </c>
    </row>
    <row r="6563" spans="1:4" hidden="1" x14ac:dyDescent="0.3">
      <c r="A6563">
        <v>6561</v>
      </c>
      <c r="B6563" s="1" t="s">
        <v>8615</v>
      </c>
      <c r="C6563" t="s">
        <v>155</v>
      </c>
      <c r="D6563" s="1" t="s">
        <v>8616</v>
      </c>
    </row>
    <row r="6564" spans="1:4" hidden="1" x14ac:dyDescent="0.3">
      <c r="A6564">
        <v>6562</v>
      </c>
      <c r="B6564" t="s">
        <v>8617</v>
      </c>
      <c r="C6564" t="s">
        <v>40</v>
      </c>
      <c r="D6564">
        <v>0.95172744771404105</v>
      </c>
    </row>
    <row r="6565" spans="1:4" hidden="1" x14ac:dyDescent="0.3">
      <c r="A6565">
        <v>6563</v>
      </c>
      <c r="B6565" t="s">
        <v>8618</v>
      </c>
      <c r="C6565" t="s">
        <v>42</v>
      </c>
      <c r="D6565">
        <v>0.48230327285152502</v>
      </c>
    </row>
    <row r="6566" spans="1:4" hidden="1" x14ac:dyDescent="0.3">
      <c r="A6566">
        <v>6564</v>
      </c>
      <c r="B6566" s="1" t="s">
        <v>8619</v>
      </c>
      <c r="C6566" t="s">
        <v>159</v>
      </c>
      <c r="D6566" s="1" t="s">
        <v>8620</v>
      </c>
    </row>
    <row r="6567" spans="1:4" hidden="1" x14ac:dyDescent="0.3">
      <c r="A6567">
        <v>6565</v>
      </c>
      <c r="B6567" t="s">
        <v>8621</v>
      </c>
      <c r="C6567" t="s">
        <v>161</v>
      </c>
      <c r="D6567">
        <v>1.00425652026645</v>
      </c>
    </row>
    <row r="6568" spans="1:4" hidden="1" x14ac:dyDescent="0.3">
      <c r="A6568">
        <v>6566</v>
      </c>
      <c r="B6568" t="s">
        <v>8622</v>
      </c>
      <c r="C6568" t="s">
        <v>163</v>
      </c>
      <c r="D6568">
        <v>1.0029873172108701</v>
      </c>
    </row>
    <row r="6569" spans="1:4" hidden="1" x14ac:dyDescent="0.3">
      <c r="A6569">
        <v>6567</v>
      </c>
      <c r="B6569" s="1" t="s">
        <v>8623</v>
      </c>
      <c r="C6569" t="s">
        <v>165</v>
      </c>
      <c r="D6569" s="1" t="s">
        <v>8624</v>
      </c>
    </row>
    <row r="6570" spans="1:4" hidden="1" x14ac:dyDescent="0.3">
      <c r="A6570">
        <v>6568</v>
      </c>
      <c r="B6570" t="s">
        <v>8625</v>
      </c>
      <c r="C6570" t="s">
        <v>168</v>
      </c>
      <c r="D6570">
        <v>0.997620399928979</v>
      </c>
    </row>
    <row r="6571" spans="1:4" hidden="1" x14ac:dyDescent="0.3">
      <c r="A6571">
        <v>6569</v>
      </c>
      <c r="B6571" t="s">
        <v>8626</v>
      </c>
      <c r="C6571" t="s">
        <v>170</v>
      </c>
      <c r="D6571">
        <v>1.00044350228972</v>
      </c>
    </row>
    <row r="6572" spans="1:4" hidden="1" x14ac:dyDescent="0.3">
      <c r="A6572">
        <v>6570</v>
      </c>
      <c r="B6572" s="1" t="s">
        <v>8627</v>
      </c>
      <c r="C6572" t="s">
        <v>172</v>
      </c>
      <c r="D6572" s="1" t="s">
        <v>8628</v>
      </c>
    </row>
    <row r="6573" spans="1:4" hidden="1" x14ac:dyDescent="0.3">
      <c r="A6573">
        <v>6571</v>
      </c>
      <c r="B6573" s="1" t="s">
        <v>8629</v>
      </c>
      <c r="C6573" t="s">
        <v>55</v>
      </c>
      <c r="D6573" s="1" t="s">
        <v>8630</v>
      </c>
    </row>
    <row r="6574" spans="1:4" hidden="1" x14ac:dyDescent="0.3">
      <c r="A6574">
        <v>6572</v>
      </c>
      <c r="B6574" s="1" t="s">
        <v>8631</v>
      </c>
      <c r="C6574" t="s">
        <v>52</v>
      </c>
      <c r="D6574" s="1" t="s">
        <v>8632</v>
      </c>
    </row>
    <row r="6575" spans="1:4" hidden="1" x14ac:dyDescent="0.3">
      <c r="A6575">
        <v>6573</v>
      </c>
      <c r="B6575" s="1" t="s">
        <v>8633</v>
      </c>
      <c r="C6575" t="s">
        <v>58</v>
      </c>
      <c r="D6575" s="1" t="s">
        <v>8634</v>
      </c>
    </row>
    <row r="6576" spans="1:4" hidden="1" x14ac:dyDescent="0.3">
      <c r="A6576">
        <v>6574</v>
      </c>
      <c r="B6576" t="s">
        <v>8635</v>
      </c>
      <c r="C6576" t="s">
        <v>61</v>
      </c>
      <c r="D6576">
        <v>146609217.51611701</v>
      </c>
    </row>
    <row r="6577" spans="1:4" hidden="1" x14ac:dyDescent="0.3">
      <c r="A6577">
        <v>6575</v>
      </c>
      <c r="B6577" t="s">
        <v>8636</v>
      </c>
      <c r="C6577" t="s">
        <v>63</v>
      </c>
      <c r="D6577">
        <v>77696974.380252704</v>
      </c>
    </row>
    <row r="6578" spans="1:4" hidden="1" x14ac:dyDescent="0.3">
      <c r="A6578">
        <v>6576</v>
      </c>
      <c r="B6578" t="s">
        <v>8637</v>
      </c>
      <c r="C6578" t="s">
        <v>65</v>
      </c>
      <c r="D6578">
        <v>34362116.800037198</v>
      </c>
    </row>
    <row r="6579" spans="1:4" hidden="1" x14ac:dyDescent="0.3">
      <c r="A6579">
        <v>6577</v>
      </c>
      <c r="B6579" s="1" t="s">
        <v>8638</v>
      </c>
      <c r="C6579" t="s">
        <v>67</v>
      </c>
      <c r="D6579" s="1" t="s">
        <v>8639</v>
      </c>
    </row>
    <row r="6580" spans="1:4" hidden="1" x14ac:dyDescent="0.3">
      <c r="A6580">
        <v>6578</v>
      </c>
      <c r="B6580" s="1" t="s">
        <v>8640</v>
      </c>
      <c r="C6580" t="s">
        <v>70</v>
      </c>
      <c r="D6580" s="1" t="s">
        <v>8641</v>
      </c>
    </row>
    <row r="6581" spans="1:4" hidden="1" x14ac:dyDescent="0.3">
      <c r="A6581">
        <v>6579</v>
      </c>
      <c r="B6581" t="s">
        <v>8642</v>
      </c>
      <c r="C6581" t="s">
        <v>73</v>
      </c>
      <c r="D6581">
        <v>0.999733142479726</v>
      </c>
    </row>
    <row r="6582" spans="1:4" hidden="1" x14ac:dyDescent="0.3">
      <c r="A6582">
        <v>6580</v>
      </c>
      <c r="B6582" t="s">
        <v>74</v>
      </c>
      <c r="C6582" t="s">
        <v>75</v>
      </c>
      <c r="D6582">
        <v>2.7397260273972599E-3</v>
      </c>
    </row>
    <row r="6583" spans="1:4" hidden="1" x14ac:dyDescent="0.3">
      <c r="A6583">
        <v>6581</v>
      </c>
      <c r="B6583" t="s">
        <v>76</v>
      </c>
      <c r="C6583" t="s">
        <v>77</v>
      </c>
      <c r="D6583">
        <v>0</v>
      </c>
    </row>
    <row r="6584" spans="1:4" hidden="1" x14ac:dyDescent="0.3">
      <c r="A6584">
        <v>6582</v>
      </c>
      <c r="B6584" t="s">
        <v>78</v>
      </c>
      <c r="C6584" t="s">
        <v>79</v>
      </c>
      <c r="D6584">
        <v>0</v>
      </c>
    </row>
    <row r="6585" spans="1:4" hidden="1" x14ac:dyDescent="0.3">
      <c r="A6585">
        <v>6583</v>
      </c>
      <c r="B6585" s="1" t="s">
        <v>8643</v>
      </c>
      <c r="C6585" t="s">
        <v>81</v>
      </c>
      <c r="D6585" s="1" t="s">
        <v>8644</v>
      </c>
    </row>
    <row r="6586" spans="1:4" hidden="1" x14ac:dyDescent="0.3">
      <c r="A6586">
        <v>6584</v>
      </c>
      <c r="B6586" t="s">
        <v>8645</v>
      </c>
      <c r="C6586" t="s">
        <v>84</v>
      </c>
      <c r="D6586">
        <v>0.99975573398090201</v>
      </c>
    </row>
    <row r="6587" spans="1:4" hidden="1" x14ac:dyDescent="0.3">
      <c r="A6587">
        <v>6585</v>
      </c>
      <c r="B6587" s="1" t="s">
        <v>8646</v>
      </c>
      <c r="C6587" t="s">
        <v>86</v>
      </c>
      <c r="D6587" s="1" t="s">
        <v>8647</v>
      </c>
    </row>
    <row r="6588" spans="1:4" hidden="1" x14ac:dyDescent="0.3">
      <c r="A6588">
        <v>6586</v>
      </c>
      <c r="B6588" t="s">
        <v>8648</v>
      </c>
      <c r="C6588" t="s">
        <v>89</v>
      </c>
      <c r="D6588">
        <v>103018577.632341</v>
      </c>
    </row>
    <row r="6589" spans="1:4" hidden="1" x14ac:dyDescent="0.3">
      <c r="A6589">
        <v>6587</v>
      </c>
      <c r="B6589" s="1" t="s">
        <v>8649</v>
      </c>
      <c r="C6589" t="s">
        <v>91</v>
      </c>
      <c r="D6589" s="1" t="s">
        <v>8583</v>
      </c>
    </row>
    <row r="6590" spans="1:4" hidden="1" x14ac:dyDescent="0.3">
      <c r="A6590">
        <v>6588</v>
      </c>
      <c r="B6590" t="s">
        <v>8650</v>
      </c>
      <c r="C6590" t="s">
        <v>94</v>
      </c>
      <c r="D6590">
        <v>77696974.380252704</v>
      </c>
    </row>
    <row r="6591" spans="1:4" hidden="1" x14ac:dyDescent="0.3">
      <c r="A6591">
        <v>6589</v>
      </c>
      <c r="B6591" t="s">
        <v>8651</v>
      </c>
      <c r="C6591" t="s">
        <v>96</v>
      </c>
      <c r="D6591">
        <v>34362116.800037198</v>
      </c>
    </row>
    <row r="6592" spans="1:4" hidden="1" x14ac:dyDescent="0.3">
      <c r="A6592">
        <v>6590</v>
      </c>
      <c r="B6592" t="s">
        <v>8652</v>
      </c>
      <c r="C6592" t="s">
        <v>98</v>
      </c>
      <c r="D6592">
        <v>34550126.335827798</v>
      </c>
    </row>
    <row r="6593" spans="1:4" hidden="1" x14ac:dyDescent="0.3">
      <c r="A6593">
        <v>6591</v>
      </c>
      <c r="B6593" s="1" t="s">
        <v>8653</v>
      </c>
      <c r="C6593" t="s">
        <v>100</v>
      </c>
      <c r="D6593" s="1" t="s">
        <v>8654</v>
      </c>
    </row>
    <row r="6594" spans="1:4" hidden="1" x14ac:dyDescent="0.3">
      <c r="A6594">
        <v>6592</v>
      </c>
      <c r="B6594" t="s">
        <v>8655</v>
      </c>
      <c r="C6594" t="s">
        <v>103</v>
      </c>
      <c r="D6594">
        <v>9.6837675724987995E-3</v>
      </c>
    </row>
    <row r="6595" spans="1:4" hidden="1" x14ac:dyDescent="0.3">
      <c r="A6595">
        <v>6593</v>
      </c>
      <c r="B6595" t="s">
        <v>8656</v>
      </c>
      <c r="C6595" t="s">
        <v>105</v>
      </c>
      <c r="D6595">
        <v>3.0399051769313301E-3</v>
      </c>
    </row>
    <row r="6596" spans="1:4" hidden="1" x14ac:dyDescent="0.3">
      <c r="A6596">
        <v>6594</v>
      </c>
      <c r="B6596" t="s">
        <v>8657</v>
      </c>
      <c r="C6596" t="s">
        <v>107</v>
      </c>
      <c r="D6596">
        <v>1.8030650862258399E-2</v>
      </c>
    </row>
    <row r="6597" spans="1:4" hidden="1" x14ac:dyDescent="0.3">
      <c r="A6597">
        <v>6595</v>
      </c>
      <c r="B6597" s="1" t="s">
        <v>8658</v>
      </c>
      <c r="C6597" t="s">
        <v>109</v>
      </c>
      <c r="D6597" s="1" t="s">
        <v>8659</v>
      </c>
    </row>
    <row r="6598" spans="1:4" hidden="1" x14ac:dyDescent="0.3">
      <c r="A6598">
        <v>6596</v>
      </c>
      <c r="B6598" t="s">
        <v>8660</v>
      </c>
      <c r="C6598" t="s">
        <v>208</v>
      </c>
      <c r="D6598">
        <v>146610016.92595899</v>
      </c>
    </row>
    <row r="6599" spans="1:4" hidden="1" x14ac:dyDescent="0.3">
      <c r="A6599">
        <v>6597</v>
      </c>
      <c r="B6599" t="s">
        <v>8661</v>
      </c>
      <c r="C6599" t="s">
        <v>210</v>
      </c>
      <c r="D6599">
        <v>-1755.7729975714201</v>
      </c>
    </row>
    <row r="6600" spans="1:4" hidden="1" x14ac:dyDescent="0.3">
      <c r="A6600">
        <v>6598</v>
      </c>
      <c r="B6600" t="s">
        <v>8662</v>
      </c>
      <c r="C6600" t="s">
        <v>212</v>
      </c>
      <c r="D6600">
        <v>-776.50190026802295</v>
      </c>
    </row>
    <row r="6601" spans="1:4" hidden="1" x14ac:dyDescent="0.3">
      <c r="A6601">
        <v>6599</v>
      </c>
      <c r="B6601" s="1" t="s">
        <v>8663</v>
      </c>
      <c r="C6601" t="s">
        <v>214</v>
      </c>
      <c r="D6601" s="1" t="s">
        <v>8664</v>
      </c>
    </row>
    <row r="6602" spans="1:4" hidden="1" x14ac:dyDescent="0.3">
      <c r="A6602">
        <v>6600</v>
      </c>
      <c r="B6602" t="s">
        <v>8665</v>
      </c>
      <c r="C6602" t="s">
        <v>217</v>
      </c>
      <c r="D6602">
        <v>77699313.039614707</v>
      </c>
    </row>
    <row r="6603" spans="1:4" hidden="1" x14ac:dyDescent="0.3">
      <c r="A6603">
        <v>6601</v>
      </c>
      <c r="B6603" t="s">
        <v>8666</v>
      </c>
      <c r="C6603" t="s">
        <v>219</v>
      </c>
      <c r="D6603">
        <v>34363020.907733597</v>
      </c>
    </row>
    <row r="6604" spans="1:4" hidden="1" x14ac:dyDescent="0.3">
      <c r="A6604">
        <v>6602</v>
      </c>
      <c r="B6604" t="s">
        <v>8667</v>
      </c>
      <c r="C6604" t="s">
        <v>221</v>
      </c>
      <c r="D6604">
        <v>34550996.003086403</v>
      </c>
    </row>
    <row r="6605" spans="1:4" hidden="1" x14ac:dyDescent="0.3">
      <c r="A6605">
        <v>6603</v>
      </c>
      <c r="B6605" s="1" t="s">
        <v>8668</v>
      </c>
      <c r="C6605" t="s">
        <v>223</v>
      </c>
      <c r="D6605" s="1" t="s">
        <v>8669</v>
      </c>
    </row>
    <row r="6606" spans="1:4" hidden="1" x14ac:dyDescent="0.3">
      <c r="A6606">
        <v>6604</v>
      </c>
      <c r="B6606" t="s">
        <v>8670</v>
      </c>
      <c r="C6606" t="s">
        <v>226</v>
      </c>
      <c r="D6606">
        <v>103020905.597894</v>
      </c>
    </row>
    <row r="6607" spans="1:4" hidden="1" x14ac:dyDescent="0.3">
      <c r="A6607">
        <v>6605</v>
      </c>
      <c r="B6607" t="s">
        <v>8671</v>
      </c>
      <c r="C6607" t="s">
        <v>228</v>
      </c>
      <c r="D6607">
        <v>-2327.96555282175</v>
      </c>
    </row>
    <row r="6608" spans="1:4" hidden="1" x14ac:dyDescent="0.3">
      <c r="A6608">
        <v>6606</v>
      </c>
      <c r="B6608" s="1" t="s">
        <v>8672</v>
      </c>
      <c r="C6608" t="s">
        <v>230</v>
      </c>
      <c r="D6608" s="1" t="s">
        <v>8673</v>
      </c>
    </row>
    <row r="6609" spans="1:4" hidden="1" x14ac:dyDescent="0.3">
      <c r="A6609">
        <v>6607</v>
      </c>
      <c r="B6609" t="s">
        <v>8674</v>
      </c>
      <c r="C6609" t="s">
        <v>112</v>
      </c>
      <c r="D6609">
        <v>582.88636435372405</v>
      </c>
    </row>
    <row r="6610" spans="1:4" hidden="1" x14ac:dyDescent="0.3">
      <c r="A6610">
        <v>6608</v>
      </c>
      <c r="B6610" t="s">
        <v>8675</v>
      </c>
      <c r="C6610" t="s">
        <v>114</v>
      </c>
      <c r="D6610">
        <v>127.60579607892601</v>
      </c>
    </row>
    <row r="6611" spans="1:4" hidden="1" x14ac:dyDescent="0.3">
      <c r="A6611">
        <v>6609</v>
      </c>
      <c r="B6611" s="1" t="s">
        <v>8676</v>
      </c>
      <c r="C6611" t="s">
        <v>116</v>
      </c>
      <c r="D6611" s="1" t="s">
        <v>8677</v>
      </c>
    </row>
    <row r="6612" spans="1:4" hidden="1" x14ac:dyDescent="0.3">
      <c r="A6612">
        <v>6610</v>
      </c>
      <c r="B6612" t="s">
        <v>8678</v>
      </c>
      <c r="C6612" t="s">
        <v>119</v>
      </c>
      <c r="D6612">
        <v>77699313.039614707</v>
      </c>
    </row>
    <row r="6613" spans="1:4" hidden="1" x14ac:dyDescent="0.3">
      <c r="A6613">
        <v>6611</v>
      </c>
      <c r="B6613" t="s">
        <v>8679</v>
      </c>
      <c r="C6613" t="s">
        <v>121</v>
      </c>
      <c r="D6613">
        <v>34363020.907733597</v>
      </c>
    </row>
    <row r="6614" spans="1:4" hidden="1" x14ac:dyDescent="0.3">
      <c r="A6614">
        <v>6612</v>
      </c>
      <c r="B6614" s="1" t="s">
        <v>8680</v>
      </c>
      <c r="C6614" t="s">
        <v>123</v>
      </c>
      <c r="D6614" s="1" t="s">
        <v>8681</v>
      </c>
    </row>
    <row r="6615" spans="1:4" hidden="1" x14ac:dyDescent="0.3">
      <c r="A6615">
        <v>6613</v>
      </c>
      <c r="B6615" t="s">
        <v>8682</v>
      </c>
      <c r="C6615" t="s">
        <v>126</v>
      </c>
      <c r="D6615">
        <v>0.75439345565427796</v>
      </c>
    </row>
    <row r="6616" spans="1:4" hidden="1" x14ac:dyDescent="0.3">
      <c r="A6616">
        <v>6614</v>
      </c>
      <c r="B6616" t="s">
        <v>8683</v>
      </c>
      <c r="C6616" t="s">
        <v>128</v>
      </c>
      <c r="D6616">
        <v>0.333635357575021</v>
      </c>
    </row>
    <row r="6617" spans="1:4" hidden="1" x14ac:dyDescent="0.3">
      <c r="A6617">
        <v>6615</v>
      </c>
      <c r="B6617" s="1" t="s">
        <v>8684</v>
      </c>
      <c r="C6617" t="s">
        <v>130</v>
      </c>
      <c r="D6617" s="1" t="s">
        <v>8685</v>
      </c>
    </row>
    <row r="6618" spans="1:4" ht="72" x14ac:dyDescent="0.3">
      <c r="A6618">
        <v>6616</v>
      </c>
      <c r="B6618" s="1" t="s">
        <v>8686</v>
      </c>
      <c r="C6618" t="s">
        <v>4</v>
      </c>
      <c r="D6618" t="s">
        <v>8687</v>
      </c>
    </row>
    <row r="6619" spans="1:4" hidden="1" x14ac:dyDescent="0.3">
      <c r="A6619">
        <v>6617</v>
      </c>
      <c r="B6619" t="s">
        <v>8688</v>
      </c>
      <c r="C6619" t="s">
        <v>7</v>
      </c>
      <c r="D6619">
        <v>1773.87</v>
      </c>
    </row>
    <row r="6620" spans="1:4" hidden="1" x14ac:dyDescent="0.3">
      <c r="A6620">
        <v>6618</v>
      </c>
      <c r="B6620" s="1" t="s">
        <v>8689</v>
      </c>
      <c r="C6620" t="s">
        <v>9</v>
      </c>
      <c r="D6620" s="1" t="s">
        <v>8690</v>
      </c>
    </row>
    <row r="6621" spans="1:4" hidden="1" x14ac:dyDescent="0.3">
      <c r="A6621">
        <v>6619</v>
      </c>
      <c r="B6621" t="s">
        <v>8691</v>
      </c>
      <c r="C6621" t="s">
        <v>14</v>
      </c>
      <c r="D6621">
        <v>89.24609375</v>
      </c>
    </row>
    <row r="6622" spans="1:4" hidden="1" x14ac:dyDescent="0.3">
      <c r="A6622">
        <v>6620</v>
      </c>
      <c r="B6622" t="s">
        <v>8692</v>
      </c>
      <c r="C6622" t="s">
        <v>16</v>
      </c>
      <c r="D6622">
        <v>4.2356419253548996</v>
      </c>
    </row>
    <row r="6623" spans="1:4" hidden="1" x14ac:dyDescent="0.3">
      <c r="A6623">
        <v>6621</v>
      </c>
      <c r="B6623" s="1" t="s">
        <v>8693</v>
      </c>
      <c r="C6623" t="s">
        <v>140</v>
      </c>
      <c r="D6623" s="1" t="s">
        <v>8694</v>
      </c>
    </row>
    <row r="6624" spans="1:4" hidden="1" x14ac:dyDescent="0.3">
      <c r="A6624">
        <v>6622</v>
      </c>
      <c r="B6624" t="s">
        <v>8695</v>
      </c>
      <c r="C6624" t="s">
        <v>22</v>
      </c>
      <c r="D6624">
        <v>56.1</v>
      </c>
    </row>
    <row r="6625" spans="1:4" hidden="1" x14ac:dyDescent="0.3">
      <c r="A6625">
        <v>6623</v>
      </c>
      <c r="B6625" t="s">
        <v>8696</v>
      </c>
      <c r="C6625" t="s">
        <v>24</v>
      </c>
      <c r="D6625">
        <v>4.8335073224778</v>
      </c>
    </row>
    <row r="6626" spans="1:4" hidden="1" x14ac:dyDescent="0.3">
      <c r="A6626">
        <v>6624</v>
      </c>
      <c r="B6626" s="1" t="s">
        <v>8697</v>
      </c>
      <c r="C6626" t="s">
        <v>145</v>
      </c>
      <c r="D6626" s="1" t="s">
        <v>8698</v>
      </c>
    </row>
    <row r="6627" spans="1:4" hidden="1" x14ac:dyDescent="0.3">
      <c r="A6627">
        <v>6625</v>
      </c>
      <c r="B6627" t="s">
        <v>8699</v>
      </c>
      <c r="C6627" t="s">
        <v>35</v>
      </c>
      <c r="D6627">
        <v>-0.24592516939526701</v>
      </c>
    </row>
    <row r="6628" spans="1:4" hidden="1" x14ac:dyDescent="0.3">
      <c r="A6628">
        <v>6626</v>
      </c>
      <c r="B6628" t="s">
        <v>8700</v>
      </c>
      <c r="C6628" t="s">
        <v>149</v>
      </c>
      <c r="D6628">
        <v>0.53284587215422796</v>
      </c>
    </row>
    <row r="6629" spans="1:4" hidden="1" x14ac:dyDescent="0.3">
      <c r="A6629">
        <v>6627</v>
      </c>
      <c r="B6629" s="1" t="s">
        <v>8701</v>
      </c>
      <c r="C6629" t="s">
        <v>151</v>
      </c>
      <c r="D6629" s="1" t="s">
        <v>8702</v>
      </c>
    </row>
    <row r="6630" spans="1:4" hidden="1" x14ac:dyDescent="0.3">
      <c r="A6630">
        <v>6628</v>
      </c>
      <c r="B6630" t="s">
        <v>8703</v>
      </c>
      <c r="C6630" t="s">
        <v>30</v>
      </c>
      <c r="D6630">
        <v>0.57036433115871599</v>
      </c>
    </row>
    <row r="6631" spans="1:4" hidden="1" x14ac:dyDescent="0.3">
      <c r="A6631">
        <v>6629</v>
      </c>
      <c r="B6631" t="s">
        <v>8704</v>
      </c>
      <c r="C6631" t="s">
        <v>32</v>
      </c>
      <c r="D6631">
        <v>0.40701255092917099</v>
      </c>
    </row>
    <row r="6632" spans="1:4" hidden="1" x14ac:dyDescent="0.3">
      <c r="A6632">
        <v>6630</v>
      </c>
      <c r="B6632" s="1" t="s">
        <v>8705</v>
      </c>
      <c r="C6632" t="s">
        <v>155</v>
      </c>
      <c r="D6632" s="1" t="s">
        <v>8706</v>
      </c>
    </row>
    <row r="6633" spans="1:4" hidden="1" x14ac:dyDescent="0.3">
      <c r="A6633">
        <v>6631</v>
      </c>
      <c r="B6633" t="s">
        <v>8707</v>
      </c>
      <c r="C6633" t="s">
        <v>40</v>
      </c>
      <c r="D6633">
        <v>0.675560838236551</v>
      </c>
    </row>
    <row r="6634" spans="1:4" hidden="1" x14ac:dyDescent="0.3">
      <c r="A6634">
        <v>6632</v>
      </c>
      <c r="B6634" t="s">
        <v>8708</v>
      </c>
      <c r="C6634" t="s">
        <v>42</v>
      </c>
      <c r="D6634">
        <v>0.469702747543772</v>
      </c>
    </row>
    <row r="6635" spans="1:4" hidden="1" x14ac:dyDescent="0.3">
      <c r="A6635">
        <v>6633</v>
      </c>
      <c r="B6635" s="1" t="s">
        <v>8709</v>
      </c>
      <c r="C6635" t="s">
        <v>159</v>
      </c>
      <c r="D6635" s="1" t="s">
        <v>8710</v>
      </c>
    </row>
    <row r="6636" spans="1:4" hidden="1" x14ac:dyDescent="0.3">
      <c r="A6636">
        <v>6634</v>
      </c>
      <c r="B6636" t="s">
        <v>8711</v>
      </c>
      <c r="C6636" t="s">
        <v>161</v>
      </c>
      <c r="D6636">
        <v>0.99714998819521705</v>
      </c>
    </row>
    <row r="6637" spans="1:4" hidden="1" x14ac:dyDescent="0.3">
      <c r="A6637">
        <v>6635</v>
      </c>
      <c r="B6637" t="s">
        <v>8712</v>
      </c>
      <c r="C6637" t="s">
        <v>163</v>
      </c>
      <c r="D6637">
        <v>1.0002670286486599</v>
      </c>
    </row>
    <row r="6638" spans="1:4" hidden="1" x14ac:dyDescent="0.3">
      <c r="A6638">
        <v>6636</v>
      </c>
      <c r="B6638" s="1" t="s">
        <v>8713</v>
      </c>
      <c r="C6638" t="s">
        <v>165</v>
      </c>
      <c r="D6638" s="1" t="s">
        <v>8714</v>
      </c>
    </row>
    <row r="6639" spans="1:4" hidden="1" x14ac:dyDescent="0.3">
      <c r="A6639">
        <v>6637</v>
      </c>
      <c r="B6639" t="s">
        <v>8715</v>
      </c>
      <c r="C6639" t="s">
        <v>168</v>
      </c>
      <c r="D6639">
        <v>1.00248730218418</v>
      </c>
    </row>
    <row r="6640" spans="1:4" hidden="1" x14ac:dyDescent="0.3">
      <c r="A6640">
        <v>6638</v>
      </c>
      <c r="B6640" t="s">
        <v>8716</v>
      </c>
      <c r="C6640" t="s">
        <v>170</v>
      </c>
      <c r="D6640">
        <v>0.99936725901455603</v>
      </c>
    </row>
    <row r="6641" spans="1:4" hidden="1" x14ac:dyDescent="0.3">
      <c r="A6641">
        <v>6639</v>
      </c>
      <c r="B6641" s="1" t="s">
        <v>8717</v>
      </c>
      <c r="C6641" t="s">
        <v>172</v>
      </c>
      <c r="D6641" s="1" t="s">
        <v>8718</v>
      </c>
    </row>
    <row r="6642" spans="1:4" hidden="1" x14ac:dyDescent="0.3">
      <c r="A6642">
        <v>6640</v>
      </c>
      <c r="B6642" s="1" t="s">
        <v>8719</v>
      </c>
      <c r="C6642" t="s">
        <v>55</v>
      </c>
      <c r="D6642" s="1" t="s">
        <v>8720</v>
      </c>
    </row>
    <row r="6643" spans="1:4" hidden="1" x14ac:dyDescent="0.3">
      <c r="A6643">
        <v>6641</v>
      </c>
      <c r="B6643" s="1" t="s">
        <v>8721</v>
      </c>
      <c r="C6643" t="s">
        <v>52</v>
      </c>
      <c r="D6643" s="1" t="s">
        <v>8722</v>
      </c>
    </row>
    <row r="6644" spans="1:4" hidden="1" x14ac:dyDescent="0.3">
      <c r="A6644">
        <v>6642</v>
      </c>
      <c r="B6644" s="1" t="s">
        <v>8723</v>
      </c>
      <c r="C6644" t="s">
        <v>58</v>
      </c>
      <c r="D6644" s="1" t="s">
        <v>8724</v>
      </c>
    </row>
    <row r="6645" spans="1:4" hidden="1" x14ac:dyDescent="0.3">
      <c r="A6645">
        <v>6643</v>
      </c>
      <c r="B6645" t="s">
        <v>8725</v>
      </c>
      <c r="C6645" t="s">
        <v>61</v>
      </c>
      <c r="D6645">
        <v>146244747.14555699</v>
      </c>
    </row>
    <row r="6646" spans="1:4" hidden="1" x14ac:dyDescent="0.3">
      <c r="A6646">
        <v>6644</v>
      </c>
      <c r="B6646" t="s">
        <v>8726</v>
      </c>
      <c r="C6646" t="s">
        <v>63</v>
      </c>
      <c r="D6646">
        <v>77477869.080228299</v>
      </c>
    </row>
    <row r="6647" spans="1:4" hidden="1" x14ac:dyDescent="0.3">
      <c r="A6647">
        <v>6645</v>
      </c>
      <c r="B6647" t="s">
        <v>8727</v>
      </c>
      <c r="C6647" t="s">
        <v>65</v>
      </c>
      <c r="D6647">
        <v>34372196.818770498</v>
      </c>
    </row>
    <row r="6648" spans="1:4" hidden="1" x14ac:dyDescent="0.3">
      <c r="A6648">
        <v>6646</v>
      </c>
      <c r="B6648" s="1" t="s">
        <v>8728</v>
      </c>
      <c r="C6648" t="s">
        <v>67</v>
      </c>
      <c r="D6648" s="1" t="s">
        <v>8729</v>
      </c>
    </row>
    <row r="6649" spans="1:4" hidden="1" x14ac:dyDescent="0.3">
      <c r="A6649">
        <v>6647</v>
      </c>
      <c r="B6649" s="1" t="s">
        <v>8730</v>
      </c>
      <c r="C6649" t="s">
        <v>70</v>
      </c>
      <c r="D6649" s="1" t="s">
        <v>8731</v>
      </c>
    </row>
    <row r="6650" spans="1:4" hidden="1" x14ac:dyDescent="0.3">
      <c r="A6650">
        <v>6648</v>
      </c>
      <c r="B6650" t="s">
        <v>8732</v>
      </c>
      <c r="C6650" t="s">
        <v>73</v>
      </c>
      <c r="D6650">
        <v>0.99975573398090201</v>
      </c>
    </row>
    <row r="6651" spans="1:4" hidden="1" x14ac:dyDescent="0.3">
      <c r="A6651">
        <v>6649</v>
      </c>
      <c r="B6651" t="s">
        <v>74</v>
      </c>
      <c r="C6651" t="s">
        <v>75</v>
      </c>
      <c r="D6651">
        <v>2.7397260273972599E-3</v>
      </c>
    </row>
    <row r="6652" spans="1:4" hidden="1" x14ac:dyDescent="0.3">
      <c r="A6652">
        <v>6650</v>
      </c>
      <c r="B6652" t="s">
        <v>76</v>
      </c>
      <c r="C6652" t="s">
        <v>77</v>
      </c>
      <c r="D6652">
        <v>0</v>
      </c>
    </row>
    <row r="6653" spans="1:4" hidden="1" x14ac:dyDescent="0.3">
      <c r="A6653">
        <v>6651</v>
      </c>
      <c r="B6653" t="s">
        <v>78</v>
      </c>
      <c r="C6653" t="s">
        <v>79</v>
      </c>
      <c r="D6653">
        <v>0</v>
      </c>
    </row>
    <row r="6654" spans="1:4" hidden="1" x14ac:dyDescent="0.3">
      <c r="A6654">
        <v>6652</v>
      </c>
      <c r="B6654" s="1" t="s">
        <v>8733</v>
      </c>
      <c r="C6654" t="s">
        <v>81</v>
      </c>
      <c r="D6654" s="1" t="s">
        <v>8734</v>
      </c>
    </row>
    <row r="6655" spans="1:4" hidden="1" x14ac:dyDescent="0.3">
      <c r="A6655">
        <v>6653</v>
      </c>
      <c r="B6655" t="s">
        <v>8735</v>
      </c>
      <c r="C6655" t="s">
        <v>84</v>
      </c>
      <c r="D6655">
        <v>0.99976155237825903</v>
      </c>
    </row>
    <row r="6656" spans="1:4" hidden="1" x14ac:dyDescent="0.3">
      <c r="A6656">
        <v>6654</v>
      </c>
      <c r="B6656" s="1" t="s">
        <v>8736</v>
      </c>
      <c r="C6656" t="s">
        <v>86</v>
      </c>
      <c r="D6656" s="1" t="s">
        <v>8737</v>
      </c>
    </row>
    <row r="6657" spans="1:4" hidden="1" x14ac:dyDescent="0.3">
      <c r="A6657">
        <v>6655</v>
      </c>
      <c r="B6657" t="s">
        <v>8738</v>
      </c>
      <c r="C6657" t="s">
        <v>89</v>
      </c>
      <c r="D6657">
        <v>103017978.08636101</v>
      </c>
    </row>
    <row r="6658" spans="1:4" hidden="1" x14ac:dyDescent="0.3">
      <c r="A6658">
        <v>6656</v>
      </c>
      <c r="B6658" s="1" t="s">
        <v>8739</v>
      </c>
      <c r="C6658" t="s">
        <v>91</v>
      </c>
      <c r="D6658" s="1" t="s">
        <v>8673</v>
      </c>
    </row>
    <row r="6659" spans="1:4" hidden="1" x14ac:dyDescent="0.3">
      <c r="A6659">
        <v>6657</v>
      </c>
      <c r="B6659" t="s">
        <v>8740</v>
      </c>
      <c r="C6659" t="s">
        <v>94</v>
      </c>
      <c r="D6659">
        <v>77477869.080228299</v>
      </c>
    </row>
    <row r="6660" spans="1:4" hidden="1" x14ac:dyDescent="0.3">
      <c r="A6660">
        <v>6658</v>
      </c>
      <c r="B6660" t="s">
        <v>8741</v>
      </c>
      <c r="C6660" t="s">
        <v>96</v>
      </c>
      <c r="D6660">
        <v>34372196.818770498</v>
      </c>
    </row>
    <row r="6661" spans="1:4" hidden="1" x14ac:dyDescent="0.3">
      <c r="A6661">
        <v>6659</v>
      </c>
      <c r="B6661" t="s">
        <v>8742</v>
      </c>
      <c r="C6661" t="s">
        <v>98</v>
      </c>
      <c r="D6661">
        <v>34394681.246558398</v>
      </c>
    </row>
    <row r="6662" spans="1:4" hidden="1" x14ac:dyDescent="0.3">
      <c r="A6662">
        <v>6660</v>
      </c>
      <c r="B6662" s="1" t="s">
        <v>8743</v>
      </c>
      <c r="C6662" t="s">
        <v>100</v>
      </c>
      <c r="D6662" s="1" t="s">
        <v>8744</v>
      </c>
    </row>
    <row r="6663" spans="1:4" hidden="1" x14ac:dyDescent="0.3">
      <c r="A6663">
        <v>6661</v>
      </c>
      <c r="B6663" t="s">
        <v>8745</v>
      </c>
      <c r="C6663" t="s">
        <v>103</v>
      </c>
      <c r="D6663">
        <v>9.6893446446051808E-3</v>
      </c>
    </row>
    <row r="6664" spans="1:4" hidden="1" x14ac:dyDescent="0.3">
      <c r="A6664">
        <v>6662</v>
      </c>
      <c r="B6664" t="s">
        <v>8746</v>
      </c>
      <c r="C6664" t="s">
        <v>105</v>
      </c>
      <c r="D6664">
        <v>3.0399914924880899E-3</v>
      </c>
    </row>
    <row r="6665" spans="1:4" hidden="1" x14ac:dyDescent="0.3">
      <c r="A6665">
        <v>6663</v>
      </c>
      <c r="B6665" t="s">
        <v>8747</v>
      </c>
      <c r="C6665" t="s">
        <v>107</v>
      </c>
      <c r="D6665">
        <v>1.7908580817644199E-2</v>
      </c>
    </row>
    <row r="6666" spans="1:4" hidden="1" x14ac:dyDescent="0.3">
      <c r="A6666">
        <v>6664</v>
      </c>
      <c r="B6666" s="1" t="s">
        <v>8748</v>
      </c>
      <c r="C6666" t="s">
        <v>109</v>
      </c>
      <c r="D6666" s="1" t="s">
        <v>8749</v>
      </c>
    </row>
    <row r="6667" spans="1:4" hidden="1" x14ac:dyDescent="0.3">
      <c r="A6667">
        <v>6665</v>
      </c>
      <c r="B6667" t="s">
        <v>8750</v>
      </c>
      <c r="C6667" t="s">
        <v>208</v>
      </c>
      <c r="D6667">
        <v>146244953.52916101</v>
      </c>
    </row>
    <row r="6668" spans="1:4" hidden="1" x14ac:dyDescent="0.3">
      <c r="A6668">
        <v>6666</v>
      </c>
      <c r="B6668" t="s">
        <v>8751</v>
      </c>
      <c r="C6668" t="s">
        <v>210</v>
      </c>
      <c r="D6668">
        <v>-450.90804247358898</v>
      </c>
    </row>
    <row r="6669" spans="1:4" hidden="1" x14ac:dyDescent="0.3">
      <c r="A6669">
        <v>6667</v>
      </c>
      <c r="B6669" t="s">
        <v>8752</v>
      </c>
      <c r="C6669" t="s">
        <v>212</v>
      </c>
      <c r="D6669">
        <v>-200.04009602267601</v>
      </c>
    </row>
    <row r="6670" spans="1:4" hidden="1" x14ac:dyDescent="0.3">
      <c r="A6670">
        <v>6668</v>
      </c>
      <c r="B6670" s="1" t="s">
        <v>8753</v>
      </c>
      <c r="C6670" t="s">
        <v>214</v>
      </c>
      <c r="D6670" s="1" t="s">
        <v>8754</v>
      </c>
    </row>
    <row r="6671" spans="1:4" hidden="1" x14ac:dyDescent="0.3">
      <c r="A6671">
        <v>6669</v>
      </c>
      <c r="B6671" t="s">
        <v>8755</v>
      </c>
      <c r="C6671" t="s">
        <v>217</v>
      </c>
      <c r="D6671">
        <v>77478469.900528103</v>
      </c>
    </row>
    <row r="6672" spans="1:4" hidden="1" x14ac:dyDescent="0.3">
      <c r="A6672">
        <v>6670</v>
      </c>
      <c r="B6672" t="s">
        <v>8756</v>
      </c>
      <c r="C6672" t="s">
        <v>219</v>
      </c>
      <c r="D6672">
        <v>34372419.869843997</v>
      </c>
    </row>
    <row r="6673" spans="1:4" hidden="1" x14ac:dyDescent="0.3">
      <c r="A6673">
        <v>6671</v>
      </c>
      <c r="B6673" t="s">
        <v>8757</v>
      </c>
      <c r="C6673" t="s">
        <v>221</v>
      </c>
      <c r="D6673">
        <v>34394914.8779395</v>
      </c>
    </row>
    <row r="6674" spans="1:4" hidden="1" x14ac:dyDescent="0.3">
      <c r="A6674">
        <v>6672</v>
      </c>
      <c r="B6674" s="1" t="s">
        <v>8758</v>
      </c>
      <c r="C6674" t="s">
        <v>223</v>
      </c>
      <c r="D6674" s="1" t="s">
        <v>8759</v>
      </c>
    </row>
    <row r="6675" spans="1:4" hidden="1" x14ac:dyDescent="0.3">
      <c r="A6675">
        <v>6673</v>
      </c>
      <c r="B6675" t="s">
        <v>8760</v>
      </c>
      <c r="C6675" t="s">
        <v>226</v>
      </c>
      <c r="D6675">
        <v>103018577.632341</v>
      </c>
    </row>
    <row r="6676" spans="1:4" hidden="1" x14ac:dyDescent="0.3">
      <c r="A6676">
        <v>6674</v>
      </c>
      <c r="B6676" t="s">
        <v>8761</v>
      </c>
      <c r="C6676" t="s">
        <v>228</v>
      </c>
      <c r="D6676">
        <v>-599.54598017036903</v>
      </c>
    </row>
    <row r="6677" spans="1:4" hidden="1" x14ac:dyDescent="0.3">
      <c r="A6677">
        <v>6675</v>
      </c>
      <c r="B6677" s="1" t="s">
        <v>8762</v>
      </c>
      <c r="C6677" t="s">
        <v>230</v>
      </c>
      <c r="D6677" s="1" t="s">
        <v>8763</v>
      </c>
    </row>
    <row r="6678" spans="1:4" hidden="1" x14ac:dyDescent="0.3">
      <c r="A6678">
        <v>6676</v>
      </c>
      <c r="B6678" t="s">
        <v>8764</v>
      </c>
      <c r="C6678" t="s">
        <v>112</v>
      </c>
      <c r="D6678">
        <v>149.91225735328899</v>
      </c>
    </row>
    <row r="6679" spans="1:4" hidden="1" x14ac:dyDescent="0.3">
      <c r="A6679">
        <v>6677</v>
      </c>
      <c r="B6679" t="s">
        <v>8765</v>
      </c>
      <c r="C6679" t="s">
        <v>114</v>
      </c>
      <c r="D6679">
        <v>23.010977496927499</v>
      </c>
    </row>
    <row r="6680" spans="1:4" hidden="1" x14ac:dyDescent="0.3">
      <c r="A6680">
        <v>6678</v>
      </c>
      <c r="B6680" s="1" t="s">
        <v>8766</v>
      </c>
      <c r="C6680" t="s">
        <v>116</v>
      </c>
      <c r="D6680" s="1" t="s">
        <v>8767</v>
      </c>
    </row>
    <row r="6681" spans="1:4" hidden="1" x14ac:dyDescent="0.3">
      <c r="A6681">
        <v>6679</v>
      </c>
      <c r="B6681" t="s">
        <v>8768</v>
      </c>
      <c r="C6681" t="s">
        <v>119</v>
      </c>
      <c r="D6681">
        <v>77478469.900528103</v>
      </c>
    </row>
    <row r="6682" spans="1:4" hidden="1" x14ac:dyDescent="0.3">
      <c r="A6682">
        <v>6680</v>
      </c>
      <c r="B6682" t="s">
        <v>8769</v>
      </c>
      <c r="C6682" t="s">
        <v>121</v>
      </c>
      <c r="D6682">
        <v>34372419.869843997</v>
      </c>
    </row>
    <row r="6683" spans="1:4" hidden="1" x14ac:dyDescent="0.3">
      <c r="A6683">
        <v>6681</v>
      </c>
      <c r="B6683" s="1" t="s">
        <v>8770</v>
      </c>
      <c r="C6683" t="s">
        <v>123</v>
      </c>
      <c r="D6683" s="1" t="s">
        <v>8771</v>
      </c>
    </row>
    <row r="6684" spans="1:4" hidden="1" x14ac:dyDescent="0.3">
      <c r="A6684">
        <v>6682</v>
      </c>
      <c r="B6684" t="s">
        <v>8772</v>
      </c>
      <c r="C6684" t="s">
        <v>126</v>
      </c>
      <c r="D6684">
        <v>0.75226187979659598</v>
      </c>
    </row>
    <row r="6685" spans="1:4" hidden="1" x14ac:dyDescent="0.3">
      <c r="A6685">
        <v>6683</v>
      </c>
      <c r="B6685" t="s">
        <v>8773</v>
      </c>
      <c r="C6685" t="s">
        <v>128</v>
      </c>
      <c r="D6685">
        <v>0.333732212544255</v>
      </c>
    </row>
    <row r="6686" spans="1:4" hidden="1" x14ac:dyDescent="0.3">
      <c r="A6686">
        <v>6684</v>
      </c>
      <c r="B6686" s="1" t="s">
        <v>8774</v>
      </c>
      <c r="C6686" t="s">
        <v>130</v>
      </c>
      <c r="D6686" s="1" t="s">
        <v>8775</v>
      </c>
    </row>
    <row r="6687" spans="1:4" ht="72" x14ac:dyDescent="0.3">
      <c r="A6687">
        <v>6685</v>
      </c>
      <c r="B6687" s="1" t="s">
        <v>8776</v>
      </c>
      <c r="C6687" t="s">
        <v>4</v>
      </c>
      <c r="D6687" t="s">
        <v>8777</v>
      </c>
    </row>
    <row r="6688" spans="1:4" hidden="1" x14ac:dyDescent="0.3">
      <c r="A6688">
        <v>6686</v>
      </c>
      <c r="B6688" t="s">
        <v>8778</v>
      </c>
      <c r="C6688" t="s">
        <v>7</v>
      </c>
      <c r="D6688">
        <v>1760.44</v>
      </c>
    </row>
    <row r="6689" spans="1:4" hidden="1" x14ac:dyDescent="0.3">
      <c r="A6689">
        <v>6687</v>
      </c>
      <c r="B6689" s="1" t="s">
        <v>8779</v>
      </c>
      <c r="C6689" t="s">
        <v>9</v>
      </c>
      <c r="D6689" s="1" t="s">
        <v>8780</v>
      </c>
    </row>
    <row r="6690" spans="1:4" hidden="1" x14ac:dyDescent="0.3">
      <c r="A6690">
        <v>6688</v>
      </c>
      <c r="B6690" t="s">
        <v>8781</v>
      </c>
      <c r="C6690" t="s">
        <v>14</v>
      </c>
      <c r="D6690">
        <v>89.03515625</v>
      </c>
    </row>
    <row r="6691" spans="1:4" hidden="1" x14ac:dyDescent="0.3">
      <c r="A6691">
        <v>6689</v>
      </c>
      <c r="B6691" t="s">
        <v>8782</v>
      </c>
      <c r="C6691" t="s">
        <v>16</v>
      </c>
      <c r="D6691">
        <v>4.2290685166492699</v>
      </c>
    </row>
    <row r="6692" spans="1:4" hidden="1" x14ac:dyDescent="0.3">
      <c r="A6692">
        <v>6690</v>
      </c>
      <c r="B6692" s="1" t="s">
        <v>8783</v>
      </c>
      <c r="C6692" t="s">
        <v>140</v>
      </c>
      <c r="D6692" s="1" t="s">
        <v>8784</v>
      </c>
    </row>
    <row r="6693" spans="1:4" hidden="1" x14ac:dyDescent="0.3">
      <c r="A6693">
        <v>6691</v>
      </c>
      <c r="B6693" t="s">
        <v>8785</v>
      </c>
      <c r="C6693" t="s">
        <v>22</v>
      </c>
      <c r="D6693">
        <v>55.75</v>
      </c>
    </row>
    <row r="6694" spans="1:4" hidden="1" x14ac:dyDescent="0.3">
      <c r="A6694">
        <v>6692</v>
      </c>
      <c r="B6694" t="s">
        <v>8786</v>
      </c>
      <c r="C6694" t="s">
        <v>24</v>
      </c>
      <c r="D6694">
        <v>4.8078508571748202</v>
      </c>
    </row>
    <row r="6695" spans="1:4" hidden="1" x14ac:dyDescent="0.3">
      <c r="A6695">
        <v>6693</v>
      </c>
      <c r="B6695" s="1" t="s">
        <v>8787</v>
      </c>
      <c r="C6695" t="s">
        <v>145</v>
      </c>
      <c r="D6695" s="1" t="s">
        <v>8788</v>
      </c>
    </row>
    <row r="6696" spans="1:4" hidden="1" x14ac:dyDescent="0.3">
      <c r="A6696">
        <v>6694</v>
      </c>
      <c r="B6696" t="s">
        <v>8789</v>
      </c>
      <c r="C6696" t="s">
        <v>35</v>
      </c>
      <c r="D6696">
        <v>0.40966292729515302</v>
      </c>
    </row>
    <row r="6697" spans="1:4" hidden="1" x14ac:dyDescent="0.3">
      <c r="A6697">
        <v>6695</v>
      </c>
      <c r="B6697" t="s">
        <v>8790</v>
      </c>
      <c r="C6697" t="s">
        <v>149</v>
      </c>
      <c r="D6697">
        <v>0.53558019799024104</v>
      </c>
    </row>
    <row r="6698" spans="1:4" hidden="1" x14ac:dyDescent="0.3">
      <c r="A6698">
        <v>6696</v>
      </c>
      <c r="B6698" s="1" t="s">
        <v>8791</v>
      </c>
      <c r="C6698" t="s">
        <v>151</v>
      </c>
      <c r="D6698" s="1" t="s">
        <v>8792</v>
      </c>
    </row>
    <row r="6699" spans="1:4" hidden="1" x14ac:dyDescent="0.3">
      <c r="A6699">
        <v>6697</v>
      </c>
      <c r="B6699" t="s">
        <v>8793</v>
      </c>
      <c r="C6699" t="s">
        <v>30</v>
      </c>
      <c r="D6699">
        <v>0.26506563972922698</v>
      </c>
    </row>
    <row r="6700" spans="1:4" hidden="1" x14ac:dyDescent="0.3">
      <c r="A6700">
        <v>6698</v>
      </c>
      <c r="B6700" t="s">
        <v>8794</v>
      </c>
      <c r="C6700" t="s">
        <v>32</v>
      </c>
      <c r="D6700">
        <v>0.40332109621817203</v>
      </c>
    </row>
    <row r="6701" spans="1:4" hidden="1" x14ac:dyDescent="0.3">
      <c r="A6701">
        <v>6699</v>
      </c>
      <c r="B6701" s="1" t="s">
        <v>8795</v>
      </c>
      <c r="C6701" t="s">
        <v>155</v>
      </c>
      <c r="D6701" s="1" t="s">
        <v>8796</v>
      </c>
    </row>
    <row r="6702" spans="1:4" hidden="1" x14ac:dyDescent="0.3">
      <c r="A6702">
        <v>6700</v>
      </c>
      <c r="B6702" t="s">
        <v>8797</v>
      </c>
      <c r="C6702" t="s">
        <v>40</v>
      </c>
      <c r="D6702">
        <v>0.325271432975618</v>
      </c>
    </row>
    <row r="6703" spans="1:4" hidden="1" x14ac:dyDescent="0.3">
      <c r="A6703">
        <v>6701</v>
      </c>
      <c r="B6703" t="s">
        <v>8798</v>
      </c>
      <c r="C6703" t="s">
        <v>42</v>
      </c>
      <c r="D6703">
        <v>0.46381290864699598</v>
      </c>
    </row>
    <row r="6704" spans="1:4" hidden="1" x14ac:dyDescent="0.3">
      <c r="A6704">
        <v>6702</v>
      </c>
      <c r="B6704" s="1" t="s">
        <v>8799</v>
      </c>
      <c r="C6704" t="s">
        <v>159</v>
      </c>
      <c r="D6704" s="1" t="s">
        <v>8800</v>
      </c>
    </row>
    <row r="6705" spans="1:4" hidden="1" x14ac:dyDescent="0.3">
      <c r="A6705">
        <v>6703</v>
      </c>
      <c r="B6705" t="s">
        <v>8801</v>
      </c>
      <c r="C6705" t="s">
        <v>161</v>
      </c>
      <c r="D6705">
        <v>0.99242898295816495</v>
      </c>
    </row>
    <row r="6706" spans="1:4" hidden="1" x14ac:dyDescent="0.3">
      <c r="A6706">
        <v>6704</v>
      </c>
      <c r="B6706" t="s">
        <v>8802</v>
      </c>
      <c r="C6706" t="s">
        <v>163</v>
      </c>
      <c r="D6706">
        <v>0.99767322560782301</v>
      </c>
    </row>
    <row r="6707" spans="1:4" hidden="1" x14ac:dyDescent="0.3">
      <c r="A6707">
        <v>6705</v>
      </c>
      <c r="B6707" s="1" t="s">
        <v>8803</v>
      </c>
      <c r="C6707" t="s">
        <v>165</v>
      </c>
      <c r="D6707" s="1" t="s">
        <v>8804</v>
      </c>
    </row>
    <row r="6708" spans="1:4" hidden="1" x14ac:dyDescent="0.3">
      <c r="A6708">
        <v>6706</v>
      </c>
      <c r="B6708" t="s">
        <v>8805</v>
      </c>
      <c r="C6708" t="s">
        <v>168</v>
      </c>
      <c r="D6708">
        <v>1.00178382307424</v>
      </c>
    </row>
    <row r="6709" spans="1:4" hidden="1" x14ac:dyDescent="0.3">
      <c r="A6709">
        <v>6707</v>
      </c>
      <c r="B6709" t="s">
        <v>8806</v>
      </c>
      <c r="C6709" t="s">
        <v>170</v>
      </c>
      <c r="D6709">
        <v>0.99737638821447505</v>
      </c>
    </row>
    <row r="6710" spans="1:4" hidden="1" x14ac:dyDescent="0.3">
      <c r="A6710">
        <v>6708</v>
      </c>
      <c r="B6710" s="1" t="s">
        <v>8807</v>
      </c>
      <c r="C6710" t="s">
        <v>172</v>
      </c>
      <c r="D6710" s="1" t="s">
        <v>8808</v>
      </c>
    </row>
    <row r="6711" spans="1:4" hidden="1" x14ac:dyDescent="0.3">
      <c r="A6711">
        <v>6709</v>
      </c>
      <c r="B6711" s="1" t="s">
        <v>8809</v>
      </c>
      <c r="C6711" t="s">
        <v>55</v>
      </c>
      <c r="D6711" s="1" t="s">
        <v>8810</v>
      </c>
    </row>
    <row r="6712" spans="1:4" hidden="1" x14ac:dyDescent="0.3">
      <c r="A6712">
        <v>6710</v>
      </c>
      <c r="B6712" s="1" t="s">
        <v>8811</v>
      </c>
      <c r="C6712" t="s">
        <v>52</v>
      </c>
      <c r="D6712" s="1" t="s">
        <v>8812</v>
      </c>
    </row>
    <row r="6713" spans="1:4" hidden="1" x14ac:dyDescent="0.3">
      <c r="A6713">
        <v>6711</v>
      </c>
      <c r="B6713" s="1" t="s">
        <v>8813</v>
      </c>
      <c r="C6713" t="s">
        <v>58</v>
      </c>
      <c r="D6713" s="1" t="s">
        <v>8814</v>
      </c>
    </row>
    <row r="6714" spans="1:4" hidden="1" x14ac:dyDescent="0.3">
      <c r="A6714">
        <v>6712</v>
      </c>
      <c r="B6714" t="s">
        <v>8815</v>
      </c>
      <c r="C6714" t="s">
        <v>61</v>
      </c>
      <c r="D6714">
        <v>145367191.52963701</v>
      </c>
    </row>
    <row r="6715" spans="1:4" hidden="1" x14ac:dyDescent="0.3">
      <c r="A6715">
        <v>6713</v>
      </c>
      <c r="B6715" t="s">
        <v>8816</v>
      </c>
      <c r="C6715" t="s">
        <v>63</v>
      </c>
      <c r="D6715">
        <v>76891879.084535897</v>
      </c>
    </row>
    <row r="6716" spans="1:4" hidden="1" x14ac:dyDescent="0.3">
      <c r="A6716">
        <v>6714</v>
      </c>
      <c r="B6716" t="s">
        <v>8817</v>
      </c>
      <c r="C6716" t="s">
        <v>65</v>
      </c>
      <c r="D6716">
        <v>34292443.003493696</v>
      </c>
    </row>
    <row r="6717" spans="1:4" hidden="1" x14ac:dyDescent="0.3">
      <c r="A6717">
        <v>6715</v>
      </c>
      <c r="B6717" s="1" t="s">
        <v>8818</v>
      </c>
      <c r="C6717" t="s">
        <v>67</v>
      </c>
      <c r="D6717" s="1" t="s">
        <v>8819</v>
      </c>
    </row>
    <row r="6718" spans="1:4" hidden="1" x14ac:dyDescent="0.3">
      <c r="A6718">
        <v>6716</v>
      </c>
      <c r="B6718" s="1" t="s">
        <v>8820</v>
      </c>
      <c r="C6718" t="s">
        <v>70</v>
      </c>
      <c r="D6718" s="1" t="s">
        <v>8821</v>
      </c>
    </row>
    <row r="6719" spans="1:4" hidden="1" x14ac:dyDescent="0.3">
      <c r="A6719">
        <v>6717</v>
      </c>
      <c r="B6719" t="s">
        <v>8822</v>
      </c>
      <c r="C6719" t="s">
        <v>73</v>
      </c>
      <c r="D6719">
        <v>0.99976155237825903</v>
      </c>
    </row>
    <row r="6720" spans="1:4" hidden="1" x14ac:dyDescent="0.3">
      <c r="A6720">
        <v>6718</v>
      </c>
      <c r="B6720" t="s">
        <v>74</v>
      </c>
      <c r="C6720" t="s">
        <v>75</v>
      </c>
      <c r="D6720">
        <v>2.7397260273972599E-3</v>
      </c>
    </row>
    <row r="6721" spans="1:4" hidden="1" x14ac:dyDescent="0.3">
      <c r="A6721">
        <v>6719</v>
      </c>
      <c r="B6721" t="s">
        <v>76</v>
      </c>
      <c r="C6721" t="s">
        <v>77</v>
      </c>
      <c r="D6721">
        <v>0</v>
      </c>
    </row>
    <row r="6722" spans="1:4" hidden="1" x14ac:dyDescent="0.3">
      <c r="A6722">
        <v>6720</v>
      </c>
      <c r="B6722" t="s">
        <v>78</v>
      </c>
      <c r="C6722" t="s">
        <v>79</v>
      </c>
      <c r="D6722">
        <v>0</v>
      </c>
    </row>
    <row r="6723" spans="1:4" hidden="1" x14ac:dyDescent="0.3">
      <c r="A6723">
        <v>6721</v>
      </c>
      <c r="B6723" s="1" t="s">
        <v>8823</v>
      </c>
      <c r="C6723" t="s">
        <v>81</v>
      </c>
      <c r="D6723" s="1" t="s">
        <v>8824</v>
      </c>
    </row>
    <row r="6724" spans="1:4" hidden="1" x14ac:dyDescent="0.3">
      <c r="A6724">
        <v>6722</v>
      </c>
      <c r="B6724" t="s">
        <v>8825</v>
      </c>
      <c r="C6724" t="s">
        <v>84</v>
      </c>
      <c r="D6724">
        <v>0.99978404416273103</v>
      </c>
    </row>
    <row r="6725" spans="1:4" hidden="1" x14ac:dyDescent="0.3">
      <c r="A6725">
        <v>6723</v>
      </c>
      <c r="B6725" s="1" t="s">
        <v>8826</v>
      </c>
      <c r="C6725" t="s">
        <v>86</v>
      </c>
      <c r="D6725" s="1" t="s">
        <v>8827</v>
      </c>
    </row>
    <row r="6726" spans="1:4" hidden="1" x14ac:dyDescent="0.3">
      <c r="A6726">
        <v>6724</v>
      </c>
      <c r="B6726" t="s">
        <v>8828</v>
      </c>
      <c r="C6726" t="s">
        <v>89</v>
      </c>
      <c r="D6726">
        <v>103015660.527711</v>
      </c>
    </row>
    <row r="6727" spans="1:4" hidden="1" x14ac:dyDescent="0.3">
      <c r="A6727">
        <v>6725</v>
      </c>
      <c r="B6727" s="1" t="s">
        <v>8829</v>
      </c>
      <c r="C6727" t="s">
        <v>91</v>
      </c>
      <c r="D6727" s="1" t="s">
        <v>8763</v>
      </c>
    </row>
    <row r="6728" spans="1:4" hidden="1" x14ac:dyDescent="0.3">
      <c r="A6728">
        <v>6726</v>
      </c>
      <c r="B6728" t="s">
        <v>8830</v>
      </c>
      <c r="C6728" t="s">
        <v>94</v>
      </c>
      <c r="D6728">
        <v>76891879.084535897</v>
      </c>
    </row>
    <row r="6729" spans="1:4" hidden="1" x14ac:dyDescent="0.3">
      <c r="A6729">
        <v>6727</v>
      </c>
      <c r="B6729" t="s">
        <v>8831</v>
      </c>
      <c r="C6729" t="s">
        <v>96</v>
      </c>
      <c r="D6729">
        <v>34292443.003493696</v>
      </c>
    </row>
    <row r="6730" spans="1:4" hidden="1" x14ac:dyDescent="0.3">
      <c r="A6730">
        <v>6728</v>
      </c>
      <c r="B6730" t="s">
        <v>8832</v>
      </c>
      <c r="C6730" t="s">
        <v>98</v>
      </c>
      <c r="D6730">
        <v>34182869.441607296</v>
      </c>
    </row>
    <row r="6731" spans="1:4" hidden="1" x14ac:dyDescent="0.3">
      <c r="A6731">
        <v>6729</v>
      </c>
      <c r="B6731" s="1" t="s">
        <v>8833</v>
      </c>
      <c r="C6731" t="s">
        <v>100</v>
      </c>
      <c r="D6731" s="1" t="s">
        <v>8834</v>
      </c>
    </row>
    <row r="6732" spans="1:4" hidden="1" x14ac:dyDescent="0.3">
      <c r="A6732">
        <v>6730</v>
      </c>
      <c r="B6732" t="s">
        <v>8835</v>
      </c>
      <c r="C6732" t="s">
        <v>103</v>
      </c>
      <c r="D6732">
        <v>9.6884615061672702E-3</v>
      </c>
    </row>
    <row r="6733" spans="1:4" hidden="1" x14ac:dyDescent="0.3">
      <c r="A6733">
        <v>6731</v>
      </c>
      <c r="B6733" t="s">
        <v>8836</v>
      </c>
      <c r="C6733" t="s">
        <v>105</v>
      </c>
      <c r="D6733">
        <v>3.0084017145507501E-3</v>
      </c>
    </row>
    <row r="6734" spans="1:4" hidden="1" x14ac:dyDescent="0.3">
      <c r="A6734">
        <v>6732</v>
      </c>
      <c r="B6734" t="s">
        <v>8837</v>
      </c>
      <c r="C6734" t="s">
        <v>107</v>
      </c>
      <c r="D6734">
        <v>1.7837548405131801E-2</v>
      </c>
    </row>
    <row r="6735" spans="1:4" hidden="1" x14ac:dyDescent="0.3">
      <c r="A6735">
        <v>6733</v>
      </c>
      <c r="B6735" s="1" t="s">
        <v>8838</v>
      </c>
      <c r="C6735" t="s">
        <v>109</v>
      </c>
      <c r="D6735" s="1" t="s">
        <v>8839</v>
      </c>
    </row>
    <row r="6736" spans="1:4" hidden="1" x14ac:dyDescent="0.3">
      <c r="A6736">
        <v>6734</v>
      </c>
      <c r="B6736" t="s">
        <v>8840</v>
      </c>
      <c r="C6736" t="s">
        <v>208</v>
      </c>
      <c r="D6736">
        <v>145367989.348506</v>
      </c>
    </row>
    <row r="6737" spans="1:4" hidden="1" x14ac:dyDescent="0.3">
      <c r="A6737">
        <v>6735</v>
      </c>
      <c r="B6737" t="s">
        <v>8841</v>
      </c>
      <c r="C6737" t="s">
        <v>210</v>
      </c>
      <c r="D6737">
        <v>-1729.8618361860599</v>
      </c>
    </row>
    <row r="6738" spans="1:4" hidden="1" x14ac:dyDescent="0.3">
      <c r="A6738">
        <v>6736</v>
      </c>
      <c r="B6738" t="s">
        <v>8842</v>
      </c>
      <c r="C6738" t="s">
        <v>212</v>
      </c>
      <c r="D6738">
        <v>-771.48422204732003</v>
      </c>
    </row>
    <row r="6739" spans="1:4" hidden="1" x14ac:dyDescent="0.3">
      <c r="A6739">
        <v>6737</v>
      </c>
      <c r="B6739" s="1" t="s">
        <v>8843</v>
      </c>
      <c r="C6739" t="s">
        <v>214</v>
      </c>
      <c r="D6739" s="1" t="s">
        <v>8844</v>
      </c>
    </row>
    <row r="6740" spans="1:4" hidden="1" x14ac:dyDescent="0.3">
      <c r="A6740">
        <v>6738</v>
      </c>
      <c r="B6740" t="s">
        <v>8845</v>
      </c>
      <c r="C6740" t="s">
        <v>217</v>
      </c>
      <c r="D6740">
        <v>76894221.735770807</v>
      </c>
    </row>
    <row r="6741" spans="1:4" hidden="1" x14ac:dyDescent="0.3">
      <c r="A6741">
        <v>6739</v>
      </c>
      <c r="B6741" t="s">
        <v>8846</v>
      </c>
      <c r="C6741" t="s">
        <v>219</v>
      </c>
      <c r="D6741">
        <v>34293304.583531298</v>
      </c>
    </row>
    <row r="6742" spans="1:4" hidden="1" x14ac:dyDescent="0.3">
      <c r="A6742">
        <v>6740</v>
      </c>
      <c r="B6742" t="s">
        <v>8847</v>
      </c>
      <c r="C6742" t="s">
        <v>221</v>
      </c>
      <c r="D6742">
        <v>34183733.394500203</v>
      </c>
    </row>
    <row r="6743" spans="1:4" hidden="1" x14ac:dyDescent="0.3">
      <c r="A6743">
        <v>6741</v>
      </c>
      <c r="B6743" s="1" t="s">
        <v>8848</v>
      </c>
      <c r="C6743" t="s">
        <v>223</v>
      </c>
      <c r="D6743" s="1" t="s">
        <v>8849</v>
      </c>
    </row>
    <row r="6744" spans="1:4" hidden="1" x14ac:dyDescent="0.3">
      <c r="A6744">
        <v>6742</v>
      </c>
      <c r="B6744" t="s">
        <v>8850</v>
      </c>
      <c r="C6744" t="s">
        <v>226</v>
      </c>
      <c r="D6744">
        <v>103017978.08636101</v>
      </c>
    </row>
    <row r="6745" spans="1:4" hidden="1" x14ac:dyDescent="0.3">
      <c r="A6745">
        <v>6743</v>
      </c>
      <c r="B6745" t="s">
        <v>8851</v>
      </c>
      <c r="C6745" t="s">
        <v>228</v>
      </c>
      <c r="D6745">
        <v>-2317.5586501806902</v>
      </c>
    </row>
    <row r="6746" spans="1:4" hidden="1" x14ac:dyDescent="0.3">
      <c r="A6746">
        <v>6744</v>
      </c>
      <c r="B6746" s="1" t="s">
        <v>8852</v>
      </c>
      <c r="C6746" t="s">
        <v>230</v>
      </c>
      <c r="D6746" s="1" t="s">
        <v>8853</v>
      </c>
    </row>
    <row r="6747" spans="1:4" hidden="1" x14ac:dyDescent="0.3">
      <c r="A6747">
        <v>6745</v>
      </c>
      <c r="B6747" t="s">
        <v>8854</v>
      </c>
      <c r="C6747" t="s">
        <v>112</v>
      </c>
      <c r="D6747">
        <v>612.78939875191702</v>
      </c>
    </row>
    <row r="6748" spans="1:4" hidden="1" x14ac:dyDescent="0.3">
      <c r="A6748">
        <v>6746</v>
      </c>
      <c r="B6748" t="s">
        <v>8855</v>
      </c>
      <c r="C6748" t="s">
        <v>114</v>
      </c>
      <c r="D6748">
        <v>90.095815573367602</v>
      </c>
    </row>
    <row r="6749" spans="1:4" hidden="1" x14ac:dyDescent="0.3">
      <c r="A6749">
        <v>6747</v>
      </c>
      <c r="B6749" s="1" t="s">
        <v>8856</v>
      </c>
      <c r="C6749" t="s">
        <v>116</v>
      </c>
      <c r="D6749" s="1" t="s">
        <v>8857</v>
      </c>
    </row>
    <row r="6750" spans="1:4" hidden="1" x14ac:dyDescent="0.3">
      <c r="A6750">
        <v>6748</v>
      </c>
      <c r="B6750" t="s">
        <v>8858</v>
      </c>
      <c r="C6750" t="s">
        <v>119</v>
      </c>
      <c r="D6750">
        <v>76894221.735770807</v>
      </c>
    </row>
    <row r="6751" spans="1:4" hidden="1" x14ac:dyDescent="0.3">
      <c r="A6751">
        <v>6749</v>
      </c>
      <c r="B6751" t="s">
        <v>8859</v>
      </c>
      <c r="C6751" t="s">
        <v>121</v>
      </c>
      <c r="D6751">
        <v>34293304.583531298</v>
      </c>
    </row>
    <row r="6752" spans="1:4" hidden="1" x14ac:dyDescent="0.3">
      <c r="A6752">
        <v>6750</v>
      </c>
      <c r="B6752" s="1" t="s">
        <v>8860</v>
      </c>
      <c r="C6752" t="s">
        <v>123</v>
      </c>
      <c r="D6752" s="1" t="s">
        <v>8861</v>
      </c>
    </row>
    <row r="6753" spans="1:4" hidden="1" x14ac:dyDescent="0.3">
      <c r="A6753">
        <v>6751</v>
      </c>
      <c r="B6753" t="s">
        <v>8862</v>
      </c>
      <c r="C6753" t="s">
        <v>126</v>
      </c>
      <c r="D6753">
        <v>0.74657678695864205</v>
      </c>
    </row>
    <row r="6754" spans="1:4" hidden="1" x14ac:dyDescent="0.3">
      <c r="A6754">
        <v>6752</v>
      </c>
      <c r="B6754" t="s">
        <v>8863</v>
      </c>
      <c r="C6754" t="s">
        <v>128</v>
      </c>
      <c r="D6754">
        <v>0.332958505492704</v>
      </c>
    </row>
    <row r="6755" spans="1:4" hidden="1" x14ac:dyDescent="0.3">
      <c r="A6755">
        <v>6753</v>
      </c>
      <c r="B6755" s="1" t="s">
        <v>8864</v>
      </c>
      <c r="C6755" t="s">
        <v>130</v>
      </c>
      <c r="D6755" s="1" t="s">
        <v>8865</v>
      </c>
    </row>
    <row r="6756" spans="1:4" ht="72" x14ac:dyDescent="0.3">
      <c r="A6756">
        <v>6754</v>
      </c>
      <c r="B6756" s="1" t="s">
        <v>8866</v>
      </c>
      <c r="C6756" t="s">
        <v>4</v>
      </c>
      <c r="D6756" t="s">
        <v>8867</v>
      </c>
    </row>
    <row r="6757" spans="1:4" hidden="1" x14ac:dyDescent="0.3">
      <c r="A6757">
        <v>6755</v>
      </c>
      <c r="B6757" t="s">
        <v>8868</v>
      </c>
      <c r="C6757" t="s">
        <v>7</v>
      </c>
      <c r="D6757">
        <v>1750.68</v>
      </c>
    </row>
    <row r="6758" spans="1:4" hidden="1" x14ac:dyDescent="0.3">
      <c r="A6758">
        <v>6756</v>
      </c>
      <c r="B6758" s="1" t="s">
        <v>8869</v>
      </c>
      <c r="C6758" t="s">
        <v>9</v>
      </c>
      <c r="D6758" s="1" t="s">
        <v>8870</v>
      </c>
    </row>
    <row r="6759" spans="1:4" hidden="1" x14ac:dyDescent="0.3">
      <c r="A6759">
        <v>6757</v>
      </c>
      <c r="B6759" t="s">
        <v>8871</v>
      </c>
      <c r="C6759" t="s">
        <v>14</v>
      </c>
      <c r="D6759">
        <v>88.84765625</v>
      </c>
    </row>
    <row r="6760" spans="1:4" hidden="1" x14ac:dyDescent="0.3">
      <c r="A6760">
        <v>6758</v>
      </c>
      <c r="B6760" t="s">
        <v>8872</v>
      </c>
      <c r="C6760" t="s">
        <v>16</v>
      </c>
      <c r="D6760">
        <v>4.2260468384546197</v>
      </c>
    </row>
    <row r="6761" spans="1:4" hidden="1" x14ac:dyDescent="0.3">
      <c r="A6761">
        <v>6759</v>
      </c>
      <c r="B6761" s="1" t="s">
        <v>8873</v>
      </c>
      <c r="C6761" t="s">
        <v>140</v>
      </c>
      <c r="D6761" s="1" t="s">
        <v>8874</v>
      </c>
    </row>
    <row r="6762" spans="1:4" hidden="1" x14ac:dyDescent="0.3">
      <c r="A6762">
        <v>6760</v>
      </c>
      <c r="B6762" t="s">
        <v>8875</v>
      </c>
      <c r="C6762" t="s">
        <v>22</v>
      </c>
      <c r="D6762">
        <v>55.1</v>
      </c>
    </row>
    <row r="6763" spans="1:4" hidden="1" x14ac:dyDescent="0.3">
      <c r="A6763">
        <v>6761</v>
      </c>
      <c r="B6763" t="s">
        <v>8876</v>
      </c>
      <c r="C6763" t="s">
        <v>24</v>
      </c>
      <c r="D6763">
        <v>4.8236606563712998</v>
      </c>
    </row>
    <row r="6764" spans="1:4" hidden="1" x14ac:dyDescent="0.3">
      <c r="A6764">
        <v>6762</v>
      </c>
      <c r="B6764" s="1" t="s">
        <v>8877</v>
      </c>
      <c r="C6764" t="s">
        <v>145</v>
      </c>
      <c r="D6764" s="1" t="s">
        <v>8878</v>
      </c>
    </row>
    <row r="6765" spans="1:4" hidden="1" x14ac:dyDescent="0.3">
      <c r="A6765">
        <v>6763</v>
      </c>
      <c r="B6765" t="s">
        <v>8879</v>
      </c>
      <c r="C6765" t="s">
        <v>35</v>
      </c>
      <c r="D6765">
        <v>0.12851418877996201</v>
      </c>
    </row>
    <row r="6766" spans="1:4" hidden="1" x14ac:dyDescent="0.3">
      <c r="A6766">
        <v>6764</v>
      </c>
      <c r="B6766" t="s">
        <v>8880</v>
      </c>
      <c r="C6766" t="s">
        <v>149</v>
      </c>
      <c r="D6766">
        <v>0.536195226109627</v>
      </c>
    </row>
    <row r="6767" spans="1:4" hidden="1" x14ac:dyDescent="0.3">
      <c r="A6767">
        <v>6765</v>
      </c>
      <c r="B6767" s="1" t="s">
        <v>8881</v>
      </c>
      <c r="C6767" t="s">
        <v>151</v>
      </c>
      <c r="D6767" s="1" t="s">
        <v>8882</v>
      </c>
    </row>
    <row r="6768" spans="1:4" hidden="1" x14ac:dyDescent="0.3">
      <c r="A6768">
        <v>6766</v>
      </c>
      <c r="B6768" t="s">
        <v>8883</v>
      </c>
      <c r="C6768" t="s">
        <v>30</v>
      </c>
      <c r="D6768">
        <v>0.39452516375125901</v>
      </c>
    </row>
    <row r="6769" spans="1:4" hidden="1" x14ac:dyDescent="0.3">
      <c r="A6769">
        <v>6767</v>
      </c>
      <c r="B6769" t="s">
        <v>8884</v>
      </c>
      <c r="C6769" t="s">
        <v>32</v>
      </c>
      <c r="D6769">
        <v>0.401946322985129</v>
      </c>
    </row>
    <row r="6770" spans="1:4" hidden="1" x14ac:dyDescent="0.3">
      <c r="A6770">
        <v>6768</v>
      </c>
      <c r="B6770" s="1" t="s">
        <v>8885</v>
      </c>
      <c r="C6770" t="s">
        <v>155</v>
      </c>
      <c r="D6770" s="1" t="s">
        <v>8886</v>
      </c>
    </row>
    <row r="6771" spans="1:4" hidden="1" x14ac:dyDescent="0.3">
      <c r="A6771">
        <v>6769</v>
      </c>
      <c r="B6771" t="s">
        <v>8887</v>
      </c>
      <c r="C6771" t="s">
        <v>40</v>
      </c>
      <c r="D6771">
        <v>0.47696064746877798</v>
      </c>
    </row>
    <row r="6772" spans="1:4" hidden="1" x14ac:dyDescent="0.3">
      <c r="A6772">
        <v>6770</v>
      </c>
      <c r="B6772" t="s">
        <v>8888</v>
      </c>
      <c r="C6772" t="s">
        <v>42</v>
      </c>
      <c r="D6772">
        <v>0.46304603671101002</v>
      </c>
    </row>
    <row r="6773" spans="1:4" hidden="1" x14ac:dyDescent="0.3">
      <c r="A6773">
        <v>6771</v>
      </c>
      <c r="B6773" s="1" t="s">
        <v>8889</v>
      </c>
      <c r="C6773" t="s">
        <v>159</v>
      </c>
      <c r="D6773" s="1" t="s">
        <v>8890</v>
      </c>
    </row>
    <row r="6774" spans="1:4" hidden="1" x14ac:dyDescent="0.3">
      <c r="A6774">
        <v>6772</v>
      </c>
      <c r="B6774" t="s">
        <v>8891</v>
      </c>
      <c r="C6774" t="s">
        <v>161</v>
      </c>
      <c r="D6774">
        <v>0.99445593147167699</v>
      </c>
    </row>
    <row r="6775" spans="1:4" hidden="1" x14ac:dyDescent="0.3">
      <c r="A6775">
        <v>6773</v>
      </c>
      <c r="B6775" t="s">
        <v>8892</v>
      </c>
      <c r="C6775" t="s">
        <v>163</v>
      </c>
      <c r="D6775">
        <v>0.99795718370391895</v>
      </c>
    </row>
    <row r="6776" spans="1:4" hidden="1" x14ac:dyDescent="0.3">
      <c r="A6776">
        <v>6774</v>
      </c>
      <c r="B6776" s="1" t="s">
        <v>8893</v>
      </c>
      <c r="C6776" t="s">
        <v>165</v>
      </c>
      <c r="D6776" s="1" t="s">
        <v>8894</v>
      </c>
    </row>
    <row r="6777" spans="1:4" hidden="1" x14ac:dyDescent="0.3">
      <c r="A6777">
        <v>6775</v>
      </c>
      <c r="B6777" t="s">
        <v>8895</v>
      </c>
      <c r="C6777" t="s">
        <v>168</v>
      </c>
      <c r="D6777">
        <v>1.0004005183970099</v>
      </c>
    </row>
    <row r="6778" spans="1:4" hidden="1" x14ac:dyDescent="0.3">
      <c r="A6778">
        <v>6776</v>
      </c>
      <c r="B6778" t="s">
        <v>8896</v>
      </c>
      <c r="C6778" t="s">
        <v>170</v>
      </c>
      <c r="D6778">
        <v>0.99902034307276599</v>
      </c>
    </row>
    <row r="6779" spans="1:4" hidden="1" x14ac:dyDescent="0.3">
      <c r="A6779">
        <v>6777</v>
      </c>
      <c r="B6779" s="1" t="s">
        <v>8897</v>
      </c>
      <c r="C6779" t="s">
        <v>172</v>
      </c>
      <c r="D6779" s="1" t="s">
        <v>8898</v>
      </c>
    </row>
    <row r="6780" spans="1:4" hidden="1" x14ac:dyDescent="0.3">
      <c r="A6780">
        <v>6778</v>
      </c>
      <c r="B6780" s="1" t="s">
        <v>8899</v>
      </c>
      <c r="C6780" t="s">
        <v>55</v>
      </c>
      <c r="D6780" s="1" t="s">
        <v>8900</v>
      </c>
    </row>
    <row r="6781" spans="1:4" hidden="1" x14ac:dyDescent="0.3">
      <c r="A6781">
        <v>6779</v>
      </c>
      <c r="B6781" s="1" t="s">
        <v>8901</v>
      </c>
      <c r="C6781" t="s">
        <v>52</v>
      </c>
      <c r="D6781" s="1" t="s">
        <v>8902</v>
      </c>
    </row>
    <row r="6782" spans="1:4" hidden="1" x14ac:dyDescent="0.3">
      <c r="A6782">
        <v>6780</v>
      </c>
      <c r="B6782" s="1" t="s">
        <v>8903</v>
      </c>
      <c r="C6782" t="s">
        <v>58</v>
      </c>
      <c r="D6782" s="1" t="s">
        <v>8904</v>
      </c>
    </row>
    <row r="6783" spans="1:4" hidden="1" x14ac:dyDescent="0.3">
      <c r="A6783">
        <v>6781</v>
      </c>
      <c r="B6783" t="s">
        <v>8905</v>
      </c>
      <c r="C6783" t="s">
        <v>61</v>
      </c>
      <c r="D6783">
        <v>144516909.87780899</v>
      </c>
    </row>
    <row r="6784" spans="1:4" hidden="1" x14ac:dyDescent="0.3">
      <c r="A6784">
        <v>6782</v>
      </c>
      <c r="B6784" t="s">
        <v>8906</v>
      </c>
      <c r="C6784" t="s">
        <v>63</v>
      </c>
      <c r="D6784">
        <v>76467914.901035696</v>
      </c>
    </row>
    <row r="6785" spans="1:4" hidden="1" x14ac:dyDescent="0.3">
      <c r="A6785">
        <v>6783</v>
      </c>
      <c r="B6785" t="s">
        <v>8907</v>
      </c>
      <c r="C6785" t="s">
        <v>65</v>
      </c>
      <c r="D6785">
        <v>34223249.662081599</v>
      </c>
    </row>
    <row r="6786" spans="1:4" hidden="1" x14ac:dyDescent="0.3">
      <c r="A6786">
        <v>6784</v>
      </c>
      <c r="B6786" s="1" t="s">
        <v>8908</v>
      </c>
      <c r="C6786" t="s">
        <v>67</v>
      </c>
      <c r="D6786" s="1" t="s">
        <v>8909</v>
      </c>
    </row>
    <row r="6787" spans="1:4" hidden="1" x14ac:dyDescent="0.3">
      <c r="A6787">
        <v>6785</v>
      </c>
      <c r="B6787" s="1" t="s">
        <v>8910</v>
      </c>
      <c r="C6787" t="s">
        <v>70</v>
      </c>
      <c r="D6787" s="1" t="s">
        <v>8911</v>
      </c>
    </row>
    <row r="6788" spans="1:4" hidden="1" x14ac:dyDescent="0.3">
      <c r="A6788">
        <v>6786</v>
      </c>
      <c r="B6788" t="s">
        <v>8912</v>
      </c>
      <c r="C6788" t="s">
        <v>73</v>
      </c>
      <c r="D6788">
        <v>0.99978404416273103</v>
      </c>
    </row>
    <row r="6789" spans="1:4" hidden="1" x14ac:dyDescent="0.3">
      <c r="A6789">
        <v>6787</v>
      </c>
      <c r="B6789" t="s">
        <v>74</v>
      </c>
      <c r="C6789" t="s">
        <v>75</v>
      </c>
      <c r="D6789">
        <v>2.7397260273972599E-3</v>
      </c>
    </row>
    <row r="6790" spans="1:4" hidden="1" x14ac:dyDescent="0.3">
      <c r="A6790">
        <v>6788</v>
      </c>
      <c r="B6790" t="s">
        <v>76</v>
      </c>
      <c r="C6790" t="s">
        <v>77</v>
      </c>
      <c r="D6790">
        <v>0</v>
      </c>
    </row>
    <row r="6791" spans="1:4" hidden="1" x14ac:dyDescent="0.3">
      <c r="A6791">
        <v>6789</v>
      </c>
      <c r="B6791" t="s">
        <v>78</v>
      </c>
      <c r="C6791" t="s">
        <v>79</v>
      </c>
      <c r="D6791">
        <v>0</v>
      </c>
    </row>
    <row r="6792" spans="1:4" hidden="1" x14ac:dyDescent="0.3">
      <c r="A6792">
        <v>6790</v>
      </c>
      <c r="B6792" s="1" t="s">
        <v>8913</v>
      </c>
      <c r="C6792" t="s">
        <v>81</v>
      </c>
      <c r="D6792" s="1" t="s">
        <v>8914</v>
      </c>
    </row>
    <row r="6793" spans="1:4" hidden="1" x14ac:dyDescent="0.3">
      <c r="A6793">
        <v>6791</v>
      </c>
      <c r="B6793" t="s">
        <v>8915</v>
      </c>
      <c r="C6793" t="s">
        <v>84</v>
      </c>
      <c r="D6793">
        <v>0.99980195860191001</v>
      </c>
    </row>
    <row r="6794" spans="1:4" hidden="1" x14ac:dyDescent="0.3">
      <c r="A6794">
        <v>6792</v>
      </c>
      <c r="B6794" s="1" t="s">
        <v>8916</v>
      </c>
      <c r="C6794" t="s">
        <v>86</v>
      </c>
      <c r="D6794" s="1" t="s">
        <v>8917</v>
      </c>
    </row>
    <row r="6795" spans="1:4" hidden="1" x14ac:dyDescent="0.3">
      <c r="A6795">
        <v>6793</v>
      </c>
      <c r="B6795" t="s">
        <v>8918</v>
      </c>
      <c r="C6795" t="s">
        <v>89</v>
      </c>
      <c r="D6795">
        <v>103013814.694374</v>
      </c>
    </row>
    <row r="6796" spans="1:4" hidden="1" x14ac:dyDescent="0.3">
      <c r="A6796">
        <v>6794</v>
      </c>
      <c r="B6796" s="1" t="s">
        <v>8919</v>
      </c>
      <c r="C6796" t="s">
        <v>91</v>
      </c>
      <c r="D6796" s="1" t="s">
        <v>8853</v>
      </c>
    </row>
    <row r="6797" spans="1:4" hidden="1" x14ac:dyDescent="0.3">
      <c r="A6797">
        <v>6795</v>
      </c>
      <c r="B6797" t="s">
        <v>8920</v>
      </c>
      <c r="C6797" t="s">
        <v>94</v>
      </c>
      <c r="D6797">
        <v>76467914.901035696</v>
      </c>
    </row>
    <row r="6798" spans="1:4" hidden="1" x14ac:dyDescent="0.3">
      <c r="A6798">
        <v>6796</v>
      </c>
      <c r="B6798" t="s">
        <v>8921</v>
      </c>
      <c r="C6798" t="s">
        <v>96</v>
      </c>
      <c r="D6798">
        <v>34223249.662081599</v>
      </c>
    </row>
    <row r="6799" spans="1:4" hidden="1" x14ac:dyDescent="0.3">
      <c r="A6799">
        <v>6797</v>
      </c>
      <c r="B6799" t="s">
        <v>8922</v>
      </c>
      <c r="C6799" t="s">
        <v>98</v>
      </c>
      <c r="D6799">
        <v>33825745.314691998</v>
      </c>
    </row>
    <row r="6800" spans="1:4" hidden="1" x14ac:dyDescent="0.3">
      <c r="A6800">
        <v>6798</v>
      </c>
      <c r="B6800" s="1" t="s">
        <v>8923</v>
      </c>
      <c r="C6800" t="s">
        <v>100</v>
      </c>
      <c r="D6800" s="1" t="s">
        <v>8924</v>
      </c>
    </row>
    <row r="6801" spans="1:4" hidden="1" x14ac:dyDescent="0.3">
      <c r="A6801">
        <v>6799</v>
      </c>
      <c r="B6801" t="s">
        <v>8925</v>
      </c>
      <c r="C6801" t="s">
        <v>103</v>
      </c>
      <c r="D6801">
        <v>9.6839799545408393E-3</v>
      </c>
    </row>
    <row r="6802" spans="1:4" hidden="1" x14ac:dyDescent="0.3">
      <c r="A6802">
        <v>6800</v>
      </c>
      <c r="B6802" t="s">
        <v>8926</v>
      </c>
      <c r="C6802" t="s">
        <v>105</v>
      </c>
      <c r="D6802">
        <v>2.99686480841827E-3</v>
      </c>
    </row>
    <row r="6803" spans="1:4" hidden="1" x14ac:dyDescent="0.3">
      <c r="A6803">
        <v>6801</v>
      </c>
      <c r="B6803" t="s">
        <v>8927</v>
      </c>
      <c r="C6803" t="s">
        <v>107</v>
      </c>
      <c r="D6803">
        <v>1.78674149065687E-2</v>
      </c>
    </row>
    <row r="6804" spans="1:4" hidden="1" x14ac:dyDescent="0.3">
      <c r="A6804">
        <v>6802</v>
      </c>
      <c r="B6804" s="1" t="s">
        <v>8928</v>
      </c>
      <c r="C6804" t="s">
        <v>109</v>
      </c>
      <c r="D6804" s="1" t="s">
        <v>8929</v>
      </c>
    </row>
    <row r="6805" spans="1:4" hidden="1" x14ac:dyDescent="0.3">
      <c r="A6805">
        <v>6803</v>
      </c>
      <c r="B6805" t="s">
        <v>8930</v>
      </c>
      <c r="C6805" t="s">
        <v>208</v>
      </c>
      <c r="D6805">
        <v>144517544.913297</v>
      </c>
    </row>
    <row r="6806" spans="1:4" hidden="1" x14ac:dyDescent="0.3">
      <c r="A6806">
        <v>6804</v>
      </c>
      <c r="B6806" t="s">
        <v>8931</v>
      </c>
      <c r="C6806" t="s">
        <v>210</v>
      </c>
      <c r="D6806">
        <v>-1370.18397554988</v>
      </c>
    </row>
    <row r="6807" spans="1:4" hidden="1" x14ac:dyDescent="0.3">
      <c r="A6807">
        <v>6805</v>
      </c>
      <c r="B6807" t="s">
        <v>8932</v>
      </c>
      <c r="C6807" t="s">
        <v>212</v>
      </c>
      <c r="D6807">
        <v>-613.22404729856999</v>
      </c>
    </row>
    <row r="6808" spans="1:4" hidden="1" x14ac:dyDescent="0.3">
      <c r="A6808">
        <v>6806</v>
      </c>
      <c r="B6808" s="1" t="s">
        <v>8933</v>
      </c>
      <c r="C6808" t="s">
        <v>214</v>
      </c>
      <c r="D6808" s="1" t="s">
        <v>8934</v>
      </c>
    </row>
    <row r="6809" spans="1:4" hidden="1" x14ac:dyDescent="0.3">
      <c r="A6809">
        <v>6807</v>
      </c>
      <c r="B6809" t="s">
        <v>8935</v>
      </c>
      <c r="C6809" t="s">
        <v>217</v>
      </c>
      <c r="D6809">
        <v>76469746.483829498</v>
      </c>
    </row>
    <row r="6810" spans="1:4" hidden="1" x14ac:dyDescent="0.3">
      <c r="A6810">
        <v>6808</v>
      </c>
      <c r="B6810" t="s">
        <v>8936</v>
      </c>
      <c r="C6810" t="s">
        <v>219</v>
      </c>
      <c r="D6810">
        <v>34223935.085717499</v>
      </c>
    </row>
    <row r="6811" spans="1:4" hidden="1" x14ac:dyDescent="0.3">
      <c r="A6811">
        <v>6809</v>
      </c>
      <c r="B6811" t="s">
        <v>8937</v>
      </c>
      <c r="C6811" t="s">
        <v>221</v>
      </c>
      <c r="D6811">
        <v>33826452.853738897</v>
      </c>
    </row>
    <row r="6812" spans="1:4" hidden="1" x14ac:dyDescent="0.3">
      <c r="A6812">
        <v>6810</v>
      </c>
      <c r="B6812" s="1" t="s">
        <v>8938</v>
      </c>
      <c r="C6812" t="s">
        <v>223</v>
      </c>
      <c r="D6812" s="1" t="s">
        <v>8939</v>
      </c>
    </row>
    <row r="6813" spans="1:4" hidden="1" x14ac:dyDescent="0.3">
      <c r="A6813">
        <v>6811</v>
      </c>
      <c r="B6813" t="s">
        <v>8940</v>
      </c>
      <c r="C6813" t="s">
        <v>226</v>
      </c>
      <c r="D6813">
        <v>103015660.527711</v>
      </c>
    </row>
    <row r="6814" spans="1:4" hidden="1" x14ac:dyDescent="0.3">
      <c r="A6814">
        <v>6812</v>
      </c>
      <c r="B6814" t="s">
        <v>8941</v>
      </c>
      <c r="C6814" t="s">
        <v>228</v>
      </c>
      <c r="D6814">
        <v>-1845.833336398</v>
      </c>
    </row>
    <row r="6815" spans="1:4" hidden="1" x14ac:dyDescent="0.3">
      <c r="A6815">
        <v>6813</v>
      </c>
      <c r="B6815" s="1" t="s">
        <v>8942</v>
      </c>
      <c r="C6815" t="s">
        <v>230</v>
      </c>
      <c r="D6815" s="1" t="s">
        <v>8943</v>
      </c>
    </row>
    <row r="6816" spans="1:4" hidden="1" x14ac:dyDescent="0.3">
      <c r="A6816">
        <v>6814</v>
      </c>
      <c r="B6816" t="s">
        <v>8944</v>
      </c>
      <c r="C6816" t="s">
        <v>112</v>
      </c>
      <c r="D6816">
        <v>461.39881823249601</v>
      </c>
    </row>
    <row r="6817" spans="1:4" hidden="1" x14ac:dyDescent="0.3">
      <c r="A6817">
        <v>6815</v>
      </c>
      <c r="B6817" t="s">
        <v>8945</v>
      </c>
      <c r="C6817" t="s">
        <v>114</v>
      </c>
      <c r="D6817">
        <v>72.199588551308693</v>
      </c>
    </row>
    <row r="6818" spans="1:4" hidden="1" x14ac:dyDescent="0.3">
      <c r="A6818">
        <v>6816</v>
      </c>
      <c r="B6818" s="1" t="s">
        <v>8946</v>
      </c>
      <c r="C6818" t="s">
        <v>116</v>
      </c>
      <c r="D6818" s="1" t="s">
        <v>8947</v>
      </c>
    </row>
    <row r="6819" spans="1:4" hidden="1" x14ac:dyDescent="0.3">
      <c r="A6819">
        <v>6817</v>
      </c>
      <c r="B6819" t="s">
        <v>8948</v>
      </c>
      <c r="C6819" t="s">
        <v>119</v>
      </c>
      <c r="D6819">
        <v>76469746.483829498</v>
      </c>
    </row>
    <row r="6820" spans="1:4" hidden="1" x14ac:dyDescent="0.3">
      <c r="A6820">
        <v>6818</v>
      </c>
      <c r="B6820" t="s">
        <v>8949</v>
      </c>
      <c r="C6820" t="s">
        <v>121</v>
      </c>
      <c r="D6820">
        <v>34223935.085717499</v>
      </c>
    </row>
    <row r="6821" spans="1:4" hidden="1" x14ac:dyDescent="0.3">
      <c r="A6821">
        <v>6819</v>
      </c>
      <c r="B6821" s="1" t="s">
        <v>8950</v>
      </c>
      <c r="C6821" t="s">
        <v>123</v>
      </c>
      <c r="D6821" s="1" t="s">
        <v>8951</v>
      </c>
    </row>
    <row r="6822" spans="1:4" hidden="1" x14ac:dyDescent="0.3">
      <c r="A6822">
        <v>6820</v>
      </c>
      <c r="B6822" t="s">
        <v>8952</v>
      </c>
      <c r="C6822" t="s">
        <v>126</v>
      </c>
      <c r="D6822">
        <v>0.74245889670850596</v>
      </c>
    </row>
    <row r="6823" spans="1:4" hidden="1" x14ac:dyDescent="0.3">
      <c r="A6823">
        <v>6821</v>
      </c>
      <c r="B6823" t="s">
        <v>8953</v>
      </c>
      <c r="C6823" t="s">
        <v>128</v>
      </c>
      <c r="D6823">
        <v>0.33228650875857901</v>
      </c>
    </row>
    <row r="6824" spans="1:4" hidden="1" x14ac:dyDescent="0.3">
      <c r="A6824">
        <v>6822</v>
      </c>
      <c r="B6824" s="1" t="s">
        <v>8954</v>
      </c>
      <c r="C6824" t="s">
        <v>130</v>
      </c>
      <c r="D6824" s="1" t="s">
        <v>8955</v>
      </c>
    </row>
    <row r="6825" spans="1:4" ht="72" x14ac:dyDescent="0.3">
      <c r="A6825">
        <v>6823</v>
      </c>
      <c r="B6825" s="1" t="s">
        <v>8956</v>
      </c>
      <c r="C6825" t="s">
        <v>4</v>
      </c>
      <c r="D6825" t="s">
        <v>8957</v>
      </c>
    </row>
    <row r="6826" spans="1:4" hidden="1" x14ac:dyDescent="0.3">
      <c r="A6826">
        <v>6824</v>
      </c>
      <c r="B6826" t="s">
        <v>8958</v>
      </c>
      <c r="C6826" t="s">
        <v>7</v>
      </c>
      <c r="D6826">
        <v>1738.05</v>
      </c>
    </row>
    <row r="6827" spans="1:4" hidden="1" x14ac:dyDescent="0.3">
      <c r="A6827">
        <v>6825</v>
      </c>
      <c r="B6827" s="1" t="s">
        <v>8959</v>
      </c>
      <c r="C6827" t="s">
        <v>9</v>
      </c>
      <c r="D6827" s="1" t="s">
        <v>8960</v>
      </c>
    </row>
    <row r="6828" spans="1:4" hidden="1" x14ac:dyDescent="0.3">
      <c r="A6828">
        <v>6826</v>
      </c>
      <c r="B6828" t="s">
        <v>8961</v>
      </c>
      <c r="C6828" t="s">
        <v>14</v>
      </c>
      <c r="D6828">
        <v>88.8046875</v>
      </c>
    </row>
    <row r="6829" spans="1:4" hidden="1" x14ac:dyDescent="0.3">
      <c r="A6829">
        <v>6827</v>
      </c>
      <c r="B6829" t="s">
        <v>8962</v>
      </c>
      <c r="C6829" t="s">
        <v>16</v>
      </c>
      <c r="D6829">
        <v>4.2254611770831296</v>
      </c>
    </row>
    <row r="6830" spans="1:4" hidden="1" x14ac:dyDescent="0.3">
      <c r="A6830">
        <v>6828</v>
      </c>
      <c r="B6830" s="1" t="s">
        <v>8963</v>
      </c>
      <c r="C6830" t="s">
        <v>140</v>
      </c>
      <c r="D6830" s="1" t="s">
        <v>8964</v>
      </c>
    </row>
    <row r="6831" spans="1:4" hidden="1" x14ac:dyDescent="0.3">
      <c r="A6831">
        <v>6829</v>
      </c>
      <c r="B6831" t="s">
        <v>6448</v>
      </c>
      <c r="C6831" t="s">
        <v>22</v>
      </c>
      <c r="D6831">
        <v>53.3</v>
      </c>
    </row>
    <row r="6832" spans="1:4" hidden="1" x14ac:dyDescent="0.3">
      <c r="A6832">
        <v>6830</v>
      </c>
      <c r="B6832" t="s">
        <v>8965</v>
      </c>
      <c r="C6832" t="s">
        <v>24</v>
      </c>
      <c r="D6832">
        <v>4.9254137606468902</v>
      </c>
    </row>
    <row r="6833" spans="1:4" hidden="1" x14ac:dyDescent="0.3">
      <c r="A6833">
        <v>6831</v>
      </c>
      <c r="B6833" s="1" t="s">
        <v>8966</v>
      </c>
      <c r="C6833" t="s">
        <v>145</v>
      </c>
      <c r="D6833" s="1" t="s">
        <v>8967</v>
      </c>
    </row>
    <row r="6834" spans="1:4" hidden="1" x14ac:dyDescent="0.3">
      <c r="A6834">
        <v>6832</v>
      </c>
      <c r="B6834" t="s">
        <v>8968</v>
      </c>
      <c r="C6834" t="s">
        <v>35</v>
      </c>
      <c r="D6834">
        <v>0.43875339682766701</v>
      </c>
    </row>
    <row r="6835" spans="1:4" hidden="1" x14ac:dyDescent="0.3">
      <c r="A6835">
        <v>6833</v>
      </c>
      <c r="B6835" t="s">
        <v>8969</v>
      </c>
      <c r="C6835" t="s">
        <v>149</v>
      </c>
      <c r="D6835">
        <v>0.53891541374206797</v>
      </c>
    </row>
    <row r="6836" spans="1:4" hidden="1" x14ac:dyDescent="0.3">
      <c r="A6836">
        <v>6834</v>
      </c>
      <c r="B6836" s="1" t="s">
        <v>8970</v>
      </c>
      <c r="C6836" t="s">
        <v>151</v>
      </c>
      <c r="D6836" s="1" t="s">
        <v>8971</v>
      </c>
    </row>
    <row r="6837" spans="1:4" hidden="1" x14ac:dyDescent="0.3">
      <c r="A6837">
        <v>6835</v>
      </c>
      <c r="B6837" t="s">
        <v>8972</v>
      </c>
      <c r="C6837" t="s">
        <v>30</v>
      </c>
      <c r="D6837">
        <v>0.25259332531251399</v>
      </c>
    </row>
    <row r="6838" spans="1:4" hidden="1" x14ac:dyDescent="0.3">
      <c r="A6838">
        <v>6836</v>
      </c>
      <c r="B6838" t="s">
        <v>8973</v>
      </c>
      <c r="C6838" t="s">
        <v>32</v>
      </c>
      <c r="D6838">
        <v>0.40279620301744201</v>
      </c>
    </row>
    <row r="6839" spans="1:4" hidden="1" x14ac:dyDescent="0.3">
      <c r="A6839">
        <v>6837</v>
      </c>
      <c r="B6839" s="1" t="s">
        <v>8974</v>
      </c>
      <c r="C6839" t="s">
        <v>155</v>
      </c>
      <c r="D6839" s="1" t="s">
        <v>8975</v>
      </c>
    </row>
    <row r="6840" spans="1:4" hidden="1" x14ac:dyDescent="0.3">
      <c r="A6840">
        <v>6838</v>
      </c>
      <c r="B6840" t="s">
        <v>8976</v>
      </c>
      <c r="C6840" t="s">
        <v>40</v>
      </c>
      <c r="D6840">
        <v>0.308653277859818</v>
      </c>
    </row>
    <row r="6841" spans="1:4" hidden="1" x14ac:dyDescent="0.3">
      <c r="A6841">
        <v>6839</v>
      </c>
      <c r="B6841" t="s">
        <v>8977</v>
      </c>
      <c r="C6841" t="s">
        <v>42</v>
      </c>
      <c r="D6841">
        <v>0.45278256593313898</v>
      </c>
    </row>
    <row r="6842" spans="1:4" hidden="1" x14ac:dyDescent="0.3">
      <c r="A6842">
        <v>6840</v>
      </c>
      <c r="B6842" s="1" t="s">
        <v>8978</v>
      </c>
      <c r="C6842" t="s">
        <v>159</v>
      </c>
      <c r="D6842" s="1" t="s">
        <v>8979</v>
      </c>
    </row>
    <row r="6843" spans="1:4" hidden="1" x14ac:dyDescent="0.3">
      <c r="A6843">
        <v>6841</v>
      </c>
      <c r="B6843" t="s">
        <v>8980</v>
      </c>
      <c r="C6843" t="s">
        <v>161</v>
      </c>
      <c r="D6843">
        <v>0.99278566042909</v>
      </c>
    </row>
    <row r="6844" spans="1:4" hidden="1" x14ac:dyDescent="0.3">
      <c r="A6844">
        <v>6842</v>
      </c>
      <c r="B6844" t="s">
        <v>8981</v>
      </c>
      <c r="C6844" t="s">
        <v>163</v>
      </c>
      <c r="D6844">
        <v>0.99953204385421202</v>
      </c>
    </row>
    <row r="6845" spans="1:4" hidden="1" x14ac:dyDescent="0.3">
      <c r="A6845">
        <v>6843</v>
      </c>
      <c r="B6845" s="1" t="s">
        <v>8982</v>
      </c>
      <c r="C6845" t="s">
        <v>165</v>
      </c>
      <c r="D6845" s="1" t="s">
        <v>8983</v>
      </c>
    </row>
    <row r="6846" spans="1:4" hidden="1" x14ac:dyDescent="0.3">
      <c r="A6846">
        <v>6844</v>
      </c>
      <c r="B6846" t="s">
        <v>8984</v>
      </c>
      <c r="C6846" t="s">
        <v>168</v>
      </c>
      <c r="D6846">
        <v>1.0017707304294401</v>
      </c>
    </row>
    <row r="6847" spans="1:4" hidden="1" x14ac:dyDescent="0.3">
      <c r="A6847">
        <v>6845</v>
      </c>
      <c r="B6847" t="s">
        <v>8985</v>
      </c>
      <c r="C6847" t="s">
        <v>170</v>
      </c>
      <c r="D6847">
        <v>1.0006062143880801</v>
      </c>
    </row>
    <row r="6848" spans="1:4" hidden="1" x14ac:dyDescent="0.3">
      <c r="A6848">
        <v>6846</v>
      </c>
      <c r="B6848" s="1" t="s">
        <v>8986</v>
      </c>
      <c r="C6848" t="s">
        <v>172</v>
      </c>
      <c r="D6848" s="1" t="s">
        <v>8987</v>
      </c>
    </row>
    <row r="6849" spans="1:4" hidden="1" x14ac:dyDescent="0.3">
      <c r="A6849">
        <v>6847</v>
      </c>
      <c r="B6849" s="1" t="s">
        <v>8988</v>
      </c>
      <c r="C6849" t="s">
        <v>55</v>
      </c>
      <c r="D6849" s="1" t="s">
        <v>8989</v>
      </c>
    </row>
    <row r="6850" spans="1:4" hidden="1" x14ac:dyDescent="0.3">
      <c r="A6850">
        <v>6848</v>
      </c>
      <c r="B6850" s="1" t="s">
        <v>8990</v>
      </c>
      <c r="C6850" t="s">
        <v>52</v>
      </c>
      <c r="D6850" s="1" t="s">
        <v>8991</v>
      </c>
    </row>
    <row r="6851" spans="1:4" hidden="1" x14ac:dyDescent="0.3">
      <c r="A6851">
        <v>6849</v>
      </c>
      <c r="B6851" s="1" t="s">
        <v>8992</v>
      </c>
      <c r="C6851" t="s">
        <v>58</v>
      </c>
      <c r="D6851" s="1" t="s">
        <v>8993</v>
      </c>
    </row>
    <row r="6852" spans="1:4" hidden="1" x14ac:dyDescent="0.3">
      <c r="A6852">
        <v>6850</v>
      </c>
      <c r="B6852" t="s">
        <v>8994</v>
      </c>
      <c r="C6852" t="s">
        <v>61</v>
      </c>
      <c r="D6852">
        <v>142993792.886585</v>
      </c>
    </row>
    <row r="6853" spans="1:4" hidden="1" x14ac:dyDescent="0.3">
      <c r="A6853">
        <v>6851</v>
      </c>
      <c r="B6853" t="s">
        <v>8995</v>
      </c>
      <c r="C6853" t="s">
        <v>63</v>
      </c>
      <c r="D6853">
        <v>75918067.765793696</v>
      </c>
    </row>
    <row r="6854" spans="1:4" hidden="1" x14ac:dyDescent="0.3">
      <c r="A6854">
        <v>6852</v>
      </c>
      <c r="B6854" t="s">
        <v>8996</v>
      </c>
      <c r="C6854" t="s">
        <v>65</v>
      </c>
      <c r="D6854">
        <v>34207919.784961</v>
      </c>
    </row>
    <row r="6855" spans="1:4" hidden="1" x14ac:dyDescent="0.3">
      <c r="A6855">
        <v>6853</v>
      </c>
      <c r="B6855" s="1" t="s">
        <v>8997</v>
      </c>
      <c r="C6855" t="s">
        <v>67</v>
      </c>
      <c r="D6855" s="1" t="s">
        <v>8998</v>
      </c>
    </row>
    <row r="6856" spans="1:4" hidden="1" x14ac:dyDescent="0.3">
      <c r="A6856">
        <v>6854</v>
      </c>
      <c r="B6856" s="1" t="s">
        <v>8999</v>
      </c>
      <c r="C6856" t="s">
        <v>70</v>
      </c>
      <c r="D6856" s="1" t="s">
        <v>9000</v>
      </c>
    </row>
    <row r="6857" spans="1:4" hidden="1" x14ac:dyDescent="0.3">
      <c r="A6857">
        <v>6855</v>
      </c>
      <c r="B6857" t="s">
        <v>9001</v>
      </c>
      <c r="C6857" t="s">
        <v>73</v>
      </c>
      <c r="D6857">
        <v>0.99980195860191001</v>
      </c>
    </row>
    <row r="6858" spans="1:4" hidden="1" x14ac:dyDescent="0.3">
      <c r="A6858">
        <v>6856</v>
      </c>
      <c r="B6858" t="s">
        <v>74</v>
      </c>
      <c r="C6858" t="s">
        <v>75</v>
      </c>
      <c r="D6858">
        <v>2.7397260273972599E-3</v>
      </c>
    </row>
    <row r="6859" spans="1:4" hidden="1" x14ac:dyDescent="0.3">
      <c r="A6859">
        <v>6857</v>
      </c>
      <c r="B6859" t="s">
        <v>76</v>
      </c>
      <c r="C6859" t="s">
        <v>77</v>
      </c>
      <c r="D6859">
        <v>0</v>
      </c>
    </row>
    <row r="6860" spans="1:4" hidden="1" x14ac:dyDescent="0.3">
      <c r="A6860">
        <v>6858</v>
      </c>
      <c r="B6860" t="s">
        <v>78</v>
      </c>
      <c r="C6860" t="s">
        <v>79</v>
      </c>
      <c r="D6860">
        <v>0</v>
      </c>
    </row>
    <row r="6861" spans="1:4" hidden="1" x14ac:dyDescent="0.3">
      <c r="A6861">
        <v>6859</v>
      </c>
      <c r="B6861" s="1" t="s">
        <v>9002</v>
      </c>
      <c r="C6861" t="s">
        <v>81</v>
      </c>
      <c r="D6861" s="1" t="s">
        <v>9003</v>
      </c>
    </row>
    <row r="6862" spans="1:4" hidden="1" x14ac:dyDescent="0.3">
      <c r="A6862">
        <v>6860</v>
      </c>
      <c r="B6862" t="s">
        <v>9004</v>
      </c>
      <c r="C6862" t="s">
        <v>84</v>
      </c>
      <c r="D6862">
        <v>0.99983849391124102</v>
      </c>
    </row>
    <row r="6863" spans="1:4" hidden="1" x14ac:dyDescent="0.3">
      <c r="A6863">
        <v>6861</v>
      </c>
      <c r="B6863" s="1" t="s">
        <v>9005</v>
      </c>
      <c r="C6863" t="s">
        <v>86</v>
      </c>
      <c r="D6863" s="1" t="s">
        <v>9006</v>
      </c>
    </row>
    <row r="6864" spans="1:4" hidden="1" x14ac:dyDescent="0.3">
      <c r="A6864">
        <v>6862</v>
      </c>
      <c r="B6864" t="s">
        <v>9007</v>
      </c>
      <c r="C6864" t="s">
        <v>89</v>
      </c>
      <c r="D6864">
        <v>103010050.44484</v>
      </c>
    </row>
    <row r="6865" spans="1:4" hidden="1" x14ac:dyDescent="0.3">
      <c r="A6865">
        <v>6863</v>
      </c>
      <c r="B6865" s="1" t="s">
        <v>9008</v>
      </c>
      <c r="C6865" t="s">
        <v>91</v>
      </c>
      <c r="D6865" s="1" t="s">
        <v>8943</v>
      </c>
    </row>
    <row r="6866" spans="1:4" hidden="1" x14ac:dyDescent="0.3">
      <c r="A6866">
        <v>6864</v>
      </c>
      <c r="B6866" t="s">
        <v>9009</v>
      </c>
      <c r="C6866" t="s">
        <v>94</v>
      </c>
      <c r="D6866">
        <v>75918067.765793696</v>
      </c>
    </row>
    <row r="6867" spans="1:4" hidden="1" x14ac:dyDescent="0.3">
      <c r="A6867">
        <v>6865</v>
      </c>
      <c r="B6867" t="s">
        <v>9010</v>
      </c>
      <c r="C6867" t="s">
        <v>96</v>
      </c>
      <c r="D6867">
        <v>34207919.784961</v>
      </c>
    </row>
    <row r="6868" spans="1:4" hidden="1" x14ac:dyDescent="0.3">
      <c r="A6868">
        <v>6866</v>
      </c>
      <c r="B6868" t="s">
        <v>9011</v>
      </c>
      <c r="C6868" t="s">
        <v>98</v>
      </c>
      <c r="D6868">
        <v>32867805.3358302</v>
      </c>
    </row>
    <row r="6869" spans="1:4" hidden="1" x14ac:dyDescent="0.3">
      <c r="A6869">
        <v>6867</v>
      </c>
      <c r="B6869" s="1" t="s">
        <v>9012</v>
      </c>
      <c r="C6869" t="s">
        <v>100</v>
      </c>
      <c r="D6869" s="1" t="s">
        <v>9013</v>
      </c>
    </row>
    <row r="6870" spans="1:4" hidden="1" x14ac:dyDescent="0.3">
      <c r="A6870">
        <v>6868</v>
      </c>
      <c r="B6870" t="s">
        <v>9014</v>
      </c>
      <c r="C6870" t="s">
        <v>103</v>
      </c>
      <c r="D6870">
        <v>9.6946289782668896E-3</v>
      </c>
    </row>
    <row r="6871" spans="1:4" hidden="1" x14ac:dyDescent="0.3">
      <c r="A6871">
        <v>6869</v>
      </c>
      <c r="B6871" t="s">
        <v>9015</v>
      </c>
      <c r="C6871" t="s">
        <v>105</v>
      </c>
      <c r="D6871">
        <v>2.9963658104586802E-3</v>
      </c>
    </row>
    <row r="6872" spans="1:4" hidden="1" x14ac:dyDescent="0.3">
      <c r="A6872">
        <v>6870</v>
      </c>
      <c r="B6872" t="s">
        <v>9016</v>
      </c>
      <c r="C6872" t="s">
        <v>107</v>
      </c>
      <c r="D6872">
        <v>1.8127257345818999E-2</v>
      </c>
    </row>
    <row r="6873" spans="1:4" hidden="1" x14ac:dyDescent="0.3">
      <c r="A6873">
        <v>6871</v>
      </c>
      <c r="B6873" s="1" t="s">
        <v>9017</v>
      </c>
      <c r="C6873" t="s">
        <v>109</v>
      </c>
      <c r="D6873" s="1" t="s">
        <v>9018</v>
      </c>
    </row>
    <row r="6874" spans="1:4" hidden="1" x14ac:dyDescent="0.3">
      <c r="A6874">
        <v>6872</v>
      </c>
      <c r="B6874" t="s">
        <v>9019</v>
      </c>
      <c r="C6874" t="s">
        <v>208</v>
      </c>
      <c r="D6874">
        <v>142995089.67911801</v>
      </c>
    </row>
    <row r="6875" spans="1:4" hidden="1" x14ac:dyDescent="0.3">
      <c r="A6875">
        <v>6873</v>
      </c>
      <c r="B6875" t="s">
        <v>9020</v>
      </c>
      <c r="C6875" t="s">
        <v>210</v>
      </c>
      <c r="D6875">
        <v>-2774.2740631768802</v>
      </c>
    </row>
    <row r="6876" spans="1:4" hidden="1" x14ac:dyDescent="0.3">
      <c r="A6876">
        <v>6874</v>
      </c>
      <c r="B6876" t="s">
        <v>9021</v>
      </c>
      <c r="C6876" t="s">
        <v>212</v>
      </c>
      <c r="D6876">
        <v>-1250.0499788816301</v>
      </c>
    </row>
    <row r="6877" spans="1:4" hidden="1" x14ac:dyDescent="0.3">
      <c r="A6877">
        <v>6875</v>
      </c>
      <c r="B6877" s="1" t="s">
        <v>9022</v>
      </c>
      <c r="C6877" t="s">
        <v>214</v>
      </c>
      <c r="D6877" s="1" t="s">
        <v>9023</v>
      </c>
    </row>
    <row r="6878" spans="1:4" hidden="1" x14ac:dyDescent="0.3">
      <c r="A6878">
        <v>6876</v>
      </c>
      <c r="B6878" t="s">
        <v>9024</v>
      </c>
      <c r="C6878" t="s">
        <v>217</v>
      </c>
      <c r="D6878">
        <v>75921787.765665695</v>
      </c>
    </row>
    <row r="6879" spans="1:4" hidden="1" x14ac:dyDescent="0.3">
      <c r="A6879">
        <v>6877</v>
      </c>
      <c r="B6879" t="s">
        <v>9025</v>
      </c>
      <c r="C6879" t="s">
        <v>219</v>
      </c>
      <c r="D6879">
        <v>34209319.999354102</v>
      </c>
    </row>
    <row r="6880" spans="1:4" hidden="1" x14ac:dyDescent="0.3">
      <c r="A6880">
        <v>6878</v>
      </c>
      <c r="B6880" t="s">
        <v>9026</v>
      </c>
      <c r="C6880" t="s">
        <v>221</v>
      </c>
      <c r="D6880">
        <v>32869207.318779301</v>
      </c>
    </row>
    <row r="6881" spans="1:4" hidden="1" x14ac:dyDescent="0.3">
      <c r="A6881">
        <v>6879</v>
      </c>
      <c r="B6881" s="1" t="s">
        <v>9027</v>
      </c>
      <c r="C6881" t="s">
        <v>223</v>
      </c>
      <c r="D6881" s="1" t="s">
        <v>9028</v>
      </c>
    </row>
    <row r="6882" spans="1:4" hidden="1" x14ac:dyDescent="0.3">
      <c r="A6882">
        <v>6880</v>
      </c>
      <c r="B6882" t="s">
        <v>9029</v>
      </c>
      <c r="C6882" t="s">
        <v>226</v>
      </c>
      <c r="D6882">
        <v>103013814.694374</v>
      </c>
    </row>
    <row r="6883" spans="1:4" hidden="1" x14ac:dyDescent="0.3">
      <c r="A6883">
        <v>6881</v>
      </c>
      <c r="B6883" t="s">
        <v>9030</v>
      </c>
      <c r="C6883" t="s">
        <v>228</v>
      </c>
      <c r="D6883">
        <v>-3764.24953450262</v>
      </c>
    </row>
    <row r="6884" spans="1:4" hidden="1" x14ac:dyDescent="0.3">
      <c r="A6884">
        <v>6882</v>
      </c>
      <c r="B6884" s="1" t="s">
        <v>9031</v>
      </c>
      <c r="C6884" t="s">
        <v>230</v>
      </c>
      <c r="D6884" s="1" t="s">
        <v>9032</v>
      </c>
    </row>
    <row r="6885" spans="1:4" hidden="1" x14ac:dyDescent="0.3">
      <c r="A6885">
        <v>6883</v>
      </c>
      <c r="B6885" t="s">
        <v>9033</v>
      </c>
      <c r="C6885" t="s">
        <v>112</v>
      </c>
      <c r="D6885">
        <v>945.72580873364802</v>
      </c>
    </row>
    <row r="6886" spans="1:4" hidden="1" x14ac:dyDescent="0.3">
      <c r="A6886">
        <v>6884</v>
      </c>
      <c r="B6886" t="s">
        <v>9034</v>
      </c>
      <c r="C6886" t="s">
        <v>114</v>
      </c>
      <c r="D6886">
        <v>150.164414190363</v>
      </c>
    </row>
    <row r="6887" spans="1:4" hidden="1" x14ac:dyDescent="0.3">
      <c r="A6887">
        <v>6885</v>
      </c>
      <c r="B6887" s="1" t="s">
        <v>9035</v>
      </c>
      <c r="C6887" t="s">
        <v>116</v>
      </c>
      <c r="D6887" s="1" t="s">
        <v>9036</v>
      </c>
    </row>
    <row r="6888" spans="1:4" hidden="1" x14ac:dyDescent="0.3">
      <c r="A6888">
        <v>6886</v>
      </c>
      <c r="B6888" t="s">
        <v>9037</v>
      </c>
      <c r="C6888" t="s">
        <v>119</v>
      </c>
      <c r="D6888">
        <v>75921787.765665695</v>
      </c>
    </row>
    <row r="6889" spans="1:4" hidden="1" x14ac:dyDescent="0.3">
      <c r="A6889">
        <v>6887</v>
      </c>
      <c r="B6889" t="s">
        <v>9038</v>
      </c>
      <c r="C6889" t="s">
        <v>121</v>
      </c>
      <c r="D6889">
        <v>34209319.999354102</v>
      </c>
    </row>
    <row r="6890" spans="1:4" hidden="1" x14ac:dyDescent="0.3">
      <c r="A6890">
        <v>6888</v>
      </c>
      <c r="B6890" s="1" t="s">
        <v>9039</v>
      </c>
      <c r="C6890" t="s">
        <v>123</v>
      </c>
      <c r="D6890" s="1" t="s">
        <v>9040</v>
      </c>
    </row>
    <row r="6891" spans="1:4" hidden="1" x14ac:dyDescent="0.3">
      <c r="A6891">
        <v>6889</v>
      </c>
      <c r="B6891" t="s">
        <v>9041</v>
      </c>
      <c r="C6891" t="s">
        <v>126</v>
      </c>
      <c r="D6891">
        <v>0.73712493613233798</v>
      </c>
    </row>
    <row r="6892" spans="1:4" hidden="1" x14ac:dyDescent="0.3">
      <c r="A6892">
        <v>6890</v>
      </c>
      <c r="B6892" t="s">
        <v>9042</v>
      </c>
      <c r="C6892" t="s">
        <v>128</v>
      </c>
      <c r="D6892">
        <v>0.33213842247084602</v>
      </c>
    </row>
    <row r="6893" spans="1:4" hidden="1" x14ac:dyDescent="0.3">
      <c r="A6893">
        <v>6891</v>
      </c>
      <c r="B6893" s="1" t="s">
        <v>9043</v>
      </c>
      <c r="C6893" t="s">
        <v>130</v>
      </c>
      <c r="D6893" s="1" t="s">
        <v>9044</v>
      </c>
    </row>
    <row r="6894" spans="1:4" ht="72" x14ac:dyDescent="0.3">
      <c r="A6894">
        <v>6892</v>
      </c>
      <c r="B6894" s="1" t="s">
        <v>9045</v>
      </c>
      <c r="C6894" t="s">
        <v>4</v>
      </c>
      <c r="D6894" t="s">
        <v>9046</v>
      </c>
    </row>
    <row r="6895" spans="1:4" hidden="1" x14ac:dyDescent="0.3">
      <c r="A6895">
        <v>6893</v>
      </c>
      <c r="B6895" t="s">
        <v>9047</v>
      </c>
      <c r="C6895" t="s">
        <v>7</v>
      </c>
      <c r="D6895">
        <v>1740.25</v>
      </c>
    </row>
    <row r="6896" spans="1:4" hidden="1" x14ac:dyDescent="0.3">
      <c r="A6896">
        <v>6894</v>
      </c>
      <c r="B6896" s="1" t="s">
        <v>9048</v>
      </c>
      <c r="C6896" t="s">
        <v>9</v>
      </c>
      <c r="D6896" s="1" t="s">
        <v>9049</v>
      </c>
    </row>
    <row r="6897" spans="1:4" hidden="1" x14ac:dyDescent="0.3">
      <c r="A6897">
        <v>6895</v>
      </c>
      <c r="B6897" t="s">
        <v>9050</v>
      </c>
      <c r="C6897" t="s">
        <v>14</v>
      </c>
      <c r="D6897">
        <v>88.90625</v>
      </c>
    </row>
    <row r="6898" spans="1:4" hidden="1" x14ac:dyDescent="0.3">
      <c r="A6898">
        <v>6896</v>
      </c>
      <c r="B6898" t="s">
        <v>9051</v>
      </c>
      <c r="C6898" t="s">
        <v>16</v>
      </c>
      <c r="D6898">
        <v>4.2301787623550497</v>
      </c>
    </row>
    <row r="6899" spans="1:4" hidden="1" x14ac:dyDescent="0.3">
      <c r="A6899">
        <v>6897</v>
      </c>
      <c r="B6899" s="1" t="s">
        <v>9052</v>
      </c>
      <c r="C6899" t="s">
        <v>140</v>
      </c>
      <c r="D6899" s="1" t="s">
        <v>9053</v>
      </c>
    </row>
    <row r="6900" spans="1:4" hidden="1" x14ac:dyDescent="0.3">
      <c r="A6900">
        <v>6898</v>
      </c>
      <c r="B6900" t="s">
        <v>9054</v>
      </c>
      <c r="C6900" t="s">
        <v>22</v>
      </c>
      <c r="D6900">
        <v>53.15</v>
      </c>
    </row>
    <row r="6901" spans="1:4" hidden="1" x14ac:dyDescent="0.3">
      <c r="A6901">
        <v>6899</v>
      </c>
      <c r="B6901" t="s">
        <v>9055</v>
      </c>
      <c r="C6901" t="s">
        <v>24</v>
      </c>
      <c r="D6901">
        <v>4.9871643389790998</v>
      </c>
    </row>
    <row r="6902" spans="1:4" hidden="1" x14ac:dyDescent="0.3">
      <c r="A6902">
        <v>6900</v>
      </c>
      <c r="B6902" s="1" t="s">
        <v>9056</v>
      </c>
      <c r="C6902" t="s">
        <v>145</v>
      </c>
      <c r="D6902" s="1" t="s">
        <v>9057</v>
      </c>
    </row>
    <row r="6903" spans="1:4" hidden="1" x14ac:dyDescent="0.3">
      <c r="A6903">
        <v>6901</v>
      </c>
      <c r="B6903" t="s">
        <v>9058</v>
      </c>
      <c r="C6903" t="s">
        <v>35</v>
      </c>
      <c r="D6903">
        <v>-0.267911599525746</v>
      </c>
    </row>
    <row r="6904" spans="1:4" hidden="1" x14ac:dyDescent="0.3">
      <c r="A6904">
        <v>6902</v>
      </c>
      <c r="B6904" t="s">
        <v>9059</v>
      </c>
      <c r="C6904" t="s">
        <v>149</v>
      </c>
      <c r="D6904">
        <v>0.54126018598902104</v>
      </c>
    </row>
    <row r="6905" spans="1:4" hidden="1" x14ac:dyDescent="0.3">
      <c r="A6905">
        <v>6903</v>
      </c>
      <c r="B6905" s="1" t="s">
        <v>9060</v>
      </c>
      <c r="C6905" t="s">
        <v>151</v>
      </c>
      <c r="D6905" s="1" t="s">
        <v>9061</v>
      </c>
    </row>
    <row r="6906" spans="1:4" hidden="1" x14ac:dyDescent="0.3">
      <c r="A6906">
        <v>6904</v>
      </c>
      <c r="B6906" t="s">
        <v>9062</v>
      </c>
      <c r="C6906" t="s">
        <v>30</v>
      </c>
      <c r="D6906">
        <v>0.56267971188702803</v>
      </c>
    </row>
    <row r="6907" spans="1:4" hidden="1" x14ac:dyDescent="0.3">
      <c r="A6907">
        <v>6905</v>
      </c>
      <c r="B6907" t="s">
        <v>9063</v>
      </c>
      <c r="C6907" t="s">
        <v>32</v>
      </c>
      <c r="D6907">
        <v>0.40298294335025397</v>
      </c>
    </row>
    <row r="6908" spans="1:4" hidden="1" x14ac:dyDescent="0.3">
      <c r="A6908">
        <v>6906</v>
      </c>
      <c r="B6908" s="1" t="s">
        <v>9064</v>
      </c>
      <c r="C6908" t="s">
        <v>155</v>
      </c>
      <c r="D6908" s="1" t="s">
        <v>9065</v>
      </c>
    </row>
    <row r="6909" spans="1:4" hidden="1" x14ac:dyDescent="0.3">
      <c r="A6909">
        <v>6907</v>
      </c>
      <c r="B6909" t="s">
        <v>9066</v>
      </c>
      <c r="C6909" t="s">
        <v>40</v>
      </c>
      <c r="D6909">
        <v>0.70523188763871802</v>
      </c>
    </row>
    <row r="6910" spans="1:4" hidden="1" x14ac:dyDescent="0.3">
      <c r="A6910">
        <v>6908</v>
      </c>
      <c r="B6910" t="s">
        <v>9067</v>
      </c>
      <c r="C6910" t="s">
        <v>42</v>
      </c>
      <c r="D6910">
        <v>0.44455734482509501</v>
      </c>
    </row>
    <row r="6911" spans="1:4" hidden="1" x14ac:dyDescent="0.3">
      <c r="A6911">
        <v>6909</v>
      </c>
      <c r="B6911" s="1" t="s">
        <v>9068</v>
      </c>
      <c r="C6911" t="s">
        <v>159</v>
      </c>
      <c r="D6911" s="1" t="s">
        <v>9069</v>
      </c>
    </row>
    <row r="6912" spans="1:4" hidden="1" x14ac:dyDescent="0.3">
      <c r="A6912">
        <v>6910</v>
      </c>
      <c r="B6912" t="s">
        <v>9070</v>
      </c>
      <c r="C6912" t="s">
        <v>161</v>
      </c>
      <c r="D6912">
        <v>1.00126578636978</v>
      </c>
    </row>
    <row r="6913" spans="1:4" hidden="1" x14ac:dyDescent="0.3">
      <c r="A6913">
        <v>6911</v>
      </c>
      <c r="B6913" t="s">
        <v>9071</v>
      </c>
      <c r="C6913" t="s">
        <v>163</v>
      </c>
      <c r="D6913">
        <v>1.0011424262648501</v>
      </c>
    </row>
    <row r="6914" spans="1:4" hidden="1" x14ac:dyDescent="0.3">
      <c r="A6914">
        <v>6912</v>
      </c>
      <c r="B6914" s="1" t="s">
        <v>9072</v>
      </c>
      <c r="C6914" t="s">
        <v>165</v>
      </c>
      <c r="D6914" s="1" t="s">
        <v>9073</v>
      </c>
    </row>
    <row r="6915" spans="1:4" hidden="1" x14ac:dyDescent="0.3">
      <c r="A6915">
        <v>6913</v>
      </c>
      <c r="B6915" t="s">
        <v>9074</v>
      </c>
      <c r="C6915" t="s">
        <v>168</v>
      </c>
      <c r="D6915">
        <v>1.0015236524541899</v>
      </c>
    </row>
    <row r="6916" spans="1:4" hidden="1" x14ac:dyDescent="0.3">
      <c r="A6916">
        <v>6914</v>
      </c>
      <c r="B6916" t="s">
        <v>9075</v>
      </c>
      <c r="C6916" t="s">
        <v>170</v>
      </c>
      <c r="D6916">
        <v>1.0001331200729</v>
      </c>
    </row>
    <row r="6917" spans="1:4" hidden="1" x14ac:dyDescent="0.3">
      <c r="A6917">
        <v>6915</v>
      </c>
      <c r="B6917" s="1" t="s">
        <v>9076</v>
      </c>
      <c r="C6917" t="s">
        <v>172</v>
      </c>
      <c r="D6917" s="1" t="s">
        <v>9077</v>
      </c>
    </row>
    <row r="6918" spans="1:4" hidden="1" x14ac:dyDescent="0.3">
      <c r="A6918">
        <v>6916</v>
      </c>
      <c r="B6918" s="1" t="s">
        <v>9078</v>
      </c>
      <c r="C6918" t="s">
        <v>55</v>
      </c>
      <c r="D6918" s="1" t="s">
        <v>9079</v>
      </c>
    </row>
    <row r="6919" spans="1:4" hidden="1" x14ac:dyDescent="0.3">
      <c r="A6919">
        <v>6917</v>
      </c>
      <c r="B6919" s="1" t="s">
        <v>9080</v>
      </c>
      <c r="C6919" t="s">
        <v>52</v>
      </c>
      <c r="D6919" s="1" t="s">
        <v>9081</v>
      </c>
    </row>
    <row r="6920" spans="1:4" hidden="1" x14ac:dyDescent="0.3">
      <c r="A6920">
        <v>6918</v>
      </c>
      <c r="B6920" s="1" t="s">
        <v>9082</v>
      </c>
      <c r="C6920" t="s">
        <v>58</v>
      </c>
      <c r="D6920" s="1" t="s">
        <v>9083</v>
      </c>
    </row>
    <row r="6921" spans="1:4" hidden="1" x14ac:dyDescent="0.3">
      <c r="A6921">
        <v>6919</v>
      </c>
      <c r="B6921" t="s">
        <v>9084</v>
      </c>
      <c r="C6921" t="s">
        <v>61</v>
      </c>
      <c r="D6921">
        <v>143085679.21813899</v>
      </c>
    </row>
    <row r="6922" spans="1:4" hidden="1" x14ac:dyDescent="0.3">
      <c r="A6922">
        <v>6920</v>
      </c>
      <c r="B6922" t="s">
        <v>9085</v>
      </c>
      <c r="C6922" t="s">
        <v>63</v>
      </c>
      <c r="D6922">
        <v>76017888.529788896</v>
      </c>
    </row>
    <row r="6923" spans="1:4" hidden="1" x14ac:dyDescent="0.3">
      <c r="A6923">
        <v>6921</v>
      </c>
      <c r="B6923" t="s">
        <v>9086</v>
      </c>
      <c r="C6923" t="s">
        <v>65</v>
      </c>
      <c r="D6923">
        <v>34248401.625024199</v>
      </c>
    </row>
    <row r="6924" spans="1:4" hidden="1" x14ac:dyDescent="0.3">
      <c r="A6924">
        <v>6922</v>
      </c>
      <c r="B6924" s="1" t="s">
        <v>9087</v>
      </c>
      <c r="C6924" t="s">
        <v>67</v>
      </c>
      <c r="D6924" s="1" t="s">
        <v>9088</v>
      </c>
    </row>
    <row r="6925" spans="1:4" hidden="1" x14ac:dyDescent="0.3">
      <c r="A6925">
        <v>6923</v>
      </c>
      <c r="B6925" s="1" t="s">
        <v>9089</v>
      </c>
      <c r="C6925" t="s">
        <v>70</v>
      </c>
      <c r="D6925" s="1" t="s">
        <v>9090</v>
      </c>
    </row>
    <row r="6926" spans="1:4" hidden="1" x14ac:dyDescent="0.3">
      <c r="A6926">
        <v>6924</v>
      </c>
      <c r="B6926" t="s">
        <v>9091</v>
      </c>
      <c r="C6926" t="s">
        <v>73</v>
      </c>
      <c r="D6926">
        <v>0.99983849391124102</v>
      </c>
    </row>
    <row r="6927" spans="1:4" hidden="1" x14ac:dyDescent="0.3">
      <c r="A6927">
        <v>6925</v>
      </c>
      <c r="B6927" t="s">
        <v>74</v>
      </c>
      <c r="C6927" t="s">
        <v>75</v>
      </c>
      <c r="D6927">
        <v>2.7397260273972599E-3</v>
      </c>
    </row>
    <row r="6928" spans="1:4" hidden="1" x14ac:dyDescent="0.3">
      <c r="A6928">
        <v>6926</v>
      </c>
      <c r="B6928" t="s">
        <v>76</v>
      </c>
      <c r="C6928" t="s">
        <v>77</v>
      </c>
      <c r="D6928">
        <v>0</v>
      </c>
    </row>
    <row r="6929" spans="1:4" hidden="1" x14ac:dyDescent="0.3">
      <c r="A6929">
        <v>6927</v>
      </c>
      <c r="B6929" t="s">
        <v>78</v>
      </c>
      <c r="C6929" t="s">
        <v>79</v>
      </c>
      <c r="D6929">
        <v>0</v>
      </c>
    </row>
    <row r="6930" spans="1:4" hidden="1" x14ac:dyDescent="0.3">
      <c r="A6930">
        <v>6928</v>
      </c>
      <c r="B6930" s="1" t="s">
        <v>9092</v>
      </c>
      <c r="C6930" t="s">
        <v>81</v>
      </c>
      <c r="D6930" s="1" t="s">
        <v>9093</v>
      </c>
    </row>
    <row r="6931" spans="1:4" hidden="1" x14ac:dyDescent="0.3">
      <c r="A6931">
        <v>6929</v>
      </c>
      <c r="B6931" t="s">
        <v>9094</v>
      </c>
      <c r="C6931" t="s">
        <v>84</v>
      </c>
      <c r="D6931">
        <v>0.99987651703341696</v>
      </c>
    </row>
    <row r="6932" spans="1:4" hidden="1" x14ac:dyDescent="0.3">
      <c r="A6932">
        <v>6930</v>
      </c>
      <c r="B6932" s="1" t="s">
        <v>9095</v>
      </c>
      <c r="C6932" t="s">
        <v>86</v>
      </c>
      <c r="D6932" s="1" t="s">
        <v>9096</v>
      </c>
    </row>
    <row r="6933" spans="1:4" hidden="1" x14ac:dyDescent="0.3">
      <c r="A6933">
        <v>6931</v>
      </c>
      <c r="B6933" t="s">
        <v>9097</v>
      </c>
      <c r="C6933" t="s">
        <v>89</v>
      </c>
      <c r="D6933">
        <v>103006133.197393</v>
      </c>
    </row>
    <row r="6934" spans="1:4" hidden="1" x14ac:dyDescent="0.3">
      <c r="A6934">
        <v>6932</v>
      </c>
      <c r="B6934" s="1" t="s">
        <v>9098</v>
      </c>
      <c r="C6934" t="s">
        <v>91</v>
      </c>
      <c r="D6934" s="1" t="s">
        <v>9032</v>
      </c>
    </row>
    <row r="6935" spans="1:4" hidden="1" x14ac:dyDescent="0.3">
      <c r="A6935">
        <v>6933</v>
      </c>
      <c r="B6935" t="s">
        <v>9099</v>
      </c>
      <c r="C6935" t="s">
        <v>94</v>
      </c>
      <c r="D6935">
        <v>76017888.529788896</v>
      </c>
    </row>
    <row r="6936" spans="1:4" hidden="1" x14ac:dyDescent="0.3">
      <c r="A6936">
        <v>6934</v>
      </c>
      <c r="B6936" t="s">
        <v>9100</v>
      </c>
      <c r="C6936" t="s">
        <v>96</v>
      </c>
      <c r="D6936">
        <v>34248401.625024199</v>
      </c>
    </row>
    <row r="6937" spans="1:4" hidden="1" x14ac:dyDescent="0.3">
      <c r="A6937">
        <v>6935</v>
      </c>
      <c r="B6937" t="s">
        <v>9101</v>
      </c>
      <c r="C6937" t="s">
        <v>98</v>
      </c>
      <c r="D6937">
        <v>32819389.063326702</v>
      </c>
    </row>
    <row r="6938" spans="1:4" hidden="1" x14ac:dyDescent="0.3">
      <c r="A6938">
        <v>6936</v>
      </c>
      <c r="B6938" s="1" t="s">
        <v>9102</v>
      </c>
      <c r="C6938" t="s">
        <v>100</v>
      </c>
      <c r="D6938" s="1" t="s">
        <v>9103</v>
      </c>
    </row>
    <row r="6939" spans="1:4" hidden="1" x14ac:dyDescent="0.3">
      <c r="A6939">
        <v>6937</v>
      </c>
      <c r="B6939" t="s">
        <v>9104</v>
      </c>
      <c r="C6939" t="s">
        <v>103</v>
      </c>
      <c r="D6939">
        <v>9.7172532133712099E-3</v>
      </c>
    </row>
    <row r="6940" spans="1:4" hidden="1" x14ac:dyDescent="0.3">
      <c r="A6940">
        <v>6938</v>
      </c>
      <c r="B6940" t="s">
        <v>9105</v>
      </c>
      <c r="C6940" t="s">
        <v>105</v>
      </c>
      <c r="D6940">
        <v>2.9944682459886198E-3</v>
      </c>
    </row>
    <row r="6941" spans="1:4" hidden="1" x14ac:dyDescent="0.3">
      <c r="A6941">
        <v>6939</v>
      </c>
      <c r="B6941" t="s">
        <v>9106</v>
      </c>
      <c r="C6941" t="s">
        <v>107</v>
      </c>
      <c r="D6941">
        <v>1.8034941729550499E-2</v>
      </c>
    </row>
    <row r="6942" spans="1:4" hidden="1" x14ac:dyDescent="0.3">
      <c r="A6942">
        <v>6940</v>
      </c>
      <c r="B6942" s="1" t="s">
        <v>9107</v>
      </c>
      <c r="C6942" t="s">
        <v>109</v>
      </c>
      <c r="D6942" s="1" t="s">
        <v>9108</v>
      </c>
    </row>
    <row r="6943" spans="1:4" hidden="1" x14ac:dyDescent="0.3">
      <c r="A6943">
        <v>6941</v>
      </c>
      <c r="B6943" t="s">
        <v>9109</v>
      </c>
      <c r="C6943" t="s">
        <v>208</v>
      </c>
      <c r="D6943">
        <v>143087027.50018501</v>
      </c>
    </row>
    <row r="6944" spans="1:4" hidden="1" x14ac:dyDescent="0.3">
      <c r="A6944">
        <v>6942</v>
      </c>
      <c r="B6944" t="s">
        <v>9110</v>
      </c>
      <c r="C6944" t="s">
        <v>210</v>
      </c>
      <c r="D6944">
        <v>-2890.9396921810699</v>
      </c>
    </row>
    <row r="6945" spans="1:4" hidden="1" x14ac:dyDescent="0.3">
      <c r="A6945">
        <v>6943</v>
      </c>
      <c r="B6945" t="s">
        <v>9111</v>
      </c>
      <c r="C6945" t="s">
        <v>212</v>
      </c>
      <c r="D6945">
        <v>-1302.4495836206099</v>
      </c>
    </row>
    <row r="6946" spans="1:4" hidden="1" x14ac:dyDescent="0.3">
      <c r="A6946">
        <v>6944</v>
      </c>
      <c r="B6946" s="1" t="s">
        <v>9112</v>
      </c>
      <c r="C6946" t="s">
        <v>214</v>
      </c>
      <c r="D6946" s="1" t="s">
        <v>9113</v>
      </c>
    </row>
    <row r="6947" spans="1:4" hidden="1" x14ac:dyDescent="0.3">
      <c r="A6947">
        <v>6945</v>
      </c>
      <c r="B6947" t="s">
        <v>9114</v>
      </c>
      <c r="C6947" t="s">
        <v>217</v>
      </c>
      <c r="D6947">
        <v>76021708.501165196</v>
      </c>
    </row>
    <row r="6948" spans="1:4" hidden="1" x14ac:dyDescent="0.3">
      <c r="A6948">
        <v>6946</v>
      </c>
      <c r="B6948" t="s">
        <v>9115</v>
      </c>
      <c r="C6948" t="s">
        <v>219</v>
      </c>
      <c r="D6948">
        <v>34249916.333871499</v>
      </c>
    </row>
    <row r="6949" spans="1:4" hidden="1" x14ac:dyDescent="0.3">
      <c r="A6949">
        <v>6947</v>
      </c>
      <c r="B6949" t="s">
        <v>9116</v>
      </c>
      <c r="C6949" t="s">
        <v>221</v>
      </c>
      <c r="D6949">
        <v>32820844.1595116</v>
      </c>
    </row>
    <row r="6950" spans="1:4" hidden="1" x14ac:dyDescent="0.3">
      <c r="A6950">
        <v>6948</v>
      </c>
      <c r="B6950" s="1" t="s">
        <v>9117</v>
      </c>
      <c r="C6950" t="s">
        <v>223</v>
      </c>
      <c r="D6950" s="1" t="s">
        <v>9118</v>
      </c>
    </row>
    <row r="6951" spans="1:4" hidden="1" x14ac:dyDescent="0.3">
      <c r="A6951">
        <v>6949</v>
      </c>
      <c r="B6951" t="s">
        <v>9119</v>
      </c>
      <c r="C6951" t="s">
        <v>226</v>
      </c>
      <c r="D6951">
        <v>103010050.44484</v>
      </c>
    </row>
    <row r="6952" spans="1:4" hidden="1" x14ac:dyDescent="0.3">
      <c r="A6952">
        <v>6950</v>
      </c>
      <c r="B6952" t="s">
        <v>9120</v>
      </c>
      <c r="C6952" t="s">
        <v>228</v>
      </c>
      <c r="D6952">
        <v>-3917.2474467605298</v>
      </c>
    </row>
    <row r="6953" spans="1:4" hidden="1" x14ac:dyDescent="0.3">
      <c r="A6953">
        <v>6951</v>
      </c>
      <c r="B6953" s="1" t="s">
        <v>9121</v>
      </c>
      <c r="C6953" t="s">
        <v>230</v>
      </c>
      <c r="D6953" s="1" t="s">
        <v>9122</v>
      </c>
    </row>
    <row r="6954" spans="1:4" hidden="1" x14ac:dyDescent="0.3">
      <c r="A6954">
        <v>6952</v>
      </c>
      <c r="B6954" t="s">
        <v>9123</v>
      </c>
      <c r="C6954" t="s">
        <v>112</v>
      </c>
      <c r="D6954">
        <v>929.031684129366</v>
      </c>
    </row>
    <row r="6955" spans="1:4" hidden="1" x14ac:dyDescent="0.3">
      <c r="A6955">
        <v>6953</v>
      </c>
      <c r="B6955" t="s">
        <v>9124</v>
      </c>
      <c r="C6955" t="s">
        <v>114</v>
      </c>
      <c r="D6955">
        <v>212.25926374865199</v>
      </c>
    </row>
    <row r="6956" spans="1:4" hidden="1" x14ac:dyDescent="0.3">
      <c r="A6956">
        <v>6954</v>
      </c>
      <c r="B6956" s="1" t="s">
        <v>9125</v>
      </c>
      <c r="C6956" t="s">
        <v>116</v>
      </c>
      <c r="D6956" s="1" t="s">
        <v>9126</v>
      </c>
    </row>
    <row r="6957" spans="1:4" hidden="1" x14ac:dyDescent="0.3">
      <c r="A6957">
        <v>6955</v>
      </c>
      <c r="B6957" t="s">
        <v>9127</v>
      </c>
      <c r="C6957" t="s">
        <v>119</v>
      </c>
      <c r="D6957">
        <v>76021708.501165196</v>
      </c>
    </row>
    <row r="6958" spans="1:4" hidden="1" x14ac:dyDescent="0.3">
      <c r="A6958">
        <v>6956</v>
      </c>
      <c r="B6958" t="s">
        <v>9128</v>
      </c>
      <c r="C6958" t="s">
        <v>121</v>
      </c>
      <c r="D6958">
        <v>34249916.333871499</v>
      </c>
    </row>
    <row r="6959" spans="1:4" hidden="1" x14ac:dyDescent="0.3">
      <c r="A6959">
        <v>6957</v>
      </c>
      <c r="B6959" s="1" t="s">
        <v>9129</v>
      </c>
      <c r="C6959" t="s">
        <v>123</v>
      </c>
      <c r="D6959" s="1" t="s">
        <v>9130</v>
      </c>
    </row>
    <row r="6960" spans="1:4" hidden="1" x14ac:dyDescent="0.3">
      <c r="A6960">
        <v>6958</v>
      </c>
      <c r="B6960" t="s">
        <v>9131</v>
      </c>
      <c r="C6960" t="s">
        <v>126</v>
      </c>
      <c r="D6960">
        <v>0.73809396964905005</v>
      </c>
    </row>
    <row r="6961" spans="1:4" hidden="1" x14ac:dyDescent="0.3">
      <c r="A6961">
        <v>6959</v>
      </c>
      <c r="B6961" t="s">
        <v>9132</v>
      </c>
      <c r="C6961" t="s">
        <v>128</v>
      </c>
      <c r="D6961">
        <v>0.33253207807908702</v>
      </c>
    </row>
    <row r="6962" spans="1:4" hidden="1" x14ac:dyDescent="0.3">
      <c r="A6962">
        <v>6960</v>
      </c>
      <c r="B6962" s="1" t="s">
        <v>9133</v>
      </c>
      <c r="C6962" t="s">
        <v>130</v>
      </c>
      <c r="D6962" s="1" t="s">
        <v>9134</v>
      </c>
    </row>
    <row r="6963" spans="1:4" ht="72" x14ac:dyDescent="0.3">
      <c r="A6963">
        <v>6961</v>
      </c>
      <c r="B6963" s="1" t="s">
        <v>9135</v>
      </c>
      <c r="C6963" t="s">
        <v>4</v>
      </c>
      <c r="D6963" t="s">
        <v>9136</v>
      </c>
    </row>
    <row r="6964" spans="1:4" hidden="1" x14ac:dyDescent="0.3">
      <c r="A6964">
        <v>6962</v>
      </c>
      <c r="B6964" t="s">
        <v>9137</v>
      </c>
      <c r="C6964" t="s">
        <v>7</v>
      </c>
      <c r="D6964">
        <v>1749.68</v>
      </c>
    </row>
    <row r="6965" spans="1:4" hidden="1" x14ac:dyDescent="0.3">
      <c r="A6965">
        <v>6963</v>
      </c>
      <c r="B6965" s="1" t="s">
        <v>9138</v>
      </c>
      <c r="C6965" t="s">
        <v>9</v>
      </c>
      <c r="D6965" s="1" t="s">
        <v>9139</v>
      </c>
    </row>
    <row r="6966" spans="1:4" hidden="1" x14ac:dyDescent="0.3">
      <c r="A6966">
        <v>6964</v>
      </c>
      <c r="B6966" t="s">
        <v>9140</v>
      </c>
      <c r="C6966" t="s">
        <v>14</v>
      </c>
      <c r="D6966">
        <v>89.078125</v>
      </c>
    </row>
    <row r="6967" spans="1:4" hidden="1" x14ac:dyDescent="0.3">
      <c r="A6967">
        <v>6965</v>
      </c>
      <c r="B6967" t="s">
        <v>9141</v>
      </c>
      <c r="C6967" t="s">
        <v>16</v>
      </c>
      <c r="D6967">
        <v>4.2332584131549602</v>
      </c>
    </row>
    <row r="6968" spans="1:4" hidden="1" x14ac:dyDescent="0.3">
      <c r="A6968">
        <v>6966</v>
      </c>
      <c r="B6968" s="1" t="s">
        <v>9142</v>
      </c>
      <c r="C6968" t="s">
        <v>140</v>
      </c>
      <c r="D6968" s="1" t="s">
        <v>9143</v>
      </c>
    </row>
    <row r="6969" spans="1:4" hidden="1" x14ac:dyDescent="0.3">
      <c r="A6969">
        <v>6967</v>
      </c>
      <c r="B6969" t="s">
        <v>9144</v>
      </c>
      <c r="C6969" t="s">
        <v>22</v>
      </c>
      <c r="D6969">
        <v>50.65</v>
      </c>
    </row>
    <row r="6970" spans="1:4" hidden="1" x14ac:dyDescent="0.3">
      <c r="A6970">
        <v>6968</v>
      </c>
      <c r="B6970" t="s">
        <v>9145</v>
      </c>
      <c r="C6970" t="s">
        <v>24</v>
      </c>
      <c r="D6970">
        <v>5.1466255796456402</v>
      </c>
    </row>
    <row r="6971" spans="1:4" hidden="1" x14ac:dyDescent="0.3">
      <c r="A6971">
        <v>6969</v>
      </c>
      <c r="B6971" s="1" t="s">
        <v>9146</v>
      </c>
      <c r="C6971" t="s">
        <v>145</v>
      </c>
      <c r="D6971" s="1" t="s">
        <v>9147</v>
      </c>
    </row>
    <row r="6972" spans="1:4" hidden="1" x14ac:dyDescent="0.3">
      <c r="A6972">
        <v>6970</v>
      </c>
      <c r="B6972" t="s">
        <v>9148</v>
      </c>
      <c r="C6972" t="s">
        <v>35</v>
      </c>
      <c r="D6972">
        <v>0.22716926314503699</v>
      </c>
    </row>
    <row r="6973" spans="1:4" hidden="1" x14ac:dyDescent="0.3">
      <c r="A6973">
        <v>6971</v>
      </c>
      <c r="B6973" t="s">
        <v>9149</v>
      </c>
      <c r="C6973" t="s">
        <v>149</v>
      </c>
      <c r="D6973">
        <v>0.54366326918771302</v>
      </c>
    </row>
    <row r="6974" spans="1:4" hidden="1" x14ac:dyDescent="0.3">
      <c r="A6974">
        <v>6972</v>
      </c>
      <c r="B6974" s="1" t="s">
        <v>9150</v>
      </c>
      <c r="C6974" t="s">
        <v>151</v>
      </c>
      <c r="D6974" s="1" t="s">
        <v>9151</v>
      </c>
    </row>
    <row r="6975" spans="1:4" hidden="1" x14ac:dyDescent="0.3">
      <c r="A6975">
        <v>6973</v>
      </c>
      <c r="B6975" t="s">
        <v>9152</v>
      </c>
      <c r="C6975" t="s">
        <v>30</v>
      </c>
      <c r="D6975">
        <v>0.35361111737831302</v>
      </c>
    </row>
    <row r="6976" spans="1:4" hidden="1" x14ac:dyDescent="0.3">
      <c r="A6976">
        <v>6974</v>
      </c>
      <c r="B6976" t="s">
        <v>9153</v>
      </c>
      <c r="C6976" t="s">
        <v>32</v>
      </c>
      <c r="D6976">
        <v>0.40400277203822299</v>
      </c>
    </row>
    <row r="6977" spans="1:4" hidden="1" x14ac:dyDescent="0.3">
      <c r="A6977">
        <v>6975</v>
      </c>
      <c r="B6977" s="1" t="s">
        <v>9154</v>
      </c>
      <c r="C6977" t="s">
        <v>155</v>
      </c>
      <c r="D6977" s="1" t="s">
        <v>9155</v>
      </c>
    </row>
    <row r="6978" spans="1:4" hidden="1" x14ac:dyDescent="0.3">
      <c r="A6978">
        <v>6976</v>
      </c>
      <c r="B6978" t="s">
        <v>9156</v>
      </c>
      <c r="C6978" t="s">
        <v>40</v>
      </c>
      <c r="D6978">
        <v>0.41921961947664899</v>
      </c>
    </row>
    <row r="6979" spans="1:4" hidden="1" x14ac:dyDescent="0.3">
      <c r="A6979">
        <v>6977</v>
      </c>
      <c r="B6979" t="s">
        <v>9157</v>
      </c>
      <c r="C6979" t="s">
        <v>42</v>
      </c>
      <c r="D6979">
        <v>0.435371076951239</v>
      </c>
    </row>
    <row r="6980" spans="1:4" hidden="1" x14ac:dyDescent="0.3">
      <c r="A6980">
        <v>6978</v>
      </c>
      <c r="B6980" s="1" t="s">
        <v>9158</v>
      </c>
      <c r="C6980" t="s">
        <v>159</v>
      </c>
      <c r="D6980" s="1" t="s">
        <v>9159</v>
      </c>
    </row>
    <row r="6981" spans="1:4" hidden="1" x14ac:dyDescent="0.3">
      <c r="A6981">
        <v>6979</v>
      </c>
      <c r="B6981" t="s">
        <v>9160</v>
      </c>
      <c r="C6981" t="s">
        <v>161</v>
      </c>
      <c r="D6981">
        <v>1.0054187616721699</v>
      </c>
    </row>
    <row r="6982" spans="1:4" hidden="1" x14ac:dyDescent="0.3">
      <c r="A6982">
        <v>6980</v>
      </c>
      <c r="B6982" t="s">
        <v>9161</v>
      </c>
      <c r="C6982" t="s">
        <v>163</v>
      </c>
      <c r="D6982">
        <v>1.00187847712355</v>
      </c>
    </row>
    <row r="6983" spans="1:4" hidden="1" x14ac:dyDescent="0.3">
      <c r="A6983">
        <v>6981</v>
      </c>
      <c r="B6983" s="1" t="s">
        <v>9162</v>
      </c>
      <c r="C6983" t="s">
        <v>165</v>
      </c>
      <c r="D6983" s="1" t="s">
        <v>9163</v>
      </c>
    </row>
    <row r="6984" spans="1:4" hidden="1" x14ac:dyDescent="0.3">
      <c r="A6984">
        <v>6982</v>
      </c>
      <c r="B6984" t="s">
        <v>9164</v>
      </c>
      <c r="C6984" t="s">
        <v>168</v>
      </c>
      <c r="D6984">
        <v>1.0015591677644899</v>
      </c>
    </row>
    <row r="6985" spans="1:4" hidden="1" x14ac:dyDescent="0.3">
      <c r="A6985">
        <v>6983</v>
      </c>
      <c r="B6985" t="s">
        <v>9165</v>
      </c>
      <c r="C6985" t="s">
        <v>170</v>
      </c>
      <c r="D6985">
        <v>1.00072690027544</v>
      </c>
    </row>
    <row r="6986" spans="1:4" hidden="1" x14ac:dyDescent="0.3">
      <c r="A6986">
        <v>6984</v>
      </c>
      <c r="B6986" s="1" t="s">
        <v>9166</v>
      </c>
      <c r="C6986" t="s">
        <v>172</v>
      </c>
      <c r="D6986" s="1" t="s">
        <v>9167</v>
      </c>
    </row>
    <row r="6987" spans="1:4" hidden="1" x14ac:dyDescent="0.3">
      <c r="A6987">
        <v>6985</v>
      </c>
      <c r="B6987" s="1" t="s">
        <v>9168</v>
      </c>
      <c r="C6987" t="s">
        <v>55</v>
      </c>
      <c r="D6987" s="1" t="s">
        <v>9169</v>
      </c>
    </row>
    <row r="6988" spans="1:4" hidden="1" x14ac:dyDescent="0.3">
      <c r="A6988">
        <v>6986</v>
      </c>
      <c r="B6988" s="1" t="s">
        <v>9170</v>
      </c>
      <c r="C6988" t="s">
        <v>52</v>
      </c>
      <c r="D6988" s="1" t="s">
        <v>9171</v>
      </c>
    </row>
    <row r="6989" spans="1:4" hidden="1" x14ac:dyDescent="0.3">
      <c r="A6989">
        <v>6987</v>
      </c>
      <c r="B6989" s="1" t="s">
        <v>9172</v>
      </c>
      <c r="C6989" t="s">
        <v>58</v>
      </c>
      <c r="D6989" s="1" t="s">
        <v>9173</v>
      </c>
    </row>
    <row r="6990" spans="1:4" hidden="1" x14ac:dyDescent="0.3">
      <c r="A6990">
        <v>6988</v>
      </c>
      <c r="B6990" t="s">
        <v>9174</v>
      </c>
      <c r="C6990" t="s">
        <v>61</v>
      </c>
      <c r="D6990">
        <v>142247418.84865901</v>
      </c>
    </row>
    <row r="6991" spans="1:4" hidden="1" x14ac:dyDescent="0.3">
      <c r="A6991">
        <v>6989</v>
      </c>
      <c r="B6991" t="s">
        <v>9175</v>
      </c>
      <c r="C6991" t="s">
        <v>63</v>
      </c>
      <c r="D6991">
        <v>76433652.021444499</v>
      </c>
    </row>
    <row r="6992" spans="1:4" hidden="1" x14ac:dyDescent="0.3">
      <c r="A6992">
        <v>6990</v>
      </c>
      <c r="B6992" t="s">
        <v>9176</v>
      </c>
      <c r="C6992" t="s">
        <v>65</v>
      </c>
      <c r="D6992">
        <v>34314254.018188499</v>
      </c>
    </row>
    <row r="6993" spans="1:4" hidden="1" x14ac:dyDescent="0.3">
      <c r="A6993">
        <v>6991</v>
      </c>
      <c r="B6993" s="1" t="s">
        <v>9177</v>
      </c>
      <c r="C6993" t="s">
        <v>67</v>
      </c>
      <c r="D6993" s="1" t="s">
        <v>9178</v>
      </c>
    </row>
    <row r="6994" spans="1:4" hidden="1" x14ac:dyDescent="0.3">
      <c r="A6994">
        <v>6992</v>
      </c>
      <c r="B6994" s="1" t="s">
        <v>9179</v>
      </c>
      <c r="C6994" t="s">
        <v>70</v>
      </c>
      <c r="D6994" s="1" t="s">
        <v>9180</v>
      </c>
    </row>
    <row r="6995" spans="1:4" hidden="1" x14ac:dyDescent="0.3">
      <c r="A6995">
        <v>6993</v>
      </c>
      <c r="B6995" t="s">
        <v>9181</v>
      </c>
      <c r="C6995" t="s">
        <v>73</v>
      </c>
      <c r="D6995">
        <v>0.99987651703341696</v>
      </c>
    </row>
    <row r="6996" spans="1:4" hidden="1" x14ac:dyDescent="0.3">
      <c r="A6996">
        <v>6994</v>
      </c>
      <c r="B6996" t="s">
        <v>74</v>
      </c>
      <c r="C6996" t="s">
        <v>75</v>
      </c>
      <c r="D6996">
        <v>2.7397260273972599E-3</v>
      </c>
    </row>
    <row r="6997" spans="1:4" hidden="1" x14ac:dyDescent="0.3">
      <c r="A6997">
        <v>6995</v>
      </c>
      <c r="B6997" t="s">
        <v>76</v>
      </c>
      <c r="C6997" t="s">
        <v>77</v>
      </c>
      <c r="D6997">
        <v>0</v>
      </c>
    </row>
    <row r="6998" spans="1:4" hidden="1" x14ac:dyDescent="0.3">
      <c r="A6998">
        <v>6996</v>
      </c>
      <c r="B6998" t="s">
        <v>78</v>
      </c>
      <c r="C6998" t="s">
        <v>79</v>
      </c>
      <c r="D6998">
        <v>0</v>
      </c>
    </row>
    <row r="6999" spans="1:4" hidden="1" x14ac:dyDescent="0.3">
      <c r="A6999">
        <v>6997</v>
      </c>
      <c r="B6999" s="1" t="s">
        <v>9182</v>
      </c>
      <c r="C6999" t="s">
        <v>81</v>
      </c>
      <c r="D6999" s="1" t="s">
        <v>9183</v>
      </c>
    </row>
    <row r="7000" spans="1:4" hidden="1" x14ac:dyDescent="0.3">
      <c r="A7000">
        <v>6998</v>
      </c>
      <c r="B7000" t="s">
        <v>9184</v>
      </c>
      <c r="C7000" t="s">
        <v>84</v>
      </c>
      <c r="D7000">
        <v>0.99985557355338495</v>
      </c>
    </row>
    <row r="7001" spans="1:4" hidden="1" x14ac:dyDescent="0.3">
      <c r="A7001">
        <v>6999</v>
      </c>
      <c r="B7001" s="1" t="s">
        <v>9185</v>
      </c>
      <c r="C7001" t="s">
        <v>86</v>
      </c>
      <c r="D7001" s="1" t="s">
        <v>9186</v>
      </c>
    </row>
    <row r="7002" spans="1:4" hidden="1" x14ac:dyDescent="0.3">
      <c r="A7002">
        <v>7000</v>
      </c>
      <c r="B7002" t="s">
        <v>9187</v>
      </c>
      <c r="C7002" t="s">
        <v>89</v>
      </c>
      <c r="D7002">
        <v>103008290.81590401</v>
      </c>
    </row>
    <row r="7003" spans="1:4" hidden="1" x14ac:dyDescent="0.3">
      <c r="A7003">
        <v>7001</v>
      </c>
      <c r="B7003" s="1" t="s">
        <v>9188</v>
      </c>
      <c r="C7003" t="s">
        <v>91</v>
      </c>
      <c r="D7003" s="1" t="s">
        <v>9122</v>
      </c>
    </row>
    <row r="7004" spans="1:4" hidden="1" x14ac:dyDescent="0.3">
      <c r="A7004">
        <v>7002</v>
      </c>
      <c r="B7004" t="s">
        <v>9189</v>
      </c>
      <c r="C7004" t="s">
        <v>94</v>
      </c>
      <c r="D7004">
        <v>76433652.021444499</v>
      </c>
    </row>
    <row r="7005" spans="1:4" hidden="1" x14ac:dyDescent="0.3">
      <c r="A7005">
        <v>7003</v>
      </c>
      <c r="B7005" t="s">
        <v>9190</v>
      </c>
      <c r="C7005" t="s">
        <v>96</v>
      </c>
      <c r="D7005">
        <v>34314254.018188499</v>
      </c>
    </row>
    <row r="7006" spans="1:4" hidden="1" x14ac:dyDescent="0.3">
      <c r="A7006">
        <v>7004</v>
      </c>
      <c r="B7006" t="s">
        <v>9191</v>
      </c>
      <c r="C7006" t="s">
        <v>98</v>
      </c>
      <c r="D7006">
        <v>31499512.8090268</v>
      </c>
    </row>
    <row r="7007" spans="1:4" hidden="1" x14ac:dyDescent="0.3">
      <c r="A7007">
        <v>7005</v>
      </c>
      <c r="B7007" s="1" t="s">
        <v>9192</v>
      </c>
      <c r="C7007" t="s">
        <v>100</v>
      </c>
      <c r="D7007" s="1" t="s">
        <v>9193</v>
      </c>
    </row>
    <row r="7008" spans="1:4" hidden="1" x14ac:dyDescent="0.3">
      <c r="A7008">
        <v>7006</v>
      </c>
      <c r="B7008" t="s">
        <v>9194</v>
      </c>
      <c r="C7008" t="s">
        <v>103</v>
      </c>
      <c r="D7008">
        <v>9.71807882620466E-3</v>
      </c>
    </row>
    <row r="7009" spans="1:4" hidden="1" x14ac:dyDescent="0.3">
      <c r="A7009">
        <v>7007</v>
      </c>
      <c r="B7009" t="s">
        <v>9195</v>
      </c>
      <c r="C7009" t="s">
        <v>105</v>
      </c>
      <c r="D7009">
        <v>3.0010133196201202E-3</v>
      </c>
    </row>
    <row r="7010" spans="1:4" hidden="1" x14ac:dyDescent="0.3">
      <c r="A7010">
        <v>7008</v>
      </c>
      <c r="B7010" t="s">
        <v>9196</v>
      </c>
      <c r="C7010" t="s">
        <v>107</v>
      </c>
      <c r="D7010">
        <v>1.8569282733785501E-2</v>
      </c>
    </row>
    <row r="7011" spans="1:4" hidden="1" x14ac:dyDescent="0.3">
      <c r="A7011">
        <v>7009</v>
      </c>
      <c r="B7011" s="1" t="s">
        <v>9197</v>
      </c>
      <c r="C7011" t="s">
        <v>109</v>
      </c>
      <c r="D7011" s="1" t="s">
        <v>9198</v>
      </c>
    </row>
    <row r="7012" spans="1:4" hidden="1" x14ac:dyDescent="0.3">
      <c r="A7012">
        <v>7010</v>
      </c>
      <c r="B7012" t="s">
        <v>9199</v>
      </c>
      <c r="C7012" t="s">
        <v>208</v>
      </c>
      <c r="D7012">
        <v>142246674.69530499</v>
      </c>
    </row>
    <row r="7013" spans="1:4" hidden="1" x14ac:dyDescent="0.3">
      <c r="A7013">
        <v>7011</v>
      </c>
      <c r="B7013" t="s">
        <v>9200</v>
      </c>
      <c r="C7013" t="s">
        <v>210</v>
      </c>
      <c r="D7013">
        <v>1600.9722188122601</v>
      </c>
    </row>
    <row r="7014" spans="1:4" hidden="1" x14ac:dyDescent="0.3">
      <c r="A7014">
        <v>7012</v>
      </c>
      <c r="B7014" t="s">
        <v>9201</v>
      </c>
      <c r="C7014" t="s">
        <v>212</v>
      </c>
      <c r="D7014">
        <v>718.74673172849998</v>
      </c>
    </row>
    <row r="7015" spans="1:4" hidden="1" x14ac:dyDescent="0.3">
      <c r="A7015">
        <v>7013</v>
      </c>
      <c r="B7015" s="1" t="s">
        <v>9202</v>
      </c>
      <c r="C7015" t="s">
        <v>214</v>
      </c>
      <c r="D7015" s="1" t="s">
        <v>9203</v>
      </c>
    </row>
    <row r="7016" spans="1:4" hidden="1" x14ac:dyDescent="0.3">
      <c r="A7016">
        <v>7014</v>
      </c>
      <c r="B7016" t="s">
        <v>9204</v>
      </c>
      <c r="C7016" t="s">
        <v>217</v>
      </c>
      <c r="D7016">
        <v>76431471.445392996</v>
      </c>
    </row>
    <row r="7017" spans="1:4" hidden="1" x14ac:dyDescent="0.3">
      <c r="A7017">
        <v>7015</v>
      </c>
      <c r="B7017" t="s">
        <v>9205</v>
      </c>
      <c r="C7017" t="s">
        <v>219</v>
      </c>
      <c r="D7017">
        <v>34313443.829357497</v>
      </c>
    </row>
    <row r="7018" spans="1:4" hidden="1" x14ac:dyDescent="0.3">
      <c r="A7018">
        <v>7016</v>
      </c>
      <c r="B7018" t="s">
        <v>9206</v>
      </c>
      <c r="C7018" t="s">
        <v>221</v>
      </c>
      <c r="D7018">
        <v>31498779.9122447</v>
      </c>
    </row>
    <row r="7019" spans="1:4" hidden="1" x14ac:dyDescent="0.3">
      <c r="A7019">
        <v>7017</v>
      </c>
      <c r="B7019" s="1" t="s">
        <v>9207</v>
      </c>
      <c r="C7019" t="s">
        <v>223</v>
      </c>
      <c r="D7019" s="1" t="s">
        <v>9208</v>
      </c>
    </row>
    <row r="7020" spans="1:4" hidden="1" x14ac:dyDescent="0.3">
      <c r="A7020">
        <v>7018</v>
      </c>
      <c r="B7020" t="s">
        <v>9209</v>
      </c>
      <c r="C7020" t="s">
        <v>226</v>
      </c>
      <c r="D7020">
        <v>103006133.197393</v>
      </c>
    </row>
    <row r="7021" spans="1:4" hidden="1" x14ac:dyDescent="0.3">
      <c r="A7021">
        <v>7019</v>
      </c>
      <c r="B7021" t="s">
        <v>9210</v>
      </c>
      <c r="C7021" t="s">
        <v>228</v>
      </c>
      <c r="D7021">
        <v>2157.6185110360302</v>
      </c>
    </row>
    <row r="7022" spans="1:4" hidden="1" x14ac:dyDescent="0.3">
      <c r="A7022">
        <v>7020</v>
      </c>
      <c r="B7022" s="1" t="s">
        <v>9211</v>
      </c>
      <c r="C7022" t="s">
        <v>230</v>
      </c>
      <c r="D7022" s="1" t="s">
        <v>9212</v>
      </c>
    </row>
    <row r="7023" spans="1:4" hidden="1" x14ac:dyDescent="0.3">
      <c r="A7023">
        <v>7021</v>
      </c>
      <c r="B7023" t="s">
        <v>9213</v>
      </c>
      <c r="C7023" t="s">
        <v>112</v>
      </c>
      <c r="D7023">
        <v>-579.603832711172</v>
      </c>
    </row>
    <row r="7024" spans="1:4" hidden="1" x14ac:dyDescent="0.3">
      <c r="A7024">
        <v>7022</v>
      </c>
      <c r="B7024" t="s">
        <v>9214</v>
      </c>
      <c r="C7024" t="s">
        <v>114</v>
      </c>
      <c r="D7024">
        <v>-91.442099220517704</v>
      </c>
    </row>
    <row r="7025" spans="1:4" hidden="1" x14ac:dyDescent="0.3">
      <c r="A7025">
        <v>7023</v>
      </c>
      <c r="B7025" s="1" t="s">
        <v>9215</v>
      </c>
      <c r="C7025" t="s">
        <v>116</v>
      </c>
      <c r="D7025" s="1" t="s">
        <v>9216</v>
      </c>
    </row>
    <row r="7026" spans="1:4" hidden="1" x14ac:dyDescent="0.3">
      <c r="A7026">
        <v>7024</v>
      </c>
      <c r="B7026" t="s">
        <v>9217</v>
      </c>
      <c r="C7026" t="s">
        <v>119</v>
      </c>
      <c r="D7026">
        <v>76431471.445392996</v>
      </c>
    </row>
    <row r="7027" spans="1:4" hidden="1" x14ac:dyDescent="0.3">
      <c r="A7027">
        <v>7025</v>
      </c>
      <c r="B7027" t="s">
        <v>9218</v>
      </c>
      <c r="C7027" t="s">
        <v>121</v>
      </c>
      <c r="D7027">
        <v>34313443.829357497</v>
      </c>
    </row>
    <row r="7028" spans="1:4" hidden="1" x14ac:dyDescent="0.3">
      <c r="A7028">
        <v>7026</v>
      </c>
      <c r="B7028" s="1" t="s">
        <v>9219</v>
      </c>
      <c r="C7028" t="s">
        <v>123</v>
      </c>
      <c r="D7028" s="1" t="s">
        <v>9220</v>
      </c>
    </row>
    <row r="7029" spans="1:4" hidden="1" x14ac:dyDescent="0.3">
      <c r="A7029">
        <v>7027</v>
      </c>
      <c r="B7029" t="s">
        <v>9221</v>
      </c>
      <c r="C7029" t="s">
        <v>126</v>
      </c>
      <c r="D7029">
        <v>0.74211611865138805</v>
      </c>
    </row>
    <row r="7030" spans="1:4" hidden="1" x14ac:dyDescent="0.3">
      <c r="A7030">
        <v>7028</v>
      </c>
      <c r="B7030" t="s">
        <v>9222</v>
      </c>
      <c r="C7030" t="s">
        <v>128</v>
      </c>
      <c r="D7030">
        <v>0.333168513841822</v>
      </c>
    </row>
    <row r="7031" spans="1:4" hidden="1" x14ac:dyDescent="0.3">
      <c r="A7031">
        <v>7029</v>
      </c>
      <c r="B7031" s="1" t="s">
        <v>9223</v>
      </c>
      <c r="C7031" t="s">
        <v>130</v>
      </c>
      <c r="D7031" s="1" t="s">
        <v>9224</v>
      </c>
    </row>
    <row r="7032" spans="1:4" ht="72" x14ac:dyDescent="0.3">
      <c r="A7032">
        <v>7030</v>
      </c>
      <c r="B7032" s="1" t="s">
        <v>9225</v>
      </c>
      <c r="C7032" t="s">
        <v>4</v>
      </c>
      <c r="D7032" t="s">
        <v>9226</v>
      </c>
    </row>
    <row r="7033" spans="1:4" hidden="1" x14ac:dyDescent="0.3">
      <c r="A7033">
        <v>7031</v>
      </c>
      <c r="B7033" t="s">
        <v>9227</v>
      </c>
      <c r="C7033" t="s">
        <v>7</v>
      </c>
      <c r="D7033">
        <v>1754.93</v>
      </c>
    </row>
    <row r="7034" spans="1:4" hidden="1" x14ac:dyDescent="0.3">
      <c r="A7034">
        <v>7032</v>
      </c>
      <c r="B7034" s="1" t="s">
        <v>9228</v>
      </c>
      <c r="C7034" t="s">
        <v>9</v>
      </c>
      <c r="D7034" s="1" t="s">
        <v>9229</v>
      </c>
    </row>
    <row r="7035" spans="1:4" hidden="1" x14ac:dyDescent="0.3">
      <c r="A7035">
        <v>7033</v>
      </c>
      <c r="B7035" t="s">
        <v>5276</v>
      </c>
      <c r="C7035" t="s">
        <v>14</v>
      </c>
      <c r="D7035">
        <v>89.1796875</v>
      </c>
    </row>
    <row r="7036" spans="1:4" hidden="1" x14ac:dyDescent="0.3">
      <c r="A7036">
        <v>7034</v>
      </c>
      <c r="B7036" t="s">
        <v>9230</v>
      </c>
      <c r="C7036" t="s">
        <v>16</v>
      </c>
      <c r="D7036">
        <v>4.2351174236443203</v>
      </c>
    </row>
    <row r="7037" spans="1:4" hidden="1" x14ac:dyDescent="0.3">
      <c r="A7037">
        <v>7035</v>
      </c>
      <c r="B7037" s="1" t="s">
        <v>9231</v>
      </c>
      <c r="C7037" t="s">
        <v>140</v>
      </c>
      <c r="D7037" s="1" t="s">
        <v>9232</v>
      </c>
    </row>
    <row r="7038" spans="1:4" hidden="1" x14ac:dyDescent="0.3">
      <c r="A7038">
        <v>7036</v>
      </c>
      <c r="B7038" t="s">
        <v>8246</v>
      </c>
      <c r="C7038" t="s">
        <v>22</v>
      </c>
      <c r="D7038">
        <v>51.85</v>
      </c>
    </row>
    <row r="7039" spans="1:4" hidden="1" x14ac:dyDescent="0.3">
      <c r="A7039">
        <v>7037</v>
      </c>
      <c r="B7039" t="s">
        <v>9233</v>
      </c>
      <c r="C7039" t="s">
        <v>24</v>
      </c>
      <c r="D7039">
        <v>5.0523625224353497</v>
      </c>
    </row>
    <row r="7040" spans="1:4" hidden="1" x14ac:dyDescent="0.3">
      <c r="A7040">
        <v>7038</v>
      </c>
      <c r="B7040" s="1" t="s">
        <v>9234</v>
      </c>
      <c r="C7040" t="s">
        <v>145</v>
      </c>
      <c r="D7040" s="1" t="s">
        <v>9235</v>
      </c>
    </row>
    <row r="7041" spans="1:4" hidden="1" x14ac:dyDescent="0.3">
      <c r="A7041">
        <v>7039</v>
      </c>
      <c r="B7041" t="s">
        <v>9236</v>
      </c>
      <c r="C7041" t="s">
        <v>35</v>
      </c>
      <c r="D7041">
        <v>-1.66704508054214</v>
      </c>
    </row>
    <row r="7042" spans="1:4" hidden="1" x14ac:dyDescent="0.3">
      <c r="A7042">
        <v>7040</v>
      </c>
      <c r="B7042" t="s">
        <v>9237</v>
      </c>
      <c r="C7042" t="s">
        <v>149</v>
      </c>
      <c r="D7042">
        <v>0.54371946088997403</v>
      </c>
    </row>
    <row r="7043" spans="1:4" hidden="1" x14ac:dyDescent="0.3">
      <c r="A7043">
        <v>7041</v>
      </c>
      <c r="B7043" s="1" t="s">
        <v>9238</v>
      </c>
      <c r="C7043" t="s">
        <v>151</v>
      </c>
      <c r="D7043" s="1" t="s">
        <v>9239</v>
      </c>
    </row>
    <row r="7044" spans="1:4" hidden="1" x14ac:dyDescent="0.3">
      <c r="A7044">
        <v>7042</v>
      </c>
      <c r="B7044" t="s">
        <v>9240</v>
      </c>
      <c r="C7044" t="s">
        <v>30</v>
      </c>
      <c r="D7044">
        <v>1.19845055355039</v>
      </c>
    </row>
    <row r="7045" spans="1:4" hidden="1" x14ac:dyDescent="0.3">
      <c r="A7045">
        <v>7043</v>
      </c>
      <c r="B7045" t="s">
        <v>9241</v>
      </c>
      <c r="C7045" t="s">
        <v>32</v>
      </c>
      <c r="D7045">
        <v>0.40207609775405501</v>
      </c>
    </row>
    <row r="7046" spans="1:4" hidden="1" x14ac:dyDescent="0.3">
      <c r="A7046">
        <v>7044</v>
      </c>
      <c r="B7046" s="1" t="s">
        <v>9242</v>
      </c>
      <c r="C7046" t="s">
        <v>155</v>
      </c>
      <c r="D7046" s="1" t="s">
        <v>9243</v>
      </c>
    </row>
    <row r="7047" spans="1:4" hidden="1" x14ac:dyDescent="0.3">
      <c r="A7047">
        <v>7045</v>
      </c>
      <c r="B7047" t="s">
        <v>9244</v>
      </c>
      <c r="C7047" t="s">
        <v>40</v>
      </c>
      <c r="D7047">
        <v>1.46859452699175</v>
      </c>
    </row>
    <row r="7048" spans="1:4" hidden="1" x14ac:dyDescent="0.3">
      <c r="A7048">
        <v>7046</v>
      </c>
      <c r="B7048" t="s">
        <v>9245</v>
      </c>
      <c r="C7048" t="s">
        <v>42</v>
      </c>
      <c r="D7048">
        <v>0.43710765771273202</v>
      </c>
    </row>
    <row r="7049" spans="1:4" hidden="1" x14ac:dyDescent="0.3">
      <c r="A7049">
        <v>7047</v>
      </c>
      <c r="B7049" s="1" t="s">
        <v>9246</v>
      </c>
      <c r="C7049" t="s">
        <v>159</v>
      </c>
      <c r="D7049" s="1" t="s">
        <v>9247</v>
      </c>
    </row>
    <row r="7050" spans="1:4" hidden="1" x14ac:dyDescent="0.3">
      <c r="A7050">
        <v>7048</v>
      </c>
      <c r="B7050" t="s">
        <v>9248</v>
      </c>
      <c r="C7050" t="s">
        <v>161</v>
      </c>
      <c r="D7050">
        <v>1.0030005486717499</v>
      </c>
    </row>
    <row r="7051" spans="1:4" hidden="1" x14ac:dyDescent="0.3">
      <c r="A7051">
        <v>7049</v>
      </c>
      <c r="B7051" t="s">
        <v>9249</v>
      </c>
      <c r="C7051" t="s">
        <v>163</v>
      </c>
      <c r="D7051">
        <v>1.0011083482712</v>
      </c>
    </row>
    <row r="7052" spans="1:4" hidden="1" x14ac:dyDescent="0.3">
      <c r="A7052">
        <v>7050</v>
      </c>
      <c r="B7052" s="1" t="s">
        <v>9250</v>
      </c>
      <c r="C7052" t="s">
        <v>165</v>
      </c>
      <c r="D7052" s="1" t="s">
        <v>9251</v>
      </c>
    </row>
    <row r="7053" spans="1:4" hidden="1" x14ac:dyDescent="0.3">
      <c r="A7053">
        <v>7051</v>
      </c>
      <c r="B7053" t="s">
        <v>9252</v>
      </c>
      <c r="C7053" t="s">
        <v>168</v>
      </c>
      <c r="D7053">
        <v>1.00003640152835</v>
      </c>
    </row>
    <row r="7054" spans="1:4" hidden="1" x14ac:dyDescent="0.3">
      <c r="A7054">
        <v>7052</v>
      </c>
      <c r="B7054" t="s">
        <v>9253</v>
      </c>
      <c r="C7054" t="s">
        <v>170</v>
      </c>
      <c r="D7054">
        <v>0.99862772757822105</v>
      </c>
    </row>
    <row r="7055" spans="1:4" hidden="1" x14ac:dyDescent="0.3">
      <c r="A7055">
        <v>7053</v>
      </c>
      <c r="B7055" s="1" t="s">
        <v>9254</v>
      </c>
      <c r="C7055" t="s">
        <v>172</v>
      </c>
      <c r="D7055" s="1" t="s">
        <v>9255</v>
      </c>
    </row>
    <row r="7056" spans="1:4" hidden="1" x14ac:dyDescent="0.3">
      <c r="A7056">
        <v>7054</v>
      </c>
      <c r="B7056" s="1" t="s">
        <v>9256</v>
      </c>
      <c r="C7056" t="s">
        <v>55</v>
      </c>
      <c r="D7056" s="1" t="s">
        <v>9257</v>
      </c>
    </row>
    <row r="7057" spans="1:4" hidden="1" x14ac:dyDescent="0.3">
      <c r="A7057">
        <v>7055</v>
      </c>
      <c r="B7057" s="1" t="s">
        <v>9258</v>
      </c>
      <c r="C7057" t="s">
        <v>52</v>
      </c>
      <c r="D7057" s="1" t="s">
        <v>9259</v>
      </c>
    </row>
    <row r="7058" spans="1:4" hidden="1" x14ac:dyDescent="0.3">
      <c r="A7058">
        <v>7056</v>
      </c>
      <c r="B7058" s="1" t="s">
        <v>9260</v>
      </c>
      <c r="C7058" t="s">
        <v>58</v>
      </c>
      <c r="D7058" s="1" t="s">
        <v>9261</v>
      </c>
    </row>
    <row r="7059" spans="1:4" hidden="1" x14ac:dyDescent="0.3">
      <c r="A7059">
        <v>7057</v>
      </c>
      <c r="B7059" t="s">
        <v>9262</v>
      </c>
      <c r="C7059" t="s">
        <v>61</v>
      </c>
      <c r="D7059">
        <v>143135282.693342</v>
      </c>
    </row>
    <row r="7060" spans="1:4" hidden="1" x14ac:dyDescent="0.3">
      <c r="A7060">
        <v>7058</v>
      </c>
      <c r="B7060" t="s">
        <v>9263</v>
      </c>
      <c r="C7060" t="s">
        <v>63</v>
      </c>
      <c r="D7060">
        <v>76660807.795518905</v>
      </c>
    </row>
    <row r="7061" spans="1:4" hidden="1" x14ac:dyDescent="0.3">
      <c r="A7061">
        <v>7059</v>
      </c>
      <c r="B7061" t="s">
        <v>9264</v>
      </c>
      <c r="C7061" t="s">
        <v>65</v>
      </c>
      <c r="D7061">
        <v>34351475.075504698</v>
      </c>
    </row>
    <row r="7062" spans="1:4" hidden="1" x14ac:dyDescent="0.3">
      <c r="A7062">
        <v>7060</v>
      </c>
      <c r="B7062" s="1" t="s">
        <v>9265</v>
      </c>
      <c r="C7062" t="s">
        <v>67</v>
      </c>
      <c r="D7062" s="1" t="s">
        <v>9266</v>
      </c>
    </row>
    <row r="7063" spans="1:4" hidden="1" x14ac:dyDescent="0.3">
      <c r="A7063">
        <v>7061</v>
      </c>
      <c r="B7063" s="1" t="s">
        <v>9267</v>
      </c>
      <c r="C7063" t="s">
        <v>70</v>
      </c>
      <c r="D7063" s="1" t="s">
        <v>9268</v>
      </c>
    </row>
    <row r="7064" spans="1:4" hidden="1" x14ac:dyDescent="0.3">
      <c r="A7064">
        <v>7062</v>
      </c>
      <c r="B7064" t="s">
        <v>9269</v>
      </c>
      <c r="C7064" t="s">
        <v>73</v>
      </c>
      <c r="D7064">
        <v>0.99985557355338495</v>
      </c>
    </row>
    <row r="7065" spans="1:4" hidden="1" x14ac:dyDescent="0.3">
      <c r="A7065">
        <v>7063</v>
      </c>
      <c r="B7065" t="s">
        <v>74</v>
      </c>
      <c r="C7065" t="s">
        <v>75</v>
      </c>
      <c r="D7065">
        <v>2.7397260273972599E-3</v>
      </c>
    </row>
    <row r="7066" spans="1:4" hidden="1" x14ac:dyDescent="0.3">
      <c r="A7066">
        <v>7064</v>
      </c>
      <c r="B7066" t="s">
        <v>76</v>
      </c>
      <c r="C7066" t="s">
        <v>77</v>
      </c>
      <c r="D7066">
        <v>0</v>
      </c>
    </row>
    <row r="7067" spans="1:4" hidden="1" x14ac:dyDescent="0.3">
      <c r="A7067">
        <v>7065</v>
      </c>
      <c r="B7067" t="s">
        <v>78</v>
      </c>
      <c r="C7067" t="s">
        <v>79</v>
      </c>
      <c r="D7067">
        <v>0</v>
      </c>
    </row>
    <row r="7068" spans="1:4" hidden="1" x14ac:dyDescent="0.3">
      <c r="A7068">
        <v>7066</v>
      </c>
      <c r="B7068" s="1" t="s">
        <v>9270</v>
      </c>
      <c r="C7068" t="s">
        <v>81</v>
      </c>
      <c r="D7068" s="1" t="s">
        <v>9271</v>
      </c>
    </row>
    <row r="7069" spans="1:4" hidden="1" x14ac:dyDescent="0.3">
      <c r="A7069">
        <v>7067</v>
      </c>
      <c r="B7069" t="s">
        <v>9272</v>
      </c>
      <c r="C7069" t="s">
        <v>84</v>
      </c>
      <c r="D7069">
        <v>0.999864966597377</v>
      </c>
    </row>
    <row r="7070" spans="1:4" hidden="1" x14ac:dyDescent="0.3">
      <c r="A7070">
        <v>7068</v>
      </c>
      <c r="B7070" s="1" t="s">
        <v>9273</v>
      </c>
      <c r="C7070" t="s">
        <v>86</v>
      </c>
      <c r="D7070" s="1" t="s">
        <v>9274</v>
      </c>
    </row>
    <row r="7071" spans="1:4" hidden="1" x14ac:dyDescent="0.3">
      <c r="A7071">
        <v>7069</v>
      </c>
      <c r="B7071" t="s">
        <v>9275</v>
      </c>
      <c r="C7071" t="s">
        <v>89</v>
      </c>
      <c r="D7071">
        <v>103007323.123826</v>
      </c>
    </row>
    <row r="7072" spans="1:4" hidden="1" x14ac:dyDescent="0.3">
      <c r="A7072">
        <v>7070</v>
      </c>
      <c r="B7072" s="1" t="s">
        <v>9276</v>
      </c>
      <c r="C7072" t="s">
        <v>91</v>
      </c>
      <c r="D7072" s="1" t="s">
        <v>9212</v>
      </c>
    </row>
    <row r="7073" spans="1:4" hidden="1" x14ac:dyDescent="0.3">
      <c r="A7073">
        <v>7071</v>
      </c>
      <c r="B7073" t="s">
        <v>9277</v>
      </c>
      <c r="C7073" t="s">
        <v>94</v>
      </c>
      <c r="D7073">
        <v>76660807.795518905</v>
      </c>
    </row>
    <row r="7074" spans="1:4" hidden="1" x14ac:dyDescent="0.3">
      <c r="A7074">
        <v>7072</v>
      </c>
      <c r="B7074" t="s">
        <v>9278</v>
      </c>
      <c r="C7074" t="s">
        <v>96</v>
      </c>
      <c r="D7074">
        <v>34351475.075504698</v>
      </c>
    </row>
    <row r="7075" spans="1:4" hidden="1" x14ac:dyDescent="0.3">
      <c r="A7075">
        <v>7073</v>
      </c>
      <c r="B7075" t="s">
        <v>9279</v>
      </c>
      <c r="C7075" t="s">
        <v>98</v>
      </c>
      <c r="D7075">
        <v>32122999.8223189</v>
      </c>
    </row>
    <row r="7076" spans="1:4" hidden="1" x14ac:dyDescent="0.3">
      <c r="A7076">
        <v>7074</v>
      </c>
      <c r="B7076" s="1" t="s">
        <v>9280</v>
      </c>
      <c r="C7076" t="s">
        <v>100</v>
      </c>
      <c r="D7076" s="1" t="s">
        <v>9281</v>
      </c>
    </row>
    <row r="7077" spans="1:4" hidden="1" x14ac:dyDescent="0.3">
      <c r="A7077">
        <v>7075</v>
      </c>
      <c r="B7077" t="s">
        <v>9282</v>
      </c>
      <c r="C7077" t="s">
        <v>103</v>
      </c>
      <c r="D7077">
        <v>9.7352900263614206E-3</v>
      </c>
    </row>
    <row r="7078" spans="1:4" hidden="1" x14ac:dyDescent="0.3">
      <c r="A7078">
        <v>7076</v>
      </c>
      <c r="B7078" t="s">
        <v>9283</v>
      </c>
      <c r="C7078" t="s">
        <v>105</v>
      </c>
      <c r="D7078">
        <v>2.9872039450119202E-3</v>
      </c>
    </row>
    <row r="7079" spans="1:4" hidden="1" x14ac:dyDescent="0.3">
      <c r="A7079">
        <v>7077</v>
      </c>
      <c r="B7079" t="s">
        <v>9284</v>
      </c>
      <c r="C7079" t="s">
        <v>107</v>
      </c>
      <c r="D7079">
        <v>1.8751223930152001E-2</v>
      </c>
    </row>
    <row r="7080" spans="1:4" hidden="1" x14ac:dyDescent="0.3">
      <c r="A7080">
        <v>7078</v>
      </c>
      <c r="B7080" s="1" t="s">
        <v>9285</v>
      </c>
      <c r="C7080" t="s">
        <v>109</v>
      </c>
      <c r="D7080" s="1" t="s">
        <v>9286</v>
      </c>
    </row>
    <row r="7081" spans="1:4" hidden="1" x14ac:dyDescent="0.3">
      <c r="A7081">
        <v>7079</v>
      </c>
      <c r="B7081" t="s">
        <v>9287</v>
      </c>
      <c r="C7081" t="s">
        <v>208</v>
      </c>
      <c r="D7081">
        <v>143135616.12033701</v>
      </c>
    </row>
    <row r="7082" spans="1:4" hidden="1" x14ac:dyDescent="0.3">
      <c r="A7082">
        <v>7080</v>
      </c>
      <c r="B7082" t="s">
        <v>9288</v>
      </c>
      <c r="C7082" t="s">
        <v>210</v>
      </c>
      <c r="D7082">
        <v>-720.18464742006404</v>
      </c>
    </row>
    <row r="7083" spans="1:4" hidden="1" x14ac:dyDescent="0.3">
      <c r="A7083">
        <v>7081</v>
      </c>
      <c r="B7083" t="s">
        <v>9289</v>
      </c>
      <c r="C7083" t="s">
        <v>212</v>
      </c>
      <c r="D7083">
        <v>-322.71204804226602</v>
      </c>
    </row>
    <row r="7084" spans="1:4" hidden="1" x14ac:dyDescent="0.3">
      <c r="A7084">
        <v>7082</v>
      </c>
      <c r="B7084" s="1" t="s">
        <v>9290</v>
      </c>
      <c r="C7084" t="s">
        <v>214</v>
      </c>
      <c r="D7084" s="1" t="s">
        <v>9291</v>
      </c>
    </row>
    <row r="7085" spans="1:4" hidden="1" x14ac:dyDescent="0.3">
      <c r="A7085">
        <v>7083</v>
      </c>
      <c r="B7085" t="s">
        <v>9292</v>
      </c>
      <c r="C7085" t="s">
        <v>217</v>
      </c>
      <c r="D7085">
        <v>76661772.163023099</v>
      </c>
    </row>
    <row r="7086" spans="1:4" hidden="1" x14ac:dyDescent="0.3">
      <c r="A7086">
        <v>7084</v>
      </c>
      <c r="B7086" t="s">
        <v>9293</v>
      </c>
      <c r="C7086" t="s">
        <v>219</v>
      </c>
      <c r="D7086">
        <v>34351853.500216097</v>
      </c>
    </row>
    <row r="7087" spans="1:4" hidden="1" x14ac:dyDescent="0.3">
      <c r="A7087">
        <v>7085</v>
      </c>
      <c r="B7087" t="s">
        <v>9294</v>
      </c>
      <c r="C7087" t="s">
        <v>221</v>
      </c>
      <c r="D7087">
        <v>32123335.130443599</v>
      </c>
    </row>
    <row r="7088" spans="1:4" hidden="1" x14ac:dyDescent="0.3">
      <c r="A7088">
        <v>7086</v>
      </c>
      <c r="B7088" s="1" t="s">
        <v>9295</v>
      </c>
      <c r="C7088" t="s">
        <v>223</v>
      </c>
      <c r="D7088" s="1" t="s">
        <v>9296</v>
      </c>
    </row>
    <row r="7089" spans="1:4" hidden="1" x14ac:dyDescent="0.3">
      <c r="A7089">
        <v>7087</v>
      </c>
      <c r="B7089" t="s">
        <v>9297</v>
      </c>
      <c r="C7089" t="s">
        <v>226</v>
      </c>
      <c r="D7089">
        <v>103008290.81590401</v>
      </c>
    </row>
    <row r="7090" spans="1:4" hidden="1" x14ac:dyDescent="0.3">
      <c r="A7090">
        <v>7088</v>
      </c>
      <c r="B7090" t="s">
        <v>9298</v>
      </c>
      <c r="C7090" t="s">
        <v>228</v>
      </c>
      <c r="D7090">
        <v>-967.69207793474197</v>
      </c>
    </row>
    <row r="7091" spans="1:4" hidden="1" x14ac:dyDescent="0.3">
      <c r="A7091">
        <v>7089</v>
      </c>
      <c r="B7091" s="1" t="s">
        <v>9299</v>
      </c>
      <c r="C7091" t="s">
        <v>230</v>
      </c>
      <c r="D7091" s="1" t="s">
        <v>9300</v>
      </c>
    </row>
    <row r="7092" spans="1:4" hidden="1" x14ac:dyDescent="0.3">
      <c r="A7092">
        <v>7090</v>
      </c>
      <c r="B7092" t="s">
        <v>9301</v>
      </c>
      <c r="C7092" t="s">
        <v>112</v>
      </c>
      <c r="D7092">
        <v>244.18285682110999</v>
      </c>
    </row>
    <row r="7093" spans="1:4" hidden="1" x14ac:dyDescent="0.3">
      <c r="A7093">
        <v>7091</v>
      </c>
      <c r="B7093" t="s">
        <v>9302</v>
      </c>
      <c r="C7093" t="s">
        <v>114</v>
      </c>
      <c r="D7093">
        <v>55.712663289239202</v>
      </c>
    </row>
    <row r="7094" spans="1:4" hidden="1" x14ac:dyDescent="0.3">
      <c r="A7094">
        <v>7092</v>
      </c>
      <c r="B7094" s="1" t="s">
        <v>9303</v>
      </c>
      <c r="C7094" t="s">
        <v>116</v>
      </c>
      <c r="D7094" s="1" t="s">
        <v>9304</v>
      </c>
    </row>
    <row r="7095" spans="1:4" hidden="1" x14ac:dyDescent="0.3">
      <c r="A7095">
        <v>7093</v>
      </c>
      <c r="B7095" t="s">
        <v>9305</v>
      </c>
      <c r="C7095" t="s">
        <v>119</v>
      </c>
      <c r="D7095">
        <v>76661772.163023099</v>
      </c>
    </row>
    <row r="7096" spans="1:4" hidden="1" x14ac:dyDescent="0.3">
      <c r="A7096">
        <v>7094</v>
      </c>
      <c r="B7096" t="s">
        <v>9306</v>
      </c>
      <c r="C7096" t="s">
        <v>121</v>
      </c>
      <c r="D7096">
        <v>34351853.500216097</v>
      </c>
    </row>
    <row r="7097" spans="1:4" hidden="1" x14ac:dyDescent="0.3">
      <c r="A7097">
        <v>7095</v>
      </c>
      <c r="B7097" s="1" t="s">
        <v>9307</v>
      </c>
      <c r="C7097" t="s">
        <v>123</v>
      </c>
      <c r="D7097" s="1" t="s">
        <v>9308</v>
      </c>
    </row>
    <row r="7098" spans="1:4" hidden="1" x14ac:dyDescent="0.3">
      <c r="A7098">
        <v>7096</v>
      </c>
      <c r="B7098" t="s">
        <v>9309</v>
      </c>
      <c r="C7098" t="s">
        <v>126</v>
      </c>
      <c r="D7098">
        <v>0.74432965398909601</v>
      </c>
    </row>
    <row r="7099" spans="1:4" hidden="1" x14ac:dyDescent="0.3">
      <c r="A7099">
        <v>7097</v>
      </c>
      <c r="B7099" t="s">
        <v>9310</v>
      </c>
      <c r="C7099" t="s">
        <v>128</v>
      </c>
      <c r="D7099">
        <v>0.333531335217853</v>
      </c>
    </row>
    <row r="7100" spans="1:4" hidden="1" x14ac:dyDescent="0.3">
      <c r="A7100">
        <v>7098</v>
      </c>
      <c r="B7100" s="1" t="s">
        <v>9311</v>
      </c>
      <c r="C7100" t="s">
        <v>130</v>
      </c>
      <c r="D7100" s="1" t="s">
        <v>9312</v>
      </c>
    </row>
    <row r="7101" spans="1:4" ht="72" x14ac:dyDescent="0.3">
      <c r="A7101">
        <v>7099</v>
      </c>
      <c r="B7101" s="1" t="s">
        <v>9313</v>
      </c>
      <c r="C7101" t="s">
        <v>4</v>
      </c>
      <c r="D7101" t="s">
        <v>9314</v>
      </c>
    </row>
    <row r="7102" spans="1:4" hidden="1" x14ac:dyDescent="0.3">
      <c r="A7102">
        <v>7100</v>
      </c>
      <c r="B7102" t="s">
        <v>9315</v>
      </c>
      <c r="C7102" t="s">
        <v>7</v>
      </c>
      <c r="D7102">
        <v>1741.36</v>
      </c>
    </row>
    <row r="7103" spans="1:4" hidden="1" x14ac:dyDescent="0.3">
      <c r="A7103">
        <v>7101</v>
      </c>
      <c r="B7103" s="1" t="s">
        <v>9316</v>
      </c>
      <c r="C7103" t="s">
        <v>9</v>
      </c>
      <c r="D7103" s="1" t="s">
        <v>9317</v>
      </c>
    </row>
    <row r="7104" spans="1:4" hidden="1" x14ac:dyDescent="0.3">
      <c r="A7104">
        <v>7102</v>
      </c>
      <c r="B7104" t="s">
        <v>9318</v>
      </c>
      <c r="C7104" t="s">
        <v>14</v>
      </c>
      <c r="D7104">
        <v>89.20703125</v>
      </c>
    </row>
    <row r="7105" spans="1:4" hidden="1" x14ac:dyDescent="0.3">
      <c r="A7105">
        <v>7103</v>
      </c>
      <c r="B7105" t="s">
        <v>9319</v>
      </c>
      <c r="C7105" t="s">
        <v>16</v>
      </c>
      <c r="D7105">
        <v>4.2343152763124703</v>
      </c>
    </row>
    <row r="7106" spans="1:4" hidden="1" x14ac:dyDescent="0.3">
      <c r="A7106">
        <v>7104</v>
      </c>
      <c r="B7106" s="1" t="s">
        <v>9320</v>
      </c>
      <c r="C7106" t="s">
        <v>140</v>
      </c>
      <c r="D7106" s="1" t="s">
        <v>9321</v>
      </c>
    </row>
    <row r="7107" spans="1:4" hidden="1" x14ac:dyDescent="0.3">
      <c r="A7107">
        <v>7105</v>
      </c>
      <c r="B7107" t="s">
        <v>8425</v>
      </c>
      <c r="C7107" t="s">
        <v>22</v>
      </c>
      <c r="D7107">
        <v>50.95</v>
      </c>
    </row>
    <row r="7108" spans="1:4" hidden="1" x14ac:dyDescent="0.3">
      <c r="A7108">
        <v>7106</v>
      </c>
      <c r="B7108" t="s">
        <v>9322</v>
      </c>
      <c r="C7108" t="s">
        <v>24</v>
      </c>
      <c r="D7108">
        <v>5.1143813199801098</v>
      </c>
    </row>
    <row r="7109" spans="1:4" hidden="1" x14ac:dyDescent="0.3">
      <c r="A7109">
        <v>7107</v>
      </c>
      <c r="B7109" s="1" t="s">
        <v>9323</v>
      </c>
      <c r="C7109" t="s">
        <v>145</v>
      </c>
      <c r="D7109" s="1" t="s">
        <v>9324</v>
      </c>
    </row>
    <row r="7110" spans="1:4" hidden="1" x14ac:dyDescent="0.3">
      <c r="A7110">
        <v>7108</v>
      </c>
      <c r="B7110" t="s">
        <v>9325</v>
      </c>
      <c r="C7110" t="s">
        <v>35</v>
      </c>
      <c r="D7110">
        <v>-9.3101214167246704E-2</v>
      </c>
    </row>
    <row r="7111" spans="1:4" hidden="1" x14ac:dyDescent="0.3">
      <c r="A7111">
        <v>7109</v>
      </c>
      <c r="B7111" t="s">
        <v>9326</v>
      </c>
      <c r="C7111" t="s">
        <v>149</v>
      </c>
      <c r="D7111">
        <v>0.54912668565881695</v>
      </c>
    </row>
    <row r="7112" spans="1:4" hidden="1" x14ac:dyDescent="0.3">
      <c r="A7112">
        <v>7110</v>
      </c>
      <c r="B7112" s="1" t="s">
        <v>9327</v>
      </c>
      <c r="C7112" t="s">
        <v>151</v>
      </c>
      <c r="D7112" s="1" t="s">
        <v>9328</v>
      </c>
    </row>
    <row r="7113" spans="1:4" hidden="1" x14ac:dyDescent="0.3">
      <c r="A7113">
        <v>7111</v>
      </c>
      <c r="B7113" t="s">
        <v>9329</v>
      </c>
      <c r="C7113" t="s">
        <v>30</v>
      </c>
      <c r="D7113">
        <v>0.48072947836267099</v>
      </c>
    </row>
    <row r="7114" spans="1:4" hidden="1" x14ac:dyDescent="0.3">
      <c r="A7114">
        <v>7112</v>
      </c>
      <c r="B7114" t="s">
        <v>9330</v>
      </c>
      <c r="C7114" t="s">
        <v>32</v>
      </c>
      <c r="D7114">
        <v>0.39816700639821301</v>
      </c>
    </row>
    <row r="7115" spans="1:4" hidden="1" x14ac:dyDescent="0.3">
      <c r="A7115">
        <v>7113</v>
      </c>
      <c r="B7115" s="1" t="s">
        <v>9331</v>
      </c>
      <c r="C7115" t="s">
        <v>155</v>
      </c>
      <c r="D7115" s="1" t="s">
        <v>9332</v>
      </c>
    </row>
    <row r="7116" spans="1:4" hidden="1" x14ac:dyDescent="0.3">
      <c r="A7116">
        <v>7114</v>
      </c>
      <c r="B7116" t="s">
        <v>9333</v>
      </c>
      <c r="C7116" t="s">
        <v>40</v>
      </c>
      <c r="D7116">
        <v>0.61237173580457505</v>
      </c>
    </row>
    <row r="7117" spans="1:4" hidden="1" x14ac:dyDescent="0.3">
      <c r="A7117">
        <v>7115</v>
      </c>
      <c r="B7117" t="s">
        <v>9334</v>
      </c>
      <c r="C7117" t="s">
        <v>42</v>
      </c>
      <c r="D7117">
        <v>0.422906392721418</v>
      </c>
    </row>
    <row r="7118" spans="1:4" hidden="1" x14ac:dyDescent="0.3">
      <c r="A7118">
        <v>7116</v>
      </c>
      <c r="B7118" s="1" t="s">
        <v>9335</v>
      </c>
      <c r="C7118" t="s">
        <v>159</v>
      </c>
      <c r="D7118" s="1" t="s">
        <v>9336</v>
      </c>
    </row>
    <row r="7119" spans="1:4" hidden="1" x14ac:dyDescent="0.3">
      <c r="A7119">
        <v>7117</v>
      </c>
      <c r="B7119" t="s">
        <v>9337</v>
      </c>
      <c r="C7119" t="s">
        <v>161</v>
      </c>
      <c r="D7119">
        <v>0.99226749784891699</v>
      </c>
    </row>
    <row r="7120" spans="1:4" hidden="1" x14ac:dyDescent="0.3">
      <c r="A7120">
        <v>7118</v>
      </c>
      <c r="B7120" t="s">
        <v>9338</v>
      </c>
      <c r="C7120" t="s">
        <v>163</v>
      </c>
      <c r="D7120">
        <v>1.0002841262976401</v>
      </c>
    </row>
    <row r="7121" spans="1:4" hidden="1" x14ac:dyDescent="0.3">
      <c r="A7121">
        <v>7119</v>
      </c>
      <c r="B7121" s="1" t="s">
        <v>9339</v>
      </c>
      <c r="C7121" t="s">
        <v>165</v>
      </c>
      <c r="D7121" s="1" t="s">
        <v>9340</v>
      </c>
    </row>
    <row r="7122" spans="1:4" hidden="1" x14ac:dyDescent="0.3">
      <c r="A7122">
        <v>7120</v>
      </c>
      <c r="B7122" t="s">
        <v>9341</v>
      </c>
      <c r="C7122" t="s">
        <v>168</v>
      </c>
      <c r="D7122">
        <v>1.0035027250130799</v>
      </c>
    </row>
    <row r="7123" spans="1:4" hidden="1" x14ac:dyDescent="0.3">
      <c r="A7123">
        <v>7121</v>
      </c>
      <c r="B7123" t="s">
        <v>9342</v>
      </c>
      <c r="C7123" t="s">
        <v>170</v>
      </c>
      <c r="D7123">
        <v>0.99721192639821499</v>
      </c>
    </row>
    <row r="7124" spans="1:4" hidden="1" x14ac:dyDescent="0.3">
      <c r="A7124">
        <v>7122</v>
      </c>
      <c r="B7124" s="1" t="s">
        <v>9343</v>
      </c>
      <c r="C7124" t="s">
        <v>172</v>
      </c>
      <c r="D7124" s="1" t="s">
        <v>9344</v>
      </c>
    </row>
    <row r="7125" spans="1:4" hidden="1" x14ac:dyDescent="0.3">
      <c r="A7125">
        <v>7123</v>
      </c>
      <c r="B7125" s="1" t="s">
        <v>9345</v>
      </c>
      <c r="C7125" t="s">
        <v>55</v>
      </c>
      <c r="D7125" s="1" t="s">
        <v>9346</v>
      </c>
    </row>
    <row r="7126" spans="1:4" hidden="1" x14ac:dyDescent="0.3">
      <c r="A7126">
        <v>7124</v>
      </c>
      <c r="B7126" s="1" t="s">
        <v>9347</v>
      </c>
      <c r="C7126" t="s">
        <v>52</v>
      </c>
      <c r="D7126" s="1" t="s">
        <v>9348</v>
      </c>
    </row>
    <row r="7127" spans="1:4" hidden="1" x14ac:dyDescent="0.3">
      <c r="A7127">
        <v>7125</v>
      </c>
      <c r="B7127" s="1" t="s">
        <v>9349</v>
      </c>
      <c r="C7127" t="s">
        <v>58</v>
      </c>
      <c r="D7127" s="1" t="s">
        <v>9350</v>
      </c>
    </row>
    <row r="7128" spans="1:4" hidden="1" x14ac:dyDescent="0.3">
      <c r="A7128">
        <v>7126</v>
      </c>
      <c r="B7128" t="s">
        <v>9351</v>
      </c>
      <c r="C7128" t="s">
        <v>61</v>
      </c>
      <c r="D7128">
        <v>142080864.61283201</v>
      </c>
    </row>
    <row r="7129" spans="1:4" hidden="1" x14ac:dyDescent="0.3">
      <c r="A7129">
        <v>7127</v>
      </c>
      <c r="B7129" t="s">
        <v>9352</v>
      </c>
      <c r="C7129" t="s">
        <v>63</v>
      </c>
      <c r="D7129">
        <v>76068984.844866693</v>
      </c>
    </row>
    <row r="7130" spans="1:4" hidden="1" x14ac:dyDescent="0.3">
      <c r="A7130">
        <v>7128</v>
      </c>
      <c r="B7130" t="s">
        <v>9353</v>
      </c>
      <c r="C7130" t="s">
        <v>65</v>
      </c>
      <c r="D7130">
        <v>34361613.765168302</v>
      </c>
    </row>
    <row r="7131" spans="1:4" hidden="1" x14ac:dyDescent="0.3">
      <c r="A7131">
        <v>7129</v>
      </c>
      <c r="B7131" s="1" t="s">
        <v>9354</v>
      </c>
      <c r="C7131" t="s">
        <v>67</v>
      </c>
      <c r="D7131" s="1" t="s">
        <v>9355</v>
      </c>
    </row>
    <row r="7132" spans="1:4" hidden="1" x14ac:dyDescent="0.3">
      <c r="A7132">
        <v>7130</v>
      </c>
      <c r="B7132" s="1" t="s">
        <v>9356</v>
      </c>
      <c r="C7132" t="s">
        <v>70</v>
      </c>
      <c r="D7132" s="1" t="s">
        <v>9357</v>
      </c>
    </row>
    <row r="7133" spans="1:4" hidden="1" x14ac:dyDescent="0.3">
      <c r="A7133">
        <v>7131</v>
      </c>
      <c r="B7133" t="s">
        <v>9358</v>
      </c>
      <c r="C7133" t="s">
        <v>73</v>
      </c>
      <c r="D7133">
        <v>0.999864966597377</v>
      </c>
    </row>
    <row r="7134" spans="1:4" hidden="1" x14ac:dyDescent="0.3">
      <c r="A7134">
        <v>7132</v>
      </c>
      <c r="B7134" t="s">
        <v>74</v>
      </c>
      <c r="C7134" t="s">
        <v>75</v>
      </c>
      <c r="D7134">
        <v>2.7397260273972599E-3</v>
      </c>
    </row>
    <row r="7135" spans="1:4" hidden="1" x14ac:dyDescent="0.3">
      <c r="A7135">
        <v>7133</v>
      </c>
      <c r="B7135" t="s">
        <v>76</v>
      </c>
      <c r="C7135" t="s">
        <v>77</v>
      </c>
      <c r="D7135">
        <v>0</v>
      </c>
    </row>
    <row r="7136" spans="1:4" hidden="1" x14ac:dyDescent="0.3">
      <c r="A7136">
        <v>7134</v>
      </c>
      <c r="B7136" t="s">
        <v>78</v>
      </c>
      <c r="C7136" t="s">
        <v>79</v>
      </c>
      <c r="D7136">
        <v>0</v>
      </c>
    </row>
    <row r="7137" spans="1:4" hidden="1" x14ac:dyDescent="0.3">
      <c r="A7137">
        <v>7135</v>
      </c>
      <c r="B7137" s="1" t="s">
        <v>9359</v>
      </c>
      <c r="C7137" t="s">
        <v>81</v>
      </c>
      <c r="D7137" s="1" t="s">
        <v>9360</v>
      </c>
    </row>
    <row r="7138" spans="1:4" hidden="1" x14ac:dyDescent="0.3">
      <c r="A7138">
        <v>7136</v>
      </c>
      <c r="B7138" t="s">
        <v>9361</v>
      </c>
      <c r="C7138" t="s">
        <v>84</v>
      </c>
      <c r="D7138">
        <v>0.99985355568142997</v>
      </c>
    </row>
    <row r="7139" spans="1:4" hidden="1" x14ac:dyDescent="0.3">
      <c r="A7139">
        <v>7137</v>
      </c>
      <c r="B7139" s="1" t="s">
        <v>9362</v>
      </c>
      <c r="C7139" t="s">
        <v>86</v>
      </c>
      <c r="D7139" s="1" t="s">
        <v>9363</v>
      </c>
    </row>
    <row r="7140" spans="1:4" hidden="1" x14ac:dyDescent="0.3">
      <c r="A7140">
        <v>7138</v>
      </c>
      <c r="B7140" t="s">
        <v>9364</v>
      </c>
      <c r="C7140" t="s">
        <v>89</v>
      </c>
      <c r="D7140">
        <v>103008498.703889</v>
      </c>
    </row>
    <row r="7141" spans="1:4" hidden="1" x14ac:dyDescent="0.3">
      <c r="A7141">
        <v>7139</v>
      </c>
      <c r="B7141" s="1" t="s">
        <v>9365</v>
      </c>
      <c r="C7141" t="s">
        <v>91</v>
      </c>
      <c r="D7141" s="1" t="s">
        <v>9300</v>
      </c>
    </row>
    <row r="7142" spans="1:4" hidden="1" x14ac:dyDescent="0.3">
      <c r="A7142">
        <v>7140</v>
      </c>
      <c r="B7142" t="s">
        <v>9366</v>
      </c>
      <c r="C7142" t="s">
        <v>94</v>
      </c>
      <c r="D7142">
        <v>76068984.844866693</v>
      </c>
    </row>
    <row r="7143" spans="1:4" hidden="1" x14ac:dyDescent="0.3">
      <c r="A7143">
        <v>7141</v>
      </c>
      <c r="B7143" t="s">
        <v>9367</v>
      </c>
      <c r="C7143" t="s">
        <v>96</v>
      </c>
      <c r="D7143">
        <v>34361613.765168302</v>
      </c>
    </row>
    <row r="7144" spans="1:4" hidden="1" x14ac:dyDescent="0.3">
      <c r="A7144">
        <v>7142</v>
      </c>
      <c r="B7144" t="s">
        <v>9368</v>
      </c>
      <c r="C7144" t="s">
        <v>98</v>
      </c>
      <c r="D7144">
        <v>31650266.0027976</v>
      </c>
    </row>
    <row r="7145" spans="1:4" hidden="1" x14ac:dyDescent="0.3">
      <c r="A7145">
        <v>7143</v>
      </c>
      <c r="B7145" s="1" t="s">
        <v>9369</v>
      </c>
      <c r="C7145" t="s">
        <v>100</v>
      </c>
      <c r="D7145" s="1" t="s">
        <v>9370</v>
      </c>
    </row>
    <row r="7146" spans="1:4" hidden="1" x14ac:dyDescent="0.3">
      <c r="A7146">
        <v>7144</v>
      </c>
      <c r="B7146" t="s">
        <v>9371</v>
      </c>
      <c r="C7146" t="s">
        <v>103</v>
      </c>
      <c r="D7146">
        <v>9.7253784653082501E-3</v>
      </c>
    </row>
    <row r="7147" spans="1:4" hidden="1" x14ac:dyDescent="0.3">
      <c r="A7147">
        <v>7145</v>
      </c>
      <c r="B7147" t="s">
        <v>9372</v>
      </c>
      <c r="C7147" t="s">
        <v>105</v>
      </c>
      <c r="D7147">
        <v>2.9651898916219399E-3</v>
      </c>
    </row>
    <row r="7148" spans="1:4" hidden="1" x14ac:dyDescent="0.3">
      <c r="A7148">
        <v>7146</v>
      </c>
      <c r="B7148" t="s">
        <v>9373</v>
      </c>
      <c r="C7148" t="s">
        <v>107</v>
      </c>
      <c r="D7148">
        <v>1.8760807656692201E-2</v>
      </c>
    </row>
    <row r="7149" spans="1:4" hidden="1" x14ac:dyDescent="0.3">
      <c r="A7149">
        <v>7147</v>
      </c>
      <c r="B7149" s="1" t="s">
        <v>9374</v>
      </c>
      <c r="C7149" t="s">
        <v>109</v>
      </c>
      <c r="D7149" s="1" t="s">
        <v>9375</v>
      </c>
    </row>
    <row r="7150" spans="1:4" hidden="1" x14ac:dyDescent="0.3">
      <c r="A7150">
        <v>7148</v>
      </c>
      <c r="B7150" t="s">
        <v>9376</v>
      </c>
      <c r="C7150" t="s">
        <v>208</v>
      </c>
      <c r="D7150">
        <v>142080458.58609399</v>
      </c>
    </row>
    <row r="7151" spans="1:4" hidden="1" x14ac:dyDescent="0.3">
      <c r="A7151">
        <v>7149</v>
      </c>
      <c r="B7151" t="s">
        <v>9377</v>
      </c>
      <c r="C7151" t="s">
        <v>210</v>
      </c>
      <c r="D7151">
        <v>868.13063961498699</v>
      </c>
    </row>
    <row r="7152" spans="1:4" hidden="1" x14ac:dyDescent="0.3">
      <c r="A7152">
        <v>7150</v>
      </c>
      <c r="B7152" t="s">
        <v>9378</v>
      </c>
      <c r="C7152" t="s">
        <v>212</v>
      </c>
      <c r="D7152">
        <v>392.14965065133202</v>
      </c>
    </row>
    <row r="7153" spans="1:4" hidden="1" x14ac:dyDescent="0.3">
      <c r="A7153">
        <v>7151</v>
      </c>
      <c r="B7153" s="1" t="s">
        <v>9379</v>
      </c>
      <c r="C7153" t="s">
        <v>214</v>
      </c>
      <c r="D7153" s="1" t="s">
        <v>9380</v>
      </c>
    </row>
    <row r="7154" spans="1:4" hidden="1" x14ac:dyDescent="0.3">
      <c r="A7154">
        <v>7152</v>
      </c>
      <c r="B7154" t="s">
        <v>9381</v>
      </c>
      <c r="C7154" t="s">
        <v>217</v>
      </c>
      <c r="D7154">
        <v>76067820.571250007</v>
      </c>
    </row>
    <row r="7155" spans="1:4" hidden="1" x14ac:dyDescent="0.3">
      <c r="A7155">
        <v>7153</v>
      </c>
      <c r="B7155" t="s">
        <v>9382</v>
      </c>
      <c r="C7155" t="s">
        <v>219</v>
      </c>
      <c r="D7155">
        <v>34361152.459788099</v>
      </c>
    </row>
    <row r="7156" spans="1:4" hidden="1" x14ac:dyDescent="0.3">
      <c r="A7156">
        <v>7154</v>
      </c>
      <c r="B7156" t="s">
        <v>9383</v>
      </c>
      <c r="C7156" t="s">
        <v>221</v>
      </c>
      <c r="D7156">
        <v>31649864.067930799</v>
      </c>
    </row>
    <row r="7157" spans="1:4" hidden="1" x14ac:dyDescent="0.3">
      <c r="A7157">
        <v>7155</v>
      </c>
      <c r="B7157" s="1" t="s">
        <v>9384</v>
      </c>
      <c r="C7157" t="s">
        <v>223</v>
      </c>
      <c r="D7157" s="1" t="s">
        <v>9385</v>
      </c>
    </row>
    <row r="7158" spans="1:4" hidden="1" x14ac:dyDescent="0.3">
      <c r="A7158">
        <v>7156</v>
      </c>
      <c r="B7158" t="s">
        <v>9386</v>
      </c>
      <c r="C7158" t="s">
        <v>226</v>
      </c>
      <c r="D7158">
        <v>103007323.123826</v>
      </c>
    </row>
    <row r="7159" spans="1:4" hidden="1" x14ac:dyDescent="0.3">
      <c r="A7159">
        <v>7157</v>
      </c>
      <c r="B7159" t="s">
        <v>9387</v>
      </c>
      <c r="C7159" t="s">
        <v>228</v>
      </c>
      <c r="D7159">
        <v>1175.58006311953</v>
      </c>
    </row>
    <row r="7160" spans="1:4" hidden="1" x14ac:dyDescent="0.3">
      <c r="A7160">
        <v>7158</v>
      </c>
      <c r="B7160" s="1" t="s">
        <v>9388</v>
      </c>
      <c r="C7160" t="s">
        <v>230</v>
      </c>
      <c r="D7160" s="1" t="s">
        <v>9389</v>
      </c>
    </row>
    <row r="7161" spans="1:4" hidden="1" x14ac:dyDescent="0.3">
      <c r="A7161">
        <v>7159</v>
      </c>
      <c r="B7161" t="s">
        <v>9390</v>
      </c>
      <c r="C7161" t="s">
        <v>112</v>
      </c>
      <c r="D7161">
        <v>-296.14297710759399</v>
      </c>
    </row>
    <row r="7162" spans="1:4" hidden="1" x14ac:dyDescent="0.3">
      <c r="A7162">
        <v>7160</v>
      </c>
      <c r="B7162" t="s">
        <v>9391</v>
      </c>
      <c r="C7162" t="s">
        <v>114</v>
      </c>
      <c r="D7162">
        <v>-69.155729582496306</v>
      </c>
    </row>
    <row r="7163" spans="1:4" hidden="1" x14ac:dyDescent="0.3">
      <c r="A7163">
        <v>7161</v>
      </c>
      <c r="B7163" s="1" t="s">
        <v>9392</v>
      </c>
      <c r="C7163" t="s">
        <v>116</v>
      </c>
      <c r="D7163" s="1" t="s">
        <v>9393</v>
      </c>
    </row>
    <row r="7164" spans="1:4" hidden="1" x14ac:dyDescent="0.3">
      <c r="A7164">
        <v>7162</v>
      </c>
      <c r="B7164" t="s">
        <v>9394</v>
      </c>
      <c r="C7164" t="s">
        <v>119</v>
      </c>
      <c r="D7164">
        <v>76067820.571250007</v>
      </c>
    </row>
    <row r="7165" spans="1:4" hidden="1" x14ac:dyDescent="0.3">
      <c r="A7165">
        <v>7163</v>
      </c>
      <c r="B7165" t="s">
        <v>9395</v>
      </c>
      <c r="C7165" t="s">
        <v>121</v>
      </c>
      <c r="D7165">
        <v>34361152.459788099</v>
      </c>
    </row>
    <row r="7166" spans="1:4" hidden="1" x14ac:dyDescent="0.3">
      <c r="A7166">
        <v>7164</v>
      </c>
      <c r="B7166" s="1" t="s">
        <v>9396</v>
      </c>
      <c r="C7166" t="s">
        <v>123</v>
      </c>
      <c r="D7166" s="1" t="s">
        <v>9397</v>
      </c>
    </row>
    <row r="7167" spans="1:4" hidden="1" x14ac:dyDescent="0.3">
      <c r="A7167">
        <v>7165</v>
      </c>
      <c r="B7167" t="s">
        <v>9398</v>
      </c>
      <c r="C7167" t="s">
        <v>126</v>
      </c>
      <c r="D7167">
        <v>0.73857818644144102</v>
      </c>
    </row>
    <row r="7168" spans="1:4" hidden="1" x14ac:dyDescent="0.3">
      <c r="A7168">
        <v>7166</v>
      </c>
      <c r="B7168" t="s">
        <v>9399</v>
      </c>
      <c r="C7168" t="s">
        <v>128</v>
      </c>
      <c r="D7168">
        <v>0.33362856300079102</v>
      </c>
    </row>
    <row r="7169" spans="1:4" hidden="1" x14ac:dyDescent="0.3">
      <c r="A7169">
        <v>7167</v>
      </c>
      <c r="B7169" s="1" t="s">
        <v>9400</v>
      </c>
      <c r="C7169" t="s">
        <v>130</v>
      </c>
      <c r="D7169" s="1" t="s">
        <v>9401</v>
      </c>
    </row>
    <row r="7170" spans="1:4" ht="72" x14ac:dyDescent="0.3">
      <c r="A7170">
        <v>7168</v>
      </c>
      <c r="B7170" s="1" t="s">
        <v>9402</v>
      </c>
      <c r="C7170" t="s">
        <v>4</v>
      </c>
      <c r="D7170" t="s">
        <v>9403</v>
      </c>
    </row>
    <row r="7171" spans="1:4" hidden="1" x14ac:dyDescent="0.3">
      <c r="A7171">
        <v>7169</v>
      </c>
      <c r="B7171" t="s">
        <v>9404</v>
      </c>
      <c r="C7171" t="s">
        <v>7</v>
      </c>
      <c r="D7171">
        <v>1749.85</v>
      </c>
    </row>
    <row r="7172" spans="1:4" hidden="1" x14ac:dyDescent="0.3">
      <c r="A7172">
        <v>7170</v>
      </c>
      <c r="B7172" s="1" t="s">
        <v>9405</v>
      </c>
      <c r="C7172" t="s">
        <v>9</v>
      </c>
      <c r="D7172" s="1" t="s">
        <v>9406</v>
      </c>
    </row>
    <row r="7173" spans="1:4" hidden="1" x14ac:dyDescent="0.3">
      <c r="A7173">
        <v>7171</v>
      </c>
      <c r="B7173" t="s">
        <v>9407</v>
      </c>
      <c r="C7173" t="s">
        <v>14</v>
      </c>
      <c r="D7173">
        <v>89.11328125</v>
      </c>
    </row>
    <row r="7174" spans="1:4" hidden="1" x14ac:dyDescent="0.3">
      <c r="A7174">
        <v>7172</v>
      </c>
      <c r="B7174" t="s">
        <v>9408</v>
      </c>
      <c r="C7174" t="s">
        <v>16</v>
      </c>
      <c r="D7174">
        <v>4.2302719421712602</v>
      </c>
    </row>
    <row r="7175" spans="1:4" hidden="1" x14ac:dyDescent="0.3">
      <c r="A7175">
        <v>7173</v>
      </c>
      <c r="B7175" s="1" t="s">
        <v>9409</v>
      </c>
      <c r="C7175" t="s">
        <v>140</v>
      </c>
      <c r="D7175" s="1" t="s">
        <v>9410</v>
      </c>
    </row>
    <row r="7176" spans="1:4" hidden="1" x14ac:dyDescent="0.3">
      <c r="A7176">
        <v>7174</v>
      </c>
      <c r="B7176" t="s">
        <v>6898</v>
      </c>
      <c r="C7176" t="s">
        <v>22</v>
      </c>
      <c r="D7176">
        <v>52.6</v>
      </c>
    </row>
    <row r="7177" spans="1:4" hidden="1" x14ac:dyDescent="0.3">
      <c r="A7177">
        <v>7175</v>
      </c>
      <c r="B7177" t="s">
        <v>9411</v>
      </c>
      <c r="C7177" t="s">
        <v>24</v>
      </c>
      <c r="D7177">
        <v>4.92035048237212</v>
      </c>
    </row>
    <row r="7178" spans="1:4" hidden="1" x14ac:dyDescent="0.3">
      <c r="A7178">
        <v>7176</v>
      </c>
      <c r="B7178" s="1" t="s">
        <v>9412</v>
      </c>
      <c r="C7178" t="s">
        <v>145</v>
      </c>
      <c r="D7178" s="1" t="s">
        <v>9413</v>
      </c>
    </row>
    <row r="7179" spans="1:4" hidden="1" x14ac:dyDescent="0.3">
      <c r="A7179">
        <v>7177</v>
      </c>
      <c r="B7179" t="s">
        <v>9414</v>
      </c>
      <c r="C7179" t="s">
        <v>35</v>
      </c>
      <c r="D7179">
        <v>4.4801909873592199E-2</v>
      </c>
    </row>
    <row r="7180" spans="1:4" hidden="1" x14ac:dyDescent="0.3">
      <c r="A7180">
        <v>7178</v>
      </c>
      <c r="B7180" t="s">
        <v>9415</v>
      </c>
      <c r="C7180" t="s">
        <v>149</v>
      </c>
      <c r="D7180">
        <v>0.53760017512835401</v>
      </c>
    </row>
    <row r="7181" spans="1:4" hidden="1" x14ac:dyDescent="0.3">
      <c r="A7181">
        <v>7179</v>
      </c>
      <c r="B7181" s="1" t="s">
        <v>9416</v>
      </c>
      <c r="C7181" t="s">
        <v>151</v>
      </c>
      <c r="D7181" s="1" t="s">
        <v>9417</v>
      </c>
    </row>
    <row r="7182" spans="1:4" hidden="1" x14ac:dyDescent="0.3">
      <c r="A7182">
        <v>7180</v>
      </c>
      <c r="B7182" t="s">
        <v>9418</v>
      </c>
      <c r="C7182" t="s">
        <v>30</v>
      </c>
      <c r="D7182">
        <v>0.42818933571735301</v>
      </c>
    </row>
    <row r="7183" spans="1:4" hidden="1" x14ac:dyDescent="0.3">
      <c r="A7183">
        <v>7181</v>
      </c>
      <c r="B7183" t="s">
        <v>9419</v>
      </c>
      <c r="C7183" t="s">
        <v>32</v>
      </c>
      <c r="D7183">
        <v>0.40716669890907597</v>
      </c>
    </row>
    <row r="7184" spans="1:4" hidden="1" x14ac:dyDescent="0.3">
      <c r="A7184">
        <v>7182</v>
      </c>
      <c r="B7184" s="1" t="s">
        <v>9420</v>
      </c>
      <c r="C7184" t="s">
        <v>155</v>
      </c>
      <c r="D7184" s="1" t="s">
        <v>9421</v>
      </c>
    </row>
    <row r="7185" spans="1:4" hidden="1" x14ac:dyDescent="0.3">
      <c r="A7185">
        <v>7183</v>
      </c>
      <c r="B7185" t="s">
        <v>9422</v>
      </c>
      <c r="C7185" t="s">
        <v>40</v>
      </c>
      <c r="D7185">
        <v>0.52700875440905404</v>
      </c>
    </row>
    <row r="7186" spans="1:4" hidden="1" x14ac:dyDescent="0.3">
      <c r="A7186">
        <v>7184</v>
      </c>
      <c r="B7186" t="s">
        <v>9423</v>
      </c>
      <c r="C7186" t="s">
        <v>42</v>
      </c>
      <c r="D7186">
        <v>0.45295174275855299</v>
      </c>
    </row>
    <row r="7187" spans="1:4" hidden="1" x14ac:dyDescent="0.3">
      <c r="A7187">
        <v>7185</v>
      </c>
      <c r="B7187" s="1" t="s">
        <v>9424</v>
      </c>
      <c r="C7187" t="s">
        <v>159</v>
      </c>
      <c r="D7187" s="1" t="s">
        <v>9425</v>
      </c>
    </row>
    <row r="7188" spans="1:4" hidden="1" x14ac:dyDescent="0.3">
      <c r="A7188">
        <v>7186</v>
      </c>
      <c r="B7188" t="s">
        <v>9426</v>
      </c>
      <c r="C7188" t="s">
        <v>161</v>
      </c>
      <c r="D7188">
        <v>1.0048754996095</v>
      </c>
    </row>
    <row r="7189" spans="1:4" hidden="1" x14ac:dyDescent="0.3">
      <c r="A7189">
        <v>7187</v>
      </c>
      <c r="B7189" t="s">
        <v>9427</v>
      </c>
      <c r="C7189" t="s">
        <v>163</v>
      </c>
      <c r="D7189">
        <v>0.99895342546124699</v>
      </c>
    </row>
    <row r="7190" spans="1:4" hidden="1" x14ac:dyDescent="0.3">
      <c r="A7190">
        <v>7188</v>
      </c>
      <c r="B7190" s="1" t="s">
        <v>9428</v>
      </c>
      <c r="C7190" t="s">
        <v>165</v>
      </c>
      <c r="D7190" s="1" t="s">
        <v>9429</v>
      </c>
    </row>
    <row r="7191" spans="1:4" hidden="1" x14ac:dyDescent="0.3">
      <c r="A7191">
        <v>7189</v>
      </c>
      <c r="B7191" t="s">
        <v>9430</v>
      </c>
      <c r="C7191" t="s">
        <v>168</v>
      </c>
      <c r="D7191">
        <v>0.99255934931779899</v>
      </c>
    </row>
    <row r="7192" spans="1:4" hidden="1" x14ac:dyDescent="0.3">
      <c r="A7192">
        <v>7190</v>
      </c>
      <c r="B7192" t="s">
        <v>9431</v>
      </c>
      <c r="C7192" t="s">
        <v>170</v>
      </c>
      <c r="D7192">
        <v>1.0064367793472999</v>
      </c>
    </row>
    <row r="7193" spans="1:4" hidden="1" x14ac:dyDescent="0.3">
      <c r="A7193">
        <v>7191</v>
      </c>
      <c r="B7193" s="1" t="s">
        <v>9432</v>
      </c>
      <c r="C7193" t="s">
        <v>172</v>
      </c>
      <c r="D7193" s="1" t="s">
        <v>9433</v>
      </c>
    </row>
    <row r="7194" spans="1:4" hidden="1" x14ac:dyDescent="0.3">
      <c r="A7194">
        <v>7192</v>
      </c>
      <c r="B7194" s="1" t="s">
        <v>9434</v>
      </c>
      <c r="C7194" t="s">
        <v>55</v>
      </c>
      <c r="D7194" s="1" t="s">
        <v>9435</v>
      </c>
    </row>
    <row r="7195" spans="1:4" hidden="1" x14ac:dyDescent="0.3">
      <c r="A7195">
        <v>7193</v>
      </c>
      <c r="B7195" s="1" t="s">
        <v>9436</v>
      </c>
      <c r="C7195" t="s">
        <v>52</v>
      </c>
      <c r="D7195" s="1" t="s">
        <v>9437</v>
      </c>
    </row>
    <row r="7196" spans="1:4" hidden="1" x14ac:dyDescent="0.3">
      <c r="A7196">
        <v>7194</v>
      </c>
      <c r="B7196" s="1" t="s">
        <v>9438</v>
      </c>
      <c r="C7196" t="s">
        <v>58</v>
      </c>
      <c r="D7196" s="1" t="s">
        <v>9439</v>
      </c>
    </row>
    <row r="7197" spans="1:4" hidden="1" x14ac:dyDescent="0.3">
      <c r="A7197">
        <v>7195</v>
      </c>
      <c r="B7197" t="s">
        <v>9440</v>
      </c>
      <c r="C7197" t="s">
        <v>61</v>
      </c>
      <c r="D7197">
        <v>143235678.30823201</v>
      </c>
    </row>
    <row r="7198" spans="1:4" hidden="1" x14ac:dyDescent="0.3">
      <c r="A7198">
        <v>7196</v>
      </c>
      <c r="B7198" t="s">
        <v>9441</v>
      </c>
      <c r="C7198" t="s">
        <v>63</v>
      </c>
      <c r="D7198">
        <v>76438689.200740695</v>
      </c>
    </row>
    <row r="7199" spans="1:4" hidden="1" x14ac:dyDescent="0.3">
      <c r="A7199">
        <v>7197</v>
      </c>
      <c r="B7199" t="s">
        <v>9442</v>
      </c>
      <c r="C7199" t="s">
        <v>65</v>
      </c>
      <c r="D7199">
        <v>34325190.952501498</v>
      </c>
    </row>
    <row r="7200" spans="1:4" hidden="1" x14ac:dyDescent="0.3">
      <c r="A7200">
        <v>7198</v>
      </c>
      <c r="B7200" s="1" t="s">
        <v>9443</v>
      </c>
      <c r="C7200" t="s">
        <v>67</v>
      </c>
      <c r="D7200" s="1" t="s">
        <v>9444</v>
      </c>
    </row>
    <row r="7201" spans="1:4" hidden="1" x14ac:dyDescent="0.3">
      <c r="A7201">
        <v>7199</v>
      </c>
      <c r="B7201" s="1" t="s">
        <v>9445</v>
      </c>
      <c r="C7201" t="s">
        <v>70</v>
      </c>
      <c r="D7201" s="1" t="s">
        <v>9446</v>
      </c>
    </row>
    <row r="7202" spans="1:4" hidden="1" x14ac:dyDescent="0.3">
      <c r="A7202">
        <v>7200</v>
      </c>
      <c r="B7202" t="s">
        <v>9447</v>
      </c>
      <c r="C7202" t="s">
        <v>73</v>
      </c>
      <c r="D7202">
        <v>0.99985355568142997</v>
      </c>
    </row>
    <row r="7203" spans="1:4" hidden="1" x14ac:dyDescent="0.3">
      <c r="A7203">
        <v>7201</v>
      </c>
      <c r="B7203" t="s">
        <v>74</v>
      </c>
      <c r="C7203" t="s">
        <v>75</v>
      </c>
      <c r="D7203">
        <v>2.7397260273972599E-3</v>
      </c>
    </row>
    <row r="7204" spans="1:4" hidden="1" x14ac:dyDescent="0.3">
      <c r="A7204">
        <v>7202</v>
      </c>
      <c r="B7204" t="s">
        <v>76</v>
      </c>
      <c r="C7204" t="s">
        <v>77</v>
      </c>
      <c r="D7204">
        <v>0</v>
      </c>
    </row>
    <row r="7205" spans="1:4" hidden="1" x14ac:dyDescent="0.3">
      <c r="A7205">
        <v>7203</v>
      </c>
      <c r="B7205" t="s">
        <v>78</v>
      </c>
      <c r="C7205" t="s">
        <v>79</v>
      </c>
      <c r="D7205">
        <v>0</v>
      </c>
    </row>
    <row r="7206" spans="1:4" hidden="1" x14ac:dyDescent="0.3">
      <c r="A7206">
        <v>7204</v>
      </c>
      <c r="B7206" s="1" t="s">
        <v>9448</v>
      </c>
      <c r="C7206" t="s">
        <v>81</v>
      </c>
      <c r="D7206" s="1" t="s">
        <v>9449</v>
      </c>
    </row>
    <row r="7207" spans="1:4" hidden="1" x14ac:dyDescent="0.3">
      <c r="A7207">
        <v>7205</v>
      </c>
      <c r="B7207" t="s">
        <v>9450</v>
      </c>
      <c r="C7207" t="s">
        <v>84</v>
      </c>
      <c r="D7207">
        <v>0.99983879795809705</v>
      </c>
    </row>
    <row r="7208" spans="1:4" hidden="1" x14ac:dyDescent="0.3">
      <c r="A7208">
        <v>7206</v>
      </c>
      <c r="B7208" s="1" t="s">
        <v>9451</v>
      </c>
      <c r="C7208" t="s">
        <v>86</v>
      </c>
      <c r="D7208" s="1" t="s">
        <v>9452</v>
      </c>
    </row>
    <row r="7209" spans="1:4" hidden="1" x14ac:dyDescent="0.3">
      <c r="A7209">
        <v>7207</v>
      </c>
      <c r="B7209" t="s">
        <v>9453</v>
      </c>
      <c r="C7209" t="s">
        <v>89</v>
      </c>
      <c r="D7209">
        <v>103010019.119908</v>
      </c>
    </row>
    <row r="7210" spans="1:4" hidden="1" x14ac:dyDescent="0.3">
      <c r="A7210">
        <v>7208</v>
      </c>
      <c r="B7210" s="1" t="s">
        <v>9454</v>
      </c>
      <c r="C7210" t="s">
        <v>91</v>
      </c>
      <c r="D7210" s="1" t="s">
        <v>9389</v>
      </c>
    </row>
    <row r="7211" spans="1:4" hidden="1" x14ac:dyDescent="0.3">
      <c r="A7211">
        <v>7209</v>
      </c>
      <c r="B7211" t="s">
        <v>9455</v>
      </c>
      <c r="C7211" t="s">
        <v>94</v>
      </c>
      <c r="D7211">
        <v>76438689.200740695</v>
      </c>
    </row>
    <row r="7212" spans="1:4" hidden="1" x14ac:dyDescent="0.3">
      <c r="A7212">
        <v>7210</v>
      </c>
      <c r="B7212" t="s">
        <v>9456</v>
      </c>
      <c r="C7212" t="s">
        <v>96</v>
      </c>
      <c r="D7212">
        <v>34325190.952501498</v>
      </c>
    </row>
    <row r="7213" spans="1:4" hidden="1" x14ac:dyDescent="0.3">
      <c r="A7213">
        <v>7211</v>
      </c>
      <c r="B7213" t="s">
        <v>9457</v>
      </c>
      <c r="C7213" t="s">
        <v>98</v>
      </c>
      <c r="D7213">
        <v>32471798.154990502</v>
      </c>
    </row>
    <row r="7214" spans="1:4" hidden="1" x14ac:dyDescent="0.3">
      <c r="A7214">
        <v>7212</v>
      </c>
      <c r="B7214" s="1" t="s">
        <v>9458</v>
      </c>
      <c r="C7214" t="s">
        <v>100</v>
      </c>
      <c r="D7214" s="1" t="s">
        <v>9459</v>
      </c>
    </row>
    <row r="7215" spans="1:4" hidden="1" x14ac:dyDescent="0.3">
      <c r="A7215">
        <v>7213</v>
      </c>
      <c r="B7215" t="s">
        <v>9460</v>
      </c>
      <c r="C7215" t="s">
        <v>103</v>
      </c>
      <c r="D7215">
        <v>9.4658852336186195E-3</v>
      </c>
    </row>
    <row r="7216" spans="1:4" hidden="1" x14ac:dyDescent="0.3">
      <c r="A7216">
        <v>7214</v>
      </c>
      <c r="B7216" t="s">
        <v>9461</v>
      </c>
      <c r="C7216" t="s">
        <v>105</v>
      </c>
      <c r="D7216">
        <v>2.8712350945055902E-3</v>
      </c>
    </row>
    <row r="7217" spans="1:4" hidden="1" x14ac:dyDescent="0.3">
      <c r="A7217">
        <v>7215</v>
      </c>
      <c r="B7217" t="s">
        <v>9462</v>
      </c>
      <c r="C7217" t="s">
        <v>107</v>
      </c>
      <c r="D7217">
        <v>1.90719289636763E-2</v>
      </c>
    </row>
    <row r="7218" spans="1:4" hidden="1" x14ac:dyDescent="0.3">
      <c r="A7218">
        <v>7216</v>
      </c>
      <c r="B7218" s="1" t="s">
        <v>9463</v>
      </c>
      <c r="C7218" t="s">
        <v>109</v>
      </c>
      <c r="D7218" s="1" t="s">
        <v>9464</v>
      </c>
    </row>
    <row r="7219" spans="1:4" hidden="1" x14ac:dyDescent="0.3">
      <c r="A7219">
        <v>7217</v>
      </c>
      <c r="B7219" t="s">
        <v>9465</v>
      </c>
      <c r="C7219" t="s">
        <v>208</v>
      </c>
      <c r="D7219">
        <v>143235156.229132</v>
      </c>
    </row>
    <row r="7220" spans="1:4" hidden="1" x14ac:dyDescent="0.3">
      <c r="A7220">
        <v>7218</v>
      </c>
      <c r="B7220" t="s">
        <v>9466</v>
      </c>
      <c r="C7220" t="s">
        <v>210</v>
      </c>
      <c r="D7220">
        <v>1128.2205636082999</v>
      </c>
    </row>
    <row r="7221" spans="1:4" hidden="1" x14ac:dyDescent="0.3">
      <c r="A7221">
        <v>7219</v>
      </c>
      <c r="B7221" t="s">
        <v>9467</v>
      </c>
      <c r="C7221" t="s">
        <v>212</v>
      </c>
      <c r="D7221">
        <v>506.63497424982597</v>
      </c>
    </row>
    <row r="7222" spans="1:4" hidden="1" x14ac:dyDescent="0.3">
      <c r="A7222">
        <v>7220</v>
      </c>
      <c r="B7222" s="1" t="s">
        <v>9468</v>
      </c>
      <c r="C7222" t="s">
        <v>214</v>
      </c>
      <c r="D7222" s="1" t="s">
        <v>9469</v>
      </c>
    </row>
    <row r="7223" spans="1:4" hidden="1" x14ac:dyDescent="0.3">
      <c r="A7223">
        <v>7221</v>
      </c>
      <c r="B7223" t="s">
        <v>9470</v>
      </c>
      <c r="C7223" t="s">
        <v>217</v>
      </c>
      <c r="D7223">
        <v>76437175.757042497</v>
      </c>
    </row>
    <row r="7224" spans="1:4" hidden="1" x14ac:dyDescent="0.3">
      <c r="A7224">
        <v>7222</v>
      </c>
      <c r="B7224" t="s">
        <v>9471</v>
      </c>
      <c r="C7224" t="s">
        <v>219</v>
      </c>
      <c r="D7224">
        <v>34324623.943694897</v>
      </c>
    </row>
    <row r="7225" spans="1:4" hidden="1" x14ac:dyDescent="0.3">
      <c r="A7225">
        <v>7223</v>
      </c>
      <c r="B7225" t="s">
        <v>9472</v>
      </c>
      <c r="C7225" t="s">
        <v>221</v>
      </c>
      <c r="D7225">
        <v>32471242.393985301</v>
      </c>
    </row>
    <row r="7226" spans="1:4" hidden="1" x14ac:dyDescent="0.3">
      <c r="A7226">
        <v>7224</v>
      </c>
      <c r="B7226" s="1" t="s">
        <v>9473</v>
      </c>
      <c r="C7226" t="s">
        <v>223</v>
      </c>
      <c r="D7226" s="1" t="s">
        <v>9474</v>
      </c>
    </row>
    <row r="7227" spans="1:4" hidden="1" x14ac:dyDescent="0.3">
      <c r="A7227">
        <v>7225</v>
      </c>
      <c r="B7227" t="s">
        <v>9475</v>
      </c>
      <c r="C7227" t="s">
        <v>226</v>
      </c>
      <c r="D7227">
        <v>103008498.703889</v>
      </c>
    </row>
    <row r="7228" spans="1:4" hidden="1" x14ac:dyDescent="0.3">
      <c r="A7228">
        <v>7226</v>
      </c>
      <c r="B7228" t="s">
        <v>9476</v>
      </c>
      <c r="C7228" t="s">
        <v>228</v>
      </c>
      <c r="D7228">
        <v>1520.4160189479501</v>
      </c>
    </row>
    <row r="7229" spans="1:4" hidden="1" x14ac:dyDescent="0.3">
      <c r="A7229">
        <v>7227</v>
      </c>
      <c r="B7229" s="1" t="s">
        <v>9477</v>
      </c>
      <c r="C7229" t="s">
        <v>230</v>
      </c>
      <c r="D7229" s="1" t="s">
        <v>9478</v>
      </c>
    </row>
    <row r="7230" spans="1:4" hidden="1" x14ac:dyDescent="0.3">
      <c r="A7230">
        <v>7228</v>
      </c>
      <c r="B7230" t="s">
        <v>9479</v>
      </c>
      <c r="C7230" t="s">
        <v>112</v>
      </c>
      <c r="D7230">
        <v>-385.22313464433699</v>
      </c>
    </row>
    <row r="7231" spans="1:4" hidden="1" x14ac:dyDescent="0.3">
      <c r="A7231">
        <v>7229</v>
      </c>
      <c r="B7231" t="s">
        <v>9480</v>
      </c>
      <c r="C7231" t="s">
        <v>114</v>
      </c>
      <c r="D7231">
        <v>-60.373832264243198</v>
      </c>
    </row>
    <row r="7232" spans="1:4" hidden="1" x14ac:dyDescent="0.3">
      <c r="A7232">
        <v>7230</v>
      </c>
      <c r="B7232" s="1" t="s">
        <v>9481</v>
      </c>
      <c r="C7232" t="s">
        <v>116</v>
      </c>
      <c r="D7232" s="1" t="s">
        <v>9482</v>
      </c>
    </row>
    <row r="7233" spans="1:4" hidden="1" x14ac:dyDescent="0.3">
      <c r="A7233">
        <v>7231</v>
      </c>
      <c r="B7233" t="s">
        <v>9483</v>
      </c>
      <c r="C7233" t="s">
        <v>119</v>
      </c>
      <c r="D7233">
        <v>76437175.757042497</v>
      </c>
    </row>
    <row r="7234" spans="1:4" hidden="1" x14ac:dyDescent="0.3">
      <c r="A7234">
        <v>7232</v>
      </c>
      <c r="B7234" t="s">
        <v>9484</v>
      </c>
      <c r="C7234" t="s">
        <v>121</v>
      </c>
      <c r="D7234">
        <v>34324623.943694897</v>
      </c>
    </row>
    <row r="7235" spans="1:4" hidden="1" x14ac:dyDescent="0.3">
      <c r="A7235">
        <v>7233</v>
      </c>
      <c r="B7235" s="1" t="s">
        <v>9485</v>
      </c>
      <c r="C7235" t="s">
        <v>123</v>
      </c>
      <c r="D7235" s="1" t="s">
        <v>9486</v>
      </c>
    </row>
    <row r="7236" spans="1:4" hidden="1" x14ac:dyDescent="0.3">
      <c r="A7236">
        <v>7234</v>
      </c>
      <c r="B7236" t="s">
        <v>9487</v>
      </c>
      <c r="C7236" t="s">
        <v>126</v>
      </c>
      <c r="D7236">
        <v>0.74216691374407096</v>
      </c>
    </row>
    <row r="7237" spans="1:4" hidden="1" x14ac:dyDescent="0.3">
      <c r="A7237">
        <v>7235</v>
      </c>
      <c r="B7237" t="s">
        <v>9488</v>
      </c>
      <c r="C7237" t="s">
        <v>128</v>
      </c>
      <c r="D7237">
        <v>0.33327500611338101</v>
      </c>
    </row>
    <row r="7238" spans="1:4" hidden="1" x14ac:dyDescent="0.3">
      <c r="A7238">
        <v>7236</v>
      </c>
      <c r="B7238" s="1" t="s">
        <v>9489</v>
      </c>
      <c r="C7238" t="s">
        <v>130</v>
      </c>
      <c r="D7238" s="1" t="s">
        <v>9490</v>
      </c>
    </row>
    <row r="7239" spans="1:4" ht="72" x14ac:dyDescent="0.3">
      <c r="A7239">
        <v>7237</v>
      </c>
      <c r="B7239" s="1" t="s">
        <v>9491</v>
      </c>
      <c r="C7239" t="s">
        <v>4</v>
      </c>
      <c r="D7239" t="s">
        <v>9492</v>
      </c>
    </row>
    <row r="7240" spans="1:4" hidden="1" x14ac:dyDescent="0.3">
      <c r="A7240">
        <v>7238</v>
      </c>
      <c r="B7240" t="s">
        <v>9493</v>
      </c>
      <c r="C7240" t="s">
        <v>7</v>
      </c>
      <c r="D7240">
        <v>1768.52</v>
      </c>
    </row>
    <row r="7241" spans="1:4" hidden="1" x14ac:dyDescent="0.3">
      <c r="A7241">
        <v>7239</v>
      </c>
      <c r="B7241" s="1" t="s">
        <v>9494</v>
      </c>
      <c r="C7241" t="s">
        <v>9</v>
      </c>
      <c r="D7241" s="1" t="s">
        <v>9495</v>
      </c>
    </row>
    <row r="7242" spans="1:4" hidden="1" x14ac:dyDescent="0.3">
      <c r="A7242">
        <v>7240</v>
      </c>
      <c r="B7242" t="s">
        <v>9496</v>
      </c>
      <c r="C7242" t="s">
        <v>14</v>
      </c>
      <c r="D7242">
        <v>89.66796875</v>
      </c>
    </row>
    <row r="7243" spans="1:4" hidden="1" x14ac:dyDescent="0.3">
      <c r="A7243">
        <v>7241</v>
      </c>
      <c r="B7243" t="s">
        <v>9497</v>
      </c>
      <c r="C7243" t="s">
        <v>16</v>
      </c>
      <c r="D7243">
        <v>4.2336697413025499</v>
      </c>
    </row>
    <row r="7244" spans="1:4" hidden="1" x14ac:dyDescent="0.3">
      <c r="A7244">
        <v>7242</v>
      </c>
      <c r="B7244" s="1" t="s">
        <v>9498</v>
      </c>
      <c r="C7244" t="s">
        <v>140</v>
      </c>
      <c r="D7244" s="1" t="s">
        <v>9499</v>
      </c>
    </row>
    <row r="7245" spans="1:4" hidden="1" x14ac:dyDescent="0.3">
      <c r="A7245">
        <v>7243</v>
      </c>
      <c r="B7245" t="s">
        <v>9500</v>
      </c>
      <c r="C7245" t="s">
        <v>22</v>
      </c>
      <c r="D7245">
        <v>52.5</v>
      </c>
    </row>
    <row r="7246" spans="1:4" hidden="1" x14ac:dyDescent="0.3">
      <c r="A7246">
        <v>7244</v>
      </c>
      <c r="B7246" t="s">
        <v>9501</v>
      </c>
      <c r="C7246" t="s">
        <v>24</v>
      </c>
      <c r="D7246">
        <v>4.9730699903834701</v>
      </c>
    </row>
    <row r="7247" spans="1:4" hidden="1" x14ac:dyDescent="0.3">
      <c r="A7247">
        <v>7245</v>
      </c>
      <c r="B7247" s="1" t="s">
        <v>9502</v>
      </c>
      <c r="C7247" t="s">
        <v>145</v>
      </c>
      <c r="D7247" s="1" t="s">
        <v>9503</v>
      </c>
    </row>
    <row r="7248" spans="1:4" hidden="1" x14ac:dyDescent="0.3">
      <c r="A7248">
        <v>7246</v>
      </c>
      <c r="B7248" t="s">
        <v>9504</v>
      </c>
      <c r="C7248" t="s">
        <v>35</v>
      </c>
      <c r="D7248">
        <v>-0.10415590920319</v>
      </c>
    </row>
    <row r="7249" spans="1:4" hidden="1" x14ac:dyDescent="0.3">
      <c r="A7249">
        <v>7247</v>
      </c>
      <c r="B7249" t="s">
        <v>9505</v>
      </c>
      <c r="C7249" t="s">
        <v>149</v>
      </c>
      <c r="D7249">
        <v>0.53445726934799598</v>
      </c>
    </row>
    <row r="7250" spans="1:4" hidden="1" x14ac:dyDescent="0.3">
      <c r="A7250">
        <v>7248</v>
      </c>
      <c r="B7250" s="1" t="s">
        <v>9506</v>
      </c>
      <c r="C7250" t="s">
        <v>151</v>
      </c>
      <c r="D7250" s="1" t="s">
        <v>9507</v>
      </c>
    </row>
    <row r="7251" spans="1:4" hidden="1" x14ac:dyDescent="0.3">
      <c r="A7251">
        <v>7249</v>
      </c>
      <c r="B7251" t="s">
        <v>9508</v>
      </c>
      <c r="C7251" t="s">
        <v>30</v>
      </c>
      <c r="D7251">
        <v>0.49675422447739898</v>
      </c>
    </row>
    <row r="7252" spans="1:4" hidden="1" x14ac:dyDescent="0.3">
      <c r="A7252">
        <v>7250</v>
      </c>
      <c r="B7252" t="s">
        <v>9509</v>
      </c>
      <c r="C7252" t="s">
        <v>32</v>
      </c>
      <c r="D7252">
        <v>0.41521779124200298</v>
      </c>
    </row>
    <row r="7253" spans="1:4" hidden="1" x14ac:dyDescent="0.3">
      <c r="A7253">
        <v>7251</v>
      </c>
      <c r="B7253" s="1" t="s">
        <v>9510</v>
      </c>
      <c r="C7253" t="s">
        <v>155</v>
      </c>
      <c r="D7253" s="1" t="s">
        <v>9511</v>
      </c>
    </row>
    <row r="7254" spans="1:4" hidden="1" x14ac:dyDescent="0.3">
      <c r="A7254">
        <v>7252</v>
      </c>
      <c r="B7254" t="s">
        <v>9512</v>
      </c>
      <c r="C7254" t="s">
        <v>40</v>
      </c>
      <c r="D7254">
        <v>0.60740168472579104</v>
      </c>
    </row>
    <row r="7255" spans="1:4" hidden="1" x14ac:dyDescent="0.3">
      <c r="A7255">
        <v>7253</v>
      </c>
      <c r="B7255" t="s">
        <v>9513</v>
      </c>
      <c r="C7255" t="s">
        <v>42</v>
      </c>
      <c r="D7255">
        <v>0.45583918066509799</v>
      </c>
    </row>
    <row r="7256" spans="1:4" hidden="1" x14ac:dyDescent="0.3">
      <c r="A7256">
        <v>7254</v>
      </c>
      <c r="B7256" s="1" t="s">
        <v>9514</v>
      </c>
      <c r="C7256" t="s">
        <v>159</v>
      </c>
      <c r="D7256" s="1" t="s">
        <v>9515</v>
      </c>
    </row>
    <row r="7257" spans="1:4" hidden="1" x14ac:dyDescent="0.3">
      <c r="A7257">
        <v>7255</v>
      </c>
      <c r="B7257" t="s">
        <v>9516</v>
      </c>
      <c r="C7257" t="s">
        <v>161</v>
      </c>
      <c r="D7257">
        <v>1.01066948595593</v>
      </c>
    </row>
    <row r="7258" spans="1:4" hidden="1" x14ac:dyDescent="0.3">
      <c r="A7258">
        <v>7256</v>
      </c>
      <c r="B7258" t="s">
        <v>9517</v>
      </c>
      <c r="C7258" t="s">
        <v>163</v>
      </c>
      <c r="D7258">
        <v>1.00597883067491</v>
      </c>
    </row>
    <row r="7259" spans="1:4" hidden="1" x14ac:dyDescent="0.3">
      <c r="A7259">
        <v>7257</v>
      </c>
      <c r="B7259" s="1" t="s">
        <v>9518</v>
      </c>
      <c r="C7259" t="s">
        <v>165</v>
      </c>
      <c r="D7259" s="1" t="s">
        <v>9519</v>
      </c>
    </row>
    <row r="7260" spans="1:4" hidden="1" x14ac:dyDescent="0.3">
      <c r="A7260">
        <v>7258</v>
      </c>
      <c r="B7260" t="s">
        <v>9520</v>
      </c>
      <c r="C7260" t="s">
        <v>168</v>
      </c>
      <c r="D7260">
        <v>0.99795596681686305</v>
      </c>
    </row>
    <row r="7261" spans="1:4" hidden="1" x14ac:dyDescent="0.3">
      <c r="A7261">
        <v>7259</v>
      </c>
      <c r="B7261" t="s">
        <v>9521</v>
      </c>
      <c r="C7261" t="s">
        <v>170</v>
      </c>
      <c r="D7261">
        <v>1.0057214915185</v>
      </c>
    </row>
    <row r="7262" spans="1:4" hidden="1" x14ac:dyDescent="0.3">
      <c r="A7262">
        <v>7260</v>
      </c>
      <c r="B7262" s="1" t="s">
        <v>9522</v>
      </c>
      <c r="C7262" t="s">
        <v>172</v>
      </c>
      <c r="D7262" s="1" t="s">
        <v>9523</v>
      </c>
    </row>
    <row r="7263" spans="1:4" hidden="1" x14ac:dyDescent="0.3">
      <c r="A7263">
        <v>7261</v>
      </c>
      <c r="B7263" s="1" t="s">
        <v>9524</v>
      </c>
      <c r="C7263" t="s">
        <v>55</v>
      </c>
      <c r="D7263" s="1" t="s">
        <v>9525</v>
      </c>
    </row>
    <row r="7264" spans="1:4" hidden="1" x14ac:dyDescent="0.3">
      <c r="A7264">
        <v>7262</v>
      </c>
      <c r="B7264" s="1" t="s">
        <v>9526</v>
      </c>
      <c r="C7264" t="s">
        <v>52</v>
      </c>
      <c r="D7264" s="1" t="s">
        <v>9527</v>
      </c>
    </row>
    <row r="7265" spans="1:4" hidden="1" x14ac:dyDescent="0.3">
      <c r="A7265">
        <v>7263</v>
      </c>
      <c r="B7265" s="1" t="s">
        <v>9528</v>
      </c>
      <c r="C7265" t="s">
        <v>58</v>
      </c>
      <c r="D7265" s="1" t="s">
        <v>9529</v>
      </c>
    </row>
    <row r="7266" spans="1:4" hidden="1" x14ac:dyDescent="0.3">
      <c r="A7266">
        <v>7264</v>
      </c>
      <c r="B7266" t="s">
        <v>9530</v>
      </c>
      <c r="C7266" t="s">
        <v>61</v>
      </c>
      <c r="D7266">
        <v>144227117.91907001</v>
      </c>
    </row>
    <row r="7267" spans="1:4" hidden="1" x14ac:dyDescent="0.3">
      <c r="A7267">
        <v>7265</v>
      </c>
      <c r="B7267" t="s">
        <v>9531</v>
      </c>
      <c r="C7267" t="s">
        <v>63</v>
      </c>
      <c r="D7267">
        <v>77252721.130293906</v>
      </c>
    </row>
    <row r="7268" spans="1:4" hidden="1" x14ac:dyDescent="0.3">
      <c r="A7268">
        <v>7266</v>
      </c>
      <c r="B7268" t="s">
        <v>9532</v>
      </c>
      <c r="C7268" t="s">
        <v>65</v>
      </c>
      <c r="D7268">
        <v>34529845.058234602</v>
      </c>
    </row>
    <row r="7269" spans="1:4" hidden="1" x14ac:dyDescent="0.3">
      <c r="A7269">
        <v>7267</v>
      </c>
      <c r="B7269" s="1" t="s">
        <v>9533</v>
      </c>
      <c r="C7269" t="s">
        <v>67</v>
      </c>
      <c r="D7269" s="1" t="s">
        <v>9534</v>
      </c>
    </row>
    <row r="7270" spans="1:4" hidden="1" x14ac:dyDescent="0.3">
      <c r="A7270">
        <v>7268</v>
      </c>
      <c r="B7270" s="1" t="s">
        <v>9535</v>
      </c>
      <c r="C7270" t="s">
        <v>70</v>
      </c>
      <c r="D7270" s="1" t="s">
        <v>9536</v>
      </c>
    </row>
    <row r="7271" spans="1:4" hidden="1" x14ac:dyDescent="0.3">
      <c r="A7271">
        <v>7269</v>
      </c>
      <c r="B7271" t="s">
        <v>9537</v>
      </c>
      <c r="C7271" t="s">
        <v>73</v>
      </c>
      <c r="D7271">
        <v>0.99983879795809705</v>
      </c>
    </row>
    <row r="7272" spans="1:4" hidden="1" x14ac:dyDescent="0.3">
      <c r="A7272">
        <v>7270</v>
      </c>
      <c r="B7272" t="s">
        <v>74</v>
      </c>
      <c r="C7272" t="s">
        <v>75</v>
      </c>
      <c r="D7272">
        <v>2.7397260273972599E-3</v>
      </c>
    </row>
    <row r="7273" spans="1:4" hidden="1" x14ac:dyDescent="0.3">
      <c r="A7273">
        <v>7271</v>
      </c>
      <c r="B7273" t="s">
        <v>76</v>
      </c>
      <c r="C7273" t="s">
        <v>77</v>
      </c>
      <c r="D7273">
        <v>0</v>
      </c>
    </row>
    <row r="7274" spans="1:4" hidden="1" x14ac:dyDescent="0.3">
      <c r="A7274">
        <v>7272</v>
      </c>
      <c r="B7274" t="s">
        <v>78</v>
      </c>
      <c r="C7274" t="s">
        <v>79</v>
      </c>
      <c r="D7274">
        <v>0</v>
      </c>
    </row>
    <row r="7275" spans="1:4" hidden="1" x14ac:dyDescent="0.3">
      <c r="A7275">
        <v>7273</v>
      </c>
      <c r="B7275" s="1" t="s">
        <v>9538</v>
      </c>
      <c r="C7275" t="s">
        <v>81</v>
      </c>
      <c r="D7275" s="1" t="s">
        <v>9539</v>
      </c>
    </row>
    <row r="7276" spans="1:4" hidden="1" x14ac:dyDescent="0.3">
      <c r="A7276">
        <v>7274</v>
      </c>
      <c r="B7276" t="s">
        <v>9540</v>
      </c>
      <c r="C7276" t="s">
        <v>84</v>
      </c>
      <c r="D7276">
        <v>0.99981802704163403</v>
      </c>
    </row>
    <row r="7277" spans="1:4" hidden="1" x14ac:dyDescent="0.3">
      <c r="A7277">
        <v>7275</v>
      </c>
      <c r="B7277" s="1" t="s">
        <v>9541</v>
      </c>
      <c r="C7277" t="s">
        <v>86</v>
      </c>
      <c r="D7277" s="1" t="s">
        <v>9542</v>
      </c>
    </row>
    <row r="7278" spans="1:4" hidden="1" x14ac:dyDescent="0.3">
      <c r="A7278">
        <v>7276</v>
      </c>
      <c r="B7278" t="s">
        <v>9543</v>
      </c>
      <c r="C7278" t="s">
        <v>89</v>
      </c>
      <c r="D7278">
        <v>103012159.121833</v>
      </c>
    </row>
    <row r="7279" spans="1:4" hidden="1" x14ac:dyDescent="0.3">
      <c r="A7279">
        <v>7277</v>
      </c>
      <c r="B7279" s="1" t="s">
        <v>9544</v>
      </c>
      <c r="C7279" t="s">
        <v>91</v>
      </c>
      <c r="D7279" s="1" t="s">
        <v>9478</v>
      </c>
    </row>
    <row r="7280" spans="1:4" hidden="1" x14ac:dyDescent="0.3">
      <c r="A7280">
        <v>7278</v>
      </c>
      <c r="B7280" t="s">
        <v>9545</v>
      </c>
      <c r="C7280" t="s">
        <v>94</v>
      </c>
      <c r="D7280">
        <v>77252721.130293906</v>
      </c>
    </row>
    <row r="7281" spans="1:4" hidden="1" x14ac:dyDescent="0.3">
      <c r="A7281">
        <v>7279</v>
      </c>
      <c r="B7281" t="s">
        <v>9546</v>
      </c>
      <c r="C7281" t="s">
        <v>96</v>
      </c>
      <c r="D7281">
        <v>34529845.058234602</v>
      </c>
    </row>
    <row r="7282" spans="1:4" hidden="1" x14ac:dyDescent="0.3">
      <c r="A7282">
        <v>7280</v>
      </c>
      <c r="B7282" t="s">
        <v>9547</v>
      </c>
      <c r="C7282" t="s">
        <v>98</v>
      </c>
      <c r="D7282">
        <v>32444551.7305419</v>
      </c>
    </row>
    <row r="7283" spans="1:4" hidden="1" x14ac:dyDescent="0.3">
      <c r="A7283">
        <v>7281</v>
      </c>
      <c r="B7283" s="1" t="s">
        <v>9548</v>
      </c>
      <c r="C7283" t="s">
        <v>100</v>
      </c>
      <c r="D7283" s="1" t="s">
        <v>9549</v>
      </c>
    </row>
    <row r="7284" spans="1:4" hidden="1" x14ac:dyDescent="0.3">
      <c r="A7284">
        <v>7282</v>
      </c>
      <c r="B7284" t="s">
        <v>9550</v>
      </c>
      <c r="C7284" t="s">
        <v>103</v>
      </c>
      <c r="D7284">
        <v>9.3618598842059308E-3</v>
      </c>
    </row>
    <row r="7285" spans="1:4" hidden="1" x14ac:dyDescent="0.3">
      <c r="A7285">
        <v>7283</v>
      </c>
      <c r="B7285" t="s">
        <v>9551</v>
      </c>
      <c r="C7285" t="s">
        <v>105</v>
      </c>
      <c r="D7285">
        <v>2.88860665274848E-3</v>
      </c>
    </row>
    <row r="7286" spans="1:4" hidden="1" x14ac:dyDescent="0.3">
      <c r="A7286">
        <v>7284</v>
      </c>
      <c r="B7286" t="s">
        <v>9552</v>
      </c>
      <c r="C7286" t="s">
        <v>107</v>
      </c>
      <c r="D7286">
        <v>1.90229225143685E-2</v>
      </c>
    </row>
    <row r="7287" spans="1:4" hidden="1" x14ac:dyDescent="0.3">
      <c r="A7287">
        <v>7285</v>
      </c>
      <c r="B7287" s="1" t="s">
        <v>9553</v>
      </c>
      <c r="C7287" t="s">
        <v>109</v>
      </c>
      <c r="D7287" s="1" t="s">
        <v>9554</v>
      </c>
    </row>
    <row r="7288" spans="1:4" hidden="1" x14ac:dyDescent="0.3">
      <c r="A7288">
        <v>7286</v>
      </c>
      <c r="B7288" t="s">
        <v>9555</v>
      </c>
      <c r="C7288" t="s">
        <v>208</v>
      </c>
      <c r="D7288">
        <v>144226381.78239</v>
      </c>
    </row>
    <row r="7289" spans="1:4" hidden="1" x14ac:dyDescent="0.3">
      <c r="A7289">
        <v>7287</v>
      </c>
      <c r="B7289" t="s">
        <v>9556</v>
      </c>
      <c r="C7289" t="s">
        <v>210</v>
      </c>
      <c r="D7289">
        <v>1604.8566208740799</v>
      </c>
    </row>
    <row r="7290" spans="1:4" hidden="1" x14ac:dyDescent="0.3">
      <c r="A7290">
        <v>7288</v>
      </c>
      <c r="B7290" t="s">
        <v>9557</v>
      </c>
      <c r="C7290" t="s">
        <v>212</v>
      </c>
      <c r="D7290">
        <v>717.33031702004303</v>
      </c>
    </row>
    <row r="7291" spans="1:4" hidden="1" x14ac:dyDescent="0.3">
      <c r="A7291">
        <v>7289</v>
      </c>
      <c r="B7291" s="1" t="s">
        <v>9558</v>
      </c>
      <c r="C7291" t="s">
        <v>214</v>
      </c>
      <c r="D7291" s="1" t="s">
        <v>9559</v>
      </c>
    </row>
    <row r="7292" spans="1:4" hidden="1" x14ac:dyDescent="0.3">
      <c r="A7292">
        <v>7290</v>
      </c>
      <c r="B7292" t="s">
        <v>9560</v>
      </c>
      <c r="C7292" t="s">
        <v>217</v>
      </c>
      <c r="D7292">
        <v>77250543.238850594</v>
      </c>
    </row>
    <row r="7293" spans="1:4" hidden="1" x14ac:dyDescent="0.3">
      <c r="A7293">
        <v>7291</v>
      </c>
      <c r="B7293" t="s">
        <v>9561</v>
      </c>
      <c r="C7293" t="s">
        <v>219</v>
      </c>
      <c r="D7293">
        <v>34529038.8877941</v>
      </c>
    </row>
    <row r="7294" spans="1:4" hidden="1" x14ac:dyDescent="0.3">
      <c r="A7294">
        <v>7292</v>
      </c>
      <c r="B7294" t="s">
        <v>9562</v>
      </c>
      <c r="C7294" t="s">
        <v>221</v>
      </c>
      <c r="D7294">
        <v>32443803.458624899</v>
      </c>
    </row>
    <row r="7295" spans="1:4" hidden="1" x14ac:dyDescent="0.3">
      <c r="A7295">
        <v>7293</v>
      </c>
      <c r="B7295" s="1" t="s">
        <v>9563</v>
      </c>
      <c r="C7295" t="s">
        <v>223</v>
      </c>
      <c r="D7295" s="1" t="s">
        <v>9564</v>
      </c>
    </row>
    <row r="7296" spans="1:4" hidden="1" x14ac:dyDescent="0.3">
      <c r="A7296">
        <v>7294</v>
      </c>
      <c r="B7296" t="s">
        <v>9565</v>
      </c>
      <c r="C7296" t="s">
        <v>226</v>
      </c>
      <c r="D7296">
        <v>103010019.119908</v>
      </c>
    </row>
    <row r="7297" spans="1:4" hidden="1" x14ac:dyDescent="0.3">
      <c r="A7297">
        <v>7295</v>
      </c>
      <c r="B7297" t="s">
        <v>9566</v>
      </c>
      <c r="C7297" t="s">
        <v>228</v>
      </c>
      <c r="D7297">
        <v>2140.0019245147701</v>
      </c>
    </row>
    <row r="7298" spans="1:4" hidden="1" x14ac:dyDescent="0.3">
      <c r="A7298">
        <v>7296</v>
      </c>
      <c r="B7298" s="1" t="s">
        <v>9567</v>
      </c>
      <c r="C7298" t="s">
        <v>230</v>
      </c>
      <c r="D7298" s="1" t="s">
        <v>9568</v>
      </c>
    </row>
    <row r="7299" spans="1:4" hidden="1" x14ac:dyDescent="0.3">
      <c r="A7299">
        <v>7297</v>
      </c>
      <c r="B7299" t="s">
        <v>9569</v>
      </c>
      <c r="C7299" t="s">
        <v>112</v>
      </c>
      <c r="D7299">
        <v>-573.03482243508495</v>
      </c>
    </row>
    <row r="7300" spans="1:4" hidden="1" x14ac:dyDescent="0.3">
      <c r="A7300">
        <v>7298</v>
      </c>
      <c r="B7300" t="s">
        <v>9570</v>
      </c>
      <c r="C7300" t="s">
        <v>114</v>
      </c>
      <c r="D7300">
        <v>-88.840123445380698</v>
      </c>
    </row>
    <row r="7301" spans="1:4" hidden="1" x14ac:dyDescent="0.3">
      <c r="A7301">
        <v>7299</v>
      </c>
      <c r="B7301" s="1" t="s">
        <v>9571</v>
      </c>
      <c r="C7301" t="s">
        <v>116</v>
      </c>
      <c r="D7301" s="1" t="s">
        <v>9572</v>
      </c>
    </row>
    <row r="7302" spans="1:4" hidden="1" x14ac:dyDescent="0.3">
      <c r="A7302">
        <v>7300</v>
      </c>
      <c r="B7302" t="s">
        <v>9573</v>
      </c>
      <c r="C7302" t="s">
        <v>119</v>
      </c>
      <c r="D7302">
        <v>77250543.238850594</v>
      </c>
    </row>
    <row r="7303" spans="1:4" hidden="1" x14ac:dyDescent="0.3">
      <c r="A7303">
        <v>7301</v>
      </c>
      <c r="B7303" t="s">
        <v>9574</v>
      </c>
      <c r="C7303" t="s">
        <v>121</v>
      </c>
      <c r="D7303">
        <v>34529038.8877941</v>
      </c>
    </row>
    <row r="7304" spans="1:4" hidden="1" x14ac:dyDescent="0.3">
      <c r="A7304">
        <v>7302</v>
      </c>
      <c r="B7304" s="1" t="s">
        <v>9575</v>
      </c>
      <c r="C7304" t="s">
        <v>123</v>
      </c>
      <c r="D7304" s="1" t="s">
        <v>9576</v>
      </c>
    </row>
    <row r="7305" spans="1:4" hidden="1" x14ac:dyDescent="0.3">
      <c r="A7305">
        <v>7303</v>
      </c>
      <c r="B7305" t="s">
        <v>9577</v>
      </c>
      <c r="C7305" t="s">
        <v>126</v>
      </c>
      <c r="D7305">
        <v>0.75006881823166704</v>
      </c>
    </row>
    <row r="7306" spans="1:4" hidden="1" x14ac:dyDescent="0.3">
      <c r="A7306">
        <v>7304</v>
      </c>
      <c r="B7306" t="s">
        <v>9578</v>
      </c>
      <c r="C7306" t="s">
        <v>128</v>
      </c>
      <c r="D7306">
        <v>0.335261789851309</v>
      </c>
    </row>
    <row r="7307" spans="1:4" hidden="1" x14ac:dyDescent="0.3">
      <c r="A7307">
        <v>7305</v>
      </c>
      <c r="B7307" s="1" t="s">
        <v>9579</v>
      </c>
      <c r="C7307" t="s">
        <v>130</v>
      </c>
      <c r="D7307" s="1" t="s">
        <v>9580</v>
      </c>
    </row>
    <row r="7308" spans="1:4" ht="72" x14ac:dyDescent="0.3">
      <c r="A7308">
        <v>7306</v>
      </c>
      <c r="B7308" s="1" t="s">
        <v>9581</v>
      </c>
      <c r="C7308" t="s">
        <v>4</v>
      </c>
      <c r="D7308" t="s">
        <v>9582</v>
      </c>
    </row>
    <row r="7309" spans="1:4" hidden="1" x14ac:dyDescent="0.3">
      <c r="A7309">
        <v>7307</v>
      </c>
      <c r="B7309" t="s">
        <v>9583</v>
      </c>
      <c r="C7309" t="s">
        <v>7</v>
      </c>
      <c r="D7309">
        <v>1803.1</v>
      </c>
    </row>
    <row r="7310" spans="1:4" hidden="1" x14ac:dyDescent="0.3">
      <c r="A7310">
        <v>7308</v>
      </c>
      <c r="B7310" s="1" t="s">
        <v>9584</v>
      </c>
      <c r="C7310" t="s">
        <v>9</v>
      </c>
      <c r="D7310" s="1" t="s">
        <v>9585</v>
      </c>
    </row>
    <row r="7311" spans="1:4" hidden="1" x14ac:dyDescent="0.3">
      <c r="A7311">
        <v>7309</v>
      </c>
      <c r="B7311" t="s">
        <v>9586</v>
      </c>
      <c r="C7311" t="s">
        <v>14</v>
      </c>
      <c r="D7311">
        <v>89.91015625</v>
      </c>
    </row>
    <row r="7312" spans="1:4" hidden="1" x14ac:dyDescent="0.3">
      <c r="A7312">
        <v>7310</v>
      </c>
      <c r="B7312" t="s">
        <v>9587</v>
      </c>
      <c r="C7312" t="s">
        <v>16</v>
      </c>
      <c r="D7312">
        <v>4.24385224625963</v>
      </c>
    </row>
    <row r="7313" spans="1:4" hidden="1" x14ac:dyDescent="0.3">
      <c r="A7313">
        <v>7311</v>
      </c>
      <c r="B7313" s="1" t="s">
        <v>9588</v>
      </c>
      <c r="C7313" t="s">
        <v>140</v>
      </c>
      <c r="D7313" s="1" t="s">
        <v>9589</v>
      </c>
    </row>
    <row r="7314" spans="1:4" hidden="1" x14ac:dyDescent="0.3">
      <c r="A7314">
        <v>7312</v>
      </c>
      <c r="B7314" t="s">
        <v>6448</v>
      </c>
      <c r="C7314" t="s">
        <v>22</v>
      </c>
      <c r="D7314">
        <v>53.3</v>
      </c>
    </row>
    <row r="7315" spans="1:4" hidden="1" x14ac:dyDescent="0.3">
      <c r="A7315">
        <v>7313</v>
      </c>
      <c r="B7315" t="s">
        <v>9590</v>
      </c>
      <c r="C7315" t="s">
        <v>24</v>
      </c>
      <c r="D7315">
        <v>4.99069162844863</v>
      </c>
    </row>
    <row r="7316" spans="1:4" hidden="1" x14ac:dyDescent="0.3">
      <c r="A7316">
        <v>7314</v>
      </c>
      <c r="B7316" s="1" t="s">
        <v>9591</v>
      </c>
      <c r="C7316" t="s">
        <v>145</v>
      </c>
      <c r="D7316" s="1" t="s">
        <v>9592</v>
      </c>
    </row>
    <row r="7317" spans="1:4" hidden="1" x14ac:dyDescent="0.3">
      <c r="A7317">
        <v>7315</v>
      </c>
      <c r="B7317" t="s">
        <v>9593</v>
      </c>
      <c r="C7317" t="s">
        <v>35</v>
      </c>
      <c r="D7317">
        <v>2.94906755119022</v>
      </c>
    </row>
    <row r="7318" spans="1:4" hidden="1" x14ac:dyDescent="0.3">
      <c r="A7318">
        <v>7316</v>
      </c>
      <c r="B7318" t="s">
        <v>9594</v>
      </c>
      <c r="C7318" t="s">
        <v>149</v>
      </c>
      <c r="D7318">
        <v>0.533283715190907</v>
      </c>
    </row>
    <row r="7319" spans="1:4" hidden="1" x14ac:dyDescent="0.3">
      <c r="A7319">
        <v>7317</v>
      </c>
      <c r="B7319" s="1" t="s">
        <v>9595</v>
      </c>
      <c r="C7319" t="s">
        <v>151</v>
      </c>
      <c r="D7319" s="1" t="s">
        <v>9596</v>
      </c>
    </row>
    <row r="7320" spans="1:4" hidden="1" x14ac:dyDescent="0.3">
      <c r="A7320">
        <v>7318</v>
      </c>
      <c r="B7320" t="s">
        <v>9597</v>
      </c>
      <c r="C7320" t="s">
        <v>30</v>
      </c>
      <c r="D7320">
        <v>-0.86554348764014999</v>
      </c>
    </row>
    <row r="7321" spans="1:4" hidden="1" x14ac:dyDescent="0.3">
      <c r="A7321">
        <v>7319</v>
      </c>
      <c r="B7321" t="s">
        <v>9598</v>
      </c>
      <c r="C7321" t="s">
        <v>32</v>
      </c>
      <c r="D7321">
        <v>0.41526450030483603</v>
      </c>
    </row>
    <row r="7322" spans="1:4" hidden="1" x14ac:dyDescent="0.3">
      <c r="A7322">
        <v>7320</v>
      </c>
      <c r="B7322" s="1" t="s">
        <v>9599</v>
      </c>
      <c r="C7322" t="s">
        <v>155</v>
      </c>
      <c r="D7322" s="1" t="s">
        <v>9600</v>
      </c>
    </row>
    <row r="7323" spans="1:4" hidden="1" x14ac:dyDescent="0.3">
      <c r="A7323">
        <v>7321</v>
      </c>
      <c r="B7323" t="s">
        <v>9601</v>
      </c>
      <c r="C7323" t="s">
        <v>40</v>
      </c>
      <c r="D7323">
        <v>-1.08352406355007</v>
      </c>
    </row>
    <row r="7324" spans="1:4" hidden="1" x14ac:dyDescent="0.3">
      <c r="A7324">
        <v>7322</v>
      </c>
      <c r="B7324" t="s">
        <v>9602</v>
      </c>
      <c r="C7324" t="s">
        <v>42</v>
      </c>
      <c r="D7324">
        <v>0.459909954707379</v>
      </c>
    </row>
    <row r="7325" spans="1:4" hidden="1" x14ac:dyDescent="0.3">
      <c r="A7325">
        <v>7323</v>
      </c>
      <c r="B7325" s="1" t="s">
        <v>9603</v>
      </c>
      <c r="C7325" t="s">
        <v>159</v>
      </c>
      <c r="D7325" s="1" t="s">
        <v>9604</v>
      </c>
    </row>
    <row r="7326" spans="1:4" hidden="1" x14ac:dyDescent="0.3">
      <c r="A7326">
        <v>7324</v>
      </c>
      <c r="B7326" t="s">
        <v>9605</v>
      </c>
      <c r="C7326" t="s">
        <v>161</v>
      </c>
      <c r="D7326">
        <v>1.0195530726256901</v>
      </c>
    </row>
    <row r="7327" spans="1:4" hidden="1" x14ac:dyDescent="0.3">
      <c r="A7327">
        <v>7325</v>
      </c>
      <c r="B7327" t="s">
        <v>9606</v>
      </c>
      <c r="C7327" t="s">
        <v>163</v>
      </c>
      <c r="D7327">
        <v>1.0026875995883699</v>
      </c>
    </row>
    <row r="7328" spans="1:4" hidden="1" x14ac:dyDescent="0.3">
      <c r="A7328">
        <v>7326</v>
      </c>
      <c r="B7328" s="1" t="s">
        <v>9607</v>
      </c>
      <c r="C7328" t="s">
        <v>165</v>
      </c>
      <c r="D7328" s="1" t="s">
        <v>9608</v>
      </c>
    </row>
    <row r="7329" spans="1:4" hidden="1" x14ac:dyDescent="0.3">
      <c r="A7329">
        <v>7327</v>
      </c>
      <c r="B7329" t="s">
        <v>9609</v>
      </c>
      <c r="C7329" t="s">
        <v>168</v>
      </c>
      <c r="D7329">
        <v>0.99923519919353099</v>
      </c>
    </row>
    <row r="7330" spans="1:4" hidden="1" x14ac:dyDescent="0.3">
      <c r="A7330">
        <v>7328</v>
      </c>
      <c r="B7330" t="s">
        <v>9610</v>
      </c>
      <c r="C7330" t="s">
        <v>170</v>
      </c>
      <c r="D7330">
        <v>1.0000330048584201</v>
      </c>
    </row>
    <row r="7331" spans="1:4" hidden="1" x14ac:dyDescent="0.3">
      <c r="A7331">
        <v>7329</v>
      </c>
      <c r="B7331" s="1" t="s">
        <v>9611</v>
      </c>
      <c r="C7331" t="s">
        <v>172</v>
      </c>
      <c r="D7331" s="1" t="s">
        <v>9612</v>
      </c>
    </row>
    <row r="7332" spans="1:4" hidden="1" x14ac:dyDescent="0.3">
      <c r="A7332">
        <v>7330</v>
      </c>
      <c r="B7332" s="1" t="s">
        <v>9613</v>
      </c>
      <c r="C7332" t="s">
        <v>55</v>
      </c>
      <c r="D7332" s="1" t="s">
        <v>9614</v>
      </c>
    </row>
    <row r="7333" spans="1:4" hidden="1" x14ac:dyDescent="0.3">
      <c r="A7333">
        <v>7331</v>
      </c>
      <c r="B7333" s="1" t="s">
        <v>9615</v>
      </c>
      <c r="C7333" t="s">
        <v>52</v>
      </c>
      <c r="D7333" s="1" t="s">
        <v>9616</v>
      </c>
    </row>
    <row r="7334" spans="1:4" hidden="1" x14ac:dyDescent="0.3">
      <c r="A7334">
        <v>7332</v>
      </c>
      <c r="B7334" s="1" t="s">
        <v>9617</v>
      </c>
      <c r="C7334" t="s">
        <v>58</v>
      </c>
      <c r="D7334" s="1" t="s">
        <v>9618</v>
      </c>
    </row>
    <row r="7335" spans="1:4" hidden="1" x14ac:dyDescent="0.3">
      <c r="A7335">
        <v>7333</v>
      </c>
      <c r="B7335" t="s">
        <v>9619</v>
      </c>
      <c r="C7335" t="s">
        <v>61</v>
      </c>
      <c r="D7335">
        <v>146288222.34704399</v>
      </c>
    </row>
    <row r="7336" spans="1:4" hidden="1" x14ac:dyDescent="0.3">
      <c r="A7336">
        <v>7334</v>
      </c>
      <c r="B7336" t="s">
        <v>9620</v>
      </c>
      <c r="C7336" t="s">
        <v>63</v>
      </c>
      <c r="D7336">
        <v>78761028.721174404</v>
      </c>
    </row>
    <row r="7337" spans="1:4" hidden="1" x14ac:dyDescent="0.3">
      <c r="A7337">
        <v>7335</v>
      </c>
      <c r="B7337" t="s">
        <v>9621</v>
      </c>
      <c r="C7337" t="s">
        <v>65</v>
      </c>
      <c r="D7337">
        <v>34621839.118496001</v>
      </c>
    </row>
    <row r="7338" spans="1:4" hidden="1" x14ac:dyDescent="0.3">
      <c r="A7338">
        <v>7336</v>
      </c>
      <c r="B7338" s="1" t="s">
        <v>9622</v>
      </c>
      <c r="C7338" t="s">
        <v>67</v>
      </c>
      <c r="D7338" s="1" t="s">
        <v>9623</v>
      </c>
    </row>
    <row r="7339" spans="1:4" hidden="1" x14ac:dyDescent="0.3">
      <c r="A7339">
        <v>7337</v>
      </c>
      <c r="B7339" s="1" t="s">
        <v>9624</v>
      </c>
      <c r="C7339" t="s">
        <v>70</v>
      </c>
      <c r="D7339" s="1" t="s">
        <v>9625</v>
      </c>
    </row>
    <row r="7340" spans="1:4" hidden="1" x14ac:dyDescent="0.3">
      <c r="A7340">
        <v>7338</v>
      </c>
      <c r="B7340" t="s">
        <v>9626</v>
      </c>
      <c r="C7340" t="s">
        <v>73</v>
      </c>
      <c r="D7340">
        <v>0.99981802704163403</v>
      </c>
    </row>
    <row r="7341" spans="1:4" hidden="1" x14ac:dyDescent="0.3">
      <c r="A7341">
        <v>7339</v>
      </c>
      <c r="B7341" t="s">
        <v>74</v>
      </c>
      <c r="C7341" t="s">
        <v>75</v>
      </c>
      <c r="D7341">
        <v>2.7397260273972599E-3</v>
      </c>
    </row>
    <row r="7342" spans="1:4" hidden="1" x14ac:dyDescent="0.3">
      <c r="A7342">
        <v>7340</v>
      </c>
      <c r="B7342" t="s">
        <v>76</v>
      </c>
      <c r="C7342" t="s">
        <v>77</v>
      </c>
      <c r="D7342">
        <v>0</v>
      </c>
    </row>
    <row r="7343" spans="1:4" hidden="1" x14ac:dyDescent="0.3">
      <c r="A7343">
        <v>7341</v>
      </c>
      <c r="B7343" t="s">
        <v>78</v>
      </c>
      <c r="C7343" t="s">
        <v>79</v>
      </c>
      <c r="D7343">
        <v>0</v>
      </c>
    </row>
    <row r="7344" spans="1:4" hidden="1" x14ac:dyDescent="0.3">
      <c r="A7344">
        <v>7342</v>
      </c>
      <c r="B7344" s="1" t="s">
        <v>9627</v>
      </c>
      <c r="C7344" t="s">
        <v>81</v>
      </c>
      <c r="D7344" s="1" t="s">
        <v>9628</v>
      </c>
    </row>
    <row r="7345" spans="1:4" hidden="1" x14ac:dyDescent="0.3">
      <c r="A7345">
        <v>7343</v>
      </c>
      <c r="B7345" t="s">
        <v>9629</v>
      </c>
      <c r="C7345" t="s">
        <v>84</v>
      </c>
      <c r="D7345">
        <v>0.99984411820219399</v>
      </c>
    </row>
    <row r="7346" spans="1:4" hidden="1" x14ac:dyDescent="0.3">
      <c r="A7346">
        <v>7344</v>
      </c>
      <c r="B7346" s="1" t="s">
        <v>9630</v>
      </c>
      <c r="C7346" t="s">
        <v>86</v>
      </c>
      <c r="D7346" s="1" t="s">
        <v>9631</v>
      </c>
    </row>
    <row r="7347" spans="1:4" hidden="1" x14ac:dyDescent="0.3">
      <c r="A7347">
        <v>7345</v>
      </c>
      <c r="B7347" t="s">
        <v>9632</v>
      </c>
      <c r="C7347" t="s">
        <v>89</v>
      </c>
      <c r="D7347">
        <v>103009470.99602</v>
      </c>
    </row>
    <row r="7348" spans="1:4" hidden="1" x14ac:dyDescent="0.3">
      <c r="A7348">
        <v>7346</v>
      </c>
      <c r="B7348" s="1" t="s">
        <v>9633</v>
      </c>
      <c r="C7348" t="s">
        <v>91</v>
      </c>
      <c r="D7348" s="1" t="s">
        <v>9568</v>
      </c>
    </row>
    <row r="7349" spans="1:4" hidden="1" x14ac:dyDescent="0.3">
      <c r="A7349">
        <v>7347</v>
      </c>
      <c r="B7349" t="s">
        <v>9634</v>
      </c>
      <c r="C7349" t="s">
        <v>94</v>
      </c>
      <c r="D7349">
        <v>78761028.721174404</v>
      </c>
    </row>
    <row r="7350" spans="1:4" hidden="1" x14ac:dyDescent="0.3">
      <c r="A7350">
        <v>7348</v>
      </c>
      <c r="B7350" t="s">
        <v>9635</v>
      </c>
      <c r="C7350" t="s">
        <v>96</v>
      </c>
      <c r="D7350">
        <v>34621839.118496001</v>
      </c>
    </row>
    <row r="7351" spans="1:4" hidden="1" x14ac:dyDescent="0.3">
      <c r="A7351">
        <v>7349</v>
      </c>
      <c r="B7351" t="s">
        <v>9636</v>
      </c>
      <c r="C7351" t="s">
        <v>98</v>
      </c>
      <c r="D7351">
        <v>32905354.507374302</v>
      </c>
    </row>
    <row r="7352" spans="1:4" hidden="1" x14ac:dyDescent="0.3">
      <c r="A7352">
        <v>7350</v>
      </c>
      <c r="B7352" s="1" t="s">
        <v>9637</v>
      </c>
      <c r="C7352" t="s">
        <v>100</v>
      </c>
      <c r="D7352" s="1" t="s">
        <v>9638</v>
      </c>
    </row>
    <row r="7353" spans="1:4" hidden="1" x14ac:dyDescent="0.3">
      <c r="A7353">
        <v>7351</v>
      </c>
      <c r="B7353" t="s">
        <v>9639</v>
      </c>
      <c r="C7353" t="s">
        <v>103</v>
      </c>
      <c r="D7353">
        <v>9.4216894059005706E-3</v>
      </c>
    </row>
    <row r="7354" spans="1:4" hidden="1" x14ac:dyDescent="0.3">
      <c r="A7354">
        <v>7352</v>
      </c>
      <c r="B7354" t="s">
        <v>9640</v>
      </c>
      <c r="C7354" t="s">
        <v>105</v>
      </c>
      <c r="D7354">
        <v>2.9013541387679599E-3</v>
      </c>
    </row>
    <row r="7355" spans="1:4" hidden="1" x14ac:dyDescent="0.3">
      <c r="A7355">
        <v>7353</v>
      </c>
      <c r="B7355" t="s">
        <v>9641</v>
      </c>
      <c r="C7355" t="s">
        <v>107</v>
      </c>
      <c r="D7355">
        <v>1.9086158079475699E-2</v>
      </c>
    </row>
    <row r="7356" spans="1:4" hidden="1" x14ac:dyDescent="0.3">
      <c r="A7356">
        <v>7354</v>
      </c>
      <c r="B7356" s="1" t="s">
        <v>9642</v>
      </c>
      <c r="C7356" t="s">
        <v>109</v>
      </c>
      <c r="D7356" s="1" t="s">
        <v>9643</v>
      </c>
    </row>
    <row r="7357" spans="1:4" hidden="1" x14ac:dyDescent="0.3">
      <c r="A7357">
        <v>7355</v>
      </c>
      <c r="B7357" t="s">
        <v>9644</v>
      </c>
      <c r="C7357" t="s">
        <v>208</v>
      </c>
      <c r="D7357">
        <v>146289147.39243501</v>
      </c>
    </row>
    <row r="7358" spans="1:4" hidden="1" x14ac:dyDescent="0.3">
      <c r="A7358">
        <v>7356</v>
      </c>
      <c r="B7358" t="s">
        <v>9645</v>
      </c>
      <c r="C7358" t="s">
        <v>210</v>
      </c>
      <c r="D7358">
        <v>-2055.3576058989402</v>
      </c>
    </row>
    <row r="7359" spans="1:4" hidden="1" x14ac:dyDescent="0.3">
      <c r="A7359">
        <v>7357</v>
      </c>
      <c r="B7359" t="s">
        <v>9646</v>
      </c>
      <c r="C7359" t="s">
        <v>212</v>
      </c>
      <c r="D7359">
        <v>-903.492262030559</v>
      </c>
    </row>
    <row r="7360" spans="1:4" hidden="1" x14ac:dyDescent="0.3">
      <c r="A7360">
        <v>7358</v>
      </c>
      <c r="B7360" s="1" t="s">
        <v>9647</v>
      </c>
      <c r="C7360" t="s">
        <v>214</v>
      </c>
      <c r="D7360" s="1" t="s">
        <v>9648</v>
      </c>
    </row>
    <row r="7361" spans="1:4" hidden="1" x14ac:dyDescent="0.3">
      <c r="A7361">
        <v>7359</v>
      </c>
      <c r="B7361" t="s">
        <v>9649</v>
      </c>
      <c r="C7361" t="s">
        <v>217</v>
      </c>
      <c r="D7361">
        <v>78763733.346747994</v>
      </c>
    </row>
    <row r="7362" spans="1:4" hidden="1" x14ac:dyDescent="0.3">
      <c r="A7362">
        <v>7360</v>
      </c>
      <c r="B7362" t="s">
        <v>9650</v>
      </c>
      <c r="C7362" t="s">
        <v>219</v>
      </c>
      <c r="D7362">
        <v>34622891.6093174</v>
      </c>
    </row>
    <row r="7363" spans="1:4" hidden="1" x14ac:dyDescent="0.3">
      <c r="A7363">
        <v>7361</v>
      </c>
      <c r="B7363" t="s">
        <v>9651</v>
      </c>
      <c r="C7363" t="s">
        <v>221</v>
      </c>
      <c r="D7363">
        <v>32906339.984693099</v>
      </c>
    </row>
    <row r="7364" spans="1:4" hidden="1" x14ac:dyDescent="0.3">
      <c r="A7364">
        <v>7362</v>
      </c>
      <c r="B7364" s="1" t="s">
        <v>9652</v>
      </c>
      <c r="C7364" t="s">
        <v>223</v>
      </c>
      <c r="D7364" s="1" t="s">
        <v>9653</v>
      </c>
    </row>
    <row r="7365" spans="1:4" hidden="1" x14ac:dyDescent="0.3">
      <c r="A7365">
        <v>7363</v>
      </c>
      <c r="B7365" t="s">
        <v>9654</v>
      </c>
      <c r="C7365" t="s">
        <v>226</v>
      </c>
      <c r="D7365">
        <v>103012159.121833</v>
      </c>
    </row>
    <row r="7366" spans="1:4" hidden="1" x14ac:dyDescent="0.3">
      <c r="A7366">
        <v>7364</v>
      </c>
      <c r="B7366" t="s">
        <v>9655</v>
      </c>
      <c r="C7366" t="s">
        <v>228</v>
      </c>
      <c r="D7366">
        <v>-2688.1258131712598</v>
      </c>
    </row>
    <row r="7367" spans="1:4" hidden="1" x14ac:dyDescent="0.3">
      <c r="A7367">
        <v>7365</v>
      </c>
      <c r="B7367" s="1" t="s">
        <v>9656</v>
      </c>
      <c r="C7367" t="s">
        <v>230</v>
      </c>
      <c r="D7367" s="1" t="s">
        <v>9657</v>
      </c>
    </row>
    <row r="7368" spans="1:4" hidden="1" x14ac:dyDescent="0.3">
      <c r="A7368">
        <v>7366</v>
      </c>
      <c r="B7368" t="s">
        <v>9658</v>
      </c>
      <c r="C7368" t="s">
        <v>112</v>
      </c>
      <c r="D7368">
        <v>649.26796765635197</v>
      </c>
    </row>
    <row r="7369" spans="1:4" hidden="1" x14ac:dyDescent="0.3">
      <c r="A7369">
        <v>7367</v>
      </c>
      <c r="B7369" t="s">
        <v>9659</v>
      </c>
      <c r="C7369" t="s">
        <v>114</v>
      </c>
      <c r="D7369">
        <v>148.99855936802399</v>
      </c>
    </row>
    <row r="7370" spans="1:4" hidden="1" x14ac:dyDescent="0.3">
      <c r="A7370">
        <v>7368</v>
      </c>
      <c r="B7370" s="1" t="s">
        <v>9660</v>
      </c>
      <c r="C7370" t="s">
        <v>116</v>
      </c>
      <c r="D7370" s="1" t="s">
        <v>9661</v>
      </c>
    </row>
    <row r="7371" spans="1:4" hidden="1" x14ac:dyDescent="0.3">
      <c r="A7371">
        <v>7369</v>
      </c>
      <c r="B7371" t="s">
        <v>9662</v>
      </c>
      <c r="C7371" t="s">
        <v>119</v>
      </c>
      <c r="D7371">
        <v>78763733.346747994</v>
      </c>
    </row>
    <row r="7372" spans="1:4" hidden="1" x14ac:dyDescent="0.3">
      <c r="A7372">
        <v>7370</v>
      </c>
      <c r="B7372" t="s">
        <v>9663</v>
      </c>
      <c r="C7372" t="s">
        <v>121</v>
      </c>
      <c r="D7372">
        <v>34622891.6093174</v>
      </c>
    </row>
    <row r="7373" spans="1:4" hidden="1" x14ac:dyDescent="0.3">
      <c r="A7373">
        <v>7371</v>
      </c>
      <c r="B7373" s="1" t="s">
        <v>9664</v>
      </c>
      <c r="C7373" t="s">
        <v>123</v>
      </c>
      <c r="D7373" s="1" t="s">
        <v>9665</v>
      </c>
    </row>
    <row r="7374" spans="1:4" hidden="1" x14ac:dyDescent="0.3">
      <c r="A7374">
        <v>7372</v>
      </c>
      <c r="B7374" t="s">
        <v>9666</v>
      </c>
      <c r="C7374" t="s">
        <v>126</v>
      </c>
      <c r="D7374">
        <v>0.76472538547730096</v>
      </c>
    </row>
    <row r="7375" spans="1:4" hidden="1" x14ac:dyDescent="0.3">
      <c r="A7375">
        <v>7373</v>
      </c>
      <c r="B7375" t="s">
        <v>9667</v>
      </c>
      <c r="C7375" t="s">
        <v>128</v>
      </c>
      <c r="D7375">
        <v>0.33615730244416098</v>
      </c>
    </row>
    <row r="7376" spans="1:4" hidden="1" x14ac:dyDescent="0.3">
      <c r="A7376">
        <v>7374</v>
      </c>
      <c r="B7376" s="1" t="s">
        <v>9668</v>
      </c>
      <c r="C7376" t="s">
        <v>130</v>
      </c>
      <c r="D7376" s="1" t="s">
        <v>9669</v>
      </c>
    </row>
    <row r="7377" spans="1:4" ht="72" x14ac:dyDescent="0.3">
      <c r="A7377">
        <v>7375</v>
      </c>
      <c r="B7377" s="1" t="s">
        <v>9670</v>
      </c>
      <c r="C7377" t="s">
        <v>4</v>
      </c>
      <c r="D7377" t="s">
        <v>9671</v>
      </c>
    </row>
    <row r="7378" spans="1:4" hidden="1" x14ac:dyDescent="0.3">
      <c r="A7378">
        <v>7376</v>
      </c>
      <c r="B7378" t="s">
        <v>9672</v>
      </c>
      <c r="C7378" t="s">
        <v>7</v>
      </c>
      <c r="D7378">
        <v>1797.63</v>
      </c>
    </row>
    <row r="7379" spans="1:4" hidden="1" x14ac:dyDescent="0.3">
      <c r="A7379">
        <v>7377</v>
      </c>
      <c r="B7379" s="1" t="s">
        <v>9673</v>
      </c>
      <c r="C7379" t="s">
        <v>9</v>
      </c>
      <c r="D7379" s="1" t="s">
        <v>9674</v>
      </c>
    </row>
    <row r="7380" spans="1:4" hidden="1" x14ac:dyDescent="0.3">
      <c r="A7380">
        <v>7378</v>
      </c>
      <c r="B7380" t="s">
        <v>9675</v>
      </c>
      <c r="C7380" t="s">
        <v>14</v>
      </c>
      <c r="D7380">
        <v>89.90234375</v>
      </c>
    </row>
    <row r="7381" spans="1:4" hidden="1" x14ac:dyDescent="0.3">
      <c r="A7381">
        <v>7379</v>
      </c>
      <c r="B7381" t="s">
        <v>9676</v>
      </c>
      <c r="C7381" t="s">
        <v>16</v>
      </c>
      <c r="D7381">
        <v>4.2453276458280804</v>
      </c>
    </row>
    <row r="7382" spans="1:4" hidden="1" x14ac:dyDescent="0.3">
      <c r="A7382">
        <v>7380</v>
      </c>
      <c r="B7382" s="1" t="s">
        <v>9677</v>
      </c>
      <c r="C7382" t="s">
        <v>140</v>
      </c>
      <c r="D7382" s="1" t="s">
        <v>9678</v>
      </c>
    </row>
    <row r="7383" spans="1:4" hidden="1" x14ac:dyDescent="0.3">
      <c r="A7383">
        <v>7381</v>
      </c>
      <c r="B7383" t="s">
        <v>9679</v>
      </c>
      <c r="C7383" t="s">
        <v>22</v>
      </c>
      <c r="D7383">
        <v>52</v>
      </c>
    </row>
    <row r="7384" spans="1:4" hidden="1" x14ac:dyDescent="0.3">
      <c r="A7384">
        <v>7382</v>
      </c>
      <c r="B7384" t="s">
        <v>9680</v>
      </c>
      <c r="C7384" t="s">
        <v>24</v>
      </c>
      <c r="D7384">
        <v>5.0855457975301199</v>
      </c>
    </row>
    <row r="7385" spans="1:4" hidden="1" x14ac:dyDescent="0.3">
      <c r="A7385">
        <v>7383</v>
      </c>
      <c r="B7385" s="1" t="s">
        <v>9681</v>
      </c>
      <c r="C7385" t="s">
        <v>145</v>
      </c>
      <c r="D7385" s="1" t="s">
        <v>9682</v>
      </c>
    </row>
    <row r="7386" spans="1:4" hidden="1" x14ac:dyDescent="0.3">
      <c r="A7386">
        <v>7384</v>
      </c>
      <c r="B7386" t="s">
        <v>9683</v>
      </c>
      <c r="C7386" t="s">
        <v>35</v>
      </c>
      <c r="D7386">
        <v>-8.1910179046969803E-2</v>
      </c>
    </row>
    <row r="7387" spans="1:4" hidden="1" x14ac:dyDescent="0.3">
      <c r="A7387">
        <v>7385</v>
      </c>
      <c r="B7387" t="s">
        <v>9684</v>
      </c>
      <c r="C7387" t="s">
        <v>149</v>
      </c>
      <c r="D7387">
        <v>0.54104904436547296</v>
      </c>
    </row>
    <row r="7388" spans="1:4" hidden="1" x14ac:dyDescent="0.3">
      <c r="A7388">
        <v>7386</v>
      </c>
      <c r="B7388" s="1" t="s">
        <v>9685</v>
      </c>
      <c r="C7388" t="s">
        <v>151</v>
      </c>
      <c r="D7388" s="1" t="s">
        <v>9686</v>
      </c>
    </row>
    <row r="7389" spans="1:4" hidden="1" x14ac:dyDescent="0.3">
      <c r="A7389">
        <v>7387</v>
      </c>
      <c r="B7389" t="s">
        <v>9687</v>
      </c>
      <c r="C7389" t="s">
        <v>30</v>
      </c>
      <c r="D7389">
        <v>0.47827791540992898</v>
      </c>
    </row>
    <row r="7390" spans="1:4" hidden="1" x14ac:dyDescent="0.3">
      <c r="A7390">
        <v>7388</v>
      </c>
      <c r="B7390" t="s">
        <v>9688</v>
      </c>
      <c r="C7390" t="s">
        <v>32</v>
      </c>
      <c r="D7390">
        <v>0.40735729824044398</v>
      </c>
    </row>
    <row r="7391" spans="1:4" hidden="1" x14ac:dyDescent="0.3">
      <c r="A7391">
        <v>7389</v>
      </c>
      <c r="B7391" s="1" t="s">
        <v>9689</v>
      </c>
      <c r="C7391" t="s">
        <v>155</v>
      </c>
      <c r="D7391" s="1" t="s">
        <v>9690</v>
      </c>
    </row>
    <row r="7392" spans="1:4" hidden="1" x14ac:dyDescent="0.3">
      <c r="A7392">
        <v>7390</v>
      </c>
      <c r="B7392" t="s">
        <v>9691</v>
      </c>
      <c r="C7392" t="s">
        <v>40</v>
      </c>
      <c r="D7392">
        <v>0.60363226363704003</v>
      </c>
    </row>
    <row r="7393" spans="1:4" hidden="1" x14ac:dyDescent="0.3">
      <c r="A7393">
        <v>7391</v>
      </c>
      <c r="B7393" t="s">
        <v>9692</v>
      </c>
      <c r="C7393" t="s">
        <v>42</v>
      </c>
      <c r="D7393">
        <v>0.44090398308714801</v>
      </c>
    </row>
    <row r="7394" spans="1:4" hidden="1" x14ac:dyDescent="0.3">
      <c r="A7394">
        <v>7392</v>
      </c>
      <c r="B7394" s="1" t="s">
        <v>9693</v>
      </c>
      <c r="C7394" t="s">
        <v>159</v>
      </c>
      <c r="D7394" s="1" t="s">
        <v>9694</v>
      </c>
    </row>
    <row r="7395" spans="1:4" hidden="1" x14ac:dyDescent="0.3">
      <c r="A7395">
        <v>7393</v>
      </c>
      <c r="B7395" t="s">
        <v>9695</v>
      </c>
      <c r="C7395" t="s">
        <v>161</v>
      </c>
      <c r="D7395">
        <v>0.99696633575508797</v>
      </c>
    </row>
    <row r="7396" spans="1:4" hidden="1" x14ac:dyDescent="0.3">
      <c r="A7396">
        <v>7394</v>
      </c>
      <c r="B7396" t="s">
        <v>9696</v>
      </c>
      <c r="C7396" t="s">
        <v>163</v>
      </c>
      <c r="D7396">
        <v>0.999932694310813</v>
      </c>
    </row>
    <row r="7397" spans="1:4" hidden="1" x14ac:dyDescent="0.3">
      <c r="A7397">
        <v>7395</v>
      </c>
      <c r="B7397" s="1" t="s">
        <v>9697</v>
      </c>
      <c r="C7397" t="s">
        <v>165</v>
      </c>
      <c r="D7397" s="1" t="s">
        <v>9698</v>
      </c>
    </row>
    <row r="7398" spans="1:4" hidden="1" x14ac:dyDescent="0.3">
      <c r="A7398">
        <v>7396</v>
      </c>
      <c r="B7398" t="s">
        <v>9699</v>
      </c>
      <c r="C7398" t="s">
        <v>168</v>
      </c>
      <c r="D7398">
        <v>1.00506450899962</v>
      </c>
    </row>
    <row r="7399" spans="1:4" hidden="1" x14ac:dyDescent="0.3">
      <c r="A7399">
        <v>7397</v>
      </c>
      <c r="B7399" t="s">
        <v>9700</v>
      </c>
      <c r="C7399" t="s">
        <v>170</v>
      </c>
      <c r="D7399">
        <v>0.99441291570396195</v>
      </c>
    </row>
    <row r="7400" spans="1:4" hidden="1" x14ac:dyDescent="0.3">
      <c r="A7400">
        <v>7398</v>
      </c>
      <c r="B7400" s="1" t="s">
        <v>9701</v>
      </c>
      <c r="C7400" t="s">
        <v>172</v>
      </c>
      <c r="D7400" s="1" t="s">
        <v>9702</v>
      </c>
    </row>
    <row r="7401" spans="1:4" hidden="1" x14ac:dyDescent="0.3">
      <c r="A7401">
        <v>7399</v>
      </c>
      <c r="B7401" s="1" t="s">
        <v>9703</v>
      </c>
      <c r="C7401" t="s">
        <v>55</v>
      </c>
      <c r="D7401" s="1" t="s">
        <v>9704</v>
      </c>
    </row>
    <row r="7402" spans="1:4" hidden="1" x14ac:dyDescent="0.3">
      <c r="A7402">
        <v>7400</v>
      </c>
      <c r="B7402" s="1" t="s">
        <v>9705</v>
      </c>
      <c r="C7402" t="s">
        <v>52</v>
      </c>
      <c r="D7402" s="1" t="s">
        <v>9706</v>
      </c>
    </row>
    <row r="7403" spans="1:4" hidden="1" x14ac:dyDescent="0.3">
      <c r="A7403">
        <v>7401</v>
      </c>
      <c r="B7403" s="1" t="s">
        <v>9707</v>
      </c>
      <c r="C7403" t="s">
        <v>58</v>
      </c>
      <c r="D7403" s="1" t="s">
        <v>9708</v>
      </c>
    </row>
    <row r="7404" spans="1:4" hidden="1" x14ac:dyDescent="0.3">
      <c r="A7404">
        <v>7402</v>
      </c>
      <c r="B7404" t="s">
        <v>9709</v>
      </c>
      <c r="C7404" t="s">
        <v>61</v>
      </c>
      <c r="D7404">
        <v>145371361.34898999</v>
      </c>
    </row>
    <row r="7405" spans="1:4" hidden="1" x14ac:dyDescent="0.3">
      <c r="A7405">
        <v>7403</v>
      </c>
      <c r="B7405" t="s">
        <v>9710</v>
      </c>
      <c r="C7405" t="s">
        <v>63</v>
      </c>
      <c r="D7405">
        <v>78524790.625098199</v>
      </c>
    </row>
    <row r="7406" spans="1:4" hidden="1" x14ac:dyDescent="0.3">
      <c r="A7406">
        <v>7404</v>
      </c>
      <c r="B7406" t="s">
        <v>9711</v>
      </c>
      <c r="C7406" t="s">
        <v>65</v>
      </c>
      <c r="D7406">
        <v>34620561.291735999</v>
      </c>
    </row>
    <row r="7407" spans="1:4" hidden="1" x14ac:dyDescent="0.3">
      <c r="A7407">
        <v>7405</v>
      </c>
      <c r="B7407" s="1" t="s">
        <v>9712</v>
      </c>
      <c r="C7407" t="s">
        <v>67</v>
      </c>
      <c r="D7407" s="1" t="s">
        <v>9713</v>
      </c>
    </row>
    <row r="7408" spans="1:4" hidden="1" x14ac:dyDescent="0.3">
      <c r="A7408">
        <v>7406</v>
      </c>
      <c r="B7408" s="1" t="s">
        <v>9714</v>
      </c>
      <c r="C7408" t="s">
        <v>70</v>
      </c>
      <c r="D7408" s="1" t="s">
        <v>9715</v>
      </c>
    </row>
    <row r="7409" spans="1:4" hidden="1" x14ac:dyDescent="0.3">
      <c r="A7409">
        <v>7407</v>
      </c>
      <c r="B7409" t="s">
        <v>9716</v>
      </c>
      <c r="C7409" t="s">
        <v>73</v>
      </c>
      <c r="D7409">
        <v>0.99984411820219399</v>
      </c>
    </row>
    <row r="7410" spans="1:4" hidden="1" x14ac:dyDescent="0.3">
      <c r="A7410">
        <v>7408</v>
      </c>
      <c r="B7410" t="s">
        <v>74</v>
      </c>
      <c r="C7410" t="s">
        <v>75</v>
      </c>
      <c r="D7410">
        <v>2.7397260273972599E-3</v>
      </c>
    </row>
    <row r="7411" spans="1:4" hidden="1" x14ac:dyDescent="0.3">
      <c r="A7411">
        <v>7409</v>
      </c>
      <c r="B7411" t="s">
        <v>76</v>
      </c>
      <c r="C7411" t="s">
        <v>77</v>
      </c>
      <c r="D7411">
        <v>0</v>
      </c>
    </row>
    <row r="7412" spans="1:4" hidden="1" x14ac:dyDescent="0.3">
      <c r="A7412">
        <v>7410</v>
      </c>
      <c r="B7412" t="s">
        <v>78</v>
      </c>
      <c r="C7412" t="s">
        <v>79</v>
      </c>
      <c r="D7412">
        <v>0</v>
      </c>
    </row>
    <row r="7413" spans="1:4" hidden="1" x14ac:dyDescent="0.3">
      <c r="A7413">
        <v>7411</v>
      </c>
      <c r="B7413" s="1" t="s">
        <v>9717</v>
      </c>
      <c r="C7413" t="s">
        <v>81</v>
      </c>
      <c r="D7413" s="1" t="s">
        <v>9718</v>
      </c>
    </row>
    <row r="7414" spans="1:4" hidden="1" x14ac:dyDescent="0.3">
      <c r="A7414">
        <v>7412</v>
      </c>
      <c r="B7414" t="s">
        <v>9719</v>
      </c>
      <c r="C7414" t="s">
        <v>84</v>
      </c>
      <c r="D7414">
        <v>0.99983484276339796</v>
      </c>
    </row>
    <row r="7415" spans="1:4" hidden="1" x14ac:dyDescent="0.3">
      <c r="A7415">
        <v>7413</v>
      </c>
      <c r="B7415" s="1" t="s">
        <v>9720</v>
      </c>
      <c r="C7415" t="s">
        <v>86</v>
      </c>
      <c r="D7415" s="1" t="s">
        <v>9721</v>
      </c>
    </row>
    <row r="7416" spans="1:4" hidden="1" x14ac:dyDescent="0.3">
      <c r="A7416">
        <v>7414</v>
      </c>
      <c r="B7416" t="s">
        <v>9722</v>
      </c>
      <c r="C7416" t="s">
        <v>89</v>
      </c>
      <c r="D7416">
        <v>103010426.61189</v>
      </c>
    </row>
    <row r="7417" spans="1:4" hidden="1" x14ac:dyDescent="0.3">
      <c r="A7417">
        <v>7415</v>
      </c>
      <c r="B7417" s="1" t="s">
        <v>9723</v>
      </c>
      <c r="C7417" t="s">
        <v>91</v>
      </c>
      <c r="D7417" s="1" t="s">
        <v>9657</v>
      </c>
    </row>
    <row r="7418" spans="1:4" hidden="1" x14ac:dyDescent="0.3">
      <c r="A7418">
        <v>7416</v>
      </c>
      <c r="B7418" t="s">
        <v>9724</v>
      </c>
      <c r="C7418" t="s">
        <v>94</v>
      </c>
      <c r="D7418">
        <v>78524790.625098199</v>
      </c>
    </row>
    <row r="7419" spans="1:4" hidden="1" x14ac:dyDescent="0.3">
      <c r="A7419">
        <v>7417</v>
      </c>
      <c r="B7419" t="s">
        <v>9725</v>
      </c>
      <c r="C7419" t="s">
        <v>96</v>
      </c>
      <c r="D7419">
        <v>34620561.291735999</v>
      </c>
    </row>
    <row r="7420" spans="1:4" hidden="1" x14ac:dyDescent="0.3">
      <c r="A7420">
        <v>7418</v>
      </c>
      <c r="B7420" t="s">
        <v>9726</v>
      </c>
      <c r="C7420" t="s">
        <v>98</v>
      </c>
      <c r="D7420">
        <v>32226009.432156201</v>
      </c>
    </row>
    <row r="7421" spans="1:4" hidden="1" x14ac:dyDescent="0.3">
      <c r="A7421">
        <v>7419</v>
      </c>
      <c r="B7421" s="1" t="s">
        <v>9727</v>
      </c>
      <c r="C7421" t="s">
        <v>100</v>
      </c>
      <c r="D7421" s="1" t="s">
        <v>9728</v>
      </c>
    </row>
    <row r="7422" spans="1:4" hidden="1" x14ac:dyDescent="0.3">
      <c r="A7422">
        <v>7420</v>
      </c>
      <c r="B7422" t="s">
        <v>9729</v>
      </c>
      <c r="C7422" t="s">
        <v>103</v>
      </c>
      <c r="D7422">
        <v>9.6197201616518707E-3</v>
      </c>
    </row>
    <row r="7423" spans="1:4" hidden="1" x14ac:dyDescent="0.3">
      <c r="A7423">
        <v>7421</v>
      </c>
      <c r="B7423" t="s">
        <v>9730</v>
      </c>
      <c r="C7423" t="s">
        <v>105</v>
      </c>
      <c r="D7423">
        <v>2.8864430384239301E-3</v>
      </c>
    </row>
    <row r="7424" spans="1:4" hidden="1" x14ac:dyDescent="0.3">
      <c r="A7424">
        <v>7422</v>
      </c>
      <c r="B7424" t="s">
        <v>9731</v>
      </c>
      <c r="C7424" t="s">
        <v>107</v>
      </c>
      <c r="D7424">
        <v>1.9216241128604799E-2</v>
      </c>
    </row>
    <row r="7425" spans="1:4" hidden="1" x14ac:dyDescent="0.3">
      <c r="A7425">
        <v>7423</v>
      </c>
      <c r="B7425" s="1" t="s">
        <v>9732</v>
      </c>
      <c r="C7425" t="s">
        <v>109</v>
      </c>
      <c r="D7425" s="1" t="s">
        <v>9733</v>
      </c>
    </row>
    <row r="7426" spans="1:4" hidden="1" x14ac:dyDescent="0.3">
      <c r="A7426">
        <v>7424</v>
      </c>
      <c r="B7426" t="s">
        <v>9734</v>
      </c>
      <c r="C7426" t="s">
        <v>208</v>
      </c>
      <c r="D7426">
        <v>145371030.765874</v>
      </c>
    </row>
    <row r="7427" spans="1:4" hidden="1" x14ac:dyDescent="0.3">
      <c r="A7427">
        <v>7425</v>
      </c>
      <c r="B7427" t="s">
        <v>9735</v>
      </c>
      <c r="C7427" t="s">
        <v>210</v>
      </c>
      <c r="D7427">
        <v>728.46318651119896</v>
      </c>
    </row>
    <row r="7428" spans="1:4" hidden="1" x14ac:dyDescent="0.3">
      <c r="A7428">
        <v>7426</v>
      </c>
      <c r="B7428" t="s">
        <v>9736</v>
      </c>
      <c r="C7428" t="s">
        <v>212</v>
      </c>
      <c r="D7428">
        <v>321.17045645805598</v>
      </c>
    </row>
    <row r="7429" spans="1:4" hidden="1" x14ac:dyDescent="0.3">
      <c r="A7429">
        <v>7427</v>
      </c>
      <c r="B7429" s="1" t="s">
        <v>9737</v>
      </c>
      <c r="C7429" t="s">
        <v>214</v>
      </c>
      <c r="D7429" s="1" t="s">
        <v>9738</v>
      </c>
    </row>
    <row r="7430" spans="1:4" hidden="1" x14ac:dyDescent="0.3">
      <c r="A7430">
        <v>7428</v>
      </c>
      <c r="B7430" t="s">
        <v>9739</v>
      </c>
      <c r="C7430" t="s">
        <v>217</v>
      </c>
      <c r="D7430">
        <v>78523818.825753003</v>
      </c>
    </row>
    <row r="7431" spans="1:4" hidden="1" x14ac:dyDescent="0.3">
      <c r="A7431">
        <v>7429</v>
      </c>
      <c r="B7431" t="s">
        <v>9740</v>
      </c>
      <c r="C7431" t="s">
        <v>219</v>
      </c>
      <c r="D7431">
        <v>34620185.621019103</v>
      </c>
    </row>
    <row r="7432" spans="1:4" hidden="1" x14ac:dyDescent="0.3">
      <c r="A7432">
        <v>7430</v>
      </c>
      <c r="B7432" t="s">
        <v>9741</v>
      </c>
      <c r="C7432" t="s">
        <v>221</v>
      </c>
      <c r="D7432">
        <v>32225677.7287829</v>
      </c>
    </row>
    <row r="7433" spans="1:4" hidden="1" x14ac:dyDescent="0.3">
      <c r="A7433">
        <v>7431</v>
      </c>
      <c r="B7433" s="1" t="s">
        <v>9742</v>
      </c>
      <c r="C7433" t="s">
        <v>223</v>
      </c>
      <c r="D7433" s="1" t="s">
        <v>9743</v>
      </c>
    </row>
    <row r="7434" spans="1:4" hidden="1" x14ac:dyDescent="0.3">
      <c r="A7434">
        <v>7432</v>
      </c>
      <c r="B7434" t="s">
        <v>9744</v>
      </c>
      <c r="C7434" t="s">
        <v>226</v>
      </c>
      <c r="D7434">
        <v>103009470.99602</v>
      </c>
    </row>
    <row r="7435" spans="1:4" hidden="1" x14ac:dyDescent="0.3">
      <c r="A7435">
        <v>7433</v>
      </c>
      <c r="B7435" t="s">
        <v>9745</v>
      </c>
      <c r="C7435" t="s">
        <v>228</v>
      </c>
      <c r="D7435">
        <v>955.61587050557102</v>
      </c>
    </row>
    <row r="7436" spans="1:4" hidden="1" x14ac:dyDescent="0.3">
      <c r="A7436">
        <v>7434</v>
      </c>
      <c r="B7436" s="1" t="s">
        <v>9746</v>
      </c>
      <c r="C7436" t="s">
        <v>230</v>
      </c>
      <c r="D7436" s="1" t="s">
        <v>9747</v>
      </c>
    </row>
    <row r="7437" spans="1:4" hidden="1" x14ac:dyDescent="0.3">
      <c r="A7437">
        <v>7435</v>
      </c>
      <c r="B7437" t="s">
        <v>9748</v>
      </c>
      <c r="C7437" t="s">
        <v>112</v>
      </c>
      <c r="D7437">
        <v>-243.33615872512701</v>
      </c>
    </row>
    <row r="7438" spans="1:4" hidden="1" x14ac:dyDescent="0.3">
      <c r="A7438">
        <v>7436</v>
      </c>
      <c r="B7438" t="s">
        <v>9749</v>
      </c>
      <c r="C7438" t="s">
        <v>114</v>
      </c>
      <c r="D7438">
        <v>-54.500260356671902</v>
      </c>
    </row>
    <row r="7439" spans="1:4" hidden="1" x14ac:dyDescent="0.3">
      <c r="A7439">
        <v>7437</v>
      </c>
      <c r="B7439" s="1" t="s">
        <v>9750</v>
      </c>
      <c r="C7439" t="s">
        <v>116</v>
      </c>
      <c r="D7439" s="1" t="s">
        <v>9751</v>
      </c>
    </row>
    <row r="7440" spans="1:4" hidden="1" x14ac:dyDescent="0.3">
      <c r="A7440">
        <v>7438</v>
      </c>
      <c r="B7440" t="s">
        <v>9752</v>
      </c>
      <c r="C7440" t="s">
        <v>119</v>
      </c>
      <c r="D7440">
        <v>78523818.825753003</v>
      </c>
    </row>
    <row r="7441" spans="1:4" hidden="1" x14ac:dyDescent="0.3">
      <c r="A7441">
        <v>7439</v>
      </c>
      <c r="B7441" t="s">
        <v>9753</v>
      </c>
      <c r="C7441" t="s">
        <v>121</v>
      </c>
      <c r="D7441">
        <v>34620185.621019103</v>
      </c>
    </row>
    <row r="7442" spans="1:4" hidden="1" x14ac:dyDescent="0.3">
      <c r="A7442">
        <v>7440</v>
      </c>
      <c r="B7442" s="1" t="s">
        <v>9754</v>
      </c>
      <c r="C7442" t="s">
        <v>123</v>
      </c>
      <c r="D7442" s="1" t="s">
        <v>9755</v>
      </c>
    </row>
    <row r="7443" spans="1:4" hidden="1" x14ac:dyDescent="0.3">
      <c r="A7443">
        <v>7441</v>
      </c>
      <c r="B7443" t="s">
        <v>9756</v>
      </c>
      <c r="C7443" t="s">
        <v>126</v>
      </c>
      <c r="D7443">
        <v>0.76242299844402905</v>
      </c>
    </row>
    <row r="7444" spans="1:4" hidden="1" x14ac:dyDescent="0.3">
      <c r="A7444">
        <v>7442</v>
      </c>
      <c r="B7444" t="s">
        <v>9757</v>
      </c>
      <c r="C7444" t="s">
        <v>128</v>
      </c>
      <c r="D7444">
        <v>0.33614291972271698</v>
      </c>
    </row>
    <row r="7445" spans="1:4" hidden="1" x14ac:dyDescent="0.3">
      <c r="A7445">
        <v>7443</v>
      </c>
      <c r="B7445" s="1" t="s">
        <v>9758</v>
      </c>
      <c r="C7445" t="s">
        <v>130</v>
      </c>
      <c r="D7445" s="1" t="s">
        <v>9759</v>
      </c>
    </row>
    <row r="7446" spans="1:4" ht="72" x14ac:dyDescent="0.3">
      <c r="A7446">
        <v>7444</v>
      </c>
      <c r="B7446" s="1" t="s">
        <v>9760</v>
      </c>
      <c r="C7446" t="s">
        <v>4</v>
      </c>
      <c r="D7446" t="s">
        <v>9761</v>
      </c>
    </row>
    <row r="7447" spans="1:4" hidden="1" x14ac:dyDescent="0.3">
      <c r="A7447">
        <v>7445</v>
      </c>
      <c r="B7447" t="s">
        <v>9762</v>
      </c>
      <c r="C7447" t="s">
        <v>7</v>
      </c>
      <c r="D7447">
        <v>1768.68</v>
      </c>
    </row>
    <row r="7448" spans="1:4" hidden="1" x14ac:dyDescent="0.3">
      <c r="A7448">
        <v>7446</v>
      </c>
      <c r="B7448" s="1" t="s">
        <v>9763</v>
      </c>
      <c r="C7448" t="s">
        <v>9</v>
      </c>
      <c r="D7448" s="1" t="s">
        <v>9764</v>
      </c>
    </row>
    <row r="7449" spans="1:4" hidden="1" x14ac:dyDescent="0.3">
      <c r="A7449">
        <v>7447</v>
      </c>
      <c r="B7449" t="s">
        <v>4918</v>
      </c>
      <c r="C7449" t="s">
        <v>14</v>
      </c>
      <c r="D7449">
        <v>89.5390625</v>
      </c>
    </row>
    <row r="7450" spans="1:4" hidden="1" x14ac:dyDescent="0.3">
      <c r="A7450">
        <v>7448</v>
      </c>
      <c r="B7450" t="s">
        <v>9765</v>
      </c>
      <c r="C7450" t="s">
        <v>16</v>
      </c>
      <c r="D7450">
        <v>4.2398417694943804</v>
      </c>
    </row>
    <row r="7451" spans="1:4" hidden="1" x14ac:dyDescent="0.3">
      <c r="A7451">
        <v>7449</v>
      </c>
      <c r="B7451" s="1" t="s">
        <v>9766</v>
      </c>
      <c r="C7451" t="s">
        <v>140</v>
      </c>
      <c r="D7451" s="1" t="s">
        <v>9767</v>
      </c>
    </row>
    <row r="7452" spans="1:4" hidden="1" x14ac:dyDescent="0.3">
      <c r="A7452">
        <v>7450</v>
      </c>
      <c r="B7452" t="s">
        <v>6898</v>
      </c>
      <c r="C7452" t="s">
        <v>22</v>
      </c>
      <c r="D7452">
        <v>52.6</v>
      </c>
    </row>
    <row r="7453" spans="1:4" hidden="1" x14ac:dyDescent="0.3">
      <c r="A7453">
        <v>7451</v>
      </c>
      <c r="B7453" t="s">
        <v>9768</v>
      </c>
      <c r="C7453" t="s">
        <v>24</v>
      </c>
      <c r="D7453">
        <v>4.9864835439936401</v>
      </c>
    </row>
    <row r="7454" spans="1:4" hidden="1" x14ac:dyDescent="0.3">
      <c r="A7454">
        <v>7452</v>
      </c>
      <c r="B7454" s="1" t="s">
        <v>9769</v>
      </c>
      <c r="C7454" t="s">
        <v>145</v>
      </c>
      <c r="D7454" s="1" t="s">
        <v>9770</v>
      </c>
    </row>
    <row r="7455" spans="1:4" hidden="1" x14ac:dyDescent="0.3">
      <c r="A7455">
        <v>7453</v>
      </c>
      <c r="B7455" t="s">
        <v>9771</v>
      </c>
      <c r="C7455" t="s">
        <v>35</v>
      </c>
      <c r="D7455">
        <v>0.231103894278609</v>
      </c>
    </row>
    <row r="7456" spans="1:4" hidden="1" x14ac:dyDescent="0.3">
      <c r="A7456">
        <v>7454</v>
      </c>
      <c r="B7456" t="s">
        <v>9772</v>
      </c>
      <c r="C7456" t="s">
        <v>149</v>
      </c>
      <c r="D7456">
        <v>0.53685851784990202</v>
      </c>
    </row>
    <row r="7457" spans="1:4" hidden="1" x14ac:dyDescent="0.3">
      <c r="A7457">
        <v>7455</v>
      </c>
      <c r="B7457" s="1" t="s">
        <v>9773</v>
      </c>
      <c r="C7457" t="s">
        <v>151</v>
      </c>
      <c r="D7457" s="1" t="s">
        <v>9774</v>
      </c>
    </row>
    <row r="7458" spans="1:4" hidden="1" x14ac:dyDescent="0.3">
      <c r="A7458">
        <v>7456</v>
      </c>
      <c r="B7458" t="s">
        <v>9775</v>
      </c>
      <c r="C7458" t="s">
        <v>30</v>
      </c>
      <c r="D7458">
        <v>0.33827348521606898</v>
      </c>
    </row>
    <row r="7459" spans="1:4" hidden="1" x14ac:dyDescent="0.3">
      <c r="A7459">
        <v>7457</v>
      </c>
      <c r="B7459" t="s">
        <v>9776</v>
      </c>
      <c r="C7459" t="s">
        <v>32</v>
      </c>
      <c r="D7459">
        <v>0.40987981816864</v>
      </c>
    </row>
    <row r="7460" spans="1:4" hidden="1" x14ac:dyDescent="0.3">
      <c r="A7460">
        <v>7458</v>
      </c>
      <c r="B7460" s="1" t="s">
        <v>9777</v>
      </c>
      <c r="C7460" t="s">
        <v>155</v>
      </c>
      <c r="D7460" s="1" t="s">
        <v>9778</v>
      </c>
    </row>
    <row r="7461" spans="1:4" hidden="1" x14ac:dyDescent="0.3">
      <c r="A7461">
        <v>7459</v>
      </c>
      <c r="B7461" t="s">
        <v>9779</v>
      </c>
      <c r="C7461" t="s">
        <v>40</v>
      </c>
      <c r="D7461">
        <v>0.43062262050532002</v>
      </c>
    </row>
    <row r="7462" spans="1:4" hidden="1" x14ac:dyDescent="0.3">
      <c r="A7462">
        <v>7460</v>
      </c>
      <c r="B7462" t="s">
        <v>9780</v>
      </c>
      <c r="C7462" t="s">
        <v>42</v>
      </c>
      <c r="D7462">
        <v>0.45280833290133099</v>
      </c>
    </row>
    <row r="7463" spans="1:4" hidden="1" x14ac:dyDescent="0.3">
      <c r="A7463">
        <v>7461</v>
      </c>
      <c r="B7463" s="1" t="s">
        <v>9781</v>
      </c>
      <c r="C7463" t="s">
        <v>159</v>
      </c>
      <c r="D7463" s="1" t="s">
        <v>9782</v>
      </c>
    </row>
    <row r="7464" spans="1:4" hidden="1" x14ac:dyDescent="0.3">
      <c r="A7464">
        <v>7462</v>
      </c>
      <c r="B7464" t="s">
        <v>9783</v>
      </c>
      <c r="C7464" t="s">
        <v>161</v>
      </c>
      <c r="D7464">
        <v>0.98389546235877201</v>
      </c>
    </row>
    <row r="7465" spans="1:4" hidden="1" x14ac:dyDescent="0.3">
      <c r="A7465">
        <v>7463</v>
      </c>
      <c r="B7465" t="s">
        <v>9784</v>
      </c>
      <c r="C7465" t="s">
        <v>163</v>
      </c>
      <c r="D7465">
        <v>0.996083098807794</v>
      </c>
    </row>
    <row r="7466" spans="1:4" hidden="1" x14ac:dyDescent="0.3">
      <c r="A7466">
        <v>7464</v>
      </c>
      <c r="B7466" s="1" t="s">
        <v>9785</v>
      </c>
      <c r="C7466" t="s">
        <v>165</v>
      </c>
      <c r="D7466" s="1" t="s">
        <v>9786</v>
      </c>
    </row>
    <row r="7467" spans="1:4" hidden="1" x14ac:dyDescent="0.3">
      <c r="A7467">
        <v>7465</v>
      </c>
      <c r="B7467" t="s">
        <v>9787</v>
      </c>
      <c r="C7467" t="s">
        <v>168</v>
      </c>
      <c r="D7467">
        <v>0.99728073124545003</v>
      </c>
    </row>
    <row r="7468" spans="1:4" hidden="1" x14ac:dyDescent="0.3">
      <c r="A7468">
        <v>7466</v>
      </c>
      <c r="B7468" t="s">
        <v>9788</v>
      </c>
      <c r="C7468" t="s">
        <v>170</v>
      </c>
      <c r="D7468">
        <v>1.0017923806067901</v>
      </c>
    </row>
    <row r="7469" spans="1:4" hidden="1" x14ac:dyDescent="0.3">
      <c r="A7469">
        <v>7467</v>
      </c>
      <c r="B7469" s="1" t="s">
        <v>9789</v>
      </c>
      <c r="C7469" t="s">
        <v>172</v>
      </c>
      <c r="D7469" s="1" t="s">
        <v>9790</v>
      </c>
    </row>
    <row r="7470" spans="1:4" hidden="1" x14ac:dyDescent="0.3">
      <c r="A7470">
        <v>7468</v>
      </c>
      <c r="B7470" s="1" t="s">
        <v>9791</v>
      </c>
      <c r="C7470" t="s">
        <v>55</v>
      </c>
      <c r="D7470" s="1" t="s">
        <v>9792</v>
      </c>
    </row>
    <row r="7471" spans="1:4" hidden="1" x14ac:dyDescent="0.3">
      <c r="A7471">
        <v>7469</v>
      </c>
      <c r="B7471" s="1" t="s">
        <v>9793</v>
      </c>
      <c r="C7471" t="s">
        <v>52</v>
      </c>
      <c r="D7471" s="1" t="s">
        <v>9794</v>
      </c>
    </row>
    <row r="7472" spans="1:4" hidden="1" x14ac:dyDescent="0.3">
      <c r="A7472">
        <v>7470</v>
      </c>
      <c r="B7472" s="1" t="s">
        <v>9795</v>
      </c>
      <c r="C7472" t="s">
        <v>58</v>
      </c>
      <c r="D7472" s="1" t="s">
        <v>9796</v>
      </c>
    </row>
    <row r="7473" spans="1:4" hidden="1" x14ac:dyDescent="0.3">
      <c r="A7473">
        <v>7471</v>
      </c>
      <c r="B7473" t="s">
        <v>9797</v>
      </c>
      <c r="C7473" t="s">
        <v>61</v>
      </c>
      <c r="D7473">
        <v>144252275.675807</v>
      </c>
    </row>
    <row r="7474" spans="1:4" hidden="1" x14ac:dyDescent="0.3">
      <c r="A7474">
        <v>7472</v>
      </c>
      <c r="B7474" t="s">
        <v>9798</v>
      </c>
      <c r="C7474" t="s">
        <v>63</v>
      </c>
      <c r="D7474">
        <v>77259229.029740706</v>
      </c>
    </row>
    <row r="7475" spans="1:4" hidden="1" x14ac:dyDescent="0.3">
      <c r="A7475">
        <v>7473</v>
      </c>
      <c r="B7475" t="s">
        <v>9799</v>
      </c>
      <c r="C7475" t="s">
        <v>65</v>
      </c>
      <c r="D7475">
        <v>34484581.7746858</v>
      </c>
    </row>
    <row r="7476" spans="1:4" hidden="1" x14ac:dyDescent="0.3">
      <c r="A7476">
        <v>7474</v>
      </c>
      <c r="B7476" s="1" t="s">
        <v>9800</v>
      </c>
      <c r="C7476" t="s">
        <v>67</v>
      </c>
      <c r="D7476" s="1" t="s">
        <v>9801</v>
      </c>
    </row>
    <row r="7477" spans="1:4" hidden="1" x14ac:dyDescent="0.3">
      <c r="A7477">
        <v>7475</v>
      </c>
      <c r="B7477" s="1" t="s">
        <v>9802</v>
      </c>
      <c r="C7477" t="s">
        <v>70</v>
      </c>
      <c r="D7477" s="1" t="s">
        <v>9803</v>
      </c>
    </row>
    <row r="7478" spans="1:4" hidden="1" x14ac:dyDescent="0.3">
      <c r="A7478">
        <v>7476</v>
      </c>
      <c r="B7478" t="s">
        <v>9804</v>
      </c>
      <c r="C7478" t="s">
        <v>73</v>
      </c>
      <c r="D7478">
        <v>0.99983484276339796</v>
      </c>
    </row>
    <row r="7479" spans="1:4" hidden="1" x14ac:dyDescent="0.3">
      <c r="A7479">
        <v>7477</v>
      </c>
      <c r="B7479" t="s">
        <v>74</v>
      </c>
      <c r="C7479" t="s">
        <v>75</v>
      </c>
      <c r="D7479">
        <v>2.7397260273972599E-3</v>
      </c>
    </row>
    <row r="7480" spans="1:4" hidden="1" x14ac:dyDescent="0.3">
      <c r="A7480">
        <v>7478</v>
      </c>
      <c r="B7480" t="s">
        <v>76</v>
      </c>
      <c r="C7480" t="s">
        <v>77</v>
      </c>
      <c r="D7480">
        <v>0</v>
      </c>
    </row>
    <row r="7481" spans="1:4" hidden="1" x14ac:dyDescent="0.3">
      <c r="A7481">
        <v>7479</v>
      </c>
      <c r="B7481" t="s">
        <v>78</v>
      </c>
      <c r="C7481" t="s">
        <v>79</v>
      </c>
      <c r="D7481">
        <v>0</v>
      </c>
    </row>
    <row r="7482" spans="1:4" hidden="1" x14ac:dyDescent="0.3">
      <c r="A7482">
        <v>7480</v>
      </c>
      <c r="B7482" s="1" t="s">
        <v>9805</v>
      </c>
      <c r="C7482" t="s">
        <v>81</v>
      </c>
      <c r="D7482" s="1" t="s">
        <v>9806</v>
      </c>
    </row>
    <row r="7483" spans="1:4" hidden="1" x14ac:dyDescent="0.3">
      <c r="A7483">
        <v>7481</v>
      </c>
      <c r="B7483" t="s">
        <v>9807</v>
      </c>
      <c r="C7483" t="s">
        <v>84</v>
      </c>
      <c r="D7483">
        <v>0.99982583247450696</v>
      </c>
    </row>
    <row r="7484" spans="1:4" hidden="1" x14ac:dyDescent="0.3">
      <c r="A7484">
        <v>7482</v>
      </c>
      <c r="B7484" s="1" t="s">
        <v>9808</v>
      </c>
      <c r="C7484" t="s">
        <v>86</v>
      </c>
      <c r="D7484" s="1" t="s">
        <v>9809</v>
      </c>
    </row>
    <row r="7485" spans="1:4" hidden="1" x14ac:dyDescent="0.3">
      <c r="A7485">
        <v>7483</v>
      </c>
      <c r="B7485" t="s">
        <v>9810</v>
      </c>
      <c r="C7485" t="s">
        <v>89</v>
      </c>
      <c r="D7485">
        <v>103011354.927275</v>
      </c>
    </row>
    <row r="7486" spans="1:4" hidden="1" x14ac:dyDescent="0.3">
      <c r="A7486">
        <v>7484</v>
      </c>
      <c r="B7486" s="1" t="s">
        <v>9811</v>
      </c>
      <c r="C7486" t="s">
        <v>91</v>
      </c>
      <c r="D7486" s="1" t="s">
        <v>9747</v>
      </c>
    </row>
    <row r="7487" spans="1:4" hidden="1" x14ac:dyDescent="0.3">
      <c r="A7487">
        <v>7485</v>
      </c>
      <c r="B7487" t="s">
        <v>9812</v>
      </c>
      <c r="C7487" t="s">
        <v>94</v>
      </c>
      <c r="D7487">
        <v>77259229.029740706</v>
      </c>
    </row>
    <row r="7488" spans="1:4" hidden="1" x14ac:dyDescent="0.3">
      <c r="A7488">
        <v>7486</v>
      </c>
      <c r="B7488" t="s">
        <v>9813</v>
      </c>
      <c r="C7488" t="s">
        <v>96</v>
      </c>
      <c r="D7488">
        <v>34484581.7746858</v>
      </c>
    </row>
    <row r="7489" spans="1:4" hidden="1" x14ac:dyDescent="0.3">
      <c r="A7489">
        <v>7487</v>
      </c>
      <c r="B7489" t="s">
        <v>9814</v>
      </c>
      <c r="C7489" t="s">
        <v>98</v>
      </c>
      <c r="D7489">
        <v>32508464.871380702</v>
      </c>
    </row>
    <row r="7490" spans="1:4" hidden="1" x14ac:dyDescent="0.3">
      <c r="A7490">
        <v>7488</v>
      </c>
      <c r="B7490" s="1" t="s">
        <v>9815</v>
      </c>
      <c r="C7490" t="s">
        <v>100</v>
      </c>
      <c r="D7490" s="1" t="s">
        <v>9816</v>
      </c>
    </row>
    <row r="7491" spans="1:4" hidden="1" x14ac:dyDescent="0.3">
      <c r="A7491">
        <v>7489</v>
      </c>
      <c r="B7491" t="s">
        <v>9817</v>
      </c>
      <c r="C7491" t="s">
        <v>103</v>
      </c>
      <c r="D7491">
        <v>9.61112086623888E-3</v>
      </c>
    </row>
    <row r="7492" spans="1:4" hidden="1" x14ac:dyDescent="0.3">
      <c r="A7492">
        <v>7490</v>
      </c>
      <c r="B7492" t="s">
        <v>9818</v>
      </c>
      <c r="C7492" t="s">
        <v>105</v>
      </c>
      <c r="D7492">
        <v>2.9070734146991301E-3</v>
      </c>
    </row>
    <row r="7493" spans="1:4" hidden="1" x14ac:dyDescent="0.3">
      <c r="A7493">
        <v>7491</v>
      </c>
      <c r="B7493" t="s">
        <v>9819</v>
      </c>
      <c r="C7493" t="s">
        <v>107</v>
      </c>
      <c r="D7493">
        <v>1.92432628476733E-2</v>
      </c>
    </row>
    <row r="7494" spans="1:4" hidden="1" x14ac:dyDescent="0.3">
      <c r="A7494">
        <v>7492</v>
      </c>
      <c r="B7494" s="1" t="s">
        <v>9820</v>
      </c>
      <c r="C7494" t="s">
        <v>109</v>
      </c>
      <c r="D7494" s="1" t="s">
        <v>9821</v>
      </c>
    </row>
    <row r="7495" spans="1:4" hidden="1" x14ac:dyDescent="0.3">
      <c r="A7495">
        <v>7493</v>
      </c>
      <c r="B7495" t="s">
        <v>9822</v>
      </c>
      <c r="C7495" t="s">
        <v>208</v>
      </c>
      <c r="D7495">
        <v>144251955.41320899</v>
      </c>
    </row>
    <row r="7496" spans="1:4" hidden="1" x14ac:dyDescent="0.3">
      <c r="A7496">
        <v>7494</v>
      </c>
      <c r="B7496" t="s">
        <v>9823</v>
      </c>
      <c r="C7496" t="s">
        <v>210</v>
      </c>
      <c r="D7496">
        <v>696.24095901148303</v>
      </c>
    </row>
    <row r="7497" spans="1:4" hidden="1" x14ac:dyDescent="0.3">
      <c r="A7497">
        <v>7495</v>
      </c>
      <c r="B7497" t="s">
        <v>9824</v>
      </c>
      <c r="C7497" t="s">
        <v>212</v>
      </c>
      <c r="D7497">
        <v>310.766912321821</v>
      </c>
    </row>
    <row r="7498" spans="1:4" hidden="1" x14ac:dyDescent="0.3">
      <c r="A7498">
        <v>7496</v>
      </c>
      <c r="B7498" s="1" t="s">
        <v>9825</v>
      </c>
      <c r="C7498" t="s">
        <v>214</v>
      </c>
      <c r="D7498" s="1" t="s">
        <v>9826</v>
      </c>
    </row>
    <row r="7499" spans="1:4" hidden="1" x14ac:dyDescent="0.3">
      <c r="A7499">
        <v>7497</v>
      </c>
      <c r="B7499" t="s">
        <v>9827</v>
      </c>
      <c r="C7499" t="s">
        <v>217</v>
      </c>
      <c r="D7499">
        <v>77258310.460335299</v>
      </c>
    </row>
    <row r="7500" spans="1:4" hidden="1" x14ac:dyDescent="0.3">
      <c r="A7500">
        <v>7498</v>
      </c>
      <c r="B7500" t="s">
        <v>9828</v>
      </c>
      <c r="C7500" t="s">
        <v>219</v>
      </c>
      <c r="D7500">
        <v>34484220.272026598</v>
      </c>
    </row>
    <row r="7501" spans="1:4" hidden="1" x14ac:dyDescent="0.3">
      <c r="A7501">
        <v>7499</v>
      </c>
      <c r="B7501" t="s">
        <v>9829</v>
      </c>
      <c r="C7501" t="s">
        <v>221</v>
      </c>
      <c r="D7501">
        <v>32508124.714357302</v>
      </c>
    </row>
    <row r="7502" spans="1:4" hidden="1" x14ac:dyDescent="0.3">
      <c r="A7502">
        <v>7500</v>
      </c>
      <c r="B7502" s="1" t="s">
        <v>9830</v>
      </c>
      <c r="C7502" t="s">
        <v>223</v>
      </c>
      <c r="D7502" s="1" t="s">
        <v>9831</v>
      </c>
    </row>
    <row r="7503" spans="1:4" hidden="1" x14ac:dyDescent="0.3">
      <c r="A7503">
        <v>7501</v>
      </c>
      <c r="B7503" t="s">
        <v>9832</v>
      </c>
      <c r="C7503" t="s">
        <v>226</v>
      </c>
      <c r="D7503">
        <v>103010426.61189</v>
      </c>
    </row>
    <row r="7504" spans="1:4" hidden="1" x14ac:dyDescent="0.3">
      <c r="A7504">
        <v>7502</v>
      </c>
      <c r="B7504" t="s">
        <v>9833</v>
      </c>
      <c r="C7504" t="s">
        <v>228</v>
      </c>
      <c r="D7504">
        <v>928.31538490951004</v>
      </c>
    </row>
    <row r="7505" spans="1:4" hidden="1" x14ac:dyDescent="0.3">
      <c r="A7505">
        <v>7503</v>
      </c>
      <c r="B7505" s="1" t="s">
        <v>9834</v>
      </c>
      <c r="C7505" t="s">
        <v>230</v>
      </c>
      <c r="D7505" s="1" t="s">
        <v>9835</v>
      </c>
    </row>
    <row r="7506" spans="1:4" hidden="1" x14ac:dyDescent="0.3">
      <c r="A7506">
        <v>7504</v>
      </c>
      <c r="B7506" t="s">
        <v>9836</v>
      </c>
      <c r="C7506" t="s">
        <v>112</v>
      </c>
      <c r="D7506">
        <v>-222.32844635876199</v>
      </c>
    </row>
    <row r="7507" spans="1:4" hidden="1" x14ac:dyDescent="0.3">
      <c r="A7507">
        <v>7505</v>
      </c>
      <c r="B7507" t="s">
        <v>9837</v>
      </c>
      <c r="C7507" t="s">
        <v>114</v>
      </c>
      <c r="D7507">
        <v>-50.735746865964003</v>
      </c>
    </row>
    <row r="7508" spans="1:4" hidden="1" x14ac:dyDescent="0.3">
      <c r="A7508">
        <v>7506</v>
      </c>
      <c r="B7508" s="1" t="s">
        <v>9838</v>
      </c>
      <c r="C7508" t="s">
        <v>116</v>
      </c>
      <c r="D7508" s="1" t="s">
        <v>9839</v>
      </c>
    </row>
    <row r="7509" spans="1:4" hidden="1" x14ac:dyDescent="0.3">
      <c r="A7509">
        <v>7507</v>
      </c>
      <c r="B7509" t="s">
        <v>9840</v>
      </c>
      <c r="C7509" t="s">
        <v>119</v>
      </c>
      <c r="D7509">
        <v>77258310.460335299</v>
      </c>
    </row>
    <row r="7510" spans="1:4" hidden="1" x14ac:dyDescent="0.3">
      <c r="A7510">
        <v>7508</v>
      </c>
      <c r="B7510" t="s">
        <v>9841</v>
      </c>
      <c r="C7510" t="s">
        <v>121</v>
      </c>
      <c r="D7510">
        <v>34484220.272026598</v>
      </c>
    </row>
    <row r="7511" spans="1:4" hidden="1" x14ac:dyDescent="0.3">
      <c r="A7511">
        <v>7509</v>
      </c>
      <c r="B7511" s="1" t="s">
        <v>9842</v>
      </c>
      <c r="C7511" t="s">
        <v>123</v>
      </c>
      <c r="D7511" s="1" t="s">
        <v>9843</v>
      </c>
    </row>
    <row r="7512" spans="1:4" hidden="1" x14ac:dyDescent="0.3">
      <c r="A7512">
        <v>7510</v>
      </c>
      <c r="B7512" t="s">
        <v>9844</v>
      </c>
      <c r="C7512" t="s">
        <v>126</v>
      </c>
      <c r="D7512">
        <v>0.75013541089596403</v>
      </c>
    </row>
    <row r="7513" spans="1:4" hidden="1" x14ac:dyDescent="0.3">
      <c r="A7513">
        <v>7511</v>
      </c>
      <c r="B7513" t="s">
        <v>9845</v>
      </c>
      <c r="C7513" t="s">
        <v>128</v>
      </c>
      <c r="D7513">
        <v>0.33482268236326801</v>
      </c>
    </row>
    <row r="7514" spans="1:4" hidden="1" x14ac:dyDescent="0.3">
      <c r="A7514">
        <v>7512</v>
      </c>
      <c r="B7514" s="1" t="s">
        <v>9846</v>
      </c>
      <c r="C7514" t="s">
        <v>130</v>
      </c>
      <c r="D7514" s="1" t="s">
        <v>9847</v>
      </c>
    </row>
    <row r="7515" spans="1:4" ht="72" x14ac:dyDescent="0.3">
      <c r="A7515">
        <v>7513</v>
      </c>
      <c r="B7515" s="1" t="s">
        <v>9848</v>
      </c>
      <c r="C7515" t="s">
        <v>4</v>
      </c>
      <c r="D7515" t="s">
        <v>9849</v>
      </c>
    </row>
    <row r="7516" spans="1:4" hidden="1" x14ac:dyDescent="0.3">
      <c r="A7516">
        <v>7514</v>
      </c>
      <c r="B7516" t="s">
        <v>9850</v>
      </c>
      <c r="C7516" t="s">
        <v>7</v>
      </c>
      <c r="D7516">
        <v>1771.04</v>
      </c>
    </row>
    <row r="7517" spans="1:4" hidden="1" x14ac:dyDescent="0.3">
      <c r="A7517">
        <v>7515</v>
      </c>
      <c r="B7517" s="1" t="s">
        <v>9851</v>
      </c>
      <c r="C7517" t="s">
        <v>9</v>
      </c>
      <c r="D7517" s="1" t="s">
        <v>9852</v>
      </c>
    </row>
    <row r="7518" spans="1:4" hidden="1" x14ac:dyDescent="0.3">
      <c r="A7518">
        <v>7516</v>
      </c>
      <c r="B7518" t="s">
        <v>9853</v>
      </c>
      <c r="C7518" t="s">
        <v>14</v>
      </c>
      <c r="D7518">
        <v>89.57421875</v>
      </c>
    </row>
    <row r="7519" spans="1:4" hidden="1" x14ac:dyDescent="0.3">
      <c r="A7519">
        <v>7517</v>
      </c>
      <c r="B7519" t="s">
        <v>9854</v>
      </c>
      <c r="C7519" t="s">
        <v>16</v>
      </c>
      <c r="D7519">
        <v>4.2462554837877997</v>
      </c>
    </row>
    <row r="7520" spans="1:4" hidden="1" x14ac:dyDescent="0.3">
      <c r="A7520">
        <v>7518</v>
      </c>
      <c r="B7520" s="1" t="s">
        <v>9855</v>
      </c>
      <c r="C7520" t="s">
        <v>140</v>
      </c>
      <c r="D7520" s="1" t="s">
        <v>9856</v>
      </c>
    </row>
    <row r="7521" spans="1:4" hidden="1" x14ac:dyDescent="0.3">
      <c r="A7521">
        <v>7519</v>
      </c>
      <c r="B7521" t="s">
        <v>9054</v>
      </c>
      <c r="C7521" t="s">
        <v>22</v>
      </c>
      <c r="D7521">
        <v>53.15</v>
      </c>
    </row>
    <row r="7522" spans="1:4" hidden="1" x14ac:dyDescent="0.3">
      <c r="A7522">
        <v>7520</v>
      </c>
      <c r="B7522" t="s">
        <v>9857</v>
      </c>
      <c r="C7522" t="s">
        <v>24</v>
      </c>
      <c r="D7522">
        <v>4.9917829250020898</v>
      </c>
    </row>
    <row r="7523" spans="1:4" hidden="1" x14ac:dyDescent="0.3">
      <c r="A7523">
        <v>7521</v>
      </c>
      <c r="B7523" s="1" t="s">
        <v>9858</v>
      </c>
      <c r="C7523" t="s">
        <v>145</v>
      </c>
      <c r="D7523" s="1" t="s">
        <v>9859</v>
      </c>
    </row>
    <row r="7524" spans="1:4" hidden="1" x14ac:dyDescent="0.3">
      <c r="A7524">
        <v>7522</v>
      </c>
      <c r="B7524" t="s">
        <v>9860</v>
      </c>
      <c r="C7524" t="s">
        <v>35</v>
      </c>
      <c r="D7524">
        <v>0.33584539714288197</v>
      </c>
    </row>
    <row r="7525" spans="1:4" hidden="1" x14ac:dyDescent="0.3">
      <c r="A7525">
        <v>7523</v>
      </c>
      <c r="B7525" t="s">
        <v>9861</v>
      </c>
      <c r="C7525" t="s">
        <v>149</v>
      </c>
      <c r="D7525">
        <v>0.54044424347521502</v>
      </c>
    </row>
    <row r="7526" spans="1:4" hidden="1" x14ac:dyDescent="0.3">
      <c r="A7526">
        <v>7524</v>
      </c>
      <c r="B7526" s="1" t="s">
        <v>9862</v>
      </c>
      <c r="C7526" t="s">
        <v>151</v>
      </c>
      <c r="D7526" s="1" t="s">
        <v>9863</v>
      </c>
    </row>
    <row r="7527" spans="1:4" hidden="1" x14ac:dyDescent="0.3">
      <c r="A7527">
        <v>7525</v>
      </c>
      <c r="B7527" t="s">
        <v>9864</v>
      </c>
      <c r="C7527" t="s">
        <v>30</v>
      </c>
      <c r="D7527">
        <v>0.30187818087920099</v>
      </c>
    </row>
    <row r="7528" spans="1:4" hidden="1" x14ac:dyDescent="0.3">
      <c r="A7528">
        <v>7526</v>
      </c>
      <c r="B7528" t="s">
        <v>9865</v>
      </c>
      <c r="C7528" t="s">
        <v>32</v>
      </c>
      <c r="D7528">
        <v>0.40112360453648599</v>
      </c>
    </row>
    <row r="7529" spans="1:4" hidden="1" x14ac:dyDescent="0.3">
      <c r="A7529">
        <v>7527</v>
      </c>
      <c r="B7529" s="1" t="s">
        <v>9866</v>
      </c>
      <c r="C7529" t="s">
        <v>155</v>
      </c>
      <c r="D7529" s="1" t="s">
        <v>9867</v>
      </c>
    </row>
    <row r="7530" spans="1:4" hidden="1" x14ac:dyDescent="0.3">
      <c r="A7530">
        <v>7528</v>
      </c>
      <c r="B7530" t="s">
        <v>9868</v>
      </c>
      <c r="C7530" t="s">
        <v>40</v>
      </c>
      <c r="D7530">
        <v>0.36227642197791499</v>
      </c>
    </row>
    <row r="7531" spans="1:4" hidden="1" x14ac:dyDescent="0.3">
      <c r="A7531">
        <v>7529</v>
      </c>
      <c r="B7531" t="s">
        <v>9869</v>
      </c>
      <c r="C7531" t="s">
        <v>42</v>
      </c>
      <c r="D7531">
        <v>0.44920603089399902</v>
      </c>
    </row>
    <row r="7532" spans="1:4" hidden="1" x14ac:dyDescent="0.3">
      <c r="A7532">
        <v>7530</v>
      </c>
      <c r="B7532" s="1" t="s">
        <v>9870</v>
      </c>
      <c r="C7532" t="s">
        <v>159</v>
      </c>
      <c r="D7532" s="1" t="s">
        <v>9871</v>
      </c>
    </row>
    <row r="7533" spans="1:4" hidden="1" x14ac:dyDescent="0.3">
      <c r="A7533">
        <v>7531</v>
      </c>
      <c r="B7533" t="s">
        <v>9872</v>
      </c>
      <c r="C7533" t="s">
        <v>161</v>
      </c>
      <c r="D7533">
        <v>1.0013343284257099</v>
      </c>
    </row>
    <row r="7534" spans="1:4" hidden="1" x14ac:dyDescent="0.3">
      <c r="A7534">
        <v>7532</v>
      </c>
      <c r="B7534" t="s">
        <v>9873</v>
      </c>
      <c r="C7534" t="s">
        <v>163</v>
      </c>
      <c r="D7534">
        <v>1.00044327628497</v>
      </c>
    </row>
    <row r="7535" spans="1:4" hidden="1" x14ac:dyDescent="0.3">
      <c r="A7535">
        <v>7533</v>
      </c>
      <c r="B7535" s="1" t="s">
        <v>9874</v>
      </c>
      <c r="C7535" t="s">
        <v>165</v>
      </c>
      <c r="D7535" s="1" t="s">
        <v>9875</v>
      </c>
    </row>
    <row r="7536" spans="1:4" hidden="1" x14ac:dyDescent="0.3">
      <c r="A7536">
        <v>7534</v>
      </c>
      <c r="B7536" t="s">
        <v>9876</v>
      </c>
      <c r="C7536" t="s">
        <v>168</v>
      </c>
      <c r="D7536">
        <v>1.0023331527161801</v>
      </c>
    </row>
    <row r="7537" spans="1:4" hidden="1" x14ac:dyDescent="0.3">
      <c r="A7537">
        <v>7535</v>
      </c>
      <c r="B7537" t="s">
        <v>9877</v>
      </c>
      <c r="C7537" t="s">
        <v>170</v>
      </c>
      <c r="D7537">
        <v>0.99378939004636002</v>
      </c>
    </row>
    <row r="7538" spans="1:4" hidden="1" x14ac:dyDescent="0.3">
      <c r="A7538">
        <v>7536</v>
      </c>
      <c r="B7538" s="1" t="s">
        <v>9878</v>
      </c>
      <c r="C7538" t="s">
        <v>172</v>
      </c>
      <c r="D7538" s="1" t="s">
        <v>9879</v>
      </c>
    </row>
    <row r="7539" spans="1:4" hidden="1" x14ac:dyDescent="0.3">
      <c r="A7539">
        <v>7537</v>
      </c>
      <c r="B7539" s="1" t="s">
        <v>9880</v>
      </c>
      <c r="C7539" t="s">
        <v>55</v>
      </c>
      <c r="D7539" s="1" t="s">
        <v>9881</v>
      </c>
    </row>
    <row r="7540" spans="1:4" hidden="1" x14ac:dyDescent="0.3">
      <c r="A7540">
        <v>7538</v>
      </c>
      <c r="B7540" s="1" t="s">
        <v>9882</v>
      </c>
      <c r="C7540" t="s">
        <v>52</v>
      </c>
      <c r="D7540" s="1" t="s">
        <v>9883</v>
      </c>
    </row>
    <row r="7541" spans="1:4" hidden="1" x14ac:dyDescent="0.3">
      <c r="A7541">
        <v>7539</v>
      </c>
      <c r="B7541" s="1" t="s">
        <v>9884</v>
      </c>
      <c r="C7541" t="s">
        <v>58</v>
      </c>
      <c r="D7541" s="1" t="s">
        <v>9885</v>
      </c>
    </row>
    <row r="7542" spans="1:4" hidden="1" x14ac:dyDescent="0.3">
      <c r="A7542">
        <v>7540</v>
      </c>
      <c r="B7542" t="s">
        <v>9886</v>
      </c>
      <c r="C7542" t="s">
        <v>61</v>
      </c>
      <c r="D7542">
        <v>144682501.29354301</v>
      </c>
    </row>
    <row r="7543" spans="1:4" hidden="1" x14ac:dyDescent="0.3">
      <c r="A7543">
        <v>7541</v>
      </c>
      <c r="B7543" t="s">
        <v>9887</v>
      </c>
      <c r="C7543" t="s">
        <v>63</v>
      </c>
      <c r="D7543">
        <v>77361398.420105502</v>
      </c>
    </row>
    <row r="7544" spans="1:4" hidden="1" x14ac:dyDescent="0.3">
      <c r="A7544">
        <v>7542</v>
      </c>
      <c r="B7544" t="s">
        <v>9888</v>
      </c>
      <c r="C7544" t="s">
        <v>65</v>
      </c>
      <c r="D7544">
        <v>34499506.309078999</v>
      </c>
    </row>
    <row r="7545" spans="1:4" hidden="1" x14ac:dyDescent="0.3">
      <c r="A7545">
        <v>7543</v>
      </c>
      <c r="B7545" s="1" t="s">
        <v>9889</v>
      </c>
      <c r="C7545" t="s">
        <v>67</v>
      </c>
      <c r="D7545" s="1" t="s">
        <v>9890</v>
      </c>
    </row>
    <row r="7546" spans="1:4" hidden="1" x14ac:dyDescent="0.3">
      <c r="A7546">
        <v>7544</v>
      </c>
      <c r="B7546" s="1" t="s">
        <v>9891</v>
      </c>
      <c r="C7546" t="s">
        <v>70</v>
      </c>
      <c r="D7546" s="1" t="s">
        <v>9892</v>
      </c>
    </row>
    <row r="7547" spans="1:4" hidden="1" x14ac:dyDescent="0.3">
      <c r="A7547">
        <v>7545</v>
      </c>
      <c r="B7547" t="s">
        <v>9893</v>
      </c>
      <c r="C7547" t="s">
        <v>73</v>
      </c>
      <c r="D7547">
        <v>0.99982583247450696</v>
      </c>
    </row>
    <row r="7548" spans="1:4" hidden="1" x14ac:dyDescent="0.3">
      <c r="A7548">
        <v>7546</v>
      </c>
      <c r="B7548" t="s">
        <v>74</v>
      </c>
      <c r="C7548" t="s">
        <v>75</v>
      </c>
      <c r="D7548">
        <v>2.7397260273972599E-3</v>
      </c>
    </row>
    <row r="7549" spans="1:4" hidden="1" x14ac:dyDescent="0.3">
      <c r="A7549">
        <v>7547</v>
      </c>
      <c r="B7549" t="s">
        <v>76</v>
      </c>
      <c r="C7549" t="s">
        <v>77</v>
      </c>
      <c r="D7549">
        <v>0</v>
      </c>
    </row>
    <row r="7550" spans="1:4" hidden="1" x14ac:dyDescent="0.3">
      <c r="A7550">
        <v>7548</v>
      </c>
      <c r="B7550" t="s">
        <v>188</v>
      </c>
      <c r="C7550" t="s">
        <v>79</v>
      </c>
      <c r="D7550" s="2">
        <v>-2.2204460492503101E-16</v>
      </c>
    </row>
    <row r="7551" spans="1:4" hidden="1" x14ac:dyDescent="0.3">
      <c r="A7551">
        <v>7549</v>
      </c>
      <c r="B7551" s="1" t="s">
        <v>9894</v>
      </c>
      <c r="C7551" t="s">
        <v>81</v>
      </c>
      <c r="D7551" s="1" t="s">
        <v>9895</v>
      </c>
    </row>
    <row r="7552" spans="1:4" hidden="1" x14ac:dyDescent="0.3">
      <c r="A7552">
        <v>7550</v>
      </c>
      <c r="B7552" t="s">
        <v>9896</v>
      </c>
      <c r="C7552" t="s">
        <v>84</v>
      </c>
      <c r="D7552">
        <v>0.99986410147302196</v>
      </c>
    </row>
    <row r="7553" spans="1:4" hidden="1" x14ac:dyDescent="0.3">
      <c r="A7553">
        <v>7551</v>
      </c>
      <c r="B7553" s="1" t="s">
        <v>9897</v>
      </c>
      <c r="C7553" t="s">
        <v>86</v>
      </c>
      <c r="D7553" s="1" t="s">
        <v>9898</v>
      </c>
    </row>
    <row r="7554" spans="1:4" hidden="1" x14ac:dyDescent="0.3">
      <c r="A7554">
        <v>7552</v>
      </c>
      <c r="B7554" t="s">
        <v>9899</v>
      </c>
      <c r="C7554" t="s">
        <v>89</v>
      </c>
      <c r="D7554">
        <v>103007412.250082</v>
      </c>
    </row>
    <row r="7555" spans="1:4" hidden="1" x14ac:dyDescent="0.3">
      <c r="A7555">
        <v>7553</v>
      </c>
      <c r="B7555" s="1" t="s">
        <v>9900</v>
      </c>
      <c r="C7555" t="s">
        <v>91</v>
      </c>
      <c r="D7555" s="1" t="s">
        <v>9835</v>
      </c>
    </row>
    <row r="7556" spans="1:4" hidden="1" x14ac:dyDescent="0.3">
      <c r="A7556">
        <v>7554</v>
      </c>
      <c r="B7556" t="s">
        <v>9901</v>
      </c>
      <c r="C7556" t="s">
        <v>94</v>
      </c>
      <c r="D7556">
        <v>77361398.420105502</v>
      </c>
    </row>
    <row r="7557" spans="1:4" hidden="1" x14ac:dyDescent="0.3">
      <c r="A7557">
        <v>7555</v>
      </c>
      <c r="B7557" t="s">
        <v>9902</v>
      </c>
      <c r="C7557" t="s">
        <v>96</v>
      </c>
      <c r="D7557">
        <v>34499506.309078999</v>
      </c>
    </row>
    <row r="7558" spans="1:4" hidden="1" x14ac:dyDescent="0.3">
      <c r="A7558">
        <v>7556</v>
      </c>
      <c r="B7558" t="s">
        <v>9903</v>
      </c>
      <c r="C7558" t="s">
        <v>98</v>
      </c>
      <c r="D7558">
        <v>32821596.564359002</v>
      </c>
    </row>
    <row r="7559" spans="1:4" hidden="1" x14ac:dyDescent="0.3">
      <c r="A7559">
        <v>7557</v>
      </c>
      <c r="B7559" s="1" t="s">
        <v>9904</v>
      </c>
      <c r="C7559" t="s">
        <v>100</v>
      </c>
      <c r="D7559" s="1" t="s">
        <v>9905</v>
      </c>
    </row>
    <row r="7560" spans="1:4" hidden="1" x14ac:dyDescent="0.3">
      <c r="A7560">
        <v>7558</v>
      </c>
      <c r="B7560" t="s">
        <v>9906</v>
      </c>
      <c r="C7560" t="s">
        <v>103</v>
      </c>
      <c r="D7560">
        <v>9.7410763979009305E-3</v>
      </c>
    </row>
    <row r="7561" spans="1:4" hidden="1" x14ac:dyDescent="0.3">
      <c r="A7561">
        <v>7559</v>
      </c>
      <c r="B7561" t="s">
        <v>9907</v>
      </c>
      <c r="C7561" t="s">
        <v>105</v>
      </c>
      <c r="D7561">
        <v>2.9053062153755302E-3</v>
      </c>
    </row>
    <row r="7562" spans="1:4" hidden="1" x14ac:dyDescent="0.3">
      <c r="A7562">
        <v>7560</v>
      </c>
      <c r="B7562" t="s">
        <v>9908</v>
      </c>
      <c r="C7562" t="s">
        <v>107</v>
      </c>
      <c r="D7562">
        <v>1.92810898830541E-2</v>
      </c>
    </row>
    <row r="7563" spans="1:4" hidden="1" x14ac:dyDescent="0.3">
      <c r="A7563">
        <v>7561</v>
      </c>
      <c r="B7563" s="1" t="s">
        <v>9909</v>
      </c>
      <c r="C7563" t="s">
        <v>109</v>
      </c>
      <c r="D7563" s="1" t="s">
        <v>9910</v>
      </c>
    </row>
    <row r="7564" spans="1:4" hidden="1" x14ac:dyDescent="0.3">
      <c r="A7564">
        <v>7562</v>
      </c>
      <c r="B7564" t="s">
        <v>9911</v>
      </c>
      <c r="C7564" t="s">
        <v>208</v>
      </c>
      <c r="D7564">
        <v>144683860.44020501</v>
      </c>
    </row>
    <row r="7565" spans="1:4" hidden="1" x14ac:dyDescent="0.3">
      <c r="A7565">
        <v>7563</v>
      </c>
      <c r="B7565" t="s">
        <v>9912</v>
      </c>
      <c r="C7565" t="s">
        <v>210</v>
      </c>
      <c r="D7565">
        <v>-2961.0969954349398</v>
      </c>
    </row>
    <row r="7566" spans="1:4" hidden="1" x14ac:dyDescent="0.3">
      <c r="A7566">
        <v>7564</v>
      </c>
      <c r="B7566" t="s">
        <v>9913</v>
      </c>
      <c r="C7566" t="s">
        <v>212</v>
      </c>
      <c r="D7566">
        <v>-1320.50016188467</v>
      </c>
    </row>
    <row r="7567" spans="1:4" hidden="1" x14ac:dyDescent="0.3">
      <c r="A7567">
        <v>7565</v>
      </c>
      <c r="B7567" s="1" t="s">
        <v>9914</v>
      </c>
      <c r="C7567" t="s">
        <v>214</v>
      </c>
      <c r="D7567" s="1" t="s">
        <v>9915</v>
      </c>
    </row>
    <row r="7568" spans="1:4" hidden="1" x14ac:dyDescent="0.3">
      <c r="A7568">
        <v>7566</v>
      </c>
      <c r="B7568" t="s">
        <v>9916</v>
      </c>
      <c r="C7568" t="s">
        <v>217</v>
      </c>
      <c r="D7568">
        <v>77365353.198623106</v>
      </c>
    </row>
    <row r="7569" spans="1:4" hidden="1" x14ac:dyDescent="0.3">
      <c r="A7569">
        <v>7567</v>
      </c>
      <c r="B7569" t="s">
        <v>9917</v>
      </c>
      <c r="C7569" t="s">
        <v>219</v>
      </c>
      <c r="D7569">
        <v>34501052.002195798</v>
      </c>
    </row>
    <row r="7570" spans="1:4" hidden="1" x14ac:dyDescent="0.3">
      <c r="A7570">
        <v>7568</v>
      </c>
      <c r="B7570" t="s">
        <v>9918</v>
      </c>
      <c r="C7570" t="s">
        <v>221</v>
      </c>
      <c r="D7570">
        <v>32822993.1103446</v>
      </c>
    </row>
    <row r="7571" spans="1:4" hidden="1" x14ac:dyDescent="0.3">
      <c r="A7571">
        <v>7569</v>
      </c>
      <c r="B7571" s="1" t="s">
        <v>9919</v>
      </c>
      <c r="C7571" t="s">
        <v>223</v>
      </c>
      <c r="D7571" s="1" t="s">
        <v>9920</v>
      </c>
    </row>
    <row r="7572" spans="1:4" hidden="1" x14ac:dyDescent="0.3">
      <c r="A7572">
        <v>7570</v>
      </c>
      <c r="B7572" t="s">
        <v>9921</v>
      </c>
      <c r="C7572" t="s">
        <v>226</v>
      </c>
      <c r="D7572">
        <v>103011354.927275</v>
      </c>
    </row>
    <row r="7573" spans="1:4" hidden="1" x14ac:dyDescent="0.3">
      <c r="A7573">
        <v>7571</v>
      </c>
      <c r="B7573" t="s">
        <v>9922</v>
      </c>
      <c r="C7573" t="s">
        <v>228</v>
      </c>
      <c r="D7573">
        <v>-3942.6771928220901</v>
      </c>
    </row>
    <row r="7574" spans="1:4" hidden="1" x14ac:dyDescent="0.3">
      <c r="A7574">
        <v>7572</v>
      </c>
      <c r="B7574" s="1" t="s">
        <v>9923</v>
      </c>
      <c r="C7574" t="s">
        <v>230</v>
      </c>
      <c r="D7574" s="1" t="s">
        <v>9924</v>
      </c>
    </row>
    <row r="7575" spans="1:4" hidden="1" x14ac:dyDescent="0.3">
      <c r="A7575">
        <v>7573</v>
      </c>
      <c r="B7575" t="s">
        <v>9925</v>
      </c>
      <c r="C7575" t="s">
        <v>112</v>
      </c>
      <c r="D7575">
        <v>993.68152215879797</v>
      </c>
    </row>
    <row r="7576" spans="1:4" hidden="1" x14ac:dyDescent="0.3">
      <c r="A7576">
        <v>7574</v>
      </c>
      <c r="B7576" t="s">
        <v>9926</v>
      </c>
      <c r="C7576" t="s">
        <v>114</v>
      </c>
      <c r="D7576">
        <v>225.19295493265699</v>
      </c>
    </row>
    <row r="7577" spans="1:4" hidden="1" x14ac:dyDescent="0.3">
      <c r="A7577">
        <v>7575</v>
      </c>
      <c r="B7577" s="1" t="s">
        <v>9927</v>
      </c>
      <c r="C7577" t="s">
        <v>116</v>
      </c>
      <c r="D7577" s="1" t="s">
        <v>9928</v>
      </c>
    </row>
    <row r="7578" spans="1:4" hidden="1" x14ac:dyDescent="0.3">
      <c r="A7578">
        <v>7576</v>
      </c>
      <c r="B7578" t="s">
        <v>9929</v>
      </c>
      <c r="C7578" t="s">
        <v>119</v>
      </c>
      <c r="D7578">
        <v>77365353.198623106</v>
      </c>
    </row>
    <row r="7579" spans="1:4" hidden="1" x14ac:dyDescent="0.3">
      <c r="A7579">
        <v>7577</v>
      </c>
      <c r="B7579" t="s">
        <v>9930</v>
      </c>
      <c r="C7579" t="s">
        <v>121</v>
      </c>
      <c r="D7579">
        <v>34501052.002195798</v>
      </c>
    </row>
    <row r="7580" spans="1:4" hidden="1" x14ac:dyDescent="0.3">
      <c r="A7580">
        <v>7578</v>
      </c>
      <c r="B7580" s="1" t="s">
        <v>9931</v>
      </c>
      <c r="C7580" t="s">
        <v>123</v>
      </c>
      <c r="D7580" s="1" t="s">
        <v>9932</v>
      </c>
    </row>
    <row r="7581" spans="1:4" hidden="1" x14ac:dyDescent="0.3">
      <c r="A7581">
        <v>7579</v>
      </c>
      <c r="B7581" t="s">
        <v>9933</v>
      </c>
      <c r="C7581" t="s">
        <v>126</v>
      </c>
      <c r="D7581">
        <v>0.75113921683485696</v>
      </c>
    </row>
    <row r="7582" spans="1:4" hidden="1" x14ac:dyDescent="0.3">
      <c r="A7582">
        <v>7580</v>
      </c>
      <c r="B7582" t="s">
        <v>9934</v>
      </c>
      <c r="C7582" t="s">
        <v>128</v>
      </c>
      <c r="D7582">
        <v>0.33497026911226202</v>
      </c>
    </row>
    <row r="7583" spans="1:4" hidden="1" x14ac:dyDescent="0.3">
      <c r="A7583">
        <v>7581</v>
      </c>
      <c r="B7583" s="1" t="s">
        <v>9935</v>
      </c>
      <c r="C7583" t="s">
        <v>130</v>
      </c>
      <c r="D7583" s="1" t="s">
        <v>9936</v>
      </c>
    </row>
    <row r="7584" spans="1:4" ht="72" x14ac:dyDescent="0.3">
      <c r="A7584">
        <v>7582</v>
      </c>
      <c r="B7584" s="1" t="s">
        <v>9937</v>
      </c>
      <c r="C7584" t="s">
        <v>4</v>
      </c>
      <c r="D7584" t="s">
        <v>9938</v>
      </c>
    </row>
    <row r="7585" spans="1:4" hidden="1" x14ac:dyDescent="0.3">
      <c r="A7585">
        <v>7583</v>
      </c>
      <c r="B7585" t="s">
        <v>9939</v>
      </c>
      <c r="C7585" t="s">
        <v>7</v>
      </c>
      <c r="D7585">
        <v>1786.27</v>
      </c>
    </row>
    <row r="7586" spans="1:4" hidden="1" x14ac:dyDescent="0.3">
      <c r="A7586">
        <v>7584</v>
      </c>
      <c r="B7586" s="1" t="s">
        <v>9940</v>
      </c>
      <c r="C7586" t="s">
        <v>9</v>
      </c>
      <c r="D7586" s="1" t="s">
        <v>9941</v>
      </c>
    </row>
    <row r="7587" spans="1:4" hidden="1" x14ac:dyDescent="0.3">
      <c r="A7587">
        <v>7585</v>
      </c>
      <c r="B7587" t="s">
        <v>9942</v>
      </c>
      <c r="C7587" t="s">
        <v>14</v>
      </c>
      <c r="D7587">
        <v>89.91796875</v>
      </c>
    </row>
    <row r="7588" spans="1:4" hidden="1" x14ac:dyDescent="0.3">
      <c r="A7588">
        <v>7586</v>
      </c>
      <c r="B7588" t="s">
        <v>9943</v>
      </c>
      <c r="C7588" t="s">
        <v>16</v>
      </c>
      <c r="D7588">
        <v>4.25182362832017</v>
      </c>
    </row>
    <row r="7589" spans="1:4" hidden="1" x14ac:dyDescent="0.3">
      <c r="A7589">
        <v>7587</v>
      </c>
      <c r="B7589" s="1" t="s">
        <v>9944</v>
      </c>
      <c r="C7589" t="s">
        <v>140</v>
      </c>
      <c r="D7589" s="1" t="s">
        <v>9945</v>
      </c>
    </row>
    <row r="7590" spans="1:4" hidden="1" x14ac:dyDescent="0.3">
      <c r="A7590">
        <v>7588</v>
      </c>
      <c r="B7590" t="s">
        <v>9500</v>
      </c>
      <c r="C7590" t="s">
        <v>22</v>
      </c>
      <c r="D7590">
        <v>52.5</v>
      </c>
    </row>
    <row r="7591" spans="1:4" hidden="1" x14ac:dyDescent="0.3">
      <c r="A7591">
        <v>7589</v>
      </c>
      <c r="B7591" t="s">
        <v>9946</v>
      </c>
      <c r="C7591" t="s">
        <v>24</v>
      </c>
      <c r="D7591">
        <v>5.0957217647415396</v>
      </c>
    </row>
    <row r="7592" spans="1:4" hidden="1" x14ac:dyDescent="0.3">
      <c r="A7592">
        <v>7590</v>
      </c>
      <c r="B7592" s="1" t="s">
        <v>9947</v>
      </c>
      <c r="C7592" t="s">
        <v>145</v>
      </c>
      <c r="D7592" s="1" t="s">
        <v>9948</v>
      </c>
    </row>
    <row r="7593" spans="1:4" hidden="1" x14ac:dyDescent="0.3">
      <c r="A7593">
        <v>7591</v>
      </c>
      <c r="B7593" t="s">
        <v>9949</v>
      </c>
      <c r="C7593" t="s">
        <v>35</v>
      </c>
      <c r="D7593">
        <v>-0.17885824480425999</v>
      </c>
    </row>
    <row r="7594" spans="1:4" hidden="1" x14ac:dyDescent="0.3">
      <c r="A7594">
        <v>7592</v>
      </c>
      <c r="B7594" t="s">
        <v>9950</v>
      </c>
      <c r="C7594" t="s">
        <v>149</v>
      </c>
      <c r="D7594">
        <v>0.54125941045880199</v>
      </c>
    </row>
    <row r="7595" spans="1:4" hidden="1" x14ac:dyDescent="0.3">
      <c r="A7595">
        <v>7593</v>
      </c>
      <c r="B7595" s="1" t="s">
        <v>9951</v>
      </c>
      <c r="C7595" t="s">
        <v>151</v>
      </c>
      <c r="D7595" s="1" t="s">
        <v>9952</v>
      </c>
    </row>
    <row r="7596" spans="1:4" hidden="1" x14ac:dyDescent="0.3">
      <c r="A7596">
        <v>7594</v>
      </c>
      <c r="B7596" t="s">
        <v>9953</v>
      </c>
      <c r="C7596" t="s">
        <v>30</v>
      </c>
      <c r="D7596">
        <v>0.53488182941854301</v>
      </c>
    </row>
    <row r="7597" spans="1:4" hidden="1" x14ac:dyDescent="0.3">
      <c r="A7597">
        <v>7595</v>
      </c>
      <c r="B7597" t="s">
        <v>9954</v>
      </c>
      <c r="C7597" t="s">
        <v>32</v>
      </c>
      <c r="D7597">
        <v>0.40485221282614597</v>
      </c>
    </row>
    <row r="7598" spans="1:4" hidden="1" x14ac:dyDescent="0.3">
      <c r="A7598">
        <v>7596</v>
      </c>
      <c r="B7598" s="1" t="s">
        <v>9955</v>
      </c>
      <c r="C7598" t="s">
        <v>155</v>
      </c>
      <c r="D7598" s="1" t="s">
        <v>9956</v>
      </c>
    </row>
    <row r="7599" spans="1:4" hidden="1" x14ac:dyDescent="0.3">
      <c r="A7599">
        <v>7597</v>
      </c>
      <c r="B7599" t="s">
        <v>9957</v>
      </c>
      <c r="C7599" t="s">
        <v>40</v>
      </c>
      <c r="D7599">
        <v>0.64397641538571604</v>
      </c>
    </row>
    <row r="7600" spans="1:4" hidden="1" x14ac:dyDescent="0.3">
      <c r="A7600">
        <v>7598</v>
      </c>
      <c r="B7600" t="s">
        <v>9958</v>
      </c>
      <c r="C7600" t="s">
        <v>42</v>
      </c>
      <c r="D7600">
        <v>0.44269072255181502</v>
      </c>
    </row>
    <row r="7601" spans="1:4" hidden="1" x14ac:dyDescent="0.3">
      <c r="A7601">
        <v>7599</v>
      </c>
      <c r="B7601" s="1" t="s">
        <v>9959</v>
      </c>
      <c r="C7601" t="s">
        <v>159</v>
      </c>
      <c r="D7601" s="1" t="s">
        <v>9960</v>
      </c>
    </row>
    <row r="7602" spans="1:4" hidden="1" x14ac:dyDescent="0.3">
      <c r="A7602">
        <v>7600</v>
      </c>
      <c r="B7602" t="s">
        <v>9961</v>
      </c>
      <c r="C7602" t="s">
        <v>161</v>
      </c>
      <c r="D7602">
        <v>1.0085994669798499</v>
      </c>
    </row>
    <row r="7603" spans="1:4" hidden="1" x14ac:dyDescent="0.3">
      <c r="A7603">
        <v>7601</v>
      </c>
      <c r="B7603" t="s">
        <v>9962</v>
      </c>
      <c r="C7603" t="s">
        <v>163</v>
      </c>
      <c r="D7603">
        <v>1.0037232613391101</v>
      </c>
    </row>
    <row r="7604" spans="1:4" hidden="1" x14ac:dyDescent="0.3">
      <c r="A7604">
        <v>7602</v>
      </c>
      <c r="B7604" s="1" t="s">
        <v>9963</v>
      </c>
      <c r="C7604" t="s">
        <v>165</v>
      </c>
      <c r="D7604" s="1" t="s">
        <v>9964</v>
      </c>
    </row>
    <row r="7605" spans="1:4" hidden="1" x14ac:dyDescent="0.3">
      <c r="A7605">
        <v>7603</v>
      </c>
      <c r="B7605" t="s">
        <v>9965</v>
      </c>
      <c r="C7605" t="s">
        <v>168</v>
      </c>
      <c r="D7605">
        <v>1.0005291765586699</v>
      </c>
    </row>
    <row r="7606" spans="1:4" hidden="1" x14ac:dyDescent="0.3">
      <c r="A7606">
        <v>7604</v>
      </c>
      <c r="B7606" t="s">
        <v>9966</v>
      </c>
      <c r="C7606" t="s">
        <v>170</v>
      </c>
      <c r="D7606">
        <v>1.00266115585918</v>
      </c>
    </row>
    <row r="7607" spans="1:4" hidden="1" x14ac:dyDescent="0.3">
      <c r="A7607">
        <v>7605</v>
      </c>
      <c r="B7607" s="1" t="s">
        <v>9967</v>
      </c>
      <c r="C7607" t="s">
        <v>172</v>
      </c>
      <c r="D7607" s="1" t="s">
        <v>9968</v>
      </c>
    </row>
    <row r="7608" spans="1:4" hidden="1" x14ac:dyDescent="0.3">
      <c r="A7608">
        <v>7606</v>
      </c>
      <c r="B7608" s="1" t="s">
        <v>9969</v>
      </c>
      <c r="C7608" t="s">
        <v>55</v>
      </c>
      <c r="D7608" s="1" t="s">
        <v>9970</v>
      </c>
    </row>
    <row r="7609" spans="1:4" hidden="1" x14ac:dyDescent="0.3">
      <c r="A7609">
        <v>7607</v>
      </c>
      <c r="B7609" s="1" t="s">
        <v>9971</v>
      </c>
      <c r="C7609" t="s">
        <v>52</v>
      </c>
      <c r="D7609" s="1" t="s">
        <v>9972</v>
      </c>
    </row>
    <row r="7610" spans="1:4" hidden="1" x14ac:dyDescent="0.3">
      <c r="A7610">
        <v>7608</v>
      </c>
      <c r="B7610" s="1" t="s">
        <v>9973</v>
      </c>
      <c r="C7610" t="s">
        <v>58</v>
      </c>
      <c r="D7610" s="1" t="s">
        <v>9974</v>
      </c>
    </row>
    <row r="7611" spans="1:4" hidden="1" x14ac:dyDescent="0.3">
      <c r="A7611">
        <v>7609</v>
      </c>
      <c r="B7611" t="s">
        <v>9975</v>
      </c>
      <c r="C7611" t="s">
        <v>61</v>
      </c>
      <c r="D7611">
        <v>145174885.64285901</v>
      </c>
    </row>
    <row r="7612" spans="1:4" hidden="1" x14ac:dyDescent="0.3">
      <c r="A7612">
        <v>7610</v>
      </c>
      <c r="B7612" t="s">
        <v>9976</v>
      </c>
      <c r="C7612" t="s">
        <v>63</v>
      </c>
      <c r="D7612">
        <v>78030653.998839393</v>
      </c>
    </row>
    <row r="7613" spans="1:4" hidden="1" x14ac:dyDescent="0.3">
      <c r="A7613">
        <v>7611</v>
      </c>
      <c r="B7613" t="s">
        <v>9977</v>
      </c>
      <c r="C7613" t="s">
        <v>65</v>
      </c>
      <c r="D7613">
        <v>34629508.435274497</v>
      </c>
    </row>
    <row r="7614" spans="1:4" hidden="1" x14ac:dyDescent="0.3">
      <c r="A7614">
        <v>7612</v>
      </c>
      <c r="B7614" s="1" t="s">
        <v>9978</v>
      </c>
      <c r="C7614" t="s">
        <v>67</v>
      </c>
      <c r="D7614" s="1" t="s">
        <v>9979</v>
      </c>
    </row>
    <row r="7615" spans="1:4" hidden="1" x14ac:dyDescent="0.3">
      <c r="A7615">
        <v>7613</v>
      </c>
      <c r="B7615" s="1" t="s">
        <v>9980</v>
      </c>
      <c r="C7615" t="s">
        <v>70</v>
      </c>
      <c r="D7615" s="1" t="s">
        <v>9981</v>
      </c>
    </row>
    <row r="7616" spans="1:4" hidden="1" x14ac:dyDescent="0.3">
      <c r="A7616">
        <v>7614</v>
      </c>
      <c r="B7616" t="s">
        <v>9982</v>
      </c>
      <c r="C7616" t="s">
        <v>73</v>
      </c>
      <c r="D7616">
        <v>0.99986410147302196</v>
      </c>
    </row>
    <row r="7617" spans="1:4" hidden="1" x14ac:dyDescent="0.3">
      <c r="A7617">
        <v>7615</v>
      </c>
      <c r="B7617" t="s">
        <v>74</v>
      </c>
      <c r="C7617" t="s">
        <v>75</v>
      </c>
      <c r="D7617">
        <v>2.7397260273972599E-3</v>
      </c>
    </row>
    <row r="7618" spans="1:4" hidden="1" x14ac:dyDescent="0.3">
      <c r="A7618">
        <v>7616</v>
      </c>
      <c r="B7618" t="s">
        <v>76</v>
      </c>
      <c r="C7618" t="s">
        <v>77</v>
      </c>
      <c r="D7618">
        <v>0</v>
      </c>
    </row>
    <row r="7619" spans="1:4" hidden="1" x14ac:dyDescent="0.3">
      <c r="A7619">
        <v>7617</v>
      </c>
      <c r="B7619" t="s">
        <v>831</v>
      </c>
      <c r="C7619" t="s">
        <v>79</v>
      </c>
      <c r="D7619" s="2">
        <v>2.2204460492503101E-16</v>
      </c>
    </row>
    <row r="7620" spans="1:4" hidden="1" x14ac:dyDescent="0.3">
      <c r="A7620">
        <v>7618</v>
      </c>
      <c r="B7620" s="1" t="s">
        <v>9983</v>
      </c>
      <c r="C7620" t="s">
        <v>81</v>
      </c>
      <c r="D7620" s="1" t="s">
        <v>9984</v>
      </c>
    </row>
    <row r="7621" spans="1:4" hidden="1" x14ac:dyDescent="0.3">
      <c r="A7621">
        <v>7619</v>
      </c>
      <c r="B7621" t="s">
        <v>9985</v>
      </c>
      <c r="C7621" t="s">
        <v>84</v>
      </c>
      <c r="D7621">
        <v>0.99985799125548602</v>
      </c>
    </row>
    <row r="7622" spans="1:4" hidden="1" x14ac:dyDescent="0.3">
      <c r="A7622">
        <v>7620</v>
      </c>
      <c r="B7622" s="1" t="s">
        <v>9986</v>
      </c>
      <c r="C7622" t="s">
        <v>86</v>
      </c>
      <c r="D7622" s="1" t="s">
        <v>9987</v>
      </c>
    </row>
    <row r="7623" spans="1:4" hidden="1" x14ac:dyDescent="0.3">
      <c r="A7623">
        <v>7621</v>
      </c>
      <c r="B7623" t="s">
        <v>9988</v>
      </c>
      <c r="C7623" t="s">
        <v>89</v>
      </c>
      <c r="D7623">
        <v>103008041.73717199</v>
      </c>
    </row>
    <row r="7624" spans="1:4" hidden="1" x14ac:dyDescent="0.3">
      <c r="A7624">
        <v>7622</v>
      </c>
      <c r="B7624" s="1" t="s">
        <v>9989</v>
      </c>
      <c r="C7624" t="s">
        <v>91</v>
      </c>
      <c r="D7624" s="1" t="s">
        <v>9924</v>
      </c>
    </row>
    <row r="7625" spans="1:4" hidden="1" x14ac:dyDescent="0.3">
      <c r="A7625">
        <v>7623</v>
      </c>
      <c r="B7625" t="s">
        <v>9990</v>
      </c>
      <c r="C7625" t="s">
        <v>94</v>
      </c>
      <c r="D7625">
        <v>78030653.998839393</v>
      </c>
    </row>
    <row r="7626" spans="1:4" hidden="1" x14ac:dyDescent="0.3">
      <c r="A7626">
        <v>7624</v>
      </c>
      <c r="B7626" t="s">
        <v>9991</v>
      </c>
      <c r="C7626" t="s">
        <v>96</v>
      </c>
      <c r="D7626">
        <v>34629508.435274497</v>
      </c>
    </row>
    <row r="7627" spans="1:4" hidden="1" x14ac:dyDescent="0.3">
      <c r="A7627">
        <v>7625</v>
      </c>
      <c r="B7627" t="s">
        <v>9992</v>
      </c>
      <c r="C7627" t="s">
        <v>98</v>
      </c>
      <c r="D7627">
        <v>32514723.208746001</v>
      </c>
    </row>
    <row r="7628" spans="1:4" hidden="1" x14ac:dyDescent="0.3">
      <c r="A7628">
        <v>7626</v>
      </c>
      <c r="B7628" s="1" t="s">
        <v>9993</v>
      </c>
      <c r="C7628" t="s">
        <v>100</v>
      </c>
      <c r="D7628" s="1" t="s">
        <v>9994</v>
      </c>
    </row>
    <row r="7629" spans="1:4" hidden="1" x14ac:dyDescent="0.3">
      <c r="A7629">
        <v>7627</v>
      </c>
      <c r="B7629" t="s">
        <v>9995</v>
      </c>
      <c r="C7629" t="s">
        <v>103</v>
      </c>
      <c r="D7629">
        <v>9.7273022037191893E-3</v>
      </c>
    </row>
    <row r="7630" spans="1:4" hidden="1" x14ac:dyDescent="0.3">
      <c r="A7630">
        <v>7628</v>
      </c>
      <c r="B7630" t="s">
        <v>9996</v>
      </c>
      <c r="C7630" t="s">
        <v>105</v>
      </c>
      <c r="D7630">
        <v>2.9295239707812499E-3</v>
      </c>
    </row>
    <row r="7631" spans="1:4" hidden="1" x14ac:dyDescent="0.3">
      <c r="A7631">
        <v>7629</v>
      </c>
      <c r="B7631" t="s">
        <v>9997</v>
      </c>
      <c r="C7631" t="s">
        <v>107</v>
      </c>
      <c r="D7631">
        <v>1.92433646974958E-2</v>
      </c>
    </row>
    <row r="7632" spans="1:4" hidden="1" x14ac:dyDescent="0.3">
      <c r="A7632">
        <v>7630</v>
      </c>
      <c r="B7632" s="1" t="s">
        <v>9998</v>
      </c>
      <c r="C7632" t="s">
        <v>109</v>
      </c>
      <c r="D7632" s="1" t="s">
        <v>9999</v>
      </c>
    </row>
    <row r="7633" spans="1:4" hidden="1" x14ac:dyDescent="0.3">
      <c r="A7633">
        <v>7631</v>
      </c>
      <c r="B7633" t="s">
        <v>10000</v>
      </c>
      <c r="C7633" t="s">
        <v>208</v>
      </c>
      <c r="D7633">
        <v>145174668.71795401</v>
      </c>
    </row>
    <row r="7634" spans="1:4" hidden="1" x14ac:dyDescent="0.3">
      <c r="A7634">
        <v>7632</v>
      </c>
      <c r="B7634" t="s">
        <v>10001</v>
      </c>
      <c r="C7634" t="s">
        <v>210</v>
      </c>
      <c r="D7634">
        <v>476.84803988937603</v>
      </c>
    </row>
    <row r="7635" spans="1:4" hidden="1" x14ac:dyDescent="0.3">
      <c r="A7635">
        <v>7633</v>
      </c>
      <c r="B7635" t="s">
        <v>10002</v>
      </c>
      <c r="C7635" t="s">
        <v>212</v>
      </c>
      <c r="D7635">
        <v>211.622430072648</v>
      </c>
    </row>
    <row r="7636" spans="1:4" hidden="1" x14ac:dyDescent="0.3">
      <c r="A7636">
        <v>7634</v>
      </c>
      <c r="B7636" s="1" t="s">
        <v>10003</v>
      </c>
      <c r="C7636" t="s">
        <v>214</v>
      </c>
      <c r="D7636" s="1" t="s">
        <v>10004</v>
      </c>
    </row>
    <row r="7637" spans="1:4" hidden="1" x14ac:dyDescent="0.3">
      <c r="A7637">
        <v>7635</v>
      </c>
      <c r="B7637" t="s">
        <v>10005</v>
      </c>
      <c r="C7637" t="s">
        <v>217</v>
      </c>
      <c r="D7637">
        <v>78030008.000971004</v>
      </c>
    </row>
    <row r="7638" spans="1:4" hidden="1" x14ac:dyDescent="0.3">
      <c r="A7638">
        <v>7636</v>
      </c>
      <c r="B7638" t="s">
        <v>10006</v>
      </c>
      <c r="C7638" t="s">
        <v>219</v>
      </c>
      <c r="D7638">
        <v>34629270.816725001</v>
      </c>
    </row>
    <row r="7639" spans="1:4" hidden="1" x14ac:dyDescent="0.3">
      <c r="A7639">
        <v>7637</v>
      </c>
      <c r="B7639" t="s">
        <v>10007</v>
      </c>
      <c r="C7639" t="s">
        <v>221</v>
      </c>
      <c r="D7639">
        <v>32514502.730886899</v>
      </c>
    </row>
    <row r="7640" spans="1:4" hidden="1" x14ac:dyDescent="0.3">
      <c r="A7640">
        <v>7638</v>
      </c>
      <c r="B7640" s="1" t="s">
        <v>10008</v>
      </c>
      <c r="C7640" t="s">
        <v>223</v>
      </c>
      <c r="D7640" s="1" t="s">
        <v>10009</v>
      </c>
    </row>
    <row r="7641" spans="1:4" hidden="1" x14ac:dyDescent="0.3">
      <c r="A7641">
        <v>7639</v>
      </c>
      <c r="B7641" t="s">
        <v>10010</v>
      </c>
      <c r="C7641" t="s">
        <v>226</v>
      </c>
      <c r="D7641">
        <v>103007412.250082</v>
      </c>
    </row>
    <row r="7642" spans="1:4" hidden="1" x14ac:dyDescent="0.3">
      <c r="A7642">
        <v>7640</v>
      </c>
      <c r="B7642" t="s">
        <v>10011</v>
      </c>
      <c r="C7642" t="s">
        <v>228</v>
      </c>
      <c r="D7642">
        <v>629.48708944022599</v>
      </c>
    </row>
    <row r="7643" spans="1:4" hidden="1" x14ac:dyDescent="0.3">
      <c r="A7643">
        <v>7641</v>
      </c>
      <c r="B7643" s="1" t="s">
        <v>10012</v>
      </c>
      <c r="C7643" t="s">
        <v>230</v>
      </c>
      <c r="D7643" s="1" t="s">
        <v>10013</v>
      </c>
    </row>
    <row r="7644" spans="1:4" hidden="1" x14ac:dyDescent="0.3">
      <c r="A7644">
        <v>7642</v>
      </c>
      <c r="B7644" t="s">
        <v>10014</v>
      </c>
      <c r="C7644" t="s">
        <v>112</v>
      </c>
      <c r="D7644">
        <v>-169.14982854716001</v>
      </c>
    </row>
    <row r="7645" spans="1:4" hidden="1" x14ac:dyDescent="0.3">
      <c r="A7645">
        <v>7643</v>
      </c>
      <c r="B7645" t="s">
        <v>10015</v>
      </c>
      <c r="C7645" t="s">
        <v>114</v>
      </c>
      <c r="D7645">
        <v>-25.996119417791199</v>
      </c>
    </row>
    <row r="7646" spans="1:4" hidden="1" x14ac:dyDescent="0.3">
      <c r="A7646">
        <v>7644</v>
      </c>
      <c r="B7646" s="1" t="s">
        <v>10016</v>
      </c>
      <c r="C7646" t="s">
        <v>116</v>
      </c>
      <c r="D7646" s="1" t="s">
        <v>10017</v>
      </c>
    </row>
    <row r="7647" spans="1:4" hidden="1" x14ac:dyDescent="0.3">
      <c r="A7647">
        <v>7645</v>
      </c>
      <c r="B7647" t="s">
        <v>10018</v>
      </c>
      <c r="C7647" t="s">
        <v>119</v>
      </c>
      <c r="D7647">
        <v>78030008.000971004</v>
      </c>
    </row>
    <row r="7648" spans="1:4" hidden="1" x14ac:dyDescent="0.3">
      <c r="A7648">
        <v>7646</v>
      </c>
      <c r="B7648" t="s">
        <v>10019</v>
      </c>
      <c r="C7648" t="s">
        <v>121</v>
      </c>
      <c r="D7648">
        <v>34629270.816725001</v>
      </c>
    </row>
    <row r="7649" spans="1:4" hidden="1" x14ac:dyDescent="0.3">
      <c r="A7649">
        <v>7647</v>
      </c>
      <c r="B7649" s="1" t="s">
        <v>10020</v>
      </c>
      <c r="C7649" t="s">
        <v>123</v>
      </c>
      <c r="D7649" s="1" t="s">
        <v>10021</v>
      </c>
    </row>
    <row r="7650" spans="1:4" hidden="1" x14ac:dyDescent="0.3">
      <c r="A7650">
        <v>7648</v>
      </c>
      <c r="B7650" t="s">
        <v>10022</v>
      </c>
      <c r="C7650" t="s">
        <v>126</v>
      </c>
      <c r="D7650">
        <v>0.75762596898159995</v>
      </c>
    </row>
    <row r="7651" spans="1:4" hidden="1" x14ac:dyDescent="0.3">
      <c r="A7651">
        <v>7649</v>
      </c>
      <c r="B7651" t="s">
        <v>10023</v>
      </c>
      <c r="C7651" t="s">
        <v>128</v>
      </c>
      <c r="D7651">
        <v>0.336230067505837</v>
      </c>
    </row>
    <row r="7652" spans="1:4" hidden="1" x14ac:dyDescent="0.3">
      <c r="A7652">
        <v>7650</v>
      </c>
      <c r="B7652" s="1" t="s">
        <v>10024</v>
      </c>
      <c r="C7652" t="s">
        <v>130</v>
      </c>
      <c r="D7652" s="1" t="s">
        <v>10025</v>
      </c>
    </row>
    <row r="7653" spans="1:4" ht="72" x14ac:dyDescent="0.3">
      <c r="A7653">
        <v>7651</v>
      </c>
      <c r="B7653" s="1" t="s">
        <v>10026</v>
      </c>
      <c r="C7653" t="s">
        <v>4</v>
      </c>
      <c r="D7653" t="s">
        <v>10027</v>
      </c>
    </row>
    <row r="7654" spans="1:4" hidden="1" x14ac:dyDescent="0.3">
      <c r="A7654">
        <v>7652</v>
      </c>
      <c r="B7654" t="s">
        <v>10028</v>
      </c>
      <c r="C7654" t="s">
        <v>7</v>
      </c>
      <c r="D7654">
        <v>1789.14</v>
      </c>
    </row>
    <row r="7655" spans="1:4" hidden="1" x14ac:dyDescent="0.3">
      <c r="A7655">
        <v>7653</v>
      </c>
      <c r="B7655" s="1" t="s">
        <v>10029</v>
      </c>
      <c r="C7655" t="s">
        <v>9</v>
      </c>
      <c r="D7655" s="1" t="s">
        <v>10030</v>
      </c>
    </row>
    <row r="7656" spans="1:4" hidden="1" x14ac:dyDescent="0.3">
      <c r="A7656">
        <v>7654</v>
      </c>
      <c r="B7656" t="s">
        <v>10031</v>
      </c>
      <c r="C7656" t="s">
        <v>14</v>
      </c>
      <c r="D7656">
        <v>89.7578125</v>
      </c>
    </row>
    <row r="7657" spans="1:4" hidden="1" x14ac:dyDescent="0.3">
      <c r="A7657">
        <v>7655</v>
      </c>
      <c r="B7657" t="s">
        <v>10032</v>
      </c>
      <c r="C7657" t="s">
        <v>16</v>
      </c>
      <c r="D7657">
        <v>4.2479125678262397</v>
      </c>
    </row>
    <row r="7658" spans="1:4" hidden="1" x14ac:dyDescent="0.3">
      <c r="A7658">
        <v>7656</v>
      </c>
      <c r="B7658" s="1" t="s">
        <v>10033</v>
      </c>
      <c r="C7658" t="s">
        <v>140</v>
      </c>
      <c r="D7658" s="1" t="s">
        <v>10034</v>
      </c>
    </row>
    <row r="7659" spans="1:4" hidden="1" x14ac:dyDescent="0.3">
      <c r="A7659">
        <v>7657</v>
      </c>
      <c r="B7659" t="s">
        <v>10035</v>
      </c>
      <c r="C7659" t="s">
        <v>22</v>
      </c>
      <c r="D7659">
        <v>54.4</v>
      </c>
    </row>
    <row r="7660" spans="1:4" hidden="1" x14ac:dyDescent="0.3">
      <c r="A7660">
        <v>7658</v>
      </c>
      <c r="B7660" t="s">
        <v>10036</v>
      </c>
      <c r="C7660" t="s">
        <v>24</v>
      </c>
      <c r="D7660">
        <v>4.8779930119407098</v>
      </c>
    </row>
    <row r="7661" spans="1:4" hidden="1" x14ac:dyDescent="0.3">
      <c r="A7661">
        <v>7659</v>
      </c>
      <c r="B7661" s="1" t="s">
        <v>10037</v>
      </c>
      <c r="C7661" t="s">
        <v>145</v>
      </c>
      <c r="D7661" s="1" t="s">
        <v>10038</v>
      </c>
    </row>
    <row r="7662" spans="1:4" hidden="1" x14ac:dyDescent="0.3">
      <c r="A7662">
        <v>7660</v>
      </c>
      <c r="B7662" t="s">
        <v>10039</v>
      </c>
      <c r="C7662" t="s">
        <v>35</v>
      </c>
      <c r="D7662">
        <v>-0.67540791762499097</v>
      </c>
    </row>
    <row r="7663" spans="1:4" hidden="1" x14ac:dyDescent="0.3">
      <c r="A7663">
        <v>7661</v>
      </c>
      <c r="B7663" t="s">
        <v>10040</v>
      </c>
      <c r="C7663" t="s">
        <v>149</v>
      </c>
      <c r="D7663">
        <v>0.53320919916057896</v>
      </c>
    </row>
    <row r="7664" spans="1:4" hidden="1" x14ac:dyDescent="0.3">
      <c r="A7664">
        <v>7662</v>
      </c>
      <c r="B7664" s="1" t="s">
        <v>10041</v>
      </c>
      <c r="C7664" t="s">
        <v>151</v>
      </c>
      <c r="D7664" s="1" t="s">
        <v>10042</v>
      </c>
    </row>
    <row r="7665" spans="1:4" hidden="1" x14ac:dyDescent="0.3">
      <c r="A7665">
        <v>7663</v>
      </c>
      <c r="B7665" t="s">
        <v>10043</v>
      </c>
      <c r="C7665" t="s">
        <v>30</v>
      </c>
      <c r="D7665">
        <v>0.75281558885661204</v>
      </c>
    </row>
    <row r="7666" spans="1:4" hidden="1" x14ac:dyDescent="0.3">
      <c r="A7666">
        <v>7664</v>
      </c>
      <c r="B7666" t="s">
        <v>10044</v>
      </c>
      <c r="C7666" t="s">
        <v>32</v>
      </c>
      <c r="D7666">
        <v>0.410266023914311</v>
      </c>
    </row>
    <row r="7667" spans="1:4" hidden="1" x14ac:dyDescent="0.3">
      <c r="A7667">
        <v>7665</v>
      </c>
      <c r="B7667" s="1" t="s">
        <v>10045</v>
      </c>
      <c r="C7667" t="s">
        <v>155</v>
      </c>
      <c r="D7667" s="1" t="s">
        <v>10046</v>
      </c>
    </row>
    <row r="7668" spans="1:4" hidden="1" x14ac:dyDescent="0.3">
      <c r="A7668">
        <v>7666</v>
      </c>
      <c r="B7668" t="s">
        <v>10047</v>
      </c>
      <c r="C7668" t="s">
        <v>40</v>
      </c>
      <c r="D7668">
        <v>0.92259232876837804</v>
      </c>
    </row>
    <row r="7669" spans="1:4" hidden="1" x14ac:dyDescent="0.3">
      <c r="A7669">
        <v>7667</v>
      </c>
      <c r="B7669" t="s">
        <v>10048</v>
      </c>
      <c r="C7669" t="s">
        <v>42</v>
      </c>
      <c r="D7669">
        <v>0.46517048688535301</v>
      </c>
    </row>
    <row r="7670" spans="1:4" hidden="1" x14ac:dyDescent="0.3">
      <c r="A7670">
        <v>7668</v>
      </c>
      <c r="B7670" s="1" t="s">
        <v>10049</v>
      </c>
      <c r="C7670" t="s">
        <v>159</v>
      </c>
      <c r="D7670" s="1" t="s">
        <v>10050</v>
      </c>
    </row>
    <row r="7671" spans="1:4" hidden="1" x14ac:dyDescent="0.3">
      <c r="A7671">
        <v>7669</v>
      </c>
      <c r="B7671" t="s">
        <v>10051</v>
      </c>
      <c r="C7671" t="s">
        <v>161</v>
      </c>
      <c r="D7671">
        <v>1.00160669999496</v>
      </c>
    </row>
    <row r="7672" spans="1:4" hidden="1" x14ac:dyDescent="0.3">
      <c r="A7672">
        <v>7670</v>
      </c>
      <c r="B7672" t="s">
        <v>10052</v>
      </c>
      <c r="C7672" t="s">
        <v>163</v>
      </c>
      <c r="D7672">
        <v>0.99825775010913398</v>
      </c>
    </row>
    <row r="7673" spans="1:4" hidden="1" x14ac:dyDescent="0.3">
      <c r="A7673">
        <v>7671</v>
      </c>
      <c r="B7673" s="1" t="s">
        <v>10053</v>
      </c>
      <c r="C7673" t="s">
        <v>165</v>
      </c>
      <c r="D7673" s="1" t="s">
        <v>10054</v>
      </c>
    </row>
    <row r="7674" spans="1:4" hidden="1" x14ac:dyDescent="0.3">
      <c r="A7674">
        <v>7672</v>
      </c>
      <c r="B7674" t="s">
        <v>10055</v>
      </c>
      <c r="C7674" t="s">
        <v>168</v>
      </c>
      <c r="D7674">
        <v>0.99477686154349099</v>
      </c>
    </row>
    <row r="7675" spans="1:4" hidden="1" x14ac:dyDescent="0.3">
      <c r="A7675">
        <v>7673</v>
      </c>
      <c r="B7675" t="s">
        <v>10056</v>
      </c>
      <c r="C7675" t="s">
        <v>170</v>
      </c>
      <c r="D7675">
        <v>1.0038536516786101</v>
      </c>
    </row>
    <row r="7676" spans="1:4" hidden="1" x14ac:dyDescent="0.3">
      <c r="A7676">
        <v>7674</v>
      </c>
      <c r="B7676" s="1" t="s">
        <v>10057</v>
      </c>
      <c r="C7676" t="s">
        <v>172</v>
      </c>
      <c r="D7676" s="1" t="s">
        <v>10058</v>
      </c>
    </row>
    <row r="7677" spans="1:4" hidden="1" x14ac:dyDescent="0.3">
      <c r="A7677">
        <v>7675</v>
      </c>
      <c r="B7677" s="1" t="s">
        <v>10059</v>
      </c>
      <c r="C7677" t="s">
        <v>55</v>
      </c>
      <c r="D7677" s="1" t="s">
        <v>10060</v>
      </c>
    </row>
    <row r="7678" spans="1:4" hidden="1" x14ac:dyDescent="0.3">
      <c r="A7678">
        <v>7676</v>
      </c>
      <c r="B7678" s="1" t="s">
        <v>10061</v>
      </c>
      <c r="C7678" t="s">
        <v>52</v>
      </c>
      <c r="D7678" s="1" t="s">
        <v>10062</v>
      </c>
    </row>
    <row r="7679" spans="1:4" hidden="1" x14ac:dyDescent="0.3">
      <c r="A7679">
        <v>7677</v>
      </c>
      <c r="B7679" s="1" t="s">
        <v>10063</v>
      </c>
      <c r="C7679" t="s">
        <v>58</v>
      </c>
      <c r="D7679" s="1" t="s">
        <v>10064</v>
      </c>
    </row>
    <row r="7680" spans="1:4" hidden="1" x14ac:dyDescent="0.3">
      <c r="A7680">
        <v>7678</v>
      </c>
      <c r="B7680" t="s">
        <v>10065</v>
      </c>
      <c r="C7680" t="s">
        <v>61</v>
      </c>
      <c r="D7680">
        <v>146188511.81159401</v>
      </c>
    </row>
    <row r="7681" spans="1:4" hidden="1" x14ac:dyDescent="0.3">
      <c r="A7681">
        <v>7679</v>
      </c>
      <c r="B7681" t="s">
        <v>10066</v>
      </c>
      <c r="C7681" t="s">
        <v>63</v>
      </c>
      <c r="D7681">
        <v>78155378.814432994</v>
      </c>
    </row>
    <row r="7682" spans="1:4" hidden="1" x14ac:dyDescent="0.3">
      <c r="A7682">
        <v>7680</v>
      </c>
      <c r="B7682" t="s">
        <v>10067</v>
      </c>
      <c r="C7682" t="s">
        <v>65</v>
      </c>
      <c r="D7682">
        <v>34568937.973423801</v>
      </c>
    </row>
    <row r="7683" spans="1:4" hidden="1" x14ac:dyDescent="0.3">
      <c r="A7683">
        <v>7681</v>
      </c>
      <c r="B7683" s="1" t="s">
        <v>10068</v>
      </c>
      <c r="C7683" t="s">
        <v>67</v>
      </c>
      <c r="D7683" s="1" t="s">
        <v>10069</v>
      </c>
    </row>
    <row r="7684" spans="1:4" hidden="1" x14ac:dyDescent="0.3">
      <c r="A7684">
        <v>7682</v>
      </c>
      <c r="B7684" s="1" t="s">
        <v>10070</v>
      </c>
      <c r="C7684" t="s">
        <v>70</v>
      </c>
      <c r="D7684" s="1" t="s">
        <v>10071</v>
      </c>
    </row>
    <row r="7685" spans="1:4" hidden="1" x14ac:dyDescent="0.3">
      <c r="A7685">
        <v>7683</v>
      </c>
      <c r="B7685" t="s">
        <v>10072</v>
      </c>
      <c r="C7685" t="s">
        <v>73</v>
      </c>
      <c r="D7685">
        <v>0.99985799125548602</v>
      </c>
    </row>
    <row r="7686" spans="1:4" hidden="1" x14ac:dyDescent="0.3">
      <c r="A7686">
        <v>7684</v>
      </c>
      <c r="B7686" t="s">
        <v>74</v>
      </c>
      <c r="C7686" t="s">
        <v>75</v>
      </c>
      <c r="D7686">
        <v>2.7397260273972599E-3</v>
      </c>
    </row>
    <row r="7687" spans="1:4" hidden="1" x14ac:dyDescent="0.3">
      <c r="A7687">
        <v>7685</v>
      </c>
      <c r="B7687" t="s">
        <v>76</v>
      </c>
      <c r="C7687" t="s">
        <v>77</v>
      </c>
      <c r="D7687">
        <v>0</v>
      </c>
    </row>
    <row r="7688" spans="1:4" hidden="1" x14ac:dyDescent="0.3">
      <c r="A7688">
        <v>7686</v>
      </c>
      <c r="B7688" t="s">
        <v>78</v>
      </c>
      <c r="C7688" t="s">
        <v>79</v>
      </c>
      <c r="D7688">
        <v>0</v>
      </c>
    </row>
    <row r="7689" spans="1:4" hidden="1" x14ac:dyDescent="0.3">
      <c r="A7689">
        <v>7687</v>
      </c>
      <c r="B7689" s="1" t="s">
        <v>10073</v>
      </c>
      <c r="C7689" t="s">
        <v>81</v>
      </c>
      <c r="D7689" s="1" t="s">
        <v>10074</v>
      </c>
    </row>
    <row r="7690" spans="1:4" hidden="1" x14ac:dyDescent="0.3">
      <c r="A7690">
        <v>7688</v>
      </c>
      <c r="B7690" t="s">
        <v>10075</v>
      </c>
      <c r="C7690" t="s">
        <v>84</v>
      </c>
      <c r="D7690">
        <v>0.99986005243119203</v>
      </c>
    </row>
    <row r="7691" spans="1:4" hidden="1" x14ac:dyDescent="0.3">
      <c r="A7691">
        <v>7689</v>
      </c>
      <c r="B7691" s="1" t="s">
        <v>10076</v>
      </c>
      <c r="C7691" t="s">
        <v>86</v>
      </c>
      <c r="D7691" s="1" t="s">
        <v>10077</v>
      </c>
    </row>
    <row r="7692" spans="1:4" hidden="1" x14ac:dyDescent="0.3">
      <c r="A7692">
        <v>7690</v>
      </c>
      <c r="B7692" t="s">
        <v>10078</v>
      </c>
      <c r="C7692" t="s">
        <v>89</v>
      </c>
      <c r="D7692">
        <v>103007829.389781</v>
      </c>
    </row>
    <row r="7693" spans="1:4" hidden="1" x14ac:dyDescent="0.3">
      <c r="A7693">
        <v>7691</v>
      </c>
      <c r="B7693" s="1" t="s">
        <v>10079</v>
      </c>
      <c r="C7693" t="s">
        <v>91</v>
      </c>
      <c r="D7693" s="1" t="s">
        <v>10013</v>
      </c>
    </row>
    <row r="7694" spans="1:4" hidden="1" x14ac:dyDescent="0.3">
      <c r="A7694">
        <v>7692</v>
      </c>
      <c r="B7694" t="s">
        <v>10080</v>
      </c>
      <c r="C7694" t="s">
        <v>94</v>
      </c>
      <c r="D7694">
        <v>78155378.814432994</v>
      </c>
    </row>
    <row r="7695" spans="1:4" hidden="1" x14ac:dyDescent="0.3">
      <c r="A7695">
        <v>7693</v>
      </c>
      <c r="B7695" t="s">
        <v>10081</v>
      </c>
      <c r="C7695" t="s">
        <v>96</v>
      </c>
      <c r="D7695">
        <v>34568937.973423801</v>
      </c>
    </row>
    <row r="7696" spans="1:4" hidden="1" x14ac:dyDescent="0.3">
      <c r="A7696">
        <v>7694</v>
      </c>
      <c r="B7696" t="s">
        <v>10082</v>
      </c>
      <c r="C7696" t="s">
        <v>98</v>
      </c>
      <c r="D7696">
        <v>33464195.023737598</v>
      </c>
    </row>
    <row r="7697" spans="1:4" hidden="1" x14ac:dyDescent="0.3">
      <c r="A7697">
        <v>7695</v>
      </c>
      <c r="B7697" s="1" t="s">
        <v>10083</v>
      </c>
      <c r="C7697" t="s">
        <v>100</v>
      </c>
      <c r="D7697" s="1" t="s">
        <v>10084</v>
      </c>
    </row>
    <row r="7698" spans="1:4" hidden="1" x14ac:dyDescent="0.3">
      <c r="A7698">
        <v>7696</v>
      </c>
      <c r="B7698" t="s">
        <v>10085</v>
      </c>
      <c r="C7698" t="s">
        <v>103</v>
      </c>
      <c r="D7698">
        <v>9.6427373075877402E-3</v>
      </c>
    </row>
    <row r="7699" spans="1:4" hidden="1" x14ac:dyDescent="0.3">
      <c r="A7699">
        <v>7697</v>
      </c>
      <c r="B7699" t="s">
        <v>10086</v>
      </c>
      <c r="C7699" t="s">
        <v>105</v>
      </c>
      <c r="D7699">
        <v>2.93410502782991E-3</v>
      </c>
    </row>
    <row r="7700" spans="1:4" hidden="1" x14ac:dyDescent="0.3">
      <c r="A7700">
        <v>7698</v>
      </c>
      <c r="B7700" t="s">
        <v>10087</v>
      </c>
      <c r="C7700" t="s">
        <v>107</v>
      </c>
      <c r="D7700">
        <v>1.9607626001939701E-2</v>
      </c>
    </row>
    <row r="7701" spans="1:4" hidden="1" x14ac:dyDescent="0.3">
      <c r="A7701">
        <v>7699</v>
      </c>
      <c r="B7701" s="1" t="s">
        <v>10088</v>
      </c>
      <c r="C7701" t="s">
        <v>109</v>
      </c>
      <c r="D7701" s="1" t="s">
        <v>10089</v>
      </c>
    </row>
    <row r="7702" spans="1:4" hidden="1" x14ac:dyDescent="0.3">
      <c r="A7702">
        <v>7700</v>
      </c>
      <c r="B7702" t="s">
        <v>10090</v>
      </c>
      <c r="C7702" t="s">
        <v>208</v>
      </c>
      <c r="D7702">
        <v>146188584.822633</v>
      </c>
    </row>
    <row r="7703" spans="1:4" hidden="1" x14ac:dyDescent="0.3">
      <c r="A7703">
        <v>7701</v>
      </c>
      <c r="B7703" t="s">
        <v>10091</v>
      </c>
      <c r="C7703" t="s">
        <v>210</v>
      </c>
      <c r="D7703">
        <v>-161.114958354636</v>
      </c>
    </row>
    <row r="7704" spans="1:4" hidden="1" x14ac:dyDescent="0.3">
      <c r="A7704">
        <v>7702</v>
      </c>
      <c r="B7704" t="s">
        <v>10092</v>
      </c>
      <c r="C7704" t="s">
        <v>212</v>
      </c>
      <c r="D7704">
        <v>-71.262799493519793</v>
      </c>
    </row>
    <row r="7705" spans="1:4" hidden="1" x14ac:dyDescent="0.3">
      <c r="A7705">
        <v>7703</v>
      </c>
      <c r="B7705" s="1" t="s">
        <v>10093</v>
      </c>
      <c r="C7705" t="s">
        <v>214</v>
      </c>
      <c r="D7705" s="1" t="s">
        <v>10094</v>
      </c>
    </row>
    <row r="7706" spans="1:4" hidden="1" x14ac:dyDescent="0.3">
      <c r="A7706">
        <v>7704</v>
      </c>
      <c r="B7706" t="s">
        <v>10095</v>
      </c>
      <c r="C7706" t="s">
        <v>217</v>
      </c>
      <c r="D7706">
        <v>78155593.520221099</v>
      </c>
    </row>
    <row r="7707" spans="1:4" hidden="1" x14ac:dyDescent="0.3">
      <c r="A7707">
        <v>7705</v>
      </c>
      <c r="B7707" t="s">
        <v>10096</v>
      </c>
      <c r="C7707" t="s">
        <v>219</v>
      </c>
      <c r="D7707">
        <v>34569021.071706504</v>
      </c>
    </row>
    <row r="7708" spans="1:4" hidden="1" x14ac:dyDescent="0.3">
      <c r="A7708">
        <v>7706</v>
      </c>
      <c r="B7708" t="s">
        <v>10097</v>
      </c>
      <c r="C7708" t="s">
        <v>221</v>
      </c>
      <c r="D7708">
        <v>33464271.5938612</v>
      </c>
    </row>
    <row r="7709" spans="1:4" hidden="1" x14ac:dyDescent="0.3">
      <c r="A7709">
        <v>7707</v>
      </c>
      <c r="B7709" s="1" t="s">
        <v>10098</v>
      </c>
      <c r="C7709" t="s">
        <v>223</v>
      </c>
      <c r="D7709" s="1" t="s">
        <v>10099</v>
      </c>
    </row>
    <row r="7710" spans="1:4" hidden="1" x14ac:dyDescent="0.3">
      <c r="A7710">
        <v>7708</v>
      </c>
      <c r="B7710" t="s">
        <v>10100</v>
      </c>
      <c r="C7710" t="s">
        <v>226</v>
      </c>
      <c r="D7710">
        <v>103008041.73717199</v>
      </c>
    </row>
    <row r="7711" spans="1:4" hidden="1" x14ac:dyDescent="0.3">
      <c r="A7711">
        <v>7709</v>
      </c>
      <c r="B7711" t="s">
        <v>10101</v>
      </c>
      <c r="C7711" t="s">
        <v>228</v>
      </c>
      <c r="D7711">
        <v>-212.347390726208</v>
      </c>
    </row>
    <row r="7712" spans="1:4" hidden="1" x14ac:dyDescent="0.3">
      <c r="A7712">
        <v>7710</v>
      </c>
      <c r="B7712" s="1" t="s">
        <v>10102</v>
      </c>
      <c r="C7712" t="s">
        <v>230</v>
      </c>
      <c r="D7712" s="1" t="s">
        <v>10103</v>
      </c>
    </row>
    <row r="7713" spans="1:4" hidden="1" x14ac:dyDescent="0.3">
      <c r="A7713">
        <v>7711</v>
      </c>
      <c r="B7713" t="s">
        <v>10104</v>
      </c>
      <c r="C7713" t="s">
        <v>112</v>
      </c>
      <c r="D7713">
        <v>53.590829743699302</v>
      </c>
    </row>
    <row r="7714" spans="1:4" hidden="1" x14ac:dyDescent="0.3">
      <c r="A7714">
        <v>7712</v>
      </c>
      <c r="B7714" t="s">
        <v>10105</v>
      </c>
      <c r="C7714" t="s">
        <v>114</v>
      </c>
      <c r="D7714">
        <v>11.835483254560399</v>
      </c>
    </row>
    <row r="7715" spans="1:4" hidden="1" x14ac:dyDescent="0.3">
      <c r="A7715">
        <v>7713</v>
      </c>
      <c r="B7715" s="1" t="s">
        <v>10106</v>
      </c>
      <c r="C7715" t="s">
        <v>116</v>
      </c>
      <c r="D7715" s="1" t="s">
        <v>10107</v>
      </c>
    </row>
    <row r="7716" spans="1:4" hidden="1" x14ac:dyDescent="0.3">
      <c r="A7716">
        <v>7714</v>
      </c>
      <c r="B7716" t="s">
        <v>10108</v>
      </c>
      <c r="C7716" t="s">
        <v>119</v>
      </c>
      <c r="D7716">
        <v>78155593.520221099</v>
      </c>
    </row>
    <row r="7717" spans="1:4" hidden="1" x14ac:dyDescent="0.3">
      <c r="A7717">
        <v>7715</v>
      </c>
      <c r="B7717" t="s">
        <v>10109</v>
      </c>
      <c r="C7717" t="s">
        <v>121</v>
      </c>
      <c r="D7717">
        <v>34569021.071706504</v>
      </c>
    </row>
    <row r="7718" spans="1:4" hidden="1" x14ac:dyDescent="0.3">
      <c r="A7718">
        <v>7716</v>
      </c>
      <c r="B7718" s="1" t="s">
        <v>10110</v>
      </c>
      <c r="C7718" t="s">
        <v>123</v>
      </c>
      <c r="D7718" s="1" t="s">
        <v>10111</v>
      </c>
    </row>
    <row r="7719" spans="1:4" hidden="1" x14ac:dyDescent="0.3">
      <c r="A7719">
        <v>7717</v>
      </c>
      <c r="B7719" t="s">
        <v>10112</v>
      </c>
      <c r="C7719" t="s">
        <v>126</v>
      </c>
      <c r="D7719">
        <v>0.758839129627216</v>
      </c>
    </row>
    <row r="7720" spans="1:4" hidden="1" x14ac:dyDescent="0.3">
      <c r="A7720">
        <v>7718</v>
      </c>
      <c r="B7720" t="s">
        <v>10113</v>
      </c>
      <c r="C7720" t="s">
        <v>128</v>
      </c>
      <c r="D7720">
        <v>0.33564233448411601</v>
      </c>
    </row>
    <row r="7721" spans="1:4" hidden="1" x14ac:dyDescent="0.3">
      <c r="A7721">
        <v>7719</v>
      </c>
      <c r="B7721" s="1" t="s">
        <v>10114</v>
      </c>
      <c r="C7721" t="s">
        <v>130</v>
      </c>
      <c r="D7721" s="1" t="s">
        <v>10115</v>
      </c>
    </row>
    <row r="7722" spans="1:4" ht="72" x14ac:dyDescent="0.3">
      <c r="A7722">
        <v>7720</v>
      </c>
      <c r="B7722" s="1" t="s">
        <v>10116</v>
      </c>
      <c r="C7722" t="s">
        <v>4</v>
      </c>
      <c r="D7722" t="s">
        <v>10117</v>
      </c>
    </row>
    <row r="7723" spans="1:4" hidden="1" x14ac:dyDescent="0.3">
      <c r="A7723">
        <v>7721</v>
      </c>
      <c r="B7723" t="s">
        <v>10118</v>
      </c>
      <c r="C7723" t="s">
        <v>7</v>
      </c>
      <c r="D7723">
        <v>1797.32</v>
      </c>
    </row>
    <row r="7724" spans="1:4" hidden="1" x14ac:dyDescent="0.3">
      <c r="A7724">
        <v>7722</v>
      </c>
      <c r="B7724" s="1" t="s">
        <v>10119</v>
      </c>
      <c r="C7724" t="s">
        <v>9</v>
      </c>
      <c r="D7724" s="1" t="s">
        <v>10120</v>
      </c>
    </row>
    <row r="7725" spans="1:4" hidden="1" x14ac:dyDescent="0.3">
      <c r="A7725">
        <v>7723</v>
      </c>
      <c r="B7725" t="s">
        <v>10121</v>
      </c>
      <c r="C7725" t="s">
        <v>14</v>
      </c>
      <c r="D7725">
        <v>89.65625</v>
      </c>
    </row>
    <row r="7726" spans="1:4" hidden="1" x14ac:dyDescent="0.3">
      <c r="A7726">
        <v>7724</v>
      </c>
      <c r="B7726" t="s">
        <v>10122</v>
      </c>
      <c r="C7726" t="s">
        <v>16</v>
      </c>
      <c r="D7726">
        <v>4.2416758203337697</v>
      </c>
    </row>
    <row r="7727" spans="1:4" hidden="1" x14ac:dyDescent="0.3">
      <c r="A7727">
        <v>7725</v>
      </c>
      <c r="B7727" s="1" t="s">
        <v>10123</v>
      </c>
      <c r="C7727" t="s">
        <v>140</v>
      </c>
      <c r="D7727" s="1" t="s">
        <v>10124</v>
      </c>
    </row>
    <row r="7728" spans="1:4" hidden="1" x14ac:dyDescent="0.3">
      <c r="A7728">
        <v>7726</v>
      </c>
      <c r="B7728" t="s">
        <v>10125</v>
      </c>
      <c r="C7728" t="s">
        <v>22</v>
      </c>
      <c r="D7728">
        <v>55.5</v>
      </c>
    </row>
    <row r="7729" spans="1:4" hidden="1" x14ac:dyDescent="0.3">
      <c r="A7729">
        <v>7727</v>
      </c>
      <c r="B7729" t="s">
        <v>10126</v>
      </c>
      <c r="C7729" t="s">
        <v>24</v>
      </c>
      <c r="D7729">
        <v>4.7273250901218402</v>
      </c>
    </row>
    <row r="7730" spans="1:4" hidden="1" x14ac:dyDescent="0.3">
      <c r="A7730">
        <v>7728</v>
      </c>
      <c r="B7730" s="1" t="s">
        <v>10127</v>
      </c>
      <c r="C7730" t="s">
        <v>145</v>
      </c>
      <c r="D7730" s="1" t="s">
        <v>10128</v>
      </c>
    </row>
    <row r="7731" spans="1:4" hidden="1" x14ac:dyDescent="0.3">
      <c r="A7731">
        <v>7729</v>
      </c>
      <c r="B7731" t="s">
        <v>10129</v>
      </c>
      <c r="C7731" t="s">
        <v>35</v>
      </c>
      <c r="D7731">
        <v>-0.595431671637218</v>
      </c>
    </row>
    <row r="7732" spans="1:4" hidden="1" x14ac:dyDescent="0.3">
      <c r="A7732">
        <v>7730</v>
      </c>
      <c r="B7732" t="s">
        <v>10130</v>
      </c>
      <c r="C7732" t="s">
        <v>149</v>
      </c>
      <c r="D7732">
        <v>0.52731350103344299</v>
      </c>
    </row>
    <row r="7733" spans="1:4" hidden="1" x14ac:dyDescent="0.3">
      <c r="A7733">
        <v>7731</v>
      </c>
      <c r="B7733" s="1" t="s">
        <v>10131</v>
      </c>
      <c r="C7733" t="s">
        <v>151</v>
      </c>
      <c r="D7733" s="1" t="s">
        <v>10132</v>
      </c>
    </row>
    <row r="7734" spans="1:4" hidden="1" x14ac:dyDescent="0.3">
      <c r="A7734">
        <v>7732</v>
      </c>
      <c r="B7734" t="s">
        <v>10133</v>
      </c>
      <c r="C7734" t="s">
        <v>30</v>
      </c>
      <c r="D7734">
        <v>0.74417247884654503</v>
      </c>
    </row>
    <row r="7735" spans="1:4" hidden="1" x14ac:dyDescent="0.3">
      <c r="A7735">
        <v>7733</v>
      </c>
      <c r="B7735" t="s">
        <v>10134</v>
      </c>
      <c r="C7735" t="s">
        <v>32</v>
      </c>
      <c r="D7735">
        <v>0.41080987435254801</v>
      </c>
    </row>
    <row r="7736" spans="1:4" hidden="1" x14ac:dyDescent="0.3">
      <c r="A7736">
        <v>7734</v>
      </c>
      <c r="B7736" s="1" t="s">
        <v>10135</v>
      </c>
      <c r="C7736" t="s">
        <v>155</v>
      </c>
      <c r="D7736" s="1" t="s">
        <v>10136</v>
      </c>
    </row>
    <row r="7737" spans="1:4" hidden="1" x14ac:dyDescent="0.3">
      <c r="A7737">
        <v>7735</v>
      </c>
      <c r="B7737" t="s">
        <v>10137</v>
      </c>
      <c r="C7737" t="s">
        <v>40</v>
      </c>
      <c r="D7737">
        <v>0.85125919279067297</v>
      </c>
    </row>
    <row r="7738" spans="1:4" hidden="1" x14ac:dyDescent="0.3">
      <c r="A7738">
        <v>7736</v>
      </c>
      <c r="B7738" t="s">
        <v>10138</v>
      </c>
      <c r="C7738" t="s">
        <v>42</v>
      </c>
      <c r="D7738">
        <v>0.48559520164147102</v>
      </c>
    </row>
    <row r="7739" spans="1:4" hidden="1" x14ac:dyDescent="0.3">
      <c r="A7739">
        <v>7737</v>
      </c>
      <c r="B7739" s="1" t="s">
        <v>10139</v>
      </c>
      <c r="C7739" t="s">
        <v>159</v>
      </c>
      <c r="D7739" s="1" t="s">
        <v>10140</v>
      </c>
    </row>
    <row r="7740" spans="1:4" hidden="1" x14ac:dyDescent="0.3">
      <c r="A7740">
        <v>7738</v>
      </c>
      <c r="B7740" t="s">
        <v>10141</v>
      </c>
      <c r="C7740" t="s">
        <v>161</v>
      </c>
      <c r="D7740">
        <v>1.0045720290195199</v>
      </c>
    </row>
    <row r="7741" spans="1:4" hidden="1" x14ac:dyDescent="0.3">
      <c r="A7741">
        <v>7739</v>
      </c>
      <c r="B7741" t="s">
        <v>10142</v>
      </c>
      <c r="C7741" t="s">
        <v>163</v>
      </c>
      <c r="D7741">
        <v>0.99885326933636498</v>
      </c>
    </row>
    <row r="7742" spans="1:4" hidden="1" x14ac:dyDescent="0.3">
      <c r="A7742">
        <v>7740</v>
      </c>
      <c r="B7742" s="1" t="s">
        <v>10143</v>
      </c>
      <c r="C7742" t="s">
        <v>165</v>
      </c>
      <c r="D7742" s="1" t="s">
        <v>10144</v>
      </c>
    </row>
    <row r="7743" spans="1:4" hidden="1" x14ac:dyDescent="0.3">
      <c r="A7743">
        <v>7741</v>
      </c>
      <c r="B7743" t="s">
        <v>10145</v>
      </c>
      <c r="C7743" t="s">
        <v>168</v>
      </c>
      <c r="D7743">
        <v>0.99615466817550802</v>
      </c>
    </row>
    <row r="7744" spans="1:4" hidden="1" x14ac:dyDescent="0.3">
      <c r="A7744">
        <v>7742</v>
      </c>
      <c r="B7744" t="s">
        <v>10146</v>
      </c>
      <c r="C7744" t="s">
        <v>170</v>
      </c>
      <c r="D7744">
        <v>1.0003856367727799</v>
      </c>
    </row>
    <row r="7745" spans="1:4" hidden="1" x14ac:dyDescent="0.3">
      <c r="A7745">
        <v>7743</v>
      </c>
      <c r="B7745" s="1" t="s">
        <v>10147</v>
      </c>
      <c r="C7745" t="s">
        <v>172</v>
      </c>
      <c r="D7745" s="1" t="s">
        <v>10148</v>
      </c>
    </row>
    <row r="7746" spans="1:4" hidden="1" x14ac:dyDescent="0.3">
      <c r="A7746">
        <v>7744</v>
      </c>
      <c r="B7746" s="1" t="s">
        <v>10149</v>
      </c>
      <c r="C7746" t="s">
        <v>55</v>
      </c>
      <c r="D7746" s="1" t="s">
        <v>10150</v>
      </c>
    </row>
    <row r="7747" spans="1:4" hidden="1" x14ac:dyDescent="0.3">
      <c r="A7747">
        <v>7745</v>
      </c>
      <c r="B7747" s="1" t="s">
        <v>10151</v>
      </c>
      <c r="C7747" t="s">
        <v>52</v>
      </c>
      <c r="D7747" s="1" t="s">
        <v>10152</v>
      </c>
    </row>
    <row r="7748" spans="1:4" hidden="1" x14ac:dyDescent="0.3">
      <c r="A7748">
        <v>7746</v>
      </c>
      <c r="B7748" s="1" t="s">
        <v>10153</v>
      </c>
      <c r="C7748" t="s">
        <v>58</v>
      </c>
      <c r="D7748" s="1" t="s">
        <v>10154</v>
      </c>
    </row>
    <row r="7749" spans="1:4" hidden="1" x14ac:dyDescent="0.3">
      <c r="A7749">
        <v>7747</v>
      </c>
      <c r="B7749" t="s">
        <v>10155</v>
      </c>
      <c r="C7749" t="s">
        <v>61</v>
      </c>
      <c r="D7749">
        <v>147042501.96919101</v>
      </c>
    </row>
    <row r="7750" spans="1:4" hidden="1" x14ac:dyDescent="0.3">
      <c r="A7750">
        <v>7748</v>
      </c>
      <c r="B7750" t="s">
        <v>10156</v>
      </c>
      <c r="C7750" t="s">
        <v>63</v>
      </c>
      <c r="D7750">
        <v>78512923.161834002</v>
      </c>
    </row>
    <row r="7751" spans="1:4" hidden="1" x14ac:dyDescent="0.3">
      <c r="A7751">
        <v>7749</v>
      </c>
      <c r="B7751" t="s">
        <v>10157</v>
      </c>
      <c r="C7751" t="s">
        <v>65</v>
      </c>
      <c r="D7751">
        <v>34529379.715231799</v>
      </c>
    </row>
    <row r="7752" spans="1:4" hidden="1" x14ac:dyDescent="0.3">
      <c r="A7752">
        <v>7750</v>
      </c>
      <c r="B7752" s="1" t="s">
        <v>10158</v>
      </c>
      <c r="C7752" t="s">
        <v>67</v>
      </c>
      <c r="D7752" s="1" t="s">
        <v>10159</v>
      </c>
    </row>
    <row r="7753" spans="1:4" hidden="1" x14ac:dyDescent="0.3">
      <c r="A7753">
        <v>7751</v>
      </c>
      <c r="B7753" s="1" t="s">
        <v>10160</v>
      </c>
      <c r="C7753" t="s">
        <v>70</v>
      </c>
      <c r="D7753" s="1" t="s">
        <v>10161</v>
      </c>
    </row>
    <row r="7754" spans="1:4" hidden="1" x14ac:dyDescent="0.3">
      <c r="A7754">
        <v>7752</v>
      </c>
      <c r="B7754" t="s">
        <v>10162</v>
      </c>
      <c r="C7754" t="s">
        <v>73</v>
      </c>
      <c r="D7754">
        <v>0.99986005243119203</v>
      </c>
    </row>
    <row r="7755" spans="1:4" hidden="1" x14ac:dyDescent="0.3">
      <c r="A7755">
        <v>7753</v>
      </c>
      <c r="B7755" t="s">
        <v>74</v>
      </c>
      <c r="C7755" t="s">
        <v>75</v>
      </c>
      <c r="D7755">
        <v>2.7397260273972599E-3</v>
      </c>
    </row>
    <row r="7756" spans="1:4" hidden="1" x14ac:dyDescent="0.3">
      <c r="A7756">
        <v>7754</v>
      </c>
      <c r="B7756" t="s">
        <v>76</v>
      </c>
      <c r="C7756" t="s">
        <v>77</v>
      </c>
      <c r="D7756">
        <v>0</v>
      </c>
    </row>
    <row r="7757" spans="1:4" hidden="1" x14ac:dyDescent="0.3">
      <c r="A7757">
        <v>7755</v>
      </c>
      <c r="B7757" t="s">
        <v>78</v>
      </c>
      <c r="C7757" t="s">
        <v>79</v>
      </c>
      <c r="D7757">
        <v>0</v>
      </c>
    </row>
    <row r="7758" spans="1:4" hidden="1" x14ac:dyDescent="0.3">
      <c r="A7758">
        <v>7756</v>
      </c>
      <c r="B7758" s="1" t="s">
        <v>10163</v>
      </c>
      <c r="C7758" t="s">
        <v>81</v>
      </c>
      <c r="D7758" s="1" t="s">
        <v>10164</v>
      </c>
    </row>
    <row r="7759" spans="1:4" hidden="1" x14ac:dyDescent="0.3">
      <c r="A7759">
        <v>7757</v>
      </c>
      <c r="B7759" t="s">
        <v>10165</v>
      </c>
      <c r="C7759" t="s">
        <v>84</v>
      </c>
      <c r="D7759">
        <v>0.99981148229374095</v>
      </c>
    </row>
    <row r="7760" spans="1:4" hidden="1" x14ac:dyDescent="0.3">
      <c r="A7760">
        <v>7758</v>
      </c>
      <c r="B7760" s="1" t="s">
        <v>10166</v>
      </c>
      <c r="C7760" t="s">
        <v>86</v>
      </c>
      <c r="D7760" s="1" t="s">
        <v>10167</v>
      </c>
    </row>
    <row r="7761" spans="1:4" hidden="1" x14ac:dyDescent="0.3">
      <c r="A7761">
        <v>7759</v>
      </c>
      <c r="B7761" t="s">
        <v>10168</v>
      </c>
      <c r="C7761" t="s">
        <v>89</v>
      </c>
      <c r="D7761">
        <v>103012833.437564</v>
      </c>
    </row>
    <row r="7762" spans="1:4" hidden="1" x14ac:dyDescent="0.3">
      <c r="A7762">
        <v>7760</v>
      </c>
      <c r="B7762" s="1" t="s">
        <v>10169</v>
      </c>
      <c r="C7762" t="s">
        <v>91</v>
      </c>
      <c r="D7762" s="1" t="s">
        <v>10103</v>
      </c>
    </row>
    <row r="7763" spans="1:4" hidden="1" x14ac:dyDescent="0.3">
      <c r="A7763">
        <v>7761</v>
      </c>
      <c r="B7763" t="s">
        <v>10170</v>
      </c>
      <c r="C7763" t="s">
        <v>94</v>
      </c>
      <c r="D7763">
        <v>78512923.161834002</v>
      </c>
    </row>
    <row r="7764" spans="1:4" hidden="1" x14ac:dyDescent="0.3">
      <c r="A7764">
        <v>7762</v>
      </c>
      <c r="B7764" t="s">
        <v>10171</v>
      </c>
      <c r="C7764" t="s">
        <v>96</v>
      </c>
      <c r="D7764">
        <v>34529379.715231799</v>
      </c>
    </row>
    <row r="7765" spans="1:4" hidden="1" x14ac:dyDescent="0.3">
      <c r="A7765">
        <v>7763</v>
      </c>
      <c r="B7765" t="s">
        <v>10172</v>
      </c>
      <c r="C7765" t="s">
        <v>98</v>
      </c>
      <c r="D7765">
        <v>34000199.092125498</v>
      </c>
    </row>
    <row r="7766" spans="1:4" hidden="1" x14ac:dyDescent="0.3">
      <c r="A7766">
        <v>7764</v>
      </c>
      <c r="B7766" s="1" t="s">
        <v>10173</v>
      </c>
      <c r="C7766" t="s">
        <v>100</v>
      </c>
      <c r="D7766" s="1" t="s">
        <v>10174</v>
      </c>
    </row>
    <row r="7767" spans="1:4" hidden="1" x14ac:dyDescent="0.3">
      <c r="A7767">
        <v>7765</v>
      </c>
      <c r="B7767" t="s">
        <v>10175</v>
      </c>
      <c r="C7767" t="s">
        <v>103</v>
      </c>
      <c r="D7767">
        <v>9.6421231532789198E-3</v>
      </c>
    </row>
    <row r="7768" spans="1:4" hidden="1" x14ac:dyDescent="0.3">
      <c r="A7768">
        <v>7766</v>
      </c>
      <c r="B7768" t="s">
        <v>10176</v>
      </c>
      <c r="C7768" t="s">
        <v>105</v>
      </c>
      <c r="D7768">
        <v>2.9324883642319901E-3</v>
      </c>
    </row>
    <row r="7769" spans="1:4" hidden="1" x14ac:dyDescent="0.3">
      <c r="A7769">
        <v>7767</v>
      </c>
      <c r="B7769" t="s">
        <v>10177</v>
      </c>
      <c r="C7769" t="s">
        <v>107</v>
      </c>
      <c r="D7769">
        <v>1.97245527855174E-2</v>
      </c>
    </row>
    <row r="7770" spans="1:4" hidden="1" x14ac:dyDescent="0.3">
      <c r="A7770">
        <v>7768</v>
      </c>
      <c r="B7770" s="1" t="s">
        <v>10178</v>
      </c>
      <c r="C7770" t="s">
        <v>109</v>
      </c>
      <c r="D7770" s="1" t="s">
        <v>10179</v>
      </c>
    </row>
    <row r="7771" spans="1:4" hidden="1" x14ac:dyDescent="0.3">
      <c r="A7771">
        <v>7769</v>
      </c>
      <c r="B7771" t="s">
        <v>10180</v>
      </c>
      <c r="C7771" t="s">
        <v>208</v>
      </c>
      <c r="D7771">
        <v>147040781.772957</v>
      </c>
    </row>
    <row r="7772" spans="1:4" hidden="1" x14ac:dyDescent="0.3">
      <c r="A7772">
        <v>7770</v>
      </c>
      <c r="B7772" t="s">
        <v>10181</v>
      </c>
      <c r="C7772" t="s">
        <v>210</v>
      </c>
      <c r="D7772">
        <v>3813.85574820085</v>
      </c>
    </row>
    <row r="7773" spans="1:4" hidden="1" x14ac:dyDescent="0.3">
      <c r="A7773">
        <v>7771</v>
      </c>
      <c r="B7773" t="s">
        <v>10182</v>
      </c>
      <c r="C7773" t="s">
        <v>212</v>
      </c>
      <c r="D7773">
        <v>1677.3221655438899</v>
      </c>
    </row>
    <row r="7774" spans="1:4" hidden="1" x14ac:dyDescent="0.3">
      <c r="A7774">
        <v>7772</v>
      </c>
      <c r="B7774" s="1" t="s">
        <v>10183</v>
      </c>
      <c r="C7774" t="s">
        <v>214</v>
      </c>
      <c r="D7774" s="1" t="s">
        <v>10184</v>
      </c>
    </row>
    <row r="7775" spans="1:4" hidden="1" x14ac:dyDescent="0.3">
      <c r="A7775">
        <v>7773</v>
      </c>
      <c r="B7775" t="s">
        <v>10185</v>
      </c>
      <c r="C7775" t="s">
        <v>217</v>
      </c>
      <c r="D7775">
        <v>78507843.893012404</v>
      </c>
    </row>
    <row r="7776" spans="1:4" hidden="1" x14ac:dyDescent="0.3">
      <c r="A7776">
        <v>7774</v>
      </c>
      <c r="B7776" t="s">
        <v>10186</v>
      </c>
      <c r="C7776" t="s">
        <v>219</v>
      </c>
      <c r="D7776">
        <v>34527511.113373898</v>
      </c>
    </row>
    <row r="7777" spans="1:4" hidden="1" x14ac:dyDescent="0.3">
      <c r="A7777">
        <v>7775</v>
      </c>
      <c r="B7777" t="s">
        <v>10187</v>
      </c>
      <c r="C7777" t="s">
        <v>221</v>
      </c>
      <c r="D7777">
        <v>33998283.975973703</v>
      </c>
    </row>
    <row r="7778" spans="1:4" hidden="1" x14ac:dyDescent="0.3">
      <c r="A7778">
        <v>7776</v>
      </c>
      <c r="B7778" s="1" t="s">
        <v>10188</v>
      </c>
      <c r="C7778" t="s">
        <v>223</v>
      </c>
      <c r="D7778" s="1" t="s">
        <v>10189</v>
      </c>
    </row>
    <row r="7779" spans="1:4" hidden="1" x14ac:dyDescent="0.3">
      <c r="A7779">
        <v>7777</v>
      </c>
      <c r="B7779" t="s">
        <v>10190</v>
      </c>
      <c r="C7779" t="s">
        <v>226</v>
      </c>
      <c r="D7779">
        <v>103007829.389781</v>
      </c>
    </row>
    <row r="7780" spans="1:4" hidden="1" x14ac:dyDescent="0.3">
      <c r="A7780">
        <v>7778</v>
      </c>
      <c r="B7780" t="s">
        <v>10191</v>
      </c>
      <c r="C7780" t="s">
        <v>228</v>
      </c>
      <c r="D7780">
        <v>5004.0477835983002</v>
      </c>
    </row>
    <row r="7781" spans="1:4" hidden="1" x14ac:dyDescent="0.3">
      <c r="A7781">
        <v>7779</v>
      </c>
      <c r="B7781" s="1" t="s">
        <v>10192</v>
      </c>
      <c r="C7781" t="s">
        <v>230</v>
      </c>
      <c r="D7781" s="1" t="s">
        <v>10193</v>
      </c>
    </row>
    <row r="7782" spans="1:4" hidden="1" x14ac:dyDescent="0.3">
      <c r="A7782">
        <v>7780</v>
      </c>
      <c r="B7782" t="s">
        <v>10194</v>
      </c>
      <c r="C7782" t="s">
        <v>112</v>
      </c>
      <c r="D7782">
        <v>-1265.4130734169801</v>
      </c>
    </row>
    <row r="7783" spans="1:4" hidden="1" x14ac:dyDescent="0.3">
      <c r="A7783">
        <v>7781</v>
      </c>
      <c r="B7783" t="s">
        <v>10195</v>
      </c>
      <c r="C7783" t="s">
        <v>114</v>
      </c>
      <c r="D7783">
        <v>-191.27969239793401</v>
      </c>
    </row>
    <row r="7784" spans="1:4" hidden="1" x14ac:dyDescent="0.3">
      <c r="A7784">
        <v>7782</v>
      </c>
      <c r="B7784" s="1" t="s">
        <v>10196</v>
      </c>
      <c r="C7784" t="s">
        <v>116</v>
      </c>
      <c r="D7784" s="1" t="s">
        <v>10197</v>
      </c>
    </row>
    <row r="7785" spans="1:4" hidden="1" x14ac:dyDescent="0.3">
      <c r="A7785">
        <v>7783</v>
      </c>
      <c r="B7785" t="s">
        <v>10198</v>
      </c>
      <c r="C7785" t="s">
        <v>119</v>
      </c>
      <c r="D7785">
        <v>78507843.893012404</v>
      </c>
    </row>
    <row r="7786" spans="1:4" hidden="1" x14ac:dyDescent="0.3">
      <c r="A7786">
        <v>7784</v>
      </c>
      <c r="B7786" t="s">
        <v>10199</v>
      </c>
      <c r="C7786" t="s">
        <v>121</v>
      </c>
      <c r="D7786">
        <v>34527511.113373898</v>
      </c>
    </row>
    <row r="7787" spans="1:4" hidden="1" x14ac:dyDescent="0.3">
      <c r="A7787">
        <v>7785</v>
      </c>
      <c r="B7787" s="1" t="s">
        <v>10200</v>
      </c>
      <c r="C7787" t="s">
        <v>123</v>
      </c>
      <c r="D7787" s="1" t="s">
        <v>10201</v>
      </c>
    </row>
    <row r="7788" spans="1:4" hidden="1" x14ac:dyDescent="0.3">
      <c r="A7788">
        <v>7786</v>
      </c>
      <c r="B7788" t="s">
        <v>10202</v>
      </c>
      <c r="C7788" t="s">
        <v>126</v>
      </c>
      <c r="D7788">
        <v>0.76229784927461597</v>
      </c>
    </row>
    <row r="7789" spans="1:4" hidden="1" x14ac:dyDescent="0.3">
      <c r="A7789">
        <v>7787</v>
      </c>
      <c r="B7789" t="s">
        <v>10203</v>
      </c>
      <c r="C7789" t="s">
        <v>128</v>
      </c>
      <c r="D7789">
        <v>0.33525627704664202</v>
      </c>
    </row>
    <row r="7790" spans="1:4" hidden="1" x14ac:dyDescent="0.3">
      <c r="A7790">
        <v>7788</v>
      </c>
      <c r="B7790" s="1" t="s">
        <v>10204</v>
      </c>
      <c r="C7790" t="s">
        <v>130</v>
      </c>
      <c r="D7790" s="1" t="s">
        <v>10205</v>
      </c>
    </row>
    <row r="7791" spans="1:4" ht="72" x14ac:dyDescent="0.3">
      <c r="A7791">
        <v>7789</v>
      </c>
      <c r="B7791" s="1" t="s">
        <v>10206</v>
      </c>
      <c r="C7791" t="s">
        <v>4</v>
      </c>
      <c r="D7791" t="s">
        <v>10207</v>
      </c>
    </row>
    <row r="7792" spans="1:4" hidden="1" x14ac:dyDescent="0.3">
      <c r="A7792">
        <v>7790</v>
      </c>
      <c r="B7792" t="s">
        <v>10208</v>
      </c>
      <c r="C7792" t="s">
        <v>7</v>
      </c>
      <c r="D7792">
        <v>1781.44</v>
      </c>
    </row>
    <row r="7793" spans="1:4" hidden="1" x14ac:dyDescent="0.3">
      <c r="A7793">
        <v>7791</v>
      </c>
      <c r="B7793" s="1" t="s">
        <v>10209</v>
      </c>
      <c r="C7793" t="s">
        <v>9</v>
      </c>
      <c r="D7793" s="1" t="s">
        <v>10210</v>
      </c>
    </row>
    <row r="7794" spans="1:4" hidden="1" x14ac:dyDescent="0.3">
      <c r="A7794">
        <v>7792</v>
      </c>
      <c r="B7794" t="s">
        <v>9853</v>
      </c>
      <c r="C7794" t="s">
        <v>14</v>
      </c>
      <c r="D7794">
        <v>89.57421875</v>
      </c>
    </row>
    <row r="7795" spans="1:4" hidden="1" x14ac:dyDescent="0.3">
      <c r="A7795">
        <v>7793</v>
      </c>
      <c r="B7795" t="s">
        <v>10211</v>
      </c>
      <c r="C7795" t="s">
        <v>16</v>
      </c>
      <c r="D7795">
        <v>4.2390158122745998</v>
      </c>
    </row>
    <row r="7796" spans="1:4" hidden="1" x14ac:dyDescent="0.3">
      <c r="A7796">
        <v>7794</v>
      </c>
      <c r="B7796" s="1" t="s">
        <v>10212</v>
      </c>
      <c r="C7796" t="s">
        <v>140</v>
      </c>
      <c r="D7796" s="1" t="s">
        <v>10213</v>
      </c>
    </row>
    <row r="7797" spans="1:4" hidden="1" x14ac:dyDescent="0.3">
      <c r="A7797">
        <v>7795</v>
      </c>
      <c r="B7797" t="s">
        <v>10214</v>
      </c>
      <c r="C7797" t="s">
        <v>22</v>
      </c>
      <c r="D7797">
        <v>55.4</v>
      </c>
    </row>
    <row r="7798" spans="1:4" hidden="1" x14ac:dyDescent="0.3">
      <c r="A7798">
        <v>7796</v>
      </c>
      <c r="B7798" t="s">
        <v>10215</v>
      </c>
      <c r="C7798" t="s">
        <v>24</v>
      </c>
      <c r="D7798">
        <v>4.7174771743520196</v>
      </c>
    </row>
    <row r="7799" spans="1:4" hidden="1" x14ac:dyDescent="0.3">
      <c r="A7799">
        <v>7797</v>
      </c>
      <c r="B7799" s="1" t="s">
        <v>10216</v>
      </c>
      <c r="C7799" t="s">
        <v>145</v>
      </c>
      <c r="D7799" s="1" t="s">
        <v>10217</v>
      </c>
    </row>
    <row r="7800" spans="1:4" hidden="1" x14ac:dyDescent="0.3">
      <c r="A7800">
        <v>7798</v>
      </c>
      <c r="B7800" t="s">
        <v>10218</v>
      </c>
      <c r="C7800" t="s">
        <v>35</v>
      </c>
      <c r="D7800">
        <v>0.207395277835243</v>
      </c>
    </row>
    <row r="7801" spans="1:4" hidden="1" x14ac:dyDescent="0.3">
      <c r="A7801">
        <v>7799</v>
      </c>
      <c r="B7801" t="s">
        <v>10219</v>
      </c>
      <c r="C7801" t="s">
        <v>149</v>
      </c>
      <c r="D7801">
        <v>0.52830141548569298</v>
      </c>
    </row>
    <row r="7802" spans="1:4" hidden="1" x14ac:dyDescent="0.3">
      <c r="A7802">
        <v>7800</v>
      </c>
      <c r="B7802" s="1" t="s">
        <v>10220</v>
      </c>
      <c r="C7802" t="s">
        <v>151</v>
      </c>
      <c r="D7802" s="1" t="s">
        <v>10221</v>
      </c>
    </row>
    <row r="7803" spans="1:4" hidden="1" x14ac:dyDescent="0.3">
      <c r="A7803">
        <v>7801</v>
      </c>
      <c r="B7803" t="s">
        <v>10222</v>
      </c>
      <c r="C7803" t="s">
        <v>30</v>
      </c>
      <c r="D7803">
        <v>0.36242051034755701</v>
      </c>
    </row>
    <row r="7804" spans="1:4" hidden="1" x14ac:dyDescent="0.3">
      <c r="A7804">
        <v>7802</v>
      </c>
      <c r="B7804" t="s">
        <v>10223</v>
      </c>
      <c r="C7804" t="s">
        <v>32</v>
      </c>
      <c r="D7804">
        <v>0.41000985383488098</v>
      </c>
    </row>
    <row r="7805" spans="1:4" hidden="1" x14ac:dyDescent="0.3">
      <c r="A7805">
        <v>7803</v>
      </c>
      <c r="B7805" s="1" t="s">
        <v>10224</v>
      </c>
      <c r="C7805" t="s">
        <v>155</v>
      </c>
      <c r="D7805" s="1" t="s">
        <v>10225</v>
      </c>
    </row>
    <row r="7806" spans="1:4" hidden="1" x14ac:dyDescent="0.3">
      <c r="A7806">
        <v>7804</v>
      </c>
      <c r="B7806" t="s">
        <v>10226</v>
      </c>
      <c r="C7806" t="s">
        <v>40</v>
      </c>
      <c r="D7806">
        <v>0.43018421181719801</v>
      </c>
    </row>
    <row r="7807" spans="1:4" hidden="1" x14ac:dyDescent="0.3">
      <c r="A7807">
        <v>7805</v>
      </c>
      <c r="B7807" t="s">
        <v>10227</v>
      </c>
      <c r="C7807" t="s">
        <v>42</v>
      </c>
      <c r="D7807">
        <v>0.48284897767260399</v>
      </c>
    </row>
    <row r="7808" spans="1:4" hidden="1" x14ac:dyDescent="0.3">
      <c r="A7808">
        <v>7806</v>
      </c>
      <c r="B7808" s="1" t="s">
        <v>10228</v>
      </c>
      <c r="C7808" t="s">
        <v>159</v>
      </c>
      <c r="D7808" s="1" t="s">
        <v>10229</v>
      </c>
    </row>
    <row r="7809" spans="1:4" hidden="1" x14ac:dyDescent="0.3">
      <c r="A7809">
        <v>7807</v>
      </c>
      <c r="B7809" t="s">
        <v>10230</v>
      </c>
      <c r="C7809" t="s">
        <v>161</v>
      </c>
      <c r="D7809">
        <v>0.99116462288295903</v>
      </c>
    </row>
    <row r="7810" spans="1:4" hidden="1" x14ac:dyDescent="0.3">
      <c r="A7810">
        <v>7808</v>
      </c>
      <c r="B7810" t="s">
        <v>10231</v>
      </c>
      <c r="C7810" t="s">
        <v>163</v>
      </c>
      <c r="D7810">
        <v>0.99909804974583505</v>
      </c>
    </row>
    <row r="7811" spans="1:4" hidden="1" x14ac:dyDescent="0.3">
      <c r="A7811">
        <v>7809</v>
      </c>
      <c r="B7811" s="1" t="s">
        <v>10232</v>
      </c>
      <c r="C7811" t="s">
        <v>165</v>
      </c>
      <c r="D7811" s="1" t="s">
        <v>10233</v>
      </c>
    </row>
    <row r="7812" spans="1:4" hidden="1" x14ac:dyDescent="0.3">
      <c r="A7812">
        <v>7810</v>
      </c>
      <c r="B7812" t="s">
        <v>10234</v>
      </c>
      <c r="C7812" t="s">
        <v>168</v>
      </c>
      <c r="D7812">
        <v>1.0006468314799599</v>
      </c>
    </row>
    <row r="7813" spans="1:4" hidden="1" x14ac:dyDescent="0.3">
      <c r="A7813">
        <v>7811</v>
      </c>
      <c r="B7813" t="s">
        <v>10235</v>
      </c>
      <c r="C7813" t="s">
        <v>170</v>
      </c>
      <c r="D7813">
        <v>0.99943293527199395</v>
      </c>
    </row>
    <row r="7814" spans="1:4" hidden="1" x14ac:dyDescent="0.3">
      <c r="A7814">
        <v>7812</v>
      </c>
      <c r="B7814" s="1" t="s">
        <v>10236</v>
      </c>
      <c r="C7814" t="s">
        <v>172</v>
      </c>
      <c r="D7814" s="1" t="s">
        <v>10237</v>
      </c>
    </row>
    <row r="7815" spans="1:4" hidden="1" x14ac:dyDescent="0.3">
      <c r="A7815">
        <v>7813</v>
      </c>
      <c r="B7815" s="1" t="s">
        <v>10238</v>
      </c>
      <c r="C7815" t="s">
        <v>55</v>
      </c>
      <c r="D7815" s="1" t="s">
        <v>10239</v>
      </c>
    </row>
    <row r="7816" spans="1:4" hidden="1" x14ac:dyDescent="0.3">
      <c r="A7816">
        <v>7814</v>
      </c>
      <c r="B7816" s="1" t="s">
        <v>10240</v>
      </c>
      <c r="C7816" t="s">
        <v>52</v>
      </c>
      <c r="D7816" s="1" t="s">
        <v>10241</v>
      </c>
    </row>
    <row r="7817" spans="1:4" hidden="1" x14ac:dyDescent="0.3">
      <c r="A7817">
        <v>7815</v>
      </c>
      <c r="B7817" s="1" t="s">
        <v>10242</v>
      </c>
      <c r="C7817" t="s">
        <v>58</v>
      </c>
      <c r="D7817" s="1" t="s">
        <v>10243</v>
      </c>
    </row>
    <row r="7818" spans="1:4" hidden="1" x14ac:dyDescent="0.3">
      <c r="A7818">
        <v>7816</v>
      </c>
      <c r="B7818" t="s">
        <v>10244</v>
      </c>
      <c r="C7818" t="s">
        <v>61</v>
      </c>
      <c r="D7818">
        <v>146246841.40389001</v>
      </c>
    </row>
    <row r="7819" spans="1:4" hidden="1" x14ac:dyDescent="0.3">
      <c r="A7819">
        <v>7817</v>
      </c>
      <c r="B7819" t="s">
        <v>10245</v>
      </c>
      <c r="C7819" t="s">
        <v>63</v>
      </c>
      <c r="D7819">
        <v>77814197.485571802</v>
      </c>
    </row>
    <row r="7820" spans="1:4" hidden="1" x14ac:dyDescent="0.3">
      <c r="A7820">
        <v>7818</v>
      </c>
      <c r="B7820" t="s">
        <v>10246</v>
      </c>
      <c r="C7820" t="s">
        <v>65</v>
      </c>
      <c r="D7820">
        <v>34496369.015949503</v>
      </c>
    </row>
    <row r="7821" spans="1:4" hidden="1" x14ac:dyDescent="0.3">
      <c r="A7821">
        <v>7819</v>
      </c>
      <c r="B7821" s="1" t="s">
        <v>10247</v>
      </c>
      <c r="C7821" t="s">
        <v>67</v>
      </c>
      <c r="D7821" s="1" t="s">
        <v>10248</v>
      </c>
    </row>
    <row r="7822" spans="1:4" hidden="1" x14ac:dyDescent="0.3">
      <c r="A7822">
        <v>7820</v>
      </c>
      <c r="B7822" s="1" t="s">
        <v>10249</v>
      </c>
      <c r="C7822" t="s">
        <v>70</v>
      </c>
      <c r="D7822" s="1" t="s">
        <v>10250</v>
      </c>
    </row>
    <row r="7823" spans="1:4" hidden="1" x14ac:dyDescent="0.3">
      <c r="A7823">
        <v>7821</v>
      </c>
      <c r="B7823" t="s">
        <v>10251</v>
      </c>
      <c r="C7823" t="s">
        <v>73</v>
      </c>
      <c r="D7823">
        <v>0.99981148229374095</v>
      </c>
    </row>
    <row r="7824" spans="1:4" hidden="1" x14ac:dyDescent="0.3">
      <c r="A7824">
        <v>7822</v>
      </c>
      <c r="B7824" t="s">
        <v>74</v>
      </c>
      <c r="C7824" t="s">
        <v>75</v>
      </c>
      <c r="D7824">
        <v>2.7397260273972599E-3</v>
      </c>
    </row>
    <row r="7825" spans="1:4" hidden="1" x14ac:dyDescent="0.3">
      <c r="A7825">
        <v>7823</v>
      </c>
      <c r="B7825" t="s">
        <v>76</v>
      </c>
      <c r="C7825" t="s">
        <v>77</v>
      </c>
      <c r="D7825">
        <v>0</v>
      </c>
    </row>
    <row r="7826" spans="1:4" hidden="1" x14ac:dyDescent="0.3">
      <c r="A7826">
        <v>7824</v>
      </c>
      <c r="B7826" t="s">
        <v>78</v>
      </c>
      <c r="C7826" t="s">
        <v>79</v>
      </c>
      <c r="D7826">
        <v>0</v>
      </c>
    </row>
    <row r="7827" spans="1:4" hidden="1" x14ac:dyDescent="0.3">
      <c r="A7827">
        <v>7825</v>
      </c>
      <c r="B7827" s="1" t="s">
        <v>10252</v>
      </c>
      <c r="C7827" t="s">
        <v>81</v>
      </c>
      <c r="D7827" s="1" t="s">
        <v>10253</v>
      </c>
    </row>
    <row r="7828" spans="1:4" hidden="1" x14ac:dyDescent="0.3">
      <c r="A7828">
        <v>7826</v>
      </c>
      <c r="B7828" t="s">
        <v>10254</v>
      </c>
      <c r="C7828" t="s">
        <v>84</v>
      </c>
      <c r="D7828">
        <v>0.99983713409018304</v>
      </c>
    </row>
    <row r="7829" spans="1:4" hidden="1" x14ac:dyDescent="0.3">
      <c r="A7829">
        <v>7827</v>
      </c>
      <c r="B7829" s="1" t="s">
        <v>10255</v>
      </c>
      <c r="C7829" t="s">
        <v>86</v>
      </c>
      <c r="D7829" s="1" t="s">
        <v>10256</v>
      </c>
    </row>
    <row r="7830" spans="1:4" hidden="1" x14ac:dyDescent="0.3">
      <c r="A7830">
        <v>7828</v>
      </c>
      <c r="B7830" t="s">
        <v>10257</v>
      </c>
      <c r="C7830" t="s">
        <v>89</v>
      </c>
      <c r="D7830">
        <v>103010190.54289301</v>
      </c>
    </row>
    <row r="7831" spans="1:4" hidden="1" x14ac:dyDescent="0.3">
      <c r="A7831">
        <v>7829</v>
      </c>
      <c r="B7831" s="1" t="s">
        <v>10258</v>
      </c>
      <c r="C7831" t="s">
        <v>91</v>
      </c>
      <c r="D7831" s="1" t="s">
        <v>10193</v>
      </c>
    </row>
    <row r="7832" spans="1:4" hidden="1" x14ac:dyDescent="0.3">
      <c r="A7832">
        <v>7830</v>
      </c>
      <c r="B7832" t="s">
        <v>10259</v>
      </c>
      <c r="C7832" t="s">
        <v>94</v>
      </c>
      <c r="D7832">
        <v>77814197.485571802</v>
      </c>
    </row>
    <row r="7833" spans="1:4" hidden="1" x14ac:dyDescent="0.3">
      <c r="A7833">
        <v>7831</v>
      </c>
      <c r="B7833" t="s">
        <v>10260</v>
      </c>
      <c r="C7833" t="s">
        <v>96</v>
      </c>
      <c r="D7833">
        <v>34496369.015949503</v>
      </c>
    </row>
    <row r="7834" spans="1:4" hidden="1" x14ac:dyDescent="0.3">
      <c r="A7834">
        <v>7832</v>
      </c>
      <c r="B7834" t="s">
        <v>10261</v>
      </c>
      <c r="C7834" t="s">
        <v>98</v>
      </c>
      <c r="D7834">
        <v>33936274.902369298</v>
      </c>
    </row>
    <row r="7835" spans="1:4" hidden="1" x14ac:dyDescent="0.3">
      <c r="A7835">
        <v>7833</v>
      </c>
      <c r="B7835" s="1" t="s">
        <v>10262</v>
      </c>
      <c r="C7835" t="s">
        <v>100</v>
      </c>
      <c r="D7835" s="1" t="s">
        <v>10263</v>
      </c>
    </row>
    <row r="7836" spans="1:4" hidden="1" x14ac:dyDescent="0.3">
      <c r="A7836">
        <v>7834</v>
      </c>
      <c r="B7836" t="s">
        <v>10264</v>
      </c>
      <c r="C7836" t="s">
        <v>103</v>
      </c>
      <c r="D7836">
        <v>9.6507223679409906E-3</v>
      </c>
    </row>
    <row r="7837" spans="1:4" hidden="1" x14ac:dyDescent="0.3">
      <c r="A7837">
        <v>7835</v>
      </c>
      <c r="B7837" t="s">
        <v>10265</v>
      </c>
      <c r="C7837" t="s">
        <v>105</v>
      </c>
      <c r="D7837">
        <v>2.9285404508906199E-3</v>
      </c>
    </row>
    <row r="7838" spans="1:4" hidden="1" x14ac:dyDescent="0.3">
      <c r="A7838">
        <v>7836</v>
      </c>
      <c r="B7838" t="s">
        <v>10266</v>
      </c>
      <c r="C7838" t="s">
        <v>107</v>
      </c>
      <c r="D7838">
        <v>1.9669942404915999E-2</v>
      </c>
    </row>
    <row r="7839" spans="1:4" hidden="1" x14ac:dyDescent="0.3">
      <c r="A7839">
        <v>7837</v>
      </c>
      <c r="B7839" s="1" t="s">
        <v>10267</v>
      </c>
      <c r="C7839" t="s">
        <v>109</v>
      </c>
      <c r="D7839" s="1" t="s">
        <v>10268</v>
      </c>
    </row>
    <row r="7840" spans="1:4" hidden="1" x14ac:dyDescent="0.3">
      <c r="A7840">
        <v>7838</v>
      </c>
      <c r="B7840" t="s">
        <v>10269</v>
      </c>
      <c r="C7840" t="s">
        <v>208</v>
      </c>
      <c r="D7840">
        <v>146247752.05023301</v>
      </c>
    </row>
    <row r="7841" spans="1:4" hidden="1" x14ac:dyDescent="0.3">
      <c r="A7841">
        <v>7839</v>
      </c>
      <c r="B7841" t="s">
        <v>10270</v>
      </c>
      <c r="C7841" t="s">
        <v>210</v>
      </c>
      <c r="D7841">
        <v>-1996.4683563733399</v>
      </c>
    </row>
    <row r="7842" spans="1:4" hidden="1" x14ac:dyDescent="0.3">
      <c r="A7842">
        <v>7840</v>
      </c>
      <c r="B7842" t="s">
        <v>10271</v>
      </c>
      <c r="C7842" t="s">
        <v>212</v>
      </c>
      <c r="D7842">
        <v>-885.06331732987405</v>
      </c>
    </row>
    <row r="7843" spans="1:4" hidden="1" x14ac:dyDescent="0.3">
      <c r="A7843">
        <v>7841</v>
      </c>
      <c r="B7843" s="1" t="s">
        <v>10272</v>
      </c>
      <c r="C7843" t="s">
        <v>214</v>
      </c>
      <c r="D7843" s="1" t="s">
        <v>10273</v>
      </c>
    </row>
    <row r="7844" spans="1:4" hidden="1" x14ac:dyDescent="0.3">
      <c r="A7844">
        <v>7842</v>
      </c>
      <c r="B7844" t="s">
        <v>10274</v>
      </c>
      <c r="C7844" t="s">
        <v>217</v>
      </c>
      <c r="D7844">
        <v>77816896.929651901</v>
      </c>
    </row>
    <row r="7845" spans="1:4" hidden="1" x14ac:dyDescent="0.3">
      <c r="A7845">
        <v>7843</v>
      </c>
      <c r="B7845" t="s">
        <v>10275</v>
      </c>
      <c r="C7845" t="s">
        <v>219</v>
      </c>
      <c r="D7845">
        <v>34497356.6553213</v>
      </c>
    </row>
    <row r="7846" spans="1:4" hidden="1" x14ac:dyDescent="0.3">
      <c r="A7846">
        <v>7844</v>
      </c>
      <c r="B7846" t="s">
        <v>10276</v>
      </c>
      <c r="C7846" t="s">
        <v>221</v>
      </c>
      <c r="D7846">
        <v>33937250.690186404</v>
      </c>
    </row>
    <row r="7847" spans="1:4" hidden="1" x14ac:dyDescent="0.3">
      <c r="A7847">
        <v>7845</v>
      </c>
      <c r="B7847" s="1" t="s">
        <v>10277</v>
      </c>
      <c r="C7847" t="s">
        <v>223</v>
      </c>
      <c r="D7847" s="1" t="s">
        <v>10278</v>
      </c>
    </row>
    <row r="7848" spans="1:4" hidden="1" x14ac:dyDescent="0.3">
      <c r="A7848">
        <v>7846</v>
      </c>
      <c r="B7848" t="s">
        <v>10279</v>
      </c>
      <c r="C7848" t="s">
        <v>226</v>
      </c>
      <c r="D7848">
        <v>103012833.437564</v>
      </c>
    </row>
    <row r="7849" spans="1:4" hidden="1" x14ac:dyDescent="0.3">
      <c r="A7849">
        <v>7847</v>
      </c>
      <c r="B7849" t="s">
        <v>10280</v>
      </c>
      <c r="C7849" t="s">
        <v>228</v>
      </c>
      <c r="D7849">
        <v>-2642.8946716338301</v>
      </c>
    </row>
    <row r="7850" spans="1:4" hidden="1" x14ac:dyDescent="0.3">
      <c r="A7850">
        <v>7848</v>
      </c>
      <c r="B7850" s="1" t="s">
        <v>10281</v>
      </c>
      <c r="C7850" t="s">
        <v>230</v>
      </c>
      <c r="D7850" s="1" t="s">
        <v>10282</v>
      </c>
    </row>
    <row r="7851" spans="1:4" hidden="1" x14ac:dyDescent="0.3">
      <c r="A7851">
        <v>7849</v>
      </c>
      <c r="B7851" t="s">
        <v>10283</v>
      </c>
      <c r="C7851" t="s">
        <v>112</v>
      </c>
      <c r="D7851">
        <v>702.97572371889601</v>
      </c>
    </row>
    <row r="7852" spans="1:4" hidden="1" x14ac:dyDescent="0.3">
      <c r="A7852">
        <v>7850</v>
      </c>
      <c r="B7852" t="s">
        <v>10284</v>
      </c>
      <c r="C7852" t="s">
        <v>114</v>
      </c>
      <c r="D7852">
        <v>102.576054521484</v>
      </c>
    </row>
    <row r="7853" spans="1:4" hidden="1" x14ac:dyDescent="0.3">
      <c r="A7853">
        <v>7851</v>
      </c>
      <c r="B7853" s="1" t="s">
        <v>10285</v>
      </c>
      <c r="C7853" t="s">
        <v>116</v>
      </c>
      <c r="D7853" s="1" t="s">
        <v>10286</v>
      </c>
    </row>
    <row r="7854" spans="1:4" hidden="1" x14ac:dyDescent="0.3">
      <c r="A7854">
        <v>7852</v>
      </c>
      <c r="B7854" t="s">
        <v>10287</v>
      </c>
      <c r="C7854" t="s">
        <v>119</v>
      </c>
      <c r="D7854">
        <v>77816896.929651901</v>
      </c>
    </row>
    <row r="7855" spans="1:4" hidden="1" x14ac:dyDescent="0.3">
      <c r="A7855">
        <v>7853</v>
      </c>
      <c r="B7855" t="s">
        <v>10288</v>
      </c>
      <c r="C7855" t="s">
        <v>121</v>
      </c>
      <c r="D7855">
        <v>34497356.6553213</v>
      </c>
    </row>
    <row r="7856" spans="1:4" hidden="1" x14ac:dyDescent="0.3">
      <c r="A7856">
        <v>7854</v>
      </c>
      <c r="B7856" s="1" t="s">
        <v>10289</v>
      </c>
      <c r="C7856" t="s">
        <v>123</v>
      </c>
      <c r="D7856" s="1" t="s">
        <v>10290</v>
      </c>
    </row>
    <row r="7857" spans="1:4" hidden="1" x14ac:dyDescent="0.3">
      <c r="A7857">
        <v>7855</v>
      </c>
      <c r="B7857" t="s">
        <v>10291</v>
      </c>
      <c r="C7857" t="s">
        <v>126</v>
      </c>
      <c r="D7857">
        <v>0.75553278282549496</v>
      </c>
    </row>
    <row r="7858" spans="1:4" hidden="1" x14ac:dyDescent="0.3">
      <c r="A7858">
        <v>7856</v>
      </c>
      <c r="B7858" t="s">
        <v>10292</v>
      </c>
      <c r="C7858" t="s">
        <v>128</v>
      </c>
      <c r="D7858">
        <v>0.334938617476366</v>
      </c>
    </row>
    <row r="7859" spans="1:4" hidden="1" x14ac:dyDescent="0.3">
      <c r="A7859">
        <v>7857</v>
      </c>
      <c r="B7859" s="1" t="s">
        <v>10293</v>
      </c>
      <c r="C7859" t="s">
        <v>130</v>
      </c>
      <c r="D7859" s="1" t="s">
        <v>10294</v>
      </c>
    </row>
    <row r="7860" spans="1:4" ht="72" x14ac:dyDescent="0.3">
      <c r="A7860">
        <v>7858</v>
      </c>
      <c r="B7860" s="1" t="s">
        <v>10295</v>
      </c>
      <c r="C7860" t="s">
        <v>4</v>
      </c>
      <c r="D7860" t="s">
        <v>10296</v>
      </c>
    </row>
    <row r="7861" spans="1:4" hidden="1" x14ac:dyDescent="0.3">
      <c r="A7861">
        <v>7859</v>
      </c>
      <c r="B7861" t="s">
        <v>10297</v>
      </c>
      <c r="C7861" t="s">
        <v>7</v>
      </c>
      <c r="D7861">
        <v>1810.8</v>
      </c>
    </row>
    <row r="7862" spans="1:4" hidden="1" x14ac:dyDescent="0.3">
      <c r="A7862">
        <v>7860</v>
      </c>
      <c r="B7862" s="1" t="s">
        <v>10298</v>
      </c>
      <c r="C7862" t="s">
        <v>9</v>
      </c>
      <c r="D7862" s="1" t="s">
        <v>10299</v>
      </c>
    </row>
    <row r="7863" spans="1:4" hidden="1" x14ac:dyDescent="0.3">
      <c r="A7863">
        <v>7861</v>
      </c>
      <c r="B7863" t="s">
        <v>10300</v>
      </c>
      <c r="C7863" t="s">
        <v>14</v>
      </c>
      <c r="D7863">
        <v>89.99609375</v>
      </c>
    </row>
    <row r="7864" spans="1:4" hidden="1" x14ac:dyDescent="0.3">
      <c r="A7864">
        <v>7862</v>
      </c>
      <c r="B7864" t="s">
        <v>10301</v>
      </c>
      <c r="C7864" t="s">
        <v>16</v>
      </c>
      <c r="D7864">
        <v>4.2450625492681597</v>
      </c>
    </row>
    <row r="7865" spans="1:4" hidden="1" x14ac:dyDescent="0.3">
      <c r="A7865">
        <v>7863</v>
      </c>
      <c r="B7865" s="1" t="s">
        <v>10302</v>
      </c>
      <c r="C7865" t="s">
        <v>140</v>
      </c>
      <c r="D7865" s="1" t="s">
        <v>10303</v>
      </c>
    </row>
    <row r="7866" spans="1:4" hidden="1" x14ac:dyDescent="0.3">
      <c r="A7866">
        <v>7864</v>
      </c>
      <c r="B7866" t="s">
        <v>10304</v>
      </c>
      <c r="C7866" t="s">
        <v>22</v>
      </c>
      <c r="D7866">
        <v>57.55</v>
      </c>
    </row>
    <row r="7867" spans="1:4" hidden="1" x14ac:dyDescent="0.3">
      <c r="A7867">
        <v>7865</v>
      </c>
      <c r="B7867" t="s">
        <v>10305</v>
      </c>
      <c r="C7867" t="s">
        <v>24</v>
      </c>
      <c r="D7867">
        <v>4.5657341564867302</v>
      </c>
    </row>
    <row r="7868" spans="1:4" hidden="1" x14ac:dyDescent="0.3">
      <c r="A7868">
        <v>7866</v>
      </c>
      <c r="B7868" s="1" t="s">
        <v>10306</v>
      </c>
      <c r="C7868" t="s">
        <v>145</v>
      </c>
      <c r="D7868" s="1" t="s">
        <v>10307</v>
      </c>
    </row>
    <row r="7869" spans="1:4" hidden="1" x14ac:dyDescent="0.3">
      <c r="A7869">
        <v>7867</v>
      </c>
      <c r="B7869" t="s">
        <v>10308</v>
      </c>
      <c r="C7869" t="s">
        <v>35</v>
      </c>
      <c r="D7869">
        <v>-2.7623636666436</v>
      </c>
    </row>
    <row r="7870" spans="1:4" hidden="1" x14ac:dyDescent="0.3">
      <c r="A7870">
        <v>7868</v>
      </c>
      <c r="B7870" t="s">
        <v>10309</v>
      </c>
      <c r="C7870" t="s">
        <v>149</v>
      </c>
      <c r="D7870">
        <v>0.52122779563375699</v>
      </c>
    </row>
    <row r="7871" spans="1:4" hidden="1" x14ac:dyDescent="0.3">
      <c r="A7871">
        <v>7869</v>
      </c>
      <c r="B7871" s="1" t="s">
        <v>10310</v>
      </c>
      <c r="C7871" t="s">
        <v>151</v>
      </c>
      <c r="D7871" s="1" t="s">
        <v>10311</v>
      </c>
    </row>
    <row r="7872" spans="1:4" hidden="1" x14ac:dyDescent="0.3">
      <c r="A7872">
        <v>7870</v>
      </c>
      <c r="B7872" t="s">
        <v>10312</v>
      </c>
      <c r="C7872" t="s">
        <v>30</v>
      </c>
      <c r="D7872">
        <v>1.8064000281319501</v>
      </c>
    </row>
    <row r="7873" spans="1:4" hidden="1" x14ac:dyDescent="0.3">
      <c r="A7873">
        <v>7871</v>
      </c>
      <c r="B7873" t="s">
        <v>10313</v>
      </c>
      <c r="C7873" t="s">
        <v>32</v>
      </c>
      <c r="D7873">
        <v>0.41461959289657802</v>
      </c>
    </row>
    <row r="7874" spans="1:4" hidden="1" x14ac:dyDescent="0.3">
      <c r="A7874">
        <v>7872</v>
      </c>
      <c r="B7874" s="1" t="s">
        <v>10314</v>
      </c>
      <c r="C7874" t="s">
        <v>155</v>
      </c>
      <c r="D7874" s="1" t="s">
        <v>10315</v>
      </c>
    </row>
    <row r="7875" spans="1:4" hidden="1" x14ac:dyDescent="0.3">
      <c r="A7875">
        <v>7873</v>
      </c>
      <c r="B7875" t="s">
        <v>10316</v>
      </c>
      <c r="C7875" t="s">
        <v>40</v>
      </c>
      <c r="D7875">
        <v>1.9559636385116499</v>
      </c>
    </row>
    <row r="7876" spans="1:4" hidden="1" x14ac:dyDescent="0.3">
      <c r="A7876">
        <v>7874</v>
      </c>
      <c r="B7876" t="s">
        <v>10317</v>
      </c>
      <c r="C7876" t="s">
        <v>42</v>
      </c>
      <c r="D7876">
        <v>0.50392736176861996</v>
      </c>
    </row>
    <row r="7877" spans="1:4" hidden="1" x14ac:dyDescent="0.3">
      <c r="A7877">
        <v>7875</v>
      </c>
      <c r="B7877" s="1" t="s">
        <v>10318</v>
      </c>
      <c r="C7877" t="s">
        <v>159</v>
      </c>
      <c r="D7877" s="1" t="s">
        <v>10319</v>
      </c>
    </row>
    <row r="7878" spans="1:4" hidden="1" x14ac:dyDescent="0.3">
      <c r="A7878">
        <v>7876</v>
      </c>
      <c r="B7878" t="s">
        <v>10320</v>
      </c>
      <c r="C7878" t="s">
        <v>161</v>
      </c>
      <c r="D7878">
        <v>1.01648104903897</v>
      </c>
    </row>
    <row r="7879" spans="1:4" hidden="1" x14ac:dyDescent="0.3">
      <c r="A7879">
        <v>7877</v>
      </c>
      <c r="B7879" t="s">
        <v>10321</v>
      </c>
      <c r="C7879" t="s">
        <v>163</v>
      </c>
      <c r="D7879">
        <v>1.00456142183978</v>
      </c>
    </row>
    <row r="7880" spans="1:4" hidden="1" x14ac:dyDescent="0.3">
      <c r="A7880">
        <v>7878</v>
      </c>
      <c r="B7880" s="1" t="s">
        <v>10322</v>
      </c>
      <c r="C7880" t="s">
        <v>165</v>
      </c>
      <c r="D7880" s="1" t="s">
        <v>10323</v>
      </c>
    </row>
    <row r="7881" spans="1:4" hidden="1" x14ac:dyDescent="0.3">
      <c r="A7881">
        <v>7879</v>
      </c>
      <c r="B7881" t="s">
        <v>10324</v>
      </c>
      <c r="C7881" t="s">
        <v>168</v>
      </c>
      <c r="D7881">
        <v>0.99537158064484998</v>
      </c>
    </row>
    <row r="7882" spans="1:4" hidden="1" x14ac:dyDescent="0.3">
      <c r="A7882">
        <v>7880</v>
      </c>
      <c r="B7882" t="s">
        <v>10325</v>
      </c>
      <c r="C7882" t="s">
        <v>170</v>
      </c>
      <c r="D7882">
        <v>1.00326929563588</v>
      </c>
    </row>
    <row r="7883" spans="1:4" hidden="1" x14ac:dyDescent="0.3">
      <c r="A7883">
        <v>7881</v>
      </c>
      <c r="B7883" s="1" t="s">
        <v>10326</v>
      </c>
      <c r="C7883" t="s">
        <v>172</v>
      </c>
      <c r="D7883" s="1" t="s">
        <v>10327</v>
      </c>
    </row>
    <row r="7884" spans="1:4" hidden="1" x14ac:dyDescent="0.3">
      <c r="A7884">
        <v>7882</v>
      </c>
      <c r="B7884" s="1" t="s">
        <v>10328</v>
      </c>
      <c r="C7884" t="s">
        <v>55</v>
      </c>
      <c r="D7884" s="1" t="s">
        <v>10329</v>
      </c>
    </row>
    <row r="7885" spans="1:4" hidden="1" x14ac:dyDescent="0.3">
      <c r="A7885">
        <v>7883</v>
      </c>
      <c r="B7885" s="1" t="s">
        <v>10330</v>
      </c>
      <c r="C7885" t="s">
        <v>52</v>
      </c>
      <c r="D7885" s="1" t="s">
        <v>10331</v>
      </c>
    </row>
    <row r="7886" spans="1:4" hidden="1" x14ac:dyDescent="0.3">
      <c r="A7886">
        <v>7884</v>
      </c>
      <c r="B7886" s="1" t="s">
        <v>10332</v>
      </c>
      <c r="C7886" t="s">
        <v>58</v>
      </c>
      <c r="D7886" s="1" t="s">
        <v>10333</v>
      </c>
    </row>
    <row r="7887" spans="1:4" hidden="1" x14ac:dyDescent="0.3">
      <c r="A7887">
        <v>7885</v>
      </c>
      <c r="B7887" t="s">
        <v>10334</v>
      </c>
      <c r="C7887" t="s">
        <v>61</v>
      </c>
      <c r="D7887">
        <v>148819412.50484201</v>
      </c>
    </row>
    <row r="7888" spans="1:4" hidden="1" x14ac:dyDescent="0.3">
      <c r="A7888">
        <v>7886</v>
      </c>
      <c r="B7888" t="s">
        <v>10335</v>
      </c>
      <c r="C7888" t="s">
        <v>63</v>
      </c>
      <c r="D7888">
        <v>79099401.024010807</v>
      </c>
    </row>
    <row r="7889" spans="1:4" hidden="1" x14ac:dyDescent="0.3">
      <c r="A7889">
        <v>7887</v>
      </c>
      <c r="B7889" t="s">
        <v>10336</v>
      </c>
      <c r="C7889" t="s">
        <v>65</v>
      </c>
      <c r="D7889">
        <v>34654713.651383899</v>
      </c>
    </row>
    <row r="7890" spans="1:4" hidden="1" x14ac:dyDescent="0.3">
      <c r="A7890">
        <v>7888</v>
      </c>
      <c r="B7890" s="1" t="s">
        <v>10337</v>
      </c>
      <c r="C7890" t="s">
        <v>67</v>
      </c>
      <c r="D7890" s="1" t="s">
        <v>10338</v>
      </c>
    </row>
    <row r="7891" spans="1:4" hidden="1" x14ac:dyDescent="0.3">
      <c r="A7891">
        <v>7889</v>
      </c>
      <c r="B7891" s="1" t="s">
        <v>10339</v>
      </c>
      <c r="C7891" t="s">
        <v>70</v>
      </c>
      <c r="D7891" s="1" t="s">
        <v>10340</v>
      </c>
    </row>
    <row r="7892" spans="1:4" hidden="1" x14ac:dyDescent="0.3">
      <c r="A7892">
        <v>7890</v>
      </c>
      <c r="B7892" t="s">
        <v>10341</v>
      </c>
      <c r="C7892" t="s">
        <v>73</v>
      </c>
      <c r="D7892">
        <v>0.99983713409018304</v>
      </c>
    </row>
    <row r="7893" spans="1:4" hidden="1" x14ac:dyDescent="0.3">
      <c r="A7893">
        <v>7891</v>
      </c>
      <c r="B7893" t="s">
        <v>74</v>
      </c>
      <c r="C7893" t="s">
        <v>75</v>
      </c>
      <c r="D7893">
        <v>2.7397260273972599E-3</v>
      </c>
    </row>
    <row r="7894" spans="1:4" hidden="1" x14ac:dyDescent="0.3">
      <c r="A7894">
        <v>7892</v>
      </c>
      <c r="B7894" t="s">
        <v>76</v>
      </c>
      <c r="C7894" t="s">
        <v>77</v>
      </c>
      <c r="D7894">
        <v>0</v>
      </c>
    </row>
    <row r="7895" spans="1:4" hidden="1" x14ac:dyDescent="0.3">
      <c r="A7895">
        <v>7893</v>
      </c>
      <c r="B7895" t="s">
        <v>78</v>
      </c>
      <c r="C7895" t="s">
        <v>79</v>
      </c>
      <c r="D7895">
        <v>0</v>
      </c>
    </row>
    <row r="7896" spans="1:4" hidden="1" x14ac:dyDescent="0.3">
      <c r="A7896">
        <v>7894</v>
      </c>
      <c r="B7896" s="1" t="s">
        <v>10342</v>
      </c>
      <c r="C7896" t="s">
        <v>81</v>
      </c>
      <c r="D7896" s="1" t="s">
        <v>10343</v>
      </c>
    </row>
    <row r="7897" spans="1:4" hidden="1" x14ac:dyDescent="0.3">
      <c r="A7897">
        <v>7895</v>
      </c>
      <c r="B7897" t="s">
        <v>10344</v>
      </c>
      <c r="C7897" t="s">
        <v>84</v>
      </c>
      <c r="D7897">
        <v>0.999847017641049</v>
      </c>
    </row>
    <row r="7898" spans="1:4" hidden="1" x14ac:dyDescent="0.3">
      <c r="A7898">
        <v>7896</v>
      </c>
      <c r="B7898" s="1" t="s">
        <v>10345</v>
      </c>
      <c r="C7898" t="s">
        <v>86</v>
      </c>
      <c r="D7898" s="1" t="s">
        <v>10346</v>
      </c>
    </row>
    <row r="7899" spans="1:4" hidden="1" x14ac:dyDescent="0.3">
      <c r="A7899">
        <v>7897</v>
      </c>
      <c r="B7899" t="s">
        <v>10347</v>
      </c>
      <c r="C7899" t="s">
        <v>89</v>
      </c>
      <c r="D7899">
        <v>103009172.28065901</v>
      </c>
    </row>
    <row r="7900" spans="1:4" hidden="1" x14ac:dyDescent="0.3">
      <c r="A7900">
        <v>7898</v>
      </c>
      <c r="B7900" s="1" t="s">
        <v>10348</v>
      </c>
      <c r="C7900" t="s">
        <v>91</v>
      </c>
      <c r="D7900" s="1" t="s">
        <v>10282</v>
      </c>
    </row>
    <row r="7901" spans="1:4" hidden="1" x14ac:dyDescent="0.3">
      <c r="A7901">
        <v>7899</v>
      </c>
      <c r="B7901" t="s">
        <v>10349</v>
      </c>
      <c r="C7901" t="s">
        <v>94</v>
      </c>
      <c r="D7901">
        <v>79099401.024010807</v>
      </c>
    </row>
    <row r="7902" spans="1:4" hidden="1" x14ac:dyDescent="0.3">
      <c r="A7902">
        <v>7900</v>
      </c>
      <c r="B7902" t="s">
        <v>10350</v>
      </c>
      <c r="C7902" t="s">
        <v>96</v>
      </c>
      <c r="D7902">
        <v>34654713.651383899</v>
      </c>
    </row>
    <row r="7903" spans="1:4" hidden="1" x14ac:dyDescent="0.3">
      <c r="A7903">
        <v>7901</v>
      </c>
      <c r="B7903" t="s">
        <v>10351</v>
      </c>
      <c r="C7903" t="s">
        <v>98</v>
      </c>
      <c r="D7903">
        <v>35065297.8294475</v>
      </c>
    </row>
    <row r="7904" spans="1:4" hidden="1" x14ac:dyDescent="0.3">
      <c r="A7904">
        <v>7902</v>
      </c>
      <c r="B7904" s="1" t="s">
        <v>10352</v>
      </c>
      <c r="C7904" t="s">
        <v>100</v>
      </c>
      <c r="D7904" s="1" t="s">
        <v>10353</v>
      </c>
    </row>
    <row r="7905" spans="1:4" hidden="1" x14ac:dyDescent="0.3">
      <c r="A7905">
        <v>7903</v>
      </c>
      <c r="B7905" t="s">
        <v>10354</v>
      </c>
      <c r="C7905" t="s">
        <v>103</v>
      </c>
      <c r="D7905">
        <v>9.6963025594332796E-3</v>
      </c>
    </row>
    <row r="7906" spans="1:4" hidden="1" x14ac:dyDescent="0.3">
      <c r="A7906">
        <v>7904</v>
      </c>
      <c r="B7906" t="s">
        <v>10355</v>
      </c>
      <c r="C7906" t="s">
        <v>105</v>
      </c>
      <c r="D7906">
        <v>2.9629247173238102E-3</v>
      </c>
    </row>
    <row r="7907" spans="1:4" hidden="1" x14ac:dyDescent="0.3">
      <c r="A7907">
        <v>7905</v>
      </c>
      <c r="B7907" t="s">
        <v>10356</v>
      </c>
      <c r="C7907" t="s">
        <v>107</v>
      </c>
      <c r="D7907">
        <v>2.0065176843774301E-2</v>
      </c>
    </row>
    <row r="7908" spans="1:4" hidden="1" x14ac:dyDescent="0.3">
      <c r="A7908">
        <v>7906</v>
      </c>
      <c r="B7908" s="1" t="s">
        <v>10357</v>
      </c>
      <c r="C7908" t="s">
        <v>109</v>
      </c>
      <c r="D7908" s="1" t="s">
        <v>10358</v>
      </c>
    </row>
    <row r="7909" spans="1:4" hidden="1" x14ac:dyDescent="0.3">
      <c r="A7909">
        <v>7907</v>
      </c>
      <c r="B7909" t="s">
        <v>10359</v>
      </c>
      <c r="C7909" t="s">
        <v>208</v>
      </c>
      <c r="D7909">
        <v>148819761.631322</v>
      </c>
    </row>
    <row r="7910" spans="1:4" hidden="1" x14ac:dyDescent="0.3">
      <c r="A7910">
        <v>7908</v>
      </c>
      <c r="B7910" t="s">
        <v>10360</v>
      </c>
      <c r="C7910" t="s">
        <v>210</v>
      </c>
      <c r="D7910">
        <v>-781.91283111877203</v>
      </c>
    </row>
    <row r="7911" spans="1:4" hidden="1" x14ac:dyDescent="0.3">
      <c r="A7911">
        <v>7909</v>
      </c>
      <c r="B7911" t="s">
        <v>10361</v>
      </c>
      <c r="C7911" t="s">
        <v>212</v>
      </c>
      <c r="D7911">
        <v>-342.56795774734098</v>
      </c>
    </row>
    <row r="7912" spans="1:4" hidden="1" x14ac:dyDescent="0.3">
      <c r="A7912">
        <v>7910</v>
      </c>
      <c r="B7912" s="1" t="s">
        <v>10362</v>
      </c>
      <c r="C7912" t="s">
        <v>214</v>
      </c>
      <c r="D7912" s="1" t="s">
        <v>10363</v>
      </c>
    </row>
    <row r="7913" spans="1:4" hidden="1" x14ac:dyDescent="0.3">
      <c r="A7913">
        <v>7911</v>
      </c>
      <c r="B7913" t="s">
        <v>10364</v>
      </c>
      <c r="C7913" t="s">
        <v>217</v>
      </c>
      <c r="D7913">
        <v>79100438.983289406</v>
      </c>
    </row>
    <row r="7914" spans="1:4" hidden="1" x14ac:dyDescent="0.3">
      <c r="A7914">
        <v>7912</v>
      </c>
      <c r="B7914" t="s">
        <v>10365</v>
      </c>
      <c r="C7914" t="s">
        <v>219</v>
      </c>
      <c r="D7914">
        <v>34655110.852513403</v>
      </c>
    </row>
    <row r="7915" spans="1:4" hidden="1" x14ac:dyDescent="0.3">
      <c r="A7915">
        <v>7913</v>
      </c>
      <c r="B7915" t="s">
        <v>10366</v>
      </c>
      <c r="C7915" t="s">
        <v>221</v>
      </c>
      <c r="D7915">
        <v>35065682.902796701</v>
      </c>
    </row>
    <row r="7916" spans="1:4" hidden="1" x14ac:dyDescent="0.3">
      <c r="A7916">
        <v>7914</v>
      </c>
      <c r="B7916" s="1" t="s">
        <v>10367</v>
      </c>
      <c r="C7916" t="s">
        <v>223</v>
      </c>
      <c r="D7916" s="1" t="s">
        <v>10368</v>
      </c>
    </row>
    <row r="7917" spans="1:4" hidden="1" x14ac:dyDescent="0.3">
      <c r="A7917">
        <v>7915</v>
      </c>
      <c r="B7917" t="s">
        <v>10369</v>
      </c>
      <c r="C7917" t="s">
        <v>226</v>
      </c>
      <c r="D7917">
        <v>103010190.54289301</v>
      </c>
    </row>
    <row r="7918" spans="1:4" hidden="1" x14ac:dyDescent="0.3">
      <c r="A7918">
        <v>7916</v>
      </c>
      <c r="B7918" t="s">
        <v>10370</v>
      </c>
      <c r="C7918" t="s">
        <v>228</v>
      </c>
      <c r="D7918">
        <v>-1018.26223415136</v>
      </c>
    </row>
    <row r="7919" spans="1:4" hidden="1" x14ac:dyDescent="0.3">
      <c r="A7919">
        <v>7917</v>
      </c>
      <c r="B7919" s="1" t="s">
        <v>10371</v>
      </c>
      <c r="C7919" t="s">
        <v>230</v>
      </c>
      <c r="D7919" s="1" t="s">
        <v>10372</v>
      </c>
    </row>
    <row r="7920" spans="1:4" hidden="1" x14ac:dyDescent="0.3">
      <c r="A7920">
        <v>7918</v>
      </c>
      <c r="B7920" t="s">
        <v>10373</v>
      </c>
      <c r="C7920" t="s">
        <v>112</v>
      </c>
      <c r="D7920">
        <v>256.04644750684099</v>
      </c>
    </row>
    <row r="7921" spans="1:4" hidden="1" x14ac:dyDescent="0.3">
      <c r="A7921">
        <v>7919</v>
      </c>
      <c r="B7921" t="s">
        <v>10374</v>
      </c>
      <c r="C7921" t="s">
        <v>114</v>
      </c>
      <c r="D7921">
        <v>54.633171751942598</v>
      </c>
    </row>
    <row r="7922" spans="1:4" hidden="1" x14ac:dyDescent="0.3">
      <c r="A7922">
        <v>7920</v>
      </c>
      <c r="B7922" s="1" t="s">
        <v>10375</v>
      </c>
      <c r="C7922" t="s">
        <v>116</v>
      </c>
      <c r="D7922" s="1" t="s">
        <v>10376</v>
      </c>
    </row>
    <row r="7923" spans="1:4" hidden="1" x14ac:dyDescent="0.3">
      <c r="A7923">
        <v>7921</v>
      </c>
      <c r="B7923" t="s">
        <v>10377</v>
      </c>
      <c r="C7923" t="s">
        <v>119</v>
      </c>
      <c r="D7923">
        <v>79100438.983289406</v>
      </c>
    </row>
    <row r="7924" spans="1:4" hidden="1" x14ac:dyDescent="0.3">
      <c r="A7924">
        <v>7922</v>
      </c>
      <c r="B7924" t="s">
        <v>10378</v>
      </c>
      <c r="C7924" t="s">
        <v>121</v>
      </c>
      <c r="D7924">
        <v>34655110.852513403</v>
      </c>
    </row>
    <row r="7925" spans="1:4" hidden="1" x14ac:dyDescent="0.3">
      <c r="A7925">
        <v>7923</v>
      </c>
      <c r="B7925" s="1" t="s">
        <v>10379</v>
      </c>
      <c r="C7925" t="s">
        <v>123</v>
      </c>
      <c r="D7925" s="1" t="s">
        <v>10380</v>
      </c>
    </row>
    <row r="7926" spans="1:4" hidden="1" x14ac:dyDescent="0.3">
      <c r="A7926">
        <v>7924</v>
      </c>
      <c r="B7926" t="s">
        <v>10381</v>
      </c>
      <c r="C7926" t="s">
        <v>126</v>
      </c>
      <c r="D7926">
        <v>0.76800694561976501</v>
      </c>
    </row>
    <row r="7927" spans="1:4" hidden="1" x14ac:dyDescent="0.3">
      <c r="A7927">
        <v>7925</v>
      </c>
      <c r="B7927" t="s">
        <v>10382</v>
      </c>
      <c r="C7927" t="s">
        <v>128</v>
      </c>
      <c r="D7927">
        <v>0.336475576849528</v>
      </c>
    </row>
    <row r="7928" spans="1:4" hidden="1" x14ac:dyDescent="0.3">
      <c r="A7928">
        <v>7926</v>
      </c>
      <c r="B7928" s="1" t="s">
        <v>10383</v>
      </c>
      <c r="C7928" t="s">
        <v>130</v>
      </c>
      <c r="D7928" s="1" t="s">
        <v>10384</v>
      </c>
    </row>
    <row r="7929" spans="1:4" ht="72" x14ac:dyDescent="0.3">
      <c r="A7929">
        <v>7927</v>
      </c>
      <c r="B7929" s="1" t="s">
        <v>10385</v>
      </c>
      <c r="C7929" t="s">
        <v>4</v>
      </c>
      <c r="D7929" t="s">
        <v>10386</v>
      </c>
    </row>
    <row r="7930" spans="1:4" hidden="1" x14ac:dyDescent="0.3">
      <c r="A7930">
        <v>7928</v>
      </c>
      <c r="B7930" t="s">
        <v>10387</v>
      </c>
      <c r="C7930" t="s">
        <v>7</v>
      </c>
      <c r="D7930">
        <v>1807.32</v>
      </c>
    </row>
    <row r="7931" spans="1:4" hidden="1" x14ac:dyDescent="0.3">
      <c r="A7931">
        <v>7929</v>
      </c>
      <c r="B7931" s="1" t="s">
        <v>10388</v>
      </c>
      <c r="C7931" t="s">
        <v>9</v>
      </c>
      <c r="D7931" s="1" t="s">
        <v>10389</v>
      </c>
    </row>
    <row r="7932" spans="1:4" hidden="1" x14ac:dyDescent="0.3">
      <c r="A7932">
        <v>7930</v>
      </c>
      <c r="B7932" t="s">
        <v>10390</v>
      </c>
      <c r="C7932" t="s">
        <v>14</v>
      </c>
      <c r="D7932">
        <v>90.0859375</v>
      </c>
    </row>
    <row r="7933" spans="1:4" hidden="1" x14ac:dyDescent="0.3">
      <c r="A7933">
        <v>7931</v>
      </c>
      <c r="B7933" t="s">
        <v>10391</v>
      </c>
      <c r="C7933" t="s">
        <v>16</v>
      </c>
      <c r="D7933">
        <v>4.2462646194531199</v>
      </c>
    </row>
    <row r="7934" spans="1:4" hidden="1" x14ac:dyDescent="0.3">
      <c r="A7934">
        <v>7932</v>
      </c>
      <c r="B7934" s="1" t="s">
        <v>10392</v>
      </c>
      <c r="C7934" t="s">
        <v>140</v>
      </c>
      <c r="D7934" s="1" t="s">
        <v>10393</v>
      </c>
    </row>
    <row r="7935" spans="1:4" hidden="1" x14ac:dyDescent="0.3">
      <c r="A7935">
        <v>7933</v>
      </c>
      <c r="B7935" t="s">
        <v>10394</v>
      </c>
      <c r="C7935" t="s">
        <v>22</v>
      </c>
      <c r="D7935">
        <v>56.9</v>
      </c>
    </row>
    <row r="7936" spans="1:4" hidden="1" x14ac:dyDescent="0.3">
      <c r="A7936">
        <v>7934</v>
      </c>
      <c r="B7936" t="s">
        <v>10395</v>
      </c>
      <c r="C7936" t="s">
        <v>24</v>
      </c>
      <c r="D7936">
        <v>4.6248930015731098</v>
      </c>
    </row>
    <row r="7937" spans="1:4" hidden="1" x14ac:dyDescent="0.3">
      <c r="A7937">
        <v>7935</v>
      </c>
      <c r="B7937" s="1" t="s">
        <v>10396</v>
      </c>
      <c r="C7937" t="s">
        <v>145</v>
      </c>
      <c r="D7937" s="1" t="s">
        <v>10397</v>
      </c>
    </row>
    <row r="7938" spans="1:4" hidden="1" x14ac:dyDescent="0.3">
      <c r="A7938">
        <v>7936</v>
      </c>
      <c r="B7938" t="s">
        <v>10398</v>
      </c>
      <c r="C7938" t="s">
        <v>35</v>
      </c>
      <c r="D7938">
        <v>-0.205935943278971</v>
      </c>
    </row>
    <row r="7939" spans="1:4" hidden="1" x14ac:dyDescent="0.3">
      <c r="A7939">
        <v>7937</v>
      </c>
      <c r="B7939" t="s">
        <v>10399</v>
      </c>
      <c r="C7939" t="s">
        <v>149</v>
      </c>
      <c r="D7939">
        <v>0.52562794987095696</v>
      </c>
    </row>
    <row r="7940" spans="1:4" hidden="1" x14ac:dyDescent="0.3">
      <c r="A7940">
        <v>7938</v>
      </c>
      <c r="B7940" s="1" t="s">
        <v>10400</v>
      </c>
      <c r="C7940" t="s">
        <v>151</v>
      </c>
      <c r="D7940" s="1" t="s">
        <v>10401</v>
      </c>
    </row>
    <row r="7941" spans="1:4" hidden="1" x14ac:dyDescent="0.3">
      <c r="A7941">
        <v>7939</v>
      </c>
      <c r="B7941" t="s">
        <v>10402</v>
      </c>
      <c r="C7941" t="s">
        <v>30</v>
      </c>
      <c r="D7941">
        <v>0.56600029500226601</v>
      </c>
    </row>
    <row r="7942" spans="1:4" hidden="1" x14ac:dyDescent="0.3">
      <c r="A7942">
        <v>7940</v>
      </c>
      <c r="B7942" t="s">
        <v>10403</v>
      </c>
      <c r="C7942" t="s">
        <v>32</v>
      </c>
      <c r="D7942">
        <v>0.411275164106706</v>
      </c>
    </row>
    <row r="7943" spans="1:4" hidden="1" x14ac:dyDescent="0.3">
      <c r="A7943">
        <v>7941</v>
      </c>
      <c r="B7943" s="1" t="s">
        <v>10404</v>
      </c>
      <c r="C7943" t="s">
        <v>155</v>
      </c>
      <c r="D7943" s="1" t="s">
        <v>10405</v>
      </c>
    </row>
    <row r="7944" spans="1:4" hidden="1" x14ac:dyDescent="0.3">
      <c r="A7944">
        <v>7942</v>
      </c>
      <c r="B7944" t="s">
        <v>10406</v>
      </c>
      <c r="C7944" t="s">
        <v>40</v>
      </c>
      <c r="D7944">
        <v>0.63993564827670502</v>
      </c>
    </row>
    <row r="7945" spans="1:4" hidden="1" x14ac:dyDescent="0.3">
      <c r="A7945">
        <v>7943</v>
      </c>
      <c r="B7945" t="s">
        <v>10407</v>
      </c>
      <c r="C7945" t="s">
        <v>42</v>
      </c>
      <c r="D7945">
        <v>0.49121118625860799</v>
      </c>
    </row>
    <row r="7946" spans="1:4" hidden="1" x14ac:dyDescent="0.3">
      <c r="A7946">
        <v>7944</v>
      </c>
      <c r="B7946" s="1" t="s">
        <v>10408</v>
      </c>
      <c r="C7946" t="s">
        <v>159</v>
      </c>
      <c r="D7946" s="1" t="s">
        <v>10409</v>
      </c>
    </row>
    <row r="7947" spans="1:4" hidden="1" x14ac:dyDescent="0.3">
      <c r="A7947">
        <v>7945</v>
      </c>
      <c r="B7947" t="s">
        <v>10410</v>
      </c>
      <c r="C7947" t="s">
        <v>161</v>
      </c>
      <c r="D7947">
        <v>0.99807819748177595</v>
      </c>
    </row>
    <row r="7948" spans="1:4" hidden="1" x14ac:dyDescent="0.3">
      <c r="A7948">
        <v>7946</v>
      </c>
      <c r="B7948" t="s">
        <v>10411</v>
      </c>
      <c r="C7948" t="s">
        <v>163</v>
      </c>
      <c r="D7948">
        <v>1.00096609404808</v>
      </c>
    </row>
    <row r="7949" spans="1:4" hidden="1" x14ac:dyDescent="0.3">
      <c r="A7949">
        <v>7947</v>
      </c>
      <c r="B7949" s="1" t="s">
        <v>10412</v>
      </c>
      <c r="C7949" t="s">
        <v>165</v>
      </c>
      <c r="D7949" s="1" t="s">
        <v>10413</v>
      </c>
    </row>
    <row r="7950" spans="1:4" hidden="1" x14ac:dyDescent="0.3">
      <c r="A7950">
        <v>7948</v>
      </c>
      <c r="B7950" t="s">
        <v>10414</v>
      </c>
      <c r="C7950" t="s">
        <v>168</v>
      </c>
      <c r="D7950">
        <v>1.0028925018658099</v>
      </c>
    </row>
    <row r="7951" spans="1:4" hidden="1" x14ac:dyDescent="0.3">
      <c r="A7951">
        <v>7949</v>
      </c>
      <c r="B7951" t="s">
        <v>10415</v>
      </c>
      <c r="C7951" t="s">
        <v>170</v>
      </c>
      <c r="D7951">
        <v>0.99763581049868999</v>
      </c>
    </row>
    <row r="7952" spans="1:4" hidden="1" x14ac:dyDescent="0.3">
      <c r="A7952">
        <v>7950</v>
      </c>
      <c r="B7952" s="1" t="s">
        <v>10416</v>
      </c>
      <c r="C7952" t="s">
        <v>172</v>
      </c>
      <c r="D7952" s="1" t="s">
        <v>10417</v>
      </c>
    </row>
    <row r="7953" spans="1:4" hidden="1" x14ac:dyDescent="0.3">
      <c r="A7953">
        <v>7951</v>
      </c>
      <c r="B7953" s="1" t="s">
        <v>10418</v>
      </c>
      <c r="C7953" t="s">
        <v>55</v>
      </c>
      <c r="D7953" s="1" t="s">
        <v>10419</v>
      </c>
    </row>
    <row r="7954" spans="1:4" hidden="1" x14ac:dyDescent="0.3">
      <c r="A7954">
        <v>7952</v>
      </c>
      <c r="B7954" s="1" t="s">
        <v>10420</v>
      </c>
      <c r="C7954" t="s">
        <v>52</v>
      </c>
      <c r="D7954" s="1" t="s">
        <v>10421</v>
      </c>
    </row>
    <row r="7955" spans="1:4" hidden="1" x14ac:dyDescent="0.3">
      <c r="A7955">
        <v>7953</v>
      </c>
      <c r="B7955" s="1" t="s">
        <v>10422</v>
      </c>
      <c r="C7955" t="s">
        <v>58</v>
      </c>
      <c r="D7955" s="1" t="s">
        <v>10423</v>
      </c>
    </row>
    <row r="7956" spans="1:4" hidden="1" x14ac:dyDescent="0.3">
      <c r="A7956">
        <v>7954</v>
      </c>
      <c r="B7956" t="s">
        <v>10424</v>
      </c>
      <c r="C7956" t="s">
        <v>61</v>
      </c>
      <c r="D7956">
        <v>148369154.72979</v>
      </c>
    </row>
    <row r="7957" spans="1:4" hidden="1" x14ac:dyDescent="0.3">
      <c r="A7957">
        <v>7955</v>
      </c>
      <c r="B7957" t="s">
        <v>10425</v>
      </c>
      <c r="C7957" t="s">
        <v>63</v>
      </c>
      <c r="D7957">
        <v>78948423.560458705</v>
      </c>
    </row>
    <row r="7958" spans="1:4" hidden="1" x14ac:dyDescent="0.3">
      <c r="A7958">
        <v>7956</v>
      </c>
      <c r="B7958" t="s">
        <v>10426</v>
      </c>
      <c r="C7958" t="s">
        <v>65</v>
      </c>
      <c r="D7958">
        <v>34688590.948843598</v>
      </c>
    </row>
    <row r="7959" spans="1:4" hidden="1" x14ac:dyDescent="0.3">
      <c r="A7959">
        <v>7957</v>
      </c>
      <c r="B7959" s="1" t="s">
        <v>10427</v>
      </c>
      <c r="C7959" t="s">
        <v>67</v>
      </c>
      <c r="D7959" s="1" t="s">
        <v>10428</v>
      </c>
    </row>
    <row r="7960" spans="1:4" hidden="1" x14ac:dyDescent="0.3">
      <c r="A7960">
        <v>7958</v>
      </c>
      <c r="B7960" s="1" t="s">
        <v>10429</v>
      </c>
      <c r="C7960" t="s">
        <v>70</v>
      </c>
      <c r="D7960" s="1" t="s">
        <v>10430</v>
      </c>
    </row>
    <row r="7961" spans="1:4" hidden="1" x14ac:dyDescent="0.3">
      <c r="A7961">
        <v>7959</v>
      </c>
      <c r="B7961" t="s">
        <v>10431</v>
      </c>
      <c r="C7961" t="s">
        <v>73</v>
      </c>
      <c r="D7961">
        <v>0.999847017641049</v>
      </c>
    </row>
    <row r="7962" spans="1:4" hidden="1" x14ac:dyDescent="0.3">
      <c r="A7962">
        <v>7960</v>
      </c>
      <c r="B7962" t="s">
        <v>74</v>
      </c>
      <c r="C7962" t="s">
        <v>75</v>
      </c>
      <c r="D7962">
        <v>2.7397260273972599E-3</v>
      </c>
    </row>
    <row r="7963" spans="1:4" hidden="1" x14ac:dyDescent="0.3">
      <c r="A7963">
        <v>7961</v>
      </c>
      <c r="B7963" t="s">
        <v>76</v>
      </c>
      <c r="C7963" t="s">
        <v>77</v>
      </c>
      <c r="D7963">
        <v>0</v>
      </c>
    </row>
    <row r="7964" spans="1:4" hidden="1" x14ac:dyDescent="0.3">
      <c r="A7964">
        <v>7962</v>
      </c>
      <c r="B7964" t="s">
        <v>831</v>
      </c>
      <c r="C7964" t="s">
        <v>79</v>
      </c>
      <c r="D7964" s="2">
        <v>2.2204460492503101E-16</v>
      </c>
    </row>
    <row r="7965" spans="1:4" hidden="1" x14ac:dyDescent="0.3">
      <c r="A7965">
        <v>7963</v>
      </c>
      <c r="B7965" s="1" t="s">
        <v>10432</v>
      </c>
      <c r="C7965" t="s">
        <v>81</v>
      </c>
      <c r="D7965" s="1" t="s">
        <v>10433</v>
      </c>
    </row>
    <row r="7966" spans="1:4" hidden="1" x14ac:dyDescent="0.3">
      <c r="A7966">
        <v>7964</v>
      </c>
      <c r="B7966" t="s">
        <v>10434</v>
      </c>
      <c r="C7966" t="s">
        <v>84</v>
      </c>
      <c r="D7966">
        <v>0.99985046621654705</v>
      </c>
    </row>
    <row r="7967" spans="1:4" hidden="1" x14ac:dyDescent="0.3">
      <c r="A7967">
        <v>7965</v>
      </c>
      <c r="B7967" s="1" t="s">
        <v>10435</v>
      </c>
      <c r="C7967" t="s">
        <v>86</v>
      </c>
      <c r="D7967" s="1" t="s">
        <v>10436</v>
      </c>
    </row>
    <row r="7968" spans="1:4" hidden="1" x14ac:dyDescent="0.3">
      <c r="A7968">
        <v>7966</v>
      </c>
      <c r="B7968" t="s">
        <v>10437</v>
      </c>
      <c r="C7968" t="s">
        <v>89</v>
      </c>
      <c r="D7968">
        <v>103008816.992624</v>
      </c>
    </row>
    <row r="7969" spans="1:4" hidden="1" x14ac:dyDescent="0.3">
      <c r="A7969">
        <v>7967</v>
      </c>
      <c r="B7969" s="1" t="s">
        <v>10438</v>
      </c>
      <c r="C7969" t="s">
        <v>91</v>
      </c>
      <c r="D7969" s="1" t="s">
        <v>10372</v>
      </c>
    </row>
    <row r="7970" spans="1:4" hidden="1" x14ac:dyDescent="0.3">
      <c r="A7970">
        <v>7968</v>
      </c>
      <c r="B7970" t="s">
        <v>10439</v>
      </c>
      <c r="C7970" t="s">
        <v>94</v>
      </c>
      <c r="D7970">
        <v>78948423.560458705</v>
      </c>
    </row>
    <row r="7971" spans="1:4" hidden="1" x14ac:dyDescent="0.3">
      <c r="A7971">
        <v>7969</v>
      </c>
      <c r="B7971" t="s">
        <v>10440</v>
      </c>
      <c r="C7971" t="s">
        <v>96</v>
      </c>
      <c r="D7971">
        <v>34688590.948843598</v>
      </c>
    </row>
    <row r="7972" spans="1:4" hidden="1" x14ac:dyDescent="0.3">
      <c r="A7972">
        <v>7970</v>
      </c>
      <c r="B7972" t="s">
        <v>10441</v>
      </c>
      <c r="C7972" t="s">
        <v>98</v>
      </c>
      <c r="D7972">
        <v>34732140.220488101</v>
      </c>
    </row>
    <row r="7973" spans="1:4" hidden="1" x14ac:dyDescent="0.3">
      <c r="A7973">
        <v>7971</v>
      </c>
      <c r="B7973" s="1" t="s">
        <v>10442</v>
      </c>
      <c r="C7973" t="s">
        <v>100</v>
      </c>
      <c r="D7973" s="1" t="s">
        <v>10443</v>
      </c>
    </row>
    <row r="7974" spans="1:4" hidden="1" x14ac:dyDescent="0.3">
      <c r="A7974">
        <v>7972</v>
      </c>
      <c r="B7974" t="s">
        <v>10444</v>
      </c>
      <c r="C7974" t="s">
        <v>103</v>
      </c>
      <c r="D7974">
        <v>9.78241271651621E-3</v>
      </c>
    </row>
    <row r="7975" spans="1:4" hidden="1" x14ac:dyDescent="0.3">
      <c r="A7975">
        <v>7973</v>
      </c>
      <c r="B7975" t="s">
        <v>10445</v>
      </c>
      <c r="C7975" t="s">
        <v>105</v>
      </c>
      <c r="D7975">
        <v>2.9646925101656698E-3</v>
      </c>
    </row>
    <row r="7976" spans="1:4" hidden="1" x14ac:dyDescent="0.3">
      <c r="A7976">
        <v>7974</v>
      </c>
      <c r="B7976" t="s">
        <v>10446</v>
      </c>
      <c r="C7976" t="s">
        <v>107</v>
      </c>
      <c r="D7976">
        <v>2.00919271680546E-2</v>
      </c>
    </row>
    <row r="7977" spans="1:4" hidden="1" x14ac:dyDescent="0.3">
      <c r="A7977">
        <v>7975</v>
      </c>
      <c r="B7977" s="1" t="s">
        <v>10447</v>
      </c>
      <c r="C7977" t="s">
        <v>109</v>
      </c>
      <c r="D7977" s="1" t="s">
        <v>10448</v>
      </c>
    </row>
    <row r="7978" spans="1:4" hidden="1" x14ac:dyDescent="0.3">
      <c r="A7978">
        <v>7976</v>
      </c>
      <c r="B7978" t="s">
        <v>10449</v>
      </c>
      <c r="C7978" t="s">
        <v>208</v>
      </c>
      <c r="D7978">
        <v>148369277.14640599</v>
      </c>
    </row>
    <row r="7979" spans="1:4" hidden="1" x14ac:dyDescent="0.3">
      <c r="A7979">
        <v>7977</v>
      </c>
      <c r="B7979" t="s">
        <v>10450</v>
      </c>
      <c r="C7979" t="s">
        <v>210</v>
      </c>
      <c r="D7979">
        <v>-272.30156432087</v>
      </c>
    </row>
    <row r="7980" spans="1:4" hidden="1" x14ac:dyDescent="0.3">
      <c r="A7980">
        <v>7978</v>
      </c>
      <c r="B7980" t="s">
        <v>10451</v>
      </c>
      <c r="C7980" t="s">
        <v>212</v>
      </c>
      <c r="D7980">
        <v>-119.644574845299</v>
      </c>
    </row>
    <row r="7981" spans="1:4" hidden="1" x14ac:dyDescent="0.3">
      <c r="A7981">
        <v>7979</v>
      </c>
      <c r="B7981" s="1" t="s">
        <v>10452</v>
      </c>
      <c r="C7981" t="s">
        <v>214</v>
      </c>
      <c r="D7981" s="1" t="s">
        <v>10453</v>
      </c>
    </row>
    <row r="7982" spans="1:4" hidden="1" x14ac:dyDescent="0.3">
      <c r="A7982">
        <v>7980</v>
      </c>
      <c r="B7982" t="s">
        <v>10454</v>
      </c>
      <c r="C7982" t="s">
        <v>217</v>
      </c>
      <c r="D7982">
        <v>78948785.150024101</v>
      </c>
    </row>
    <row r="7983" spans="1:4" hidden="1" x14ac:dyDescent="0.3">
      <c r="A7983">
        <v>7981</v>
      </c>
      <c r="B7983" t="s">
        <v>10455</v>
      </c>
      <c r="C7983" t="s">
        <v>219</v>
      </c>
      <c r="D7983">
        <v>34688724.089359097</v>
      </c>
    </row>
    <row r="7984" spans="1:4" hidden="1" x14ac:dyDescent="0.3">
      <c r="A7984">
        <v>7982</v>
      </c>
      <c r="B7984" t="s">
        <v>10456</v>
      </c>
      <c r="C7984" t="s">
        <v>221</v>
      </c>
      <c r="D7984">
        <v>34732279.6479645</v>
      </c>
    </row>
    <row r="7985" spans="1:4" hidden="1" x14ac:dyDescent="0.3">
      <c r="A7985">
        <v>7983</v>
      </c>
      <c r="B7985" s="1" t="s">
        <v>10457</v>
      </c>
      <c r="C7985" t="s">
        <v>223</v>
      </c>
      <c r="D7985" s="1" t="s">
        <v>10458</v>
      </c>
    </row>
    <row r="7986" spans="1:4" hidden="1" x14ac:dyDescent="0.3">
      <c r="A7986">
        <v>7984</v>
      </c>
      <c r="B7986" t="s">
        <v>10459</v>
      </c>
      <c r="C7986" t="s">
        <v>226</v>
      </c>
      <c r="D7986">
        <v>103009172.28065901</v>
      </c>
    </row>
    <row r="7987" spans="1:4" hidden="1" x14ac:dyDescent="0.3">
      <c r="A7987">
        <v>7985</v>
      </c>
      <c r="B7987" t="s">
        <v>10460</v>
      </c>
      <c r="C7987" t="s">
        <v>228</v>
      </c>
      <c r="D7987">
        <v>-355.28803512453999</v>
      </c>
    </row>
    <row r="7988" spans="1:4" hidden="1" x14ac:dyDescent="0.3">
      <c r="A7988">
        <v>7986</v>
      </c>
      <c r="B7988" s="1" t="s">
        <v>10461</v>
      </c>
      <c r="C7988" t="s">
        <v>230</v>
      </c>
      <c r="D7988" s="1" t="s">
        <v>10462</v>
      </c>
    </row>
    <row r="7989" spans="1:4" hidden="1" x14ac:dyDescent="0.3">
      <c r="A7989">
        <v>7987</v>
      </c>
      <c r="B7989" t="s">
        <v>10463</v>
      </c>
      <c r="C7989" t="s">
        <v>112</v>
      </c>
      <c r="D7989">
        <v>89.288001168340898</v>
      </c>
    </row>
    <row r="7990" spans="1:4" hidden="1" x14ac:dyDescent="0.3">
      <c r="A7990">
        <v>7988</v>
      </c>
      <c r="B7990" t="s">
        <v>10464</v>
      </c>
      <c r="C7990" t="s">
        <v>114</v>
      </c>
      <c r="D7990">
        <v>13.495940699532699</v>
      </c>
    </row>
    <row r="7991" spans="1:4" hidden="1" x14ac:dyDescent="0.3">
      <c r="A7991">
        <v>7989</v>
      </c>
      <c r="B7991" s="1" t="s">
        <v>10465</v>
      </c>
      <c r="C7991" t="s">
        <v>116</v>
      </c>
      <c r="D7991" s="1" t="s">
        <v>10466</v>
      </c>
    </row>
    <row r="7992" spans="1:4" hidden="1" x14ac:dyDescent="0.3">
      <c r="A7992">
        <v>7990</v>
      </c>
      <c r="B7992" t="s">
        <v>10467</v>
      </c>
      <c r="C7992" t="s">
        <v>119</v>
      </c>
      <c r="D7992">
        <v>78948785.150024101</v>
      </c>
    </row>
    <row r="7993" spans="1:4" hidden="1" x14ac:dyDescent="0.3">
      <c r="A7993">
        <v>7991</v>
      </c>
      <c r="B7993" t="s">
        <v>10468</v>
      </c>
      <c r="C7993" t="s">
        <v>121</v>
      </c>
      <c r="D7993">
        <v>34688724.089359097</v>
      </c>
    </row>
    <row r="7994" spans="1:4" hidden="1" x14ac:dyDescent="0.3">
      <c r="A7994">
        <v>7992</v>
      </c>
      <c r="B7994" s="1" t="s">
        <v>10469</v>
      </c>
      <c r="C7994" t="s">
        <v>123</v>
      </c>
      <c r="D7994" s="1" t="s">
        <v>10470</v>
      </c>
    </row>
    <row r="7995" spans="1:4" hidden="1" x14ac:dyDescent="0.3">
      <c r="A7995">
        <v>7993</v>
      </c>
      <c r="B7995" t="s">
        <v>10471</v>
      </c>
      <c r="C7995" t="s">
        <v>126</v>
      </c>
      <c r="D7995">
        <v>0.76653943214898401</v>
      </c>
    </row>
    <row r="7996" spans="1:4" hidden="1" x14ac:dyDescent="0.3">
      <c r="A7996">
        <v>7994</v>
      </c>
      <c r="B7996" t="s">
        <v>10472</v>
      </c>
      <c r="C7996" t="s">
        <v>128</v>
      </c>
      <c r="D7996">
        <v>0.336804104267106</v>
      </c>
    </row>
    <row r="7997" spans="1:4" hidden="1" x14ac:dyDescent="0.3">
      <c r="A7997">
        <v>7995</v>
      </c>
      <c r="B7997" s="1" t="s">
        <v>10473</v>
      </c>
      <c r="C7997" t="s">
        <v>130</v>
      </c>
      <c r="D7997" s="1" t="s">
        <v>10474</v>
      </c>
    </row>
    <row r="7998" spans="1:4" ht="72" x14ac:dyDescent="0.3">
      <c r="A7998">
        <v>7996</v>
      </c>
      <c r="B7998" s="1" t="s">
        <v>10475</v>
      </c>
      <c r="C7998" t="s">
        <v>4</v>
      </c>
      <c r="D7998" t="s">
        <v>10476</v>
      </c>
    </row>
    <row r="7999" spans="1:4" hidden="1" x14ac:dyDescent="0.3">
      <c r="A7999">
        <v>7997</v>
      </c>
      <c r="B7999" t="s">
        <v>10477</v>
      </c>
      <c r="C7999" t="s">
        <v>7</v>
      </c>
      <c r="D7999">
        <v>1776.85</v>
      </c>
    </row>
    <row r="8000" spans="1:4" hidden="1" x14ac:dyDescent="0.3">
      <c r="A8000">
        <v>7998</v>
      </c>
      <c r="B8000" s="1" t="s">
        <v>10478</v>
      </c>
      <c r="C8000" t="s">
        <v>9</v>
      </c>
      <c r="D8000" s="1" t="s">
        <v>10479</v>
      </c>
    </row>
    <row r="8001" spans="1:4" hidden="1" x14ac:dyDescent="0.3">
      <c r="A8001">
        <v>7999</v>
      </c>
      <c r="B8001" t="s">
        <v>10480</v>
      </c>
      <c r="C8001" t="s">
        <v>14</v>
      </c>
      <c r="D8001">
        <v>90.0078125</v>
      </c>
    </row>
    <row r="8002" spans="1:4" hidden="1" x14ac:dyDescent="0.3">
      <c r="A8002">
        <v>8000</v>
      </c>
      <c r="B8002" t="s">
        <v>10481</v>
      </c>
      <c r="C8002" t="s">
        <v>16</v>
      </c>
      <c r="D8002">
        <v>4.2501213217954801</v>
      </c>
    </row>
    <row r="8003" spans="1:4" hidden="1" x14ac:dyDescent="0.3">
      <c r="A8003">
        <v>8001</v>
      </c>
      <c r="B8003" s="1" t="s">
        <v>10482</v>
      </c>
      <c r="C8003" t="s">
        <v>140</v>
      </c>
      <c r="D8003" s="1" t="s">
        <v>10483</v>
      </c>
    </row>
    <row r="8004" spans="1:4" hidden="1" x14ac:dyDescent="0.3">
      <c r="A8004">
        <v>8002</v>
      </c>
      <c r="B8004" t="s">
        <v>8785</v>
      </c>
      <c r="C8004" t="s">
        <v>22</v>
      </c>
      <c r="D8004">
        <v>55.75</v>
      </c>
    </row>
    <row r="8005" spans="1:4" hidden="1" x14ac:dyDescent="0.3">
      <c r="A8005">
        <v>8003</v>
      </c>
      <c r="B8005" t="s">
        <v>10484</v>
      </c>
      <c r="C8005" t="s">
        <v>24</v>
      </c>
      <c r="D8005">
        <v>4.7387458336341304</v>
      </c>
    </row>
    <row r="8006" spans="1:4" hidden="1" x14ac:dyDescent="0.3">
      <c r="A8006">
        <v>8004</v>
      </c>
      <c r="B8006" s="1" t="s">
        <v>10485</v>
      </c>
      <c r="C8006" t="s">
        <v>145</v>
      </c>
      <c r="D8006" s="1" t="s">
        <v>10486</v>
      </c>
    </row>
    <row r="8007" spans="1:4" hidden="1" x14ac:dyDescent="0.3">
      <c r="A8007">
        <v>8005</v>
      </c>
      <c r="B8007" t="s">
        <v>10487</v>
      </c>
      <c r="C8007" t="s">
        <v>35</v>
      </c>
      <c r="D8007">
        <v>0.68157300530764597</v>
      </c>
    </row>
    <row r="8008" spans="1:4" hidden="1" x14ac:dyDescent="0.3">
      <c r="A8008">
        <v>8006</v>
      </c>
      <c r="B8008" t="s">
        <v>10488</v>
      </c>
      <c r="C8008" t="s">
        <v>149</v>
      </c>
      <c r="D8008">
        <v>0.53325286372686398</v>
      </c>
    </row>
    <row r="8009" spans="1:4" hidden="1" x14ac:dyDescent="0.3">
      <c r="A8009">
        <v>8007</v>
      </c>
      <c r="B8009" s="1" t="s">
        <v>10489</v>
      </c>
      <c r="C8009" t="s">
        <v>151</v>
      </c>
      <c r="D8009" s="1" t="s">
        <v>10490</v>
      </c>
    </row>
    <row r="8010" spans="1:4" hidden="1" x14ac:dyDescent="0.3">
      <c r="A8010">
        <v>8008</v>
      </c>
      <c r="B8010" t="s">
        <v>10491</v>
      </c>
      <c r="C8010" t="s">
        <v>30</v>
      </c>
      <c r="D8010">
        <v>0.14558348130415</v>
      </c>
    </row>
    <row r="8011" spans="1:4" hidden="1" x14ac:dyDescent="0.3">
      <c r="A8011">
        <v>8009</v>
      </c>
      <c r="B8011" t="s">
        <v>10492</v>
      </c>
      <c r="C8011" t="s">
        <v>32</v>
      </c>
      <c r="D8011">
        <v>0.40508869184558199</v>
      </c>
    </row>
    <row r="8012" spans="1:4" hidden="1" x14ac:dyDescent="0.3">
      <c r="A8012">
        <v>8010</v>
      </c>
      <c r="B8012" s="1" t="s">
        <v>10493</v>
      </c>
      <c r="C8012" t="s">
        <v>155</v>
      </c>
      <c r="D8012" s="1" t="s">
        <v>10494</v>
      </c>
    </row>
    <row r="8013" spans="1:4" hidden="1" x14ac:dyDescent="0.3">
      <c r="A8013">
        <v>8011</v>
      </c>
      <c r="B8013" t="s">
        <v>10495</v>
      </c>
      <c r="C8013" t="s">
        <v>40</v>
      </c>
      <c r="D8013">
        <v>0.172843513388203</v>
      </c>
    </row>
    <row r="8014" spans="1:4" hidden="1" x14ac:dyDescent="0.3">
      <c r="A8014">
        <v>8012</v>
      </c>
      <c r="B8014" t="s">
        <v>10496</v>
      </c>
      <c r="C8014" t="s">
        <v>42</v>
      </c>
      <c r="D8014">
        <v>0.47019425180534202</v>
      </c>
    </row>
    <row r="8015" spans="1:4" hidden="1" x14ac:dyDescent="0.3">
      <c r="A8015">
        <v>8013</v>
      </c>
      <c r="B8015" s="1" t="s">
        <v>10497</v>
      </c>
      <c r="C8015" t="s">
        <v>159</v>
      </c>
      <c r="D8015" s="1" t="s">
        <v>10498</v>
      </c>
    </row>
    <row r="8016" spans="1:4" hidden="1" x14ac:dyDescent="0.3">
      <c r="A8016">
        <v>8014</v>
      </c>
      <c r="B8016" t="s">
        <v>10499</v>
      </c>
      <c r="C8016" t="s">
        <v>161</v>
      </c>
      <c r="D8016">
        <v>0.983140783037868</v>
      </c>
    </row>
    <row r="8017" spans="1:4" hidden="1" x14ac:dyDescent="0.3">
      <c r="A8017">
        <v>8015</v>
      </c>
      <c r="B8017" t="s">
        <v>10500</v>
      </c>
      <c r="C8017" t="s">
        <v>163</v>
      </c>
      <c r="D8017">
        <v>0.99921269411728997</v>
      </c>
    </row>
    <row r="8018" spans="1:4" hidden="1" x14ac:dyDescent="0.3">
      <c r="A8018">
        <v>8016</v>
      </c>
      <c r="B8018" s="1" t="s">
        <v>10501</v>
      </c>
      <c r="C8018" t="s">
        <v>165</v>
      </c>
      <c r="D8018" s="1" t="s">
        <v>10502</v>
      </c>
    </row>
    <row r="8019" spans="1:4" hidden="1" x14ac:dyDescent="0.3">
      <c r="A8019">
        <v>8017</v>
      </c>
      <c r="B8019" t="s">
        <v>10503</v>
      </c>
      <c r="C8019" t="s">
        <v>168</v>
      </c>
      <c r="D8019">
        <v>1.00499788553071</v>
      </c>
    </row>
    <row r="8020" spans="1:4" hidden="1" x14ac:dyDescent="0.3">
      <c r="A8020">
        <v>8018</v>
      </c>
      <c r="B8020" t="s">
        <v>10504</v>
      </c>
      <c r="C8020" t="s">
        <v>170</v>
      </c>
      <c r="D8020">
        <v>0.99561639542842795</v>
      </c>
    </row>
    <row r="8021" spans="1:4" hidden="1" x14ac:dyDescent="0.3">
      <c r="A8021">
        <v>8019</v>
      </c>
      <c r="B8021" s="1" t="s">
        <v>10505</v>
      </c>
      <c r="C8021" t="s">
        <v>172</v>
      </c>
      <c r="D8021" s="1" t="s">
        <v>10506</v>
      </c>
    </row>
    <row r="8022" spans="1:4" hidden="1" x14ac:dyDescent="0.3">
      <c r="A8022">
        <v>8020</v>
      </c>
      <c r="B8022" s="1" t="s">
        <v>10507</v>
      </c>
      <c r="C8022" t="s">
        <v>55</v>
      </c>
      <c r="D8022" s="1" t="s">
        <v>10508</v>
      </c>
    </row>
    <row r="8023" spans="1:4" hidden="1" x14ac:dyDescent="0.3">
      <c r="A8023">
        <v>8021</v>
      </c>
      <c r="B8023" s="1" t="s">
        <v>10509</v>
      </c>
      <c r="C8023" t="s">
        <v>52</v>
      </c>
      <c r="D8023" s="1" t="s">
        <v>10510</v>
      </c>
    </row>
    <row r="8024" spans="1:4" hidden="1" x14ac:dyDescent="0.3">
      <c r="A8024">
        <v>8022</v>
      </c>
      <c r="B8024" s="1" t="s">
        <v>10511</v>
      </c>
      <c r="C8024" t="s">
        <v>58</v>
      </c>
      <c r="D8024" s="1" t="s">
        <v>10512</v>
      </c>
    </row>
    <row r="8025" spans="1:4" hidden="1" x14ac:dyDescent="0.3">
      <c r="A8025">
        <v>8023</v>
      </c>
      <c r="B8025" t="s">
        <v>10513</v>
      </c>
      <c r="C8025" t="s">
        <v>61</v>
      </c>
      <c r="D8025">
        <v>146426533.59321499</v>
      </c>
    </row>
    <row r="8026" spans="1:4" hidden="1" x14ac:dyDescent="0.3">
      <c r="A8026">
        <v>8024</v>
      </c>
      <c r="B8026" t="s">
        <v>10514</v>
      </c>
      <c r="C8026" t="s">
        <v>63</v>
      </c>
      <c r="D8026">
        <v>77617770.452283204</v>
      </c>
    </row>
    <row r="8027" spans="1:4" hidden="1" x14ac:dyDescent="0.3">
      <c r="A8027">
        <v>8025</v>
      </c>
      <c r="B8027" t="s">
        <v>10515</v>
      </c>
      <c r="C8027" t="s">
        <v>65</v>
      </c>
      <c r="D8027">
        <v>34661413.452819899</v>
      </c>
    </row>
    <row r="8028" spans="1:4" hidden="1" x14ac:dyDescent="0.3">
      <c r="A8028">
        <v>8026</v>
      </c>
      <c r="B8028" s="1" t="s">
        <v>10516</v>
      </c>
      <c r="C8028" t="s">
        <v>67</v>
      </c>
      <c r="D8028" s="1" t="s">
        <v>10517</v>
      </c>
    </row>
    <row r="8029" spans="1:4" hidden="1" x14ac:dyDescent="0.3">
      <c r="A8029">
        <v>8027</v>
      </c>
      <c r="B8029" s="1" t="s">
        <v>10518</v>
      </c>
      <c r="C8029" t="s">
        <v>70</v>
      </c>
      <c r="D8029" s="1" t="s">
        <v>10519</v>
      </c>
    </row>
    <row r="8030" spans="1:4" hidden="1" x14ac:dyDescent="0.3">
      <c r="A8030">
        <v>8028</v>
      </c>
      <c r="B8030" t="s">
        <v>10520</v>
      </c>
      <c r="C8030" t="s">
        <v>73</v>
      </c>
      <c r="D8030">
        <v>0.99985046621654705</v>
      </c>
    </row>
    <row r="8031" spans="1:4" hidden="1" x14ac:dyDescent="0.3">
      <c r="A8031">
        <v>8029</v>
      </c>
      <c r="B8031" t="s">
        <v>74</v>
      </c>
      <c r="C8031" t="s">
        <v>75</v>
      </c>
      <c r="D8031">
        <v>2.7397260273972599E-3</v>
      </c>
    </row>
    <row r="8032" spans="1:4" hidden="1" x14ac:dyDescent="0.3">
      <c r="A8032">
        <v>8030</v>
      </c>
      <c r="B8032" t="s">
        <v>76</v>
      </c>
      <c r="C8032" t="s">
        <v>77</v>
      </c>
      <c r="D8032">
        <v>0</v>
      </c>
    </row>
    <row r="8033" spans="1:4" hidden="1" x14ac:dyDescent="0.3">
      <c r="A8033">
        <v>8031</v>
      </c>
      <c r="B8033" t="s">
        <v>78</v>
      </c>
      <c r="C8033" t="s">
        <v>79</v>
      </c>
      <c r="D8033">
        <v>0</v>
      </c>
    </row>
    <row r="8034" spans="1:4" hidden="1" x14ac:dyDescent="0.3">
      <c r="A8034">
        <v>8032</v>
      </c>
      <c r="B8034" s="1" t="s">
        <v>10521</v>
      </c>
      <c r="C8034" t="s">
        <v>81</v>
      </c>
      <c r="D8034" s="1" t="s">
        <v>10522</v>
      </c>
    </row>
    <row r="8035" spans="1:4" hidden="1" x14ac:dyDescent="0.3">
      <c r="A8035">
        <v>8033</v>
      </c>
      <c r="B8035" t="s">
        <v>10523</v>
      </c>
      <c r="C8035" t="s">
        <v>84</v>
      </c>
      <c r="D8035">
        <v>0.99984235174866898</v>
      </c>
    </row>
    <row r="8036" spans="1:4" hidden="1" x14ac:dyDescent="0.3">
      <c r="A8036">
        <v>8034</v>
      </c>
      <c r="B8036" s="1" t="s">
        <v>10524</v>
      </c>
      <c r="C8036" t="s">
        <v>86</v>
      </c>
      <c r="D8036" s="1" t="s">
        <v>10525</v>
      </c>
    </row>
    <row r="8037" spans="1:4" hidden="1" x14ac:dyDescent="0.3">
      <c r="A8037">
        <v>8035</v>
      </c>
      <c r="B8037" t="s">
        <v>10526</v>
      </c>
      <c r="C8037" t="s">
        <v>89</v>
      </c>
      <c r="D8037">
        <v>103009652.98615301</v>
      </c>
    </row>
    <row r="8038" spans="1:4" hidden="1" x14ac:dyDescent="0.3">
      <c r="A8038">
        <v>8036</v>
      </c>
      <c r="B8038" s="1" t="s">
        <v>10527</v>
      </c>
      <c r="C8038" t="s">
        <v>91</v>
      </c>
      <c r="D8038" s="1" t="s">
        <v>10462</v>
      </c>
    </row>
    <row r="8039" spans="1:4" hidden="1" x14ac:dyDescent="0.3">
      <c r="A8039">
        <v>8037</v>
      </c>
      <c r="B8039" t="s">
        <v>10528</v>
      </c>
      <c r="C8039" t="s">
        <v>94</v>
      </c>
      <c r="D8039">
        <v>77617770.452283204</v>
      </c>
    </row>
    <row r="8040" spans="1:4" hidden="1" x14ac:dyDescent="0.3">
      <c r="A8040">
        <v>8038</v>
      </c>
      <c r="B8040" t="s">
        <v>10529</v>
      </c>
      <c r="C8040" t="s">
        <v>96</v>
      </c>
      <c r="D8040">
        <v>34661413.452819899</v>
      </c>
    </row>
    <row r="8041" spans="1:4" hidden="1" x14ac:dyDescent="0.3">
      <c r="A8041">
        <v>8039</v>
      </c>
      <c r="B8041" t="s">
        <v>10530</v>
      </c>
      <c r="C8041" t="s">
        <v>98</v>
      </c>
      <c r="D8041">
        <v>34147349.688112497</v>
      </c>
    </row>
    <row r="8042" spans="1:4" hidden="1" x14ac:dyDescent="0.3">
      <c r="A8042">
        <v>8040</v>
      </c>
      <c r="B8042" s="1" t="s">
        <v>10531</v>
      </c>
      <c r="C8042" t="s">
        <v>100</v>
      </c>
      <c r="D8042" s="1" t="s">
        <v>10532</v>
      </c>
    </row>
    <row r="8043" spans="1:4" hidden="1" x14ac:dyDescent="0.3">
      <c r="A8043">
        <v>8041</v>
      </c>
      <c r="B8043" t="s">
        <v>10533</v>
      </c>
      <c r="C8043" t="s">
        <v>103</v>
      </c>
      <c r="D8043">
        <v>9.7044539028066906E-3</v>
      </c>
    </row>
    <row r="8044" spans="1:4" hidden="1" x14ac:dyDescent="0.3">
      <c r="A8044">
        <v>8042</v>
      </c>
      <c r="B8044" t="s">
        <v>10534</v>
      </c>
      <c r="C8044" t="s">
        <v>105</v>
      </c>
      <c r="D8044">
        <v>2.9055132339955601E-3</v>
      </c>
    </row>
    <row r="8045" spans="1:4" hidden="1" x14ac:dyDescent="0.3">
      <c r="A8045">
        <v>8043</v>
      </c>
      <c r="B8045" t="s">
        <v>10535</v>
      </c>
      <c r="C8045" t="s">
        <v>107</v>
      </c>
      <c r="D8045">
        <v>2.0131295026570999E-2</v>
      </c>
    </row>
    <row r="8046" spans="1:4" hidden="1" x14ac:dyDescent="0.3">
      <c r="A8046">
        <v>8044</v>
      </c>
      <c r="B8046" s="1" t="s">
        <v>10536</v>
      </c>
      <c r="C8046" t="s">
        <v>109</v>
      </c>
      <c r="D8046" s="1" t="s">
        <v>10537</v>
      </c>
    </row>
    <row r="8047" spans="1:4" hidden="1" x14ac:dyDescent="0.3">
      <c r="A8047">
        <v>8045</v>
      </c>
      <c r="B8047" t="s">
        <v>10538</v>
      </c>
      <c r="C8047" t="s">
        <v>208</v>
      </c>
      <c r="D8047">
        <v>146426245.033627</v>
      </c>
    </row>
    <row r="8048" spans="1:4" hidden="1" x14ac:dyDescent="0.3">
      <c r="A8048">
        <v>8046</v>
      </c>
      <c r="B8048" t="s">
        <v>10539</v>
      </c>
      <c r="C8048" t="s">
        <v>210</v>
      </c>
      <c r="D8048">
        <v>629.91949781821495</v>
      </c>
    </row>
    <row r="8049" spans="1:4" hidden="1" x14ac:dyDescent="0.3">
      <c r="A8049">
        <v>8047</v>
      </c>
      <c r="B8049" t="s">
        <v>10540</v>
      </c>
      <c r="C8049" t="s">
        <v>212</v>
      </c>
      <c r="D8049">
        <v>281.30060554143699</v>
      </c>
    </row>
    <row r="8050" spans="1:4" hidden="1" x14ac:dyDescent="0.3">
      <c r="A8050">
        <v>8048</v>
      </c>
      <c r="B8050" s="1" t="s">
        <v>10541</v>
      </c>
      <c r="C8050" t="s">
        <v>214</v>
      </c>
      <c r="D8050" s="1" t="s">
        <v>10542</v>
      </c>
    </row>
    <row r="8051" spans="1:4" hidden="1" x14ac:dyDescent="0.3">
      <c r="A8051">
        <v>8049</v>
      </c>
      <c r="B8051" t="s">
        <v>10543</v>
      </c>
      <c r="C8051" t="s">
        <v>217</v>
      </c>
      <c r="D8051">
        <v>77616943.163210407</v>
      </c>
    </row>
    <row r="8052" spans="1:4" hidden="1" x14ac:dyDescent="0.3">
      <c r="A8052">
        <v>8050</v>
      </c>
      <c r="B8052" t="s">
        <v>10544</v>
      </c>
      <c r="C8052" t="s">
        <v>219</v>
      </c>
      <c r="D8052">
        <v>34661084.769894198</v>
      </c>
    </row>
    <row r="8053" spans="1:4" hidden="1" x14ac:dyDescent="0.3">
      <c r="A8053">
        <v>8051</v>
      </c>
      <c r="B8053" t="s">
        <v>10545</v>
      </c>
      <c r="C8053" t="s">
        <v>221</v>
      </c>
      <c r="D8053">
        <v>34147028.751762196</v>
      </c>
    </row>
    <row r="8054" spans="1:4" hidden="1" x14ac:dyDescent="0.3">
      <c r="A8054">
        <v>8052</v>
      </c>
      <c r="B8054" s="1" t="s">
        <v>10546</v>
      </c>
      <c r="C8054" t="s">
        <v>223</v>
      </c>
      <c r="D8054" s="1" t="s">
        <v>10547</v>
      </c>
    </row>
    <row r="8055" spans="1:4" hidden="1" x14ac:dyDescent="0.3">
      <c r="A8055">
        <v>8053</v>
      </c>
      <c r="B8055" t="s">
        <v>10548</v>
      </c>
      <c r="C8055" t="s">
        <v>226</v>
      </c>
      <c r="D8055">
        <v>103008816.992624</v>
      </c>
    </row>
    <row r="8056" spans="1:4" hidden="1" x14ac:dyDescent="0.3">
      <c r="A8056">
        <v>8054</v>
      </c>
      <c r="B8056" t="s">
        <v>10549</v>
      </c>
      <c r="C8056" t="s">
        <v>228</v>
      </c>
      <c r="D8056">
        <v>835.99352958798397</v>
      </c>
    </row>
    <row r="8057" spans="1:4" hidden="1" x14ac:dyDescent="0.3">
      <c r="A8057">
        <v>8055</v>
      </c>
      <c r="B8057" s="1" t="s">
        <v>10550</v>
      </c>
      <c r="C8057" t="s">
        <v>230</v>
      </c>
      <c r="D8057" s="1" t="s">
        <v>10551</v>
      </c>
    </row>
    <row r="8058" spans="1:4" hidden="1" x14ac:dyDescent="0.3">
      <c r="A8058">
        <v>8056</v>
      </c>
      <c r="B8058" t="s">
        <v>10552</v>
      </c>
      <c r="C8058" t="s">
        <v>112</v>
      </c>
      <c r="D8058">
        <v>-197.369574951251</v>
      </c>
    </row>
    <row r="8059" spans="1:4" hidden="1" x14ac:dyDescent="0.3">
      <c r="A8059">
        <v>8057</v>
      </c>
      <c r="B8059" t="s">
        <v>10553</v>
      </c>
      <c r="C8059" t="s">
        <v>114</v>
      </c>
      <c r="D8059">
        <v>-47.382320080807098</v>
      </c>
    </row>
    <row r="8060" spans="1:4" hidden="1" x14ac:dyDescent="0.3">
      <c r="A8060">
        <v>8058</v>
      </c>
      <c r="B8060" s="1" t="s">
        <v>10554</v>
      </c>
      <c r="C8060" t="s">
        <v>116</v>
      </c>
      <c r="D8060" s="1" t="s">
        <v>10555</v>
      </c>
    </row>
    <row r="8061" spans="1:4" hidden="1" x14ac:dyDescent="0.3">
      <c r="A8061">
        <v>8059</v>
      </c>
      <c r="B8061" t="s">
        <v>10556</v>
      </c>
      <c r="C8061" t="s">
        <v>119</v>
      </c>
      <c r="D8061">
        <v>77616943.163210407</v>
      </c>
    </row>
    <row r="8062" spans="1:4" hidden="1" x14ac:dyDescent="0.3">
      <c r="A8062">
        <v>8060</v>
      </c>
      <c r="B8062" t="s">
        <v>10557</v>
      </c>
      <c r="C8062" t="s">
        <v>121</v>
      </c>
      <c r="D8062">
        <v>34661084.769894198</v>
      </c>
    </row>
    <row r="8063" spans="1:4" hidden="1" x14ac:dyDescent="0.3">
      <c r="A8063">
        <v>8061</v>
      </c>
      <c r="B8063" s="1" t="s">
        <v>10558</v>
      </c>
      <c r="C8063" t="s">
        <v>123</v>
      </c>
      <c r="D8063" s="1" t="s">
        <v>10559</v>
      </c>
    </row>
    <row r="8064" spans="1:4" hidden="1" x14ac:dyDescent="0.3">
      <c r="A8064">
        <v>8062</v>
      </c>
      <c r="B8064" t="s">
        <v>10560</v>
      </c>
      <c r="C8064" t="s">
        <v>126</v>
      </c>
      <c r="D8064">
        <v>0.75361686052028098</v>
      </c>
    </row>
    <row r="8065" spans="1:4" hidden="1" x14ac:dyDescent="0.3">
      <c r="A8065">
        <v>8063</v>
      </c>
      <c r="B8065" t="s">
        <v>10561</v>
      </c>
      <c r="C8065" t="s">
        <v>128</v>
      </c>
      <c r="D8065">
        <v>0.33653963712005802</v>
      </c>
    </row>
    <row r="8066" spans="1:4" hidden="1" x14ac:dyDescent="0.3">
      <c r="A8066">
        <v>8064</v>
      </c>
      <c r="B8066" s="1" t="s">
        <v>10562</v>
      </c>
      <c r="C8066" t="s">
        <v>130</v>
      </c>
      <c r="D8066" s="1" t="s">
        <v>10563</v>
      </c>
    </row>
    <row r="8067" spans="1:4" ht="72" x14ac:dyDescent="0.3">
      <c r="A8067">
        <v>8065</v>
      </c>
      <c r="B8067" s="1" t="s">
        <v>10564</v>
      </c>
      <c r="C8067" t="s">
        <v>4</v>
      </c>
      <c r="D8067" t="s">
        <v>10565</v>
      </c>
    </row>
    <row r="8068" spans="1:4" hidden="1" x14ac:dyDescent="0.3">
      <c r="A8068">
        <v>8066</v>
      </c>
      <c r="B8068" t="s">
        <v>10566</v>
      </c>
      <c r="C8068" t="s">
        <v>7</v>
      </c>
      <c r="D8068">
        <v>1793.08</v>
      </c>
    </row>
    <row r="8069" spans="1:4" hidden="1" x14ac:dyDescent="0.3">
      <c r="A8069">
        <v>8067</v>
      </c>
      <c r="B8069" s="1" t="s">
        <v>10567</v>
      </c>
      <c r="C8069" t="s">
        <v>9</v>
      </c>
      <c r="D8069" s="1" t="s">
        <v>10568</v>
      </c>
    </row>
    <row r="8070" spans="1:4" hidden="1" x14ac:dyDescent="0.3">
      <c r="A8070">
        <v>8068</v>
      </c>
      <c r="B8070" t="s">
        <v>10569</v>
      </c>
      <c r="C8070" t="s">
        <v>14</v>
      </c>
      <c r="D8070">
        <v>90.12109375</v>
      </c>
    </row>
    <row r="8071" spans="1:4" hidden="1" x14ac:dyDescent="0.3">
      <c r="A8071">
        <v>8069</v>
      </c>
      <c r="B8071" t="s">
        <v>10570</v>
      </c>
      <c r="C8071" t="s">
        <v>16</v>
      </c>
      <c r="D8071">
        <v>4.2468941108596603</v>
      </c>
    </row>
    <row r="8072" spans="1:4" hidden="1" x14ac:dyDescent="0.3">
      <c r="A8072">
        <v>8070</v>
      </c>
      <c r="B8072" s="1" t="s">
        <v>10571</v>
      </c>
      <c r="C8072" t="s">
        <v>140</v>
      </c>
      <c r="D8072" s="1" t="s">
        <v>10572</v>
      </c>
    </row>
    <row r="8073" spans="1:4" hidden="1" x14ac:dyDescent="0.3">
      <c r="A8073">
        <v>8071</v>
      </c>
      <c r="B8073" t="s">
        <v>10573</v>
      </c>
      <c r="C8073" t="s">
        <v>22</v>
      </c>
      <c r="D8073">
        <v>55.65</v>
      </c>
    </row>
    <row r="8074" spans="1:4" hidden="1" x14ac:dyDescent="0.3">
      <c r="A8074">
        <v>8072</v>
      </c>
      <c r="B8074" t="s">
        <v>10574</v>
      </c>
      <c r="C8074" t="s">
        <v>24</v>
      </c>
      <c r="D8074">
        <v>4.7252255726152903</v>
      </c>
    </row>
    <row r="8075" spans="1:4" hidden="1" x14ac:dyDescent="0.3">
      <c r="A8075">
        <v>8073</v>
      </c>
      <c r="B8075" s="1" t="s">
        <v>10575</v>
      </c>
      <c r="C8075" t="s">
        <v>145</v>
      </c>
      <c r="D8075" s="1" t="s">
        <v>10576</v>
      </c>
    </row>
    <row r="8076" spans="1:4" hidden="1" x14ac:dyDescent="0.3">
      <c r="A8076">
        <v>8074</v>
      </c>
      <c r="B8076" t="s">
        <v>10577</v>
      </c>
      <c r="C8076" t="s">
        <v>35</v>
      </c>
      <c r="D8076">
        <v>-0.42452510040424801</v>
      </c>
    </row>
    <row r="8077" spans="1:4" hidden="1" x14ac:dyDescent="0.3">
      <c r="A8077">
        <v>8075</v>
      </c>
      <c r="B8077" t="s">
        <v>10578</v>
      </c>
      <c r="C8077" t="s">
        <v>149</v>
      </c>
      <c r="D8077">
        <v>0.54111627159890896</v>
      </c>
    </row>
    <row r="8078" spans="1:4" hidden="1" x14ac:dyDescent="0.3">
      <c r="A8078">
        <v>8076</v>
      </c>
      <c r="B8078" s="1" t="s">
        <v>10579</v>
      </c>
      <c r="C8078" t="s">
        <v>151</v>
      </c>
      <c r="D8078" s="1" t="s">
        <v>10580</v>
      </c>
    </row>
    <row r="8079" spans="1:4" hidden="1" x14ac:dyDescent="0.3">
      <c r="A8079">
        <v>8077</v>
      </c>
      <c r="B8079" t="s">
        <v>10581</v>
      </c>
      <c r="C8079" t="s">
        <v>30</v>
      </c>
      <c r="D8079">
        <v>0.66402214476031796</v>
      </c>
    </row>
    <row r="8080" spans="1:4" hidden="1" x14ac:dyDescent="0.3">
      <c r="A8080">
        <v>8078</v>
      </c>
      <c r="B8080" t="s">
        <v>10582</v>
      </c>
      <c r="C8080" t="s">
        <v>32</v>
      </c>
      <c r="D8080">
        <v>0.39083316631355303</v>
      </c>
    </row>
    <row r="8081" spans="1:4" hidden="1" x14ac:dyDescent="0.3">
      <c r="A8081">
        <v>8079</v>
      </c>
      <c r="B8081" s="1" t="s">
        <v>10583</v>
      </c>
      <c r="C8081" t="s">
        <v>155</v>
      </c>
      <c r="D8081" s="1" t="s">
        <v>10584</v>
      </c>
    </row>
    <row r="8082" spans="1:4" hidden="1" x14ac:dyDescent="0.3">
      <c r="A8082">
        <v>8080</v>
      </c>
      <c r="B8082" t="s">
        <v>10585</v>
      </c>
      <c r="C8082" t="s">
        <v>40</v>
      </c>
      <c r="D8082">
        <v>0.760502955643929</v>
      </c>
    </row>
    <row r="8083" spans="1:4" hidden="1" x14ac:dyDescent="0.3">
      <c r="A8083">
        <v>8081</v>
      </c>
      <c r="B8083" t="s">
        <v>10586</v>
      </c>
      <c r="C8083" t="s">
        <v>42</v>
      </c>
      <c r="D8083">
        <v>0.45719849062620999</v>
      </c>
    </row>
    <row r="8084" spans="1:4" hidden="1" x14ac:dyDescent="0.3">
      <c r="A8084">
        <v>8082</v>
      </c>
      <c r="B8084" s="1" t="s">
        <v>10587</v>
      </c>
      <c r="C8084" t="s">
        <v>159</v>
      </c>
      <c r="D8084" s="1" t="s">
        <v>10588</v>
      </c>
    </row>
    <row r="8085" spans="1:4" hidden="1" x14ac:dyDescent="0.3">
      <c r="A8085">
        <v>8083</v>
      </c>
      <c r="B8085" t="s">
        <v>10589</v>
      </c>
      <c r="C8085" t="s">
        <v>161</v>
      </c>
      <c r="D8085">
        <v>1.0091341418802899</v>
      </c>
    </row>
    <row r="8086" spans="1:4" hidden="1" x14ac:dyDescent="0.3">
      <c r="A8086">
        <v>8084</v>
      </c>
      <c r="B8086" t="s">
        <v>10590</v>
      </c>
      <c r="C8086" t="s">
        <v>163</v>
      </c>
      <c r="D8086">
        <v>1.0011675838266501</v>
      </c>
    </row>
    <row r="8087" spans="1:4" hidden="1" x14ac:dyDescent="0.3">
      <c r="A8087">
        <v>8085</v>
      </c>
      <c r="B8087" s="1" t="s">
        <v>10591</v>
      </c>
      <c r="C8087" t="s">
        <v>165</v>
      </c>
      <c r="D8087" s="1" t="s">
        <v>10592</v>
      </c>
    </row>
    <row r="8088" spans="1:4" hidden="1" x14ac:dyDescent="0.3">
      <c r="A8088">
        <v>8086</v>
      </c>
      <c r="B8088" t="s">
        <v>10593</v>
      </c>
      <c r="C8088" t="s">
        <v>168</v>
      </c>
      <c r="D8088">
        <v>1.00512857863048</v>
      </c>
    </row>
    <row r="8089" spans="1:4" hidden="1" x14ac:dyDescent="0.3">
      <c r="A8089">
        <v>8087</v>
      </c>
      <c r="B8089" t="s">
        <v>10594</v>
      </c>
      <c r="C8089" t="s">
        <v>170</v>
      </c>
      <c r="D8089">
        <v>0.989854358934947</v>
      </c>
    </row>
    <row r="8090" spans="1:4" hidden="1" x14ac:dyDescent="0.3">
      <c r="A8090">
        <v>8088</v>
      </c>
      <c r="B8090" s="1" t="s">
        <v>10595</v>
      </c>
      <c r="C8090" t="s">
        <v>172</v>
      </c>
      <c r="D8090" s="1" t="s">
        <v>10596</v>
      </c>
    </row>
    <row r="8091" spans="1:4" hidden="1" x14ac:dyDescent="0.3">
      <c r="A8091">
        <v>8089</v>
      </c>
      <c r="B8091" s="1" t="s">
        <v>10597</v>
      </c>
      <c r="C8091" t="s">
        <v>55</v>
      </c>
      <c r="D8091" s="1" t="s">
        <v>10598</v>
      </c>
    </row>
    <row r="8092" spans="1:4" hidden="1" x14ac:dyDescent="0.3">
      <c r="A8092">
        <v>8090</v>
      </c>
      <c r="B8092" s="1" t="s">
        <v>10599</v>
      </c>
      <c r="C8092" t="s">
        <v>52</v>
      </c>
      <c r="D8092" s="1" t="s">
        <v>10600</v>
      </c>
    </row>
    <row r="8093" spans="1:4" hidden="1" x14ac:dyDescent="0.3">
      <c r="A8093">
        <v>8091</v>
      </c>
      <c r="B8093" s="1" t="s">
        <v>10601</v>
      </c>
      <c r="C8093" t="s">
        <v>58</v>
      </c>
      <c r="D8093" s="1" t="s">
        <v>10602</v>
      </c>
    </row>
    <row r="8094" spans="1:4" hidden="1" x14ac:dyDescent="0.3">
      <c r="A8094">
        <v>8092</v>
      </c>
      <c r="B8094" t="s">
        <v>10603</v>
      </c>
      <c r="C8094" t="s">
        <v>61</v>
      </c>
      <c r="D8094">
        <v>147110406.26674601</v>
      </c>
    </row>
    <row r="8095" spans="1:4" hidden="1" x14ac:dyDescent="0.3">
      <c r="A8095">
        <v>8093</v>
      </c>
      <c r="B8095" t="s">
        <v>10604</v>
      </c>
      <c r="C8095" t="s">
        <v>63</v>
      </c>
      <c r="D8095">
        <v>78325907.3343779</v>
      </c>
    </row>
    <row r="8096" spans="1:4" hidden="1" x14ac:dyDescent="0.3">
      <c r="A8096">
        <v>8094</v>
      </c>
      <c r="B8096" t="s">
        <v>10605</v>
      </c>
      <c r="C8096" t="s">
        <v>65</v>
      </c>
      <c r="D8096">
        <v>34701554.491885804</v>
      </c>
    </row>
    <row r="8097" spans="1:4" hidden="1" x14ac:dyDescent="0.3">
      <c r="A8097">
        <v>8095</v>
      </c>
      <c r="B8097" s="1" t="s">
        <v>10606</v>
      </c>
      <c r="C8097" t="s">
        <v>67</v>
      </c>
      <c r="D8097" s="1" t="s">
        <v>10607</v>
      </c>
    </row>
    <row r="8098" spans="1:4" hidden="1" x14ac:dyDescent="0.3">
      <c r="A8098">
        <v>8096</v>
      </c>
      <c r="B8098" s="1" t="s">
        <v>10608</v>
      </c>
      <c r="C8098" t="s">
        <v>70</v>
      </c>
      <c r="D8098" s="1" t="s">
        <v>10609</v>
      </c>
    </row>
    <row r="8099" spans="1:4" hidden="1" x14ac:dyDescent="0.3">
      <c r="A8099">
        <v>8097</v>
      </c>
      <c r="B8099" t="s">
        <v>10610</v>
      </c>
      <c r="C8099" t="s">
        <v>73</v>
      </c>
      <c r="D8099">
        <v>0.99984235174866898</v>
      </c>
    </row>
    <row r="8100" spans="1:4" hidden="1" x14ac:dyDescent="0.3">
      <c r="A8100">
        <v>8098</v>
      </c>
      <c r="B8100" t="s">
        <v>74</v>
      </c>
      <c r="C8100" t="s">
        <v>75</v>
      </c>
      <c r="D8100">
        <v>2.7397260273972599E-3</v>
      </c>
    </row>
    <row r="8101" spans="1:4" hidden="1" x14ac:dyDescent="0.3">
      <c r="A8101">
        <v>8099</v>
      </c>
      <c r="B8101" t="s">
        <v>76</v>
      </c>
      <c r="C8101" t="s">
        <v>77</v>
      </c>
      <c r="D8101">
        <v>0</v>
      </c>
    </row>
    <row r="8102" spans="1:4" hidden="1" x14ac:dyDescent="0.3">
      <c r="A8102">
        <v>8100</v>
      </c>
      <c r="B8102" t="s">
        <v>78</v>
      </c>
      <c r="C8102" t="s">
        <v>79</v>
      </c>
      <c r="D8102">
        <v>0</v>
      </c>
    </row>
    <row r="8103" spans="1:4" hidden="1" x14ac:dyDescent="0.3">
      <c r="A8103">
        <v>8101</v>
      </c>
      <c r="B8103" s="1" t="s">
        <v>10611</v>
      </c>
      <c r="C8103" t="s">
        <v>81</v>
      </c>
      <c r="D8103" s="1" t="s">
        <v>10612</v>
      </c>
    </row>
    <row r="8104" spans="1:4" hidden="1" x14ac:dyDescent="0.3">
      <c r="A8104">
        <v>8102</v>
      </c>
      <c r="B8104" t="s">
        <v>10613</v>
      </c>
      <c r="C8104" t="s">
        <v>84</v>
      </c>
      <c r="D8104">
        <v>0.99983871039332195</v>
      </c>
    </row>
    <row r="8105" spans="1:4" hidden="1" x14ac:dyDescent="0.3">
      <c r="A8105">
        <v>8103</v>
      </c>
      <c r="B8105" s="1" t="s">
        <v>10614</v>
      </c>
      <c r="C8105" t="s">
        <v>86</v>
      </c>
      <c r="D8105" s="1" t="s">
        <v>10615</v>
      </c>
    </row>
    <row r="8106" spans="1:4" hidden="1" x14ac:dyDescent="0.3">
      <c r="A8106">
        <v>8104</v>
      </c>
      <c r="B8106" t="s">
        <v>10616</v>
      </c>
      <c r="C8106" t="s">
        <v>89</v>
      </c>
      <c r="D8106">
        <v>103010028.141412</v>
      </c>
    </row>
    <row r="8107" spans="1:4" hidden="1" x14ac:dyDescent="0.3">
      <c r="A8107">
        <v>8105</v>
      </c>
      <c r="B8107" s="1" t="s">
        <v>10617</v>
      </c>
      <c r="C8107" t="s">
        <v>91</v>
      </c>
      <c r="D8107" s="1" t="s">
        <v>10551</v>
      </c>
    </row>
    <row r="8108" spans="1:4" hidden="1" x14ac:dyDescent="0.3">
      <c r="A8108">
        <v>8106</v>
      </c>
      <c r="B8108" t="s">
        <v>10618</v>
      </c>
      <c r="C8108" t="s">
        <v>94</v>
      </c>
      <c r="D8108">
        <v>78325907.3343779</v>
      </c>
    </row>
    <row r="8109" spans="1:4" hidden="1" x14ac:dyDescent="0.3">
      <c r="A8109">
        <v>8107</v>
      </c>
      <c r="B8109" t="s">
        <v>10619</v>
      </c>
      <c r="C8109" t="s">
        <v>96</v>
      </c>
      <c r="D8109">
        <v>34701554.491885804</v>
      </c>
    </row>
    <row r="8110" spans="1:4" hidden="1" x14ac:dyDescent="0.3">
      <c r="A8110">
        <v>8108</v>
      </c>
      <c r="B8110" t="s">
        <v>10620</v>
      </c>
      <c r="C8110" t="s">
        <v>98</v>
      </c>
      <c r="D8110">
        <v>34082944.440482602</v>
      </c>
    </row>
    <row r="8111" spans="1:4" hidden="1" x14ac:dyDescent="0.3">
      <c r="A8111">
        <v>8109</v>
      </c>
      <c r="B8111" s="1" t="s">
        <v>10621</v>
      </c>
      <c r="C8111" t="s">
        <v>100</v>
      </c>
      <c r="D8111" s="1" t="s">
        <v>10622</v>
      </c>
    </row>
    <row r="8112" spans="1:4" hidden="1" x14ac:dyDescent="0.3">
      <c r="A8112">
        <v>8110</v>
      </c>
      <c r="B8112" t="s">
        <v>10623</v>
      </c>
      <c r="C8112" t="s">
        <v>103</v>
      </c>
      <c r="D8112">
        <v>9.8492733134348202E-3</v>
      </c>
    </row>
    <row r="8113" spans="1:4" hidden="1" x14ac:dyDescent="0.3">
      <c r="A8113">
        <v>8111</v>
      </c>
      <c r="B8113" t="s">
        <v>10624</v>
      </c>
      <c r="C8113" t="s">
        <v>105</v>
      </c>
      <c r="D8113">
        <v>2.8631142556618098E-3</v>
      </c>
    </row>
    <row r="8114" spans="1:4" hidden="1" x14ac:dyDescent="0.3">
      <c r="A8114">
        <v>8112</v>
      </c>
      <c r="B8114" t="s">
        <v>10625</v>
      </c>
      <c r="C8114" t="s">
        <v>107</v>
      </c>
      <c r="D8114">
        <v>2.0107187673973601E-2</v>
      </c>
    </row>
    <row r="8115" spans="1:4" hidden="1" x14ac:dyDescent="0.3">
      <c r="A8115">
        <v>8113</v>
      </c>
      <c r="B8115" s="1" t="s">
        <v>10626</v>
      </c>
      <c r="C8115" t="s">
        <v>109</v>
      </c>
      <c r="D8115" s="1" t="s">
        <v>10627</v>
      </c>
    </row>
    <row r="8116" spans="1:4" hidden="1" x14ac:dyDescent="0.3">
      <c r="A8116">
        <v>8114</v>
      </c>
      <c r="B8116" t="s">
        <v>10628</v>
      </c>
      <c r="C8116" t="s">
        <v>208</v>
      </c>
      <c r="D8116">
        <v>147110277.05897599</v>
      </c>
    </row>
    <row r="8117" spans="1:4" hidden="1" x14ac:dyDescent="0.3">
      <c r="A8117">
        <v>8115</v>
      </c>
      <c r="B8117" t="s">
        <v>10629</v>
      </c>
      <c r="C8117" t="s">
        <v>210</v>
      </c>
      <c r="D8117">
        <v>285.25706810406899</v>
      </c>
    </row>
    <row r="8118" spans="1:4" hidden="1" x14ac:dyDescent="0.3">
      <c r="A8118">
        <v>8116</v>
      </c>
      <c r="B8118" t="s">
        <v>10630</v>
      </c>
      <c r="C8118" t="s">
        <v>212</v>
      </c>
      <c r="D8118">
        <v>126.38055868330601</v>
      </c>
    </row>
    <row r="8119" spans="1:4" hidden="1" x14ac:dyDescent="0.3">
      <c r="A8119">
        <v>8117</v>
      </c>
      <c r="B8119" s="1" t="s">
        <v>10631</v>
      </c>
      <c r="C8119" t="s">
        <v>214</v>
      </c>
      <c r="D8119" s="1" t="s">
        <v>10632</v>
      </c>
    </row>
    <row r="8120" spans="1:4" hidden="1" x14ac:dyDescent="0.3">
      <c r="A8120">
        <v>8118</v>
      </c>
      <c r="B8120" t="s">
        <v>10633</v>
      </c>
      <c r="C8120" t="s">
        <v>217</v>
      </c>
      <c r="D8120">
        <v>78325522.221206993</v>
      </c>
    </row>
    <row r="8121" spans="1:4" hidden="1" x14ac:dyDescent="0.3">
      <c r="A8121">
        <v>8119</v>
      </c>
      <c r="B8121" t="s">
        <v>10634</v>
      </c>
      <c r="C8121" t="s">
        <v>219</v>
      </c>
      <c r="D8121">
        <v>34701412.740688197</v>
      </c>
    </row>
    <row r="8122" spans="1:4" hidden="1" x14ac:dyDescent="0.3">
      <c r="A8122">
        <v>8120</v>
      </c>
      <c r="B8122" t="s">
        <v>10635</v>
      </c>
      <c r="C8122" t="s">
        <v>221</v>
      </c>
      <c r="D8122">
        <v>34082806.331824802</v>
      </c>
    </row>
    <row r="8123" spans="1:4" hidden="1" x14ac:dyDescent="0.3">
      <c r="A8123">
        <v>8121</v>
      </c>
      <c r="B8123" s="1" t="s">
        <v>10636</v>
      </c>
      <c r="C8123" t="s">
        <v>223</v>
      </c>
      <c r="D8123" s="1" t="s">
        <v>10637</v>
      </c>
    </row>
    <row r="8124" spans="1:4" hidden="1" x14ac:dyDescent="0.3">
      <c r="A8124">
        <v>8122</v>
      </c>
      <c r="B8124" t="s">
        <v>10638</v>
      </c>
      <c r="C8124" t="s">
        <v>226</v>
      </c>
      <c r="D8124">
        <v>103009652.98615301</v>
      </c>
    </row>
    <row r="8125" spans="1:4" hidden="1" x14ac:dyDescent="0.3">
      <c r="A8125">
        <v>8123</v>
      </c>
      <c r="B8125" t="s">
        <v>10639</v>
      </c>
      <c r="C8125" t="s">
        <v>228</v>
      </c>
      <c r="D8125">
        <v>375.15525928139601</v>
      </c>
    </row>
    <row r="8126" spans="1:4" hidden="1" x14ac:dyDescent="0.3">
      <c r="A8126">
        <v>8124</v>
      </c>
      <c r="B8126" s="1" t="s">
        <v>10640</v>
      </c>
      <c r="C8126" t="s">
        <v>230</v>
      </c>
      <c r="D8126" s="1" t="s">
        <v>10641</v>
      </c>
    </row>
    <row r="8127" spans="1:4" hidden="1" x14ac:dyDescent="0.3">
      <c r="A8127">
        <v>8125</v>
      </c>
      <c r="B8127" t="s">
        <v>10642</v>
      </c>
      <c r="C8127" t="s">
        <v>112</v>
      </c>
      <c r="D8127">
        <v>-99.856102721521196</v>
      </c>
    </row>
    <row r="8128" spans="1:4" hidden="1" x14ac:dyDescent="0.3">
      <c r="A8128">
        <v>8126</v>
      </c>
      <c r="B8128" t="s">
        <v>10643</v>
      </c>
      <c r="C8128" t="s">
        <v>114</v>
      </c>
      <c r="D8128">
        <v>-15.3706389371307</v>
      </c>
    </row>
    <row r="8129" spans="1:4" hidden="1" x14ac:dyDescent="0.3">
      <c r="A8129">
        <v>8127</v>
      </c>
      <c r="B8129" s="1" t="s">
        <v>10644</v>
      </c>
      <c r="C8129" t="s">
        <v>116</v>
      </c>
      <c r="D8129" s="1" t="s">
        <v>10645</v>
      </c>
    </row>
    <row r="8130" spans="1:4" hidden="1" x14ac:dyDescent="0.3">
      <c r="A8130">
        <v>8128</v>
      </c>
      <c r="B8130" t="s">
        <v>10646</v>
      </c>
      <c r="C8130" t="s">
        <v>119</v>
      </c>
      <c r="D8130">
        <v>78325522.221206993</v>
      </c>
    </row>
    <row r="8131" spans="1:4" hidden="1" x14ac:dyDescent="0.3">
      <c r="A8131">
        <v>8129</v>
      </c>
      <c r="B8131" t="s">
        <v>10647</v>
      </c>
      <c r="C8131" t="s">
        <v>121</v>
      </c>
      <c r="D8131">
        <v>34701412.740688197</v>
      </c>
    </row>
    <row r="8132" spans="1:4" hidden="1" x14ac:dyDescent="0.3">
      <c r="A8132">
        <v>8130</v>
      </c>
      <c r="B8132" s="1" t="s">
        <v>10648</v>
      </c>
      <c r="C8132" t="s">
        <v>123</v>
      </c>
      <c r="D8132" s="1" t="s">
        <v>10649</v>
      </c>
    </row>
    <row r="8133" spans="1:4" hidden="1" x14ac:dyDescent="0.3">
      <c r="A8133">
        <v>8131</v>
      </c>
      <c r="B8133" t="s">
        <v>10650</v>
      </c>
      <c r="C8133" t="s">
        <v>126</v>
      </c>
      <c r="D8133">
        <v>0.76049336232910303</v>
      </c>
    </row>
    <row r="8134" spans="1:4" hidden="1" x14ac:dyDescent="0.3">
      <c r="A8134">
        <v>8132</v>
      </c>
      <c r="B8134" t="s">
        <v>10651</v>
      </c>
      <c r="C8134" t="s">
        <v>128</v>
      </c>
      <c r="D8134">
        <v>0.33692969168088999</v>
      </c>
    </row>
    <row r="8135" spans="1:4" hidden="1" x14ac:dyDescent="0.3">
      <c r="A8135">
        <v>8133</v>
      </c>
      <c r="B8135" s="1" t="s">
        <v>10652</v>
      </c>
      <c r="C8135" t="s">
        <v>130</v>
      </c>
      <c r="D8135" s="1" t="s">
        <v>10653</v>
      </c>
    </row>
    <row r="8136" spans="1:4" ht="72" x14ac:dyDescent="0.3">
      <c r="A8136">
        <v>8134</v>
      </c>
      <c r="B8136" s="1" t="s">
        <v>10654</v>
      </c>
      <c r="C8136" t="s">
        <v>4</v>
      </c>
      <c r="D8136" t="s">
        <v>10655</v>
      </c>
    </row>
    <row r="8137" spans="1:4" hidden="1" x14ac:dyDescent="0.3">
      <c r="A8137">
        <v>8135</v>
      </c>
      <c r="B8137" t="s">
        <v>10656</v>
      </c>
      <c r="C8137" t="s">
        <v>7</v>
      </c>
      <c r="D8137">
        <v>1787.62</v>
      </c>
    </row>
    <row r="8138" spans="1:4" hidden="1" x14ac:dyDescent="0.3">
      <c r="A8138">
        <v>8136</v>
      </c>
      <c r="B8138" s="1" t="s">
        <v>10657</v>
      </c>
      <c r="C8138" t="s">
        <v>9</v>
      </c>
      <c r="D8138" s="1" t="s">
        <v>10658</v>
      </c>
    </row>
    <row r="8139" spans="1:4" hidden="1" x14ac:dyDescent="0.3">
      <c r="A8139">
        <v>8137</v>
      </c>
      <c r="B8139" t="s">
        <v>10659</v>
      </c>
      <c r="C8139" t="s">
        <v>14</v>
      </c>
      <c r="D8139">
        <v>89.88671875</v>
      </c>
    </row>
    <row r="8140" spans="1:4" hidden="1" x14ac:dyDescent="0.3">
      <c r="A8140">
        <v>8138</v>
      </c>
      <c r="B8140" t="s">
        <v>10660</v>
      </c>
      <c r="C8140" t="s">
        <v>16</v>
      </c>
      <c r="D8140">
        <v>4.2410129685215301</v>
      </c>
    </row>
    <row r="8141" spans="1:4" hidden="1" x14ac:dyDescent="0.3">
      <c r="A8141">
        <v>8139</v>
      </c>
      <c r="B8141" s="1" t="s">
        <v>10661</v>
      </c>
      <c r="C8141" t="s">
        <v>140</v>
      </c>
      <c r="D8141" s="1" t="s">
        <v>10662</v>
      </c>
    </row>
    <row r="8142" spans="1:4" hidden="1" x14ac:dyDescent="0.3">
      <c r="A8142">
        <v>8140</v>
      </c>
      <c r="B8142" t="s">
        <v>10663</v>
      </c>
      <c r="C8142" t="s">
        <v>22</v>
      </c>
      <c r="D8142">
        <v>55.35</v>
      </c>
    </row>
    <row r="8143" spans="1:4" hidden="1" x14ac:dyDescent="0.3">
      <c r="A8143">
        <v>8141</v>
      </c>
      <c r="B8143" t="s">
        <v>10664</v>
      </c>
      <c r="C8143" t="s">
        <v>24</v>
      </c>
      <c r="D8143">
        <v>4.6969409808544702</v>
      </c>
    </row>
    <row r="8144" spans="1:4" hidden="1" x14ac:dyDescent="0.3">
      <c r="A8144">
        <v>8142</v>
      </c>
      <c r="B8144" s="1" t="s">
        <v>10665</v>
      </c>
      <c r="C8144" t="s">
        <v>145</v>
      </c>
      <c r="D8144" s="1" t="s">
        <v>10666</v>
      </c>
    </row>
    <row r="8145" spans="1:4" hidden="1" x14ac:dyDescent="0.3">
      <c r="A8145">
        <v>8143</v>
      </c>
      <c r="B8145" t="s">
        <v>10667</v>
      </c>
      <c r="C8145" t="s">
        <v>35</v>
      </c>
      <c r="D8145">
        <v>-0.56838909995414</v>
      </c>
    </row>
    <row r="8146" spans="1:4" hidden="1" x14ac:dyDescent="0.3">
      <c r="A8146">
        <v>8144</v>
      </c>
      <c r="B8146" t="s">
        <v>10668</v>
      </c>
      <c r="C8146" t="s">
        <v>149</v>
      </c>
      <c r="D8146">
        <v>0.54045600464952903</v>
      </c>
    </row>
    <row r="8147" spans="1:4" hidden="1" x14ac:dyDescent="0.3">
      <c r="A8147">
        <v>8145</v>
      </c>
      <c r="B8147" s="1" t="s">
        <v>10669</v>
      </c>
      <c r="C8147" t="s">
        <v>151</v>
      </c>
      <c r="D8147" s="1" t="s">
        <v>10670</v>
      </c>
    </row>
    <row r="8148" spans="1:4" hidden="1" x14ac:dyDescent="0.3">
      <c r="A8148">
        <v>8146</v>
      </c>
      <c r="B8148" t="s">
        <v>10671</v>
      </c>
      <c r="C8148" t="s">
        <v>30</v>
      </c>
      <c r="D8148">
        <v>0.73037067071361705</v>
      </c>
    </row>
    <row r="8149" spans="1:4" hidden="1" x14ac:dyDescent="0.3">
      <c r="A8149">
        <v>8147</v>
      </c>
      <c r="B8149" t="s">
        <v>10672</v>
      </c>
      <c r="C8149" t="s">
        <v>32</v>
      </c>
      <c r="D8149">
        <v>0.39023175566788498</v>
      </c>
    </row>
    <row r="8150" spans="1:4" hidden="1" x14ac:dyDescent="0.3">
      <c r="A8150">
        <v>8148</v>
      </c>
      <c r="B8150" s="1" t="s">
        <v>10673</v>
      </c>
      <c r="C8150" t="s">
        <v>155</v>
      </c>
      <c r="D8150" s="1" t="s">
        <v>10674</v>
      </c>
    </row>
    <row r="8151" spans="1:4" hidden="1" x14ac:dyDescent="0.3">
      <c r="A8151">
        <v>8149</v>
      </c>
      <c r="B8151" t="s">
        <v>10675</v>
      </c>
      <c r="C8151" t="s">
        <v>40</v>
      </c>
      <c r="D8151">
        <v>0.83801842924052194</v>
      </c>
    </row>
    <row r="8152" spans="1:4" hidden="1" x14ac:dyDescent="0.3">
      <c r="A8152">
        <v>8150</v>
      </c>
      <c r="B8152" t="s">
        <v>10676</v>
      </c>
      <c r="C8152" t="s">
        <v>42</v>
      </c>
      <c r="D8152">
        <v>0.46005761367397602</v>
      </c>
    </row>
    <row r="8153" spans="1:4" hidden="1" x14ac:dyDescent="0.3">
      <c r="A8153">
        <v>8151</v>
      </c>
      <c r="B8153" s="1" t="s">
        <v>10677</v>
      </c>
      <c r="C8153" t="s">
        <v>159</v>
      </c>
      <c r="D8153" s="1" t="s">
        <v>10678</v>
      </c>
    </row>
    <row r="8154" spans="1:4" hidden="1" x14ac:dyDescent="0.3">
      <c r="A8154">
        <v>8152</v>
      </c>
      <c r="B8154" t="s">
        <v>10679</v>
      </c>
      <c r="C8154" t="s">
        <v>161</v>
      </c>
      <c r="D8154">
        <v>0.99695496018024798</v>
      </c>
    </row>
    <row r="8155" spans="1:4" hidden="1" x14ac:dyDescent="0.3">
      <c r="A8155">
        <v>8153</v>
      </c>
      <c r="B8155" t="s">
        <v>10680</v>
      </c>
      <c r="C8155" t="s">
        <v>163</v>
      </c>
      <c r="D8155">
        <v>0.99745405038526003</v>
      </c>
    </row>
    <row r="8156" spans="1:4" hidden="1" x14ac:dyDescent="0.3">
      <c r="A8156">
        <v>8154</v>
      </c>
      <c r="B8156" s="1" t="s">
        <v>10681</v>
      </c>
      <c r="C8156" t="s">
        <v>165</v>
      </c>
      <c r="D8156" s="1" t="s">
        <v>10682</v>
      </c>
    </row>
    <row r="8157" spans="1:4" hidden="1" x14ac:dyDescent="0.3">
      <c r="A8157">
        <v>8155</v>
      </c>
      <c r="B8157" t="s">
        <v>10683</v>
      </c>
      <c r="C8157" t="s">
        <v>168</v>
      </c>
      <c r="D8157">
        <v>0.99957156577894302</v>
      </c>
    </row>
    <row r="8158" spans="1:4" hidden="1" x14ac:dyDescent="0.3">
      <c r="A8158">
        <v>8156</v>
      </c>
      <c r="B8158" t="s">
        <v>10684</v>
      </c>
      <c r="C8158" t="s">
        <v>170</v>
      </c>
      <c r="D8158">
        <v>0.99956758965759895</v>
      </c>
    </row>
    <row r="8159" spans="1:4" hidden="1" x14ac:dyDescent="0.3">
      <c r="A8159">
        <v>8157</v>
      </c>
      <c r="B8159" s="1" t="s">
        <v>10685</v>
      </c>
      <c r="C8159" t="s">
        <v>172</v>
      </c>
      <c r="D8159" s="1" t="s">
        <v>10686</v>
      </c>
    </row>
    <row r="8160" spans="1:4" hidden="1" x14ac:dyDescent="0.3">
      <c r="A8160">
        <v>8158</v>
      </c>
      <c r="B8160" s="1" t="s">
        <v>10687</v>
      </c>
      <c r="C8160" t="s">
        <v>55</v>
      </c>
      <c r="D8160" s="1" t="s">
        <v>10688</v>
      </c>
    </row>
    <row r="8161" spans="1:4" hidden="1" x14ac:dyDescent="0.3">
      <c r="A8161">
        <v>8159</v>
      </c>
      <c r="B8161" s="1" t="s">
        <v>10689</v>
      </c>
      <c r="C8161" t="s">
        <v>52</v>
      </c>
      <c r="D8161" s="1" t="s">
        <v>10690</v>
      </c>
    </row>
    <row r="8162" spans="1:4" hidden="1" x14ac:dyDescent="0.3">
      <c r="A8162">
        <v>8160</v>
      </c>
      <c r="B8162" s="1" t="s">
        <v>10691</v>
      </c>
      <c r="C8162" t="s">
        <v>58</v>
      </c>
      <c r="D8162" s="1" t="s">
        <v>10692</v>
      </c>
    </row>
    <row r="8163" spans="1:4" hidden="1" x14ac:dyDescent="0.3">
      <c r="A8163">
        <v>8161</v>
      </c>
      <c r="B8163" t="s">
        <v>10693</v>
      </c>
      <c r="C8163" t="s">
        <v>61</v>
      </c>
      <c r="D8163">
        <v>146597566.86804</v>
      </c>
    </row>
    <row r="8164" spans="1:4" hidden="1" x14ac:dyDescent="0.3">
      <c r="A8164">
        <v>8162</v>
      </c>
      <c r="B8164" t="s">
        <v>10694</v>
      </c>
      <c r="C8164" t="s">
        <v>63</v>
      </c>
      <c r="D8164">
        <v>78087017.887140602</v>
      </c>
    </row>
    <row r="8165" spans="1:4" hidden="1" x14ac:dyDescent="0.3">
      <c r="A8165">
        <v>8163</v>
      </c>
      <c r="B8165" t="s">
        <v>10695</v>
      </c>
      <c r="C8165" t="s">
        <v>65</v>
      </c>
      <c r="D8165">
        <v>34613064.692290097</v>
      </c>
    </row>
    <row r="8166" spans="1:4" hidden="1" x14ac:dyDescent="0.3">
      <c r="A8166">
        <v>8164</v>
      </c>
      <c r="B8166" s="1" t="s">
        <v>10696</v>
      </c>
      <c r="C8166" t="s">
        <v>67</v>
      </c>
      <c r="D8166" s="1" t="s">
        <v>10697</v>
      </c>
    </row>
    <row r="8167" spans="1:4" hidden="1" x14ac:dyDescent="0.3">
      <c r="A8167">
        <v>8165</v>
      </c>
      <c r="B8167" s="1" t="s">
        <v>10698</v>
      </c>
      <c r="C8167" t="s">
        <v>70</v>
      </c>
      <c r="D8167" s="1" t="s">
        <v>10699</v>
      </c>
    </row>
    <row r="8168" spans="1:4" hidden="1" x14ac:dyDescent="0.3">
      <c r="A8168">
        <v>8166</v>
      </c>
      <c r="B8168" t="s">
        <v>10700</v>
      </c>
      <c r="C8168" t="s">
        <v>73</v>
      </c>
      <c r="D8168">
        <v>0.99983871039332195</v>
      </c>
    </row>
    <row r="8169" spans="1:4" hidden="1" x14ac:dyDescent="0.3">
      <c r="A8169">
        <v>8167</v>
      </c>
      <c r="B8169" t="s">
        <v>74</v>
      </c>
      <c r="C8169" t="s">
        <v>75</v>
      </c>
      <c r="D8169">
        <v>2.7397260273972599E-3</v>
      </c>
    </row>
    <row r="8170" spans="1:4" hidden="1" x14ac:dyDescent="0.3">
      <c r="A8170">
        <v>8168</v>
      </c>
      <c r="B8170" t="s">
        <v>76</v>
      </c>
      <c r="C8170" t="s">
        <v>77</v>
      </c>
      <c r="D8170">
        <v>0</v>
      </c>
    </row>
    <row r="8171" spans="1:4" hidden="1" x14ac:dyDescent="0.3">
      <c r="A8171">
        <v>8169</v>
      </c>
      <c r="B8171" t="s">
        <v>78</v>
      </c>
      <c r="C8171" t="s">
        <v>79</v>
      </c>
      <c r="D8171">
        <v>0</v>
      </c>
    </row>
    <row r="8172" spans="1:4" hidden="1" x14ac:dyDescent="0.3">
      <c r="A8172">
        <v>8170</v>
      </c>
      <c r="B8172" s="1" t="s">
        <v>10701</v>
      </c>
      <c r="C8172" t="s">
        <v>81</v>
      </c>
      <c r="D8172" s="1" t="s">
        <v>10702</v>
      </c>
    </row>
    <row r="8173" spans="1:4" hidden="1" x14ac:dyDescent="0.3">
      <c r="A8173">
        <v>8171</v>
      </c>
      <c r="B8173" t="s">
        <v>10703</v>
      </c>
      <c r="C8173" t="s">
        <v>84</v>
      </c>
      <c r="D8173">
        <v>0.99980816169324005</v>
      </c>
    </row>
    <row r="8174" spans="1:4" hidden="1" x14ac:dyDescent="0.3">
      <c r="A8174">
        <v>8172</v>
      </c>
      <c r="B8174" s="1" t="s">
        <v>10704</v>
      </c>
      <c r="C8174" t="s">
        <v>86</v>
      </c>
      <c r="D8174" s="1" t="s">
        <v>10705</v>
      </c>
    </row>
    <row r="8175" spans="1:4" hidden="1" x14ac:dyDescent="0.3">
      <c r="A8175">
        <v>8173</v>
      </c>
      <c r="B8175" t="s">
        <v>10706</v>
      </c>
      <c r="C8175" t="s">
        <v>89</v>
      </c>
      <c r="D8175">
        <v>103013175.567664</v>
      </c>
    </row>
    <row r="8176" spans="1:4" hidden="1" x14ac:dyDescent="0.3">
      <c r="A8176">
        <v>8174</v>
      </c>
      <c r="B8176" s="1" t="s">
        <v>10707</v>
      </c>
      <c r="C8176" t="s">
        <v>91</v>
      </c>
      <c r="D8176" s="1" t="s">
        <v>10641</v>
      </c>
    </row>
    <row r="8177" spans="1:4" hidden="1" x14ac:dyDescent="0.3">
      <c r="A8177">
        <v>8175</v>
      </c>
      <c r="B8177" t="s">
        <v>10708</v>
      </c>
      <c r="C8177" t="s">
        <v>94</v>
      </c>
      <c r="D8177">
        <v>78087017.887140602</v>
      </c>
    </row>
    <row r="8178" spans="1:4" hidden="1" x14ac:dyDescent="0.3">
      <c r="A8178">
        <v>8176</v>
      </c>
      <c r="B8178" t="s">
        <v>10709</v>
      </c>
      <c r="C8178" t="s">
        <v>96</v>
      </c>
      <c r="D8178">
        <v>34613064.692290097</v>
      </c>
    </row>
    <row r="8179" spans="1:4" hidden="1" x14ac:dyDescent="0.3">
      <c r="A8179">
        <v>8177</v>
      </c>
      <c r="B8179" t="s">
        <v>10710</v>
      </c>
      <c r="C8179" t="s">
        <v>98</v>
      </c>
      <c r="D8179">
        <v>33897484.2886094</v>
      </c>
    </row>
    <row r="8180" spans="1:4" hidden="1" x14ac:dyDescent="0.3">
      <c r="A8180">
        <v>8178</v>
      </c>
      <c r="B8180" s="1" t="s">
        <v>10711</v>
      </c>
      <c r="C8180" t="s">
        <v>100</v>
      </c>
      <c r="D8180" s="1" t="s">
        <v>10712</v>
      </c>
    </row>
    <row r="8181" spans="1:4" hidden="1" x14ac:dyDescent="0.3">
      <c r="A8181">
        <v>8179</v>
      </c>
      <c r="B8181" t="s">
        <v>10713</v>
      </c>
      <c r="C8181" t="s">
        <v>103</v>
      </c>
      <c r="D8181">
        <v>9.8759964407898193E-3</v>
      </c>
    </row>
    <row r="8182" spans="1:4" hidden="1" x14ac:dyDescent="0.3">
      <c r="A8182">
        <v>8180</v>
      </c>
      <c r="B8182" t="s">
        <v>10714</v>
      </c>
      <c r="C8182" t="s">
        <v>105</v>
      </c>
      <c r="D8182">
        <v>2.8707921160816201E-3</v>
      </c>
    </row>
    <row r="8183" spans="1:4" hidden="1" x14ac:dyDescent="0.3">
      <c r="A8183">
        <v>8181</v>
      </c>
      <c r="B8183" t="s">
        <v>10715</v>
      </c>
      <c r="C8183" t="s">
        <v>107</v>
      </c>
      <c r="D8183">
        <v>2.0086997247797E-2</v>
      </c>
    </row>
    <row r="8184" spans="1:4" hidden="1" x14ac:dyDescent="0.3">
      <c r="A8184">
        <v>8182</v>
      </c>
      <c r="B8184" s="1" t="s">
        <v>10716</v>
      </c>
      <c r="C8184" t="s">
        <v>109</v>
      </c>
      <c r="D8184" s="1" t="s">
        <v>10717</v>
      </c>
    </row>
    <row r="8185" spans="1:4" hidden="1" x14ac:dyDescent="0.3">
      <c r="A8185">
        <v>8183</v>
      </c>
      <c r="B8185" t="s">
        <v>10718</v>
      </c>
      <c r="C8185" t="s">
        <v>208</v>
      </c>
      <c r="D8185">
        <v>146596483.233071</v>
      </c>
    </row>
    <row r="8186" spans="1:4" hidden="1" x14ac:dyDescent="0.3">
      <c r="A8186">
        <v>8184</v>
      </c>
      <c r="B8186" t="s">
        <v>10719</v>
      </c>
      <c r="C8186" t="s">
        <v>210</v>
      </c>
      <c r="D8186">
        <v>2385.8175241611202</v>
      </c>
    </row>
    <row r="8187" spans="1:4" hidden="1" x14ac:dyDescent="0.3">
      <c r="A8187">
        <v>8185</v>
      </c>
      <c r="B8187" t="s">
        <v>10720</v>
      </c>
      <c r="C8187" t="s">
        <v>212</v>
      </c>
      <c r="D8187">
        <v>1057.5493329533699</v>
      </c>
    </row>
    <row r="8188" spans="1:4" hidden="1" x14ac:dyDescent="0.3">
      <c r="A8188">
        <v>8186</v>
      </c>
      <c r="B8188" s="1" t="s">
        <v>10721</v>
      </c>
      <c r="C8188" t="s">
        <v>214</v>
      </c>
      <c r="D8188" s="1" t="s">
        <v>10722</v>
      </c>
    </row>
    <row r="8189" spans="1:4" hidden="1" x14ac:dyDescent="0.3">
      <c r="A8189">
        <v>8187</v>
      </c>
      <c r="B8189" t="s">
        <v>10723</v>
      </c>
      <c r="C8189" t="s">
        <v>217</v>
      </c>
      <c r="D8189">
        <v>78083840.772237897</v>
      </c>
    </row>
    <row r="8190" spans="1:4" hidden="1" x14ac:dyDescent="0.3">
      <c r="A8190">
        <v>8188</v>
      </c>
      <c r="B8190" t="s">
        <v>10724</v>
      </c>
      <c r="C8190" t="s">
        <v>219</v>
      </c>
      <c r="D8190">
        <v>34611831.326937802</v>
      </c>
    </row>
    <row r="8191" spans="1:4" hidden="1" x14ac:dyDescent="0.3">
      <c r="A8191">
        <v>8189</v>
      </c>
      <c r="B8191" t="s">
        <v>10725</v>
      </c>
      <c r="C8191" t="s">
        <v>221</v>
      </c>
      <c r="D8191">
        <v>33896332.079471096</v>
      </c>
    </row>
    <row r="8192" spans="1:4" hidden="1" x14ac:dyDescent="0.3">
      <c r="A8192">
        <v>8190</v>
      </c>
      <c r="B8192" s="1" t="s">
        <v>10726</v>
      </c>
      <c r="C8192" t="s">
        <v>223</v>
      </c>
      <c r="D8192" s="1" t="s">
        <v>10727</v>
      </c>
    </row>
    <row r="8193" spans="1:4" hidden="1" x14ac:dyDescent="0.3">
      <c r="A8193">
        <v>8191</v>
      </c>
      <c r="B8193" t="s">
        <v>10728</v>
      </c>
      <c r="C8193" t="s">
        <v>226</v>
      </c>
      <c r="D8193">
        <v>103010028.141412</v>
      </c>
    </row>
    <row r="8194" spans="1:4" hidden="1" x14ac:dyDescent="0.3">
      <c r="A8194">
        <v>8192</v>
      </c>
      <c r="B8194" t="s">
        <v>10729</v>
      </c>
      <c r="C8194" t="s">
        <v>228</v>
      </c>
      <c r="D8194">
        <v>3147.4262520074799</v>
      </c>
    </row>
    <row r="8195" spans="1:4" hidden="1" x14ac:dyDescent="0.3">
      <c r="A8195">
        <v>8193</v>
      </c>
      <c r="B8195" s="1" t="s">
        <v>10730</v>
      </c>
      <c r="C8195" t="s">
        <v>230</v>
      </c>
      <c r="D8195" s="1" t="s">
        <v>10731</v>
      </c>
    </row>
    <row r="8196" spans="1:4" hidden="1" x14ac:dyDescent="0.3">
      <c r="A8196">
        <v>8194</v>
      </c>
      <c r="B8196" t="s">
        <v>10732</v>
      </c>
      <c r="C8196" t="s">
        <v>112</v>
      </c>
      <c r="D8196">
        <v>-791.29737858023498</v>
      </c>
    </row>
    <row r="8197" spans="1:4" hidden="1" x14ac:dyDescent="0.3">
      <c r="A8197">
        <v>8195</v>
      </c>
      <c r="B8197" t="s">
        <v>10733</v>
      </c>
      <c r="C8197" t="s">
        <v>114</v>
      </c>
      <c r="D8197">
        <v>-175.81601937446101</v>
      </c>
    </row>
    <row r="8198" spans="1:4" hidden="1" x14ac:dyDescent="0.3">
      <c r="A8198">
        <v>8196</v>
      </c>
      <c r="B8198" s="1" t="s">
        <v>10734</v>
      </c>
      <c r="C8198" t="s">
        <v>116</v>
      </c>
      <c r="D8198" s="1" t="s">
        <v>10735</v>
      </c>
    </row>
    <row r="8199" spans="1:4" hidden="1" x14ac:dyDescent="0.3">
      <c r="A8199">
        <v>8197</v>
      </c>
      <c r="B8199" t="s">
        <v>10736</v>
      </c>
      <c r="C8199" t="s">
        <v>119</v>
      </c>
      <c r="D8199">
        <v>78083840.772237897</v>
      </c>
    </row>
    <row r="8200" spans="1:4" hidden="1" x14ac:dyDescent="0.3">
      <c r="A8200">
        <v>8198</v>
      </c>
      <c r="B8200" t="s">
        <v>10737</v>
      </c>
      <c r="C8200" t="s">
        <v>121</v>
      </c>
      <c r="D8200">
        <v>34611831.326937802</v>
      </c>
    </row>
    <row r="8201" spans="1:4" hidden="1" x14ac:dyDescent="0.3">
      <c r="A8201">
        <v>8199</v>
      </c>
      <c r="B8201" s="1" t="s">
        <v>10738</v>
      </c>
      <c r="C8201" t="s">
        <v>123</v>
      </c>
      <c r="D8201" s="1" t="s">
        <v>10739</v>
      </c>
    </row>
    <row r="8202" spans="1:4" hidden="1" x14ac:dyDescent="0.3">
      <c r="A8202">
        <v>8200</v>
      </c>
      <c r="B8202" t="s">
        <v>10740</v>
      </c>
      <c r="C8202" t="s">
        <v>126</v>
      </c>
      <c r="D8202">
        <v>0.75816718553857798</v>
      </c>
    </row>
    <row r="8203" spans="1:4" hidden="1" x14ac:dyDescent="0.3">
      <c r="A8203">
        <v>8201</v>
      </c>
      <c r="B8203" t="s">
        <v>10741</v>
      </c>
      <c r="C8203" t="s">
        <v>128</v>
      </c>
      <c r="D8203">
        <v>0.33606895465124698</v>
      </c>
    </row>
    <row r="8204" spans="1:4" hidden="1" x14ac:dyDescent="0.3">
      <c r="A8204">
        <v>8202</v>
      </c>
      <c r="B8204" s="1" t="s">
        <v>10742</v>
      </c>
      <c r="C8204" t="s">
        <v>130</v>
      </c>
      <c r="D8204" s="1" t="s">
        <v>10743</v>
      </c>
    </row>
    <row r="8205" spans="1:4" ht="72" x14ac:dyDescent="0.3">
      <c r="A8205">
        <v>8203</v>
      </c>
      <c r="B8205" s="1" t="s">
        <v>10744</v>
      </c>
      <c r="C8205" t="s">
        <v>4</v>
      </c>
      <c r="D8205" t="s">
        <v>10745</v>
      </c>
    </row>
    <row r="8206" spans="1:4" hidden="1" x14ac:dyDescent="0.3">
      <c r="A8206">
        <v>8204</v>
      </c>
      <c r="B8206" t="s">
        <v>10746</v>
      </c>
      <c r="C8206" t="s">
        <v>7</v>
      </c>
      <c r="D8206">
        <v>1817.94</v>
      </c>
    </row>
    <row r="8207" spans="1:4" hidden="1" x14ac:dyDescent="0.3">
      <c r="A8207">
        <v>8205</v>
      </c>
      <c r="B8207" s="1" t="s">
        <v>10747</v>
      </c>
      <c r="C8207" t="s">
        <v>9</v>
      </c>
      <c r="D8207" s="1" t="s">
        <v>10748</v>
      </c>
    </row>
    <row r="8208" spans="1:4" hidden="1" x14ac:dyDescent="0.3">
      <c r="A8208">
        <v>8206</v>
      </c>
      <c r="B8208" t="s">
        <v>10749</v>
      </c>
      <c r="C8208" t="s">
        <v>14</v>
      </c>
      <c r="D8208">
        <v>89.83984375</v>
      </c>
    </row>
    <row r="8209" spans="1:4" hidden="1" x14ac:dyDescent="0.3">
      <c r="A8209">
        <v>8207</v>
      </c>
      <c r="B8209" t="s">
        <v>10750</v>
      </c>
      <c r="C8209" t="s">
        <v>16</v>
      </c>
      <c r="D8209">
        <v>4.2324339740669696</v>
      </c>
    </row>
    <row r="8210" spans="1:4" hidden="1" x14ac:dyDescent="0.3">
      <c r="A8210">
        <v>8208</v>
      </c>
      <c r="B8210" s="1" t="s">
        <v>10751</v>
      </c>
      <c r="C8210" t="s">
        <v>140</v>
      </c>
      <c r="D8210" s="1" t="s">
        <v>10752</v>
      </c>
    </row>
    <row r="8211" spans="1:4" hidden="1" x14ac:dyDescent="0.3">
      <c r="A8211">
        <v>8209</v>
      </c>
      <c r="B8211" t="s">
        <v>8515</v>
      </c>
      <c r="C8211" t="s">
        <v>22</v>
      </c>
      <c r="D8211">
        <v>55</v>
      </c>
    </row>
    <row r="8212" spans="1:4" hidden="1" x14ac:dyDescent="0.3">
      <c r="A8212">
        <v>8210</v>
      </c>
      <c r="B8212" t="s">
        <v>10753</v>
      </c>
      <c r="C8212" t="s">
        <v>24</v>
      </c>
      <c r="D8212">
        <v>4.6539460139151299</v>
      </c>
    </row>
    <row r="8213" spans="1:4" hidden="1" x14ac:dyDescent="0.3">
      <c r="A8213">
        <v>8211</v>
      </c>
      <c r="B8213" s="1" t="s">
        <v>10754</v>
      </c>
      <c r="C8213" t="s">
        <v>145</v>
      </c>
      <c r="D8213" s="1" t="s">
        <v>10755</v>
      </c>
    </row>
    <row r="8214" spans="1:4" hidden="1" x14ac:dyDescent="0.3">
      <c r="A8214">
        <v>8212</v>
      </c>
      <c r="B8214" t="s">
        <v>10756</v>
      </c>
      <c r="C8214" t="s">
        <v>35</v>
      </c>
      <c r="D8214">
        <v>-2.8680632228365899</v>
      </c>
    </row>
    <row r="8215" spans="1:4" hidden="1" x14ac:dyDescent="0.3">
      <c r="A8215">
        <v>8213</v>
      </c>
      <c r="B8215" t="s">
        <v>10757</v>
      </c>
      <c r="C8215" t="s">
        <v>149</v>
      </c>
      <c r="D8215">
        <v>0.539110641823077</v>
      </c>
    </row>
    <row r="8216" spans="1:4" hidden="1" x14ac:dyDescent="0.3">
      <c r="A8216">
        <v>8214</v>
      </c>
      <c r="B8216" s="1" t="s">
        <v>10758</v>
      </c>
      <c r="C8216" t="s">
        <v>151</v>
      </c>
      <c r="D8216" s="1" t="s">
        <v>10759</v>
      </c>
    </row>
    <row r="8217" spans="1:4" hidden="1" x14ac:dyDescent="0.3">
      <c r="A8217">
        <v>8215</v>
      </c>
      <c r="B8217" t="s">
        <v>10760</v>
      </c>
      <c r="C8217" t="s">
        <v>30</v>
      </c>
      <c r="D8217">
        <v>1.7914948353545299</v>
      </c>
    </row>
    <row r="8218" spans="1:4" hidden="1" x14ac:dyDescent="0.3">
      <c r="A8218">
        <v>8216</v>
      </c>
      <c r="B8218" t="s">
        <v>10761</v>
      </c>
      <c r="C8218" t="s">
        <v>32</v>
      </c>
      <c r="D8218">
        <v>0.39079192394775902</v>
      </c>
    </row>
    <row r="8219" spans="1:4" hidden="1" x14ac:dyDescent="0.3">
      <c r="A8219">
        <v>8217</v>
      </c>
      <c r="B8219" s="1" t="s">
        <v>10762</v>
      </c>
      <c r="C8219" t="s">
        <v>155</v>
      </c>
      <c r="D8219" s="1" t="s">
        <v>10763</v>
      </c>
    </row>
    <row r="8220" spans="1:4" hidden="1" x14ac:dyDescent="0.3">
      <c r="A8220">
        <v>8218</v>
      </c>
      <c r="B8220" t="s">
        <v>10764</v>
      </c>
      <c r="C8220" t="s">
        <v>40</v>
      </c>
      <c r="D8220">
        <v>2.0765683874820602</v>
      </c>
    </row>
    <row r="8221" spans="1:4" hidden="1" x14ac:dyDescent="0.3">
      <c r="A8221">
        <v>8219</v>
      </c>
      <c r="B8221" t="s">
        <v>10765</v>
      </c>
      <c r="C8221" t="s">
        <v>42</v>
      </c>
      <c r="D8221">
        <v>0.464114884454986</v>
      </c>
    </row>
    <row r="8222" spans="1:4" hidden="1" x14ac:dyDescent="0.3">
      <c r="A8222">
        <v>8220</v>
      </c>
      <c r="B8222" s="1" t="s">
        <v>10766</v>
      </c>
      <c r="C8222" t="s">
        <v>159</v>
      </c>
      <c r="D8222" s="1" t="s">
        <v>10767</v>
      </c>
    </row>
    <row r="8223" spans="1:4" hidden="1" x14ac:dyDescent="0.3">
      <c r="A8223">
        <v>8221</v>
      </c>
      <c r="B8223" t="s">
        <v>10768</v>
      </c>
      <c r="C8223" t="s">
        <v>161</v>
      </c>
      <c r="D8223">
        <v>1.01696109911502</v>
      </c>
    </row>
    <row r="8224" spans="1:4" hidden="1" x14ac:dyDescent="0.3">
      <c r="A8224">
        <v>8222</v>
      </c>
      <c r="B8224" t="s">
        <v>10769</v>
      </c>
      <c r="C8224" t="s">
        <v>163</v>
      </c>
      <c r="D8224">
        <v>0.999410864434507</v>
      </c>
    </row>
    <row r="8225" spans="1:4" hidden="1" x14ac:dyDescent="0.3">
      <c r="A8225">
        <v>8223</v>
      </c>
      <c r="B8225" s="1" t="s">
        <v>10770</v>
      </c>
      <c r="C8225" t="s">
        <v>165</v>
      </c>
      <c r="D8225" s="1" t="s">
        <v>10771</v>
      </c>
    </row>
    <row r="8226" spans="1:4" hidden="1" x14ac:dyDescent="0.3">
      <c r="A8226">
        <v>8224</v>
      </c>
      <c r="B8226" t="s">
        <v>10772</v>
      </c>
      <c r="C8226" t="s">
        <v>168</v>
      </c>
      <c r="D8226">
        <v>0.99912664638107695</v>
      </c>
    </row>
    <row r="8227" spans="1:4" hidden="1" x14ac:dyDescent="0.3">
      <c r="A8227">
        <v>8225</v>
      </c>
      <c r="B8227" t="s">
        <v>10773</v>
      </c>
      <c r="C8227" t="s">
        <v>170</v>
      </c>
      <c r="D8227">
        <v>1.00040293158143</v>
      </c>
    </row>
    <row r="8228" spans="1:4" hidden="1" x14ac:dyDescent="0.3">
      <c r="A8228">
        <v>8226</v>
      </c>
      <c r="B8228" s="1" t="s">
        <v>10774</v>
      </c>
      <c r="C8228" t="s">
        <v>172</v>
      </c>
      <c r="D8228" s="1" t="s">
        <v>10775</v>
      </c>
    </row>
    <row r="8229" spans="1:4" hidden="1" x14ac:dyDescent="0.3">
      <c r="A8229">
        <v>8227</v>
      </c>
      <c r="B8229" s="1" t="s">
        <v>10776</v>
      </c>
      <c r="C8229" t="s">
        <v>55</v>
      </c>
      <c r="D8229" s="1" t="s">
        <v>10777</v>
      </c>
    </row>
    <row r="8230" spans="1:4" hidden="1" x14ac:dyDescent="0.3">
      <c r="A8230">
        <v>8228</v>
      </c>
      <c r="B8230" s="1" t="s">
        <v>10778</v>
      </c>
      <c r="C8230" t="s">
        <v>52</v>
      </c>
      <c r="D8230" s="1" t="s">
        <v>10779</v>
      </c>
    </row>
    <row r="8231" spans="1:4" hidden="1" x14ac:dyDescent="0.3">
      <c r="A8231">
        <v>8229</v>
      </c>
      <c r="B8231" s="1" t="s">
        <v>10780</v>
      </c>
      <c r="C8231" t="s">
        <v>58</v>
      </c>
      <c r="D8231" s="1" t="s">
        <v>10781</v>
      </c>
    </row>
    <row r="8232" spans="1:4" hidden="1" x14ac:dyDescent="0.3">
      <c r="A8232">
        <v>8230</v>
      </c>
      <c r="B8232" t="s">
        <v>10782</v>
      </c>
      <c r="C8232" t="s">
        <v>61</v>
      </c>
      <c r="D8232">
        <v>147674156.30872601</v>
      </c>
    </row>
    <row r="8233" spans="1:4" hidden="1" x14ac:dyDescent="0.3">
      <c r="A8233">
        <v>8231</v>
      </c>
      <c r="B8233" t="s">
        <v>10783</v>
      </c>
      <c r="C8233" t="s">
        <v>63</v>
      </c>
      <c r="D8233">
        <v>79408228.534857601</v>
      </c>
    </row>
    <row r="8234" spans="1:4" hidden="1" x14ac:dyDescent="0.3">
      <c r="A8234">
        <v>8232</v>
      </c>
      <c r="B8234" t="s">
        <v>10784</v>
      </c>
      <c r="C8234" t="s">
        <v>65</v>
      </c>
      <c r="D8234">
        <v>34591440.266116299</v>
      </c>
    </row>
    <row r="8235" spans="1:4" hidden="1" x14ac:dyDescent="0.3">
      <c r="A8235">
        <v>8233</v>
      </c>
      <c r="B8235" s="1" t="s">
        <v>10785</v>
      </c>
      <c r="C8235" t="s">
        <v>67</v>
      </c>
      <c r="D8235" s="1" t="s">
        <v>10786</v>
      </c>
    </row>
    <row r="8236" spans="1:4" hidden="1" x14ac:dyDescent="0.3">
      <c r="A8236">
        <v>8234</v>
      </c>
      <c r="B8236" s="1" t="s">
        <v>10787</v>
      </c>
      <c r="C8236" t="s">
        <v>70</v>
      </c>
      <c r="D8236" s="1" t="s">
        <v>10788</v>
      </c>
    </row>
    <row r="8237" spans="1:4" hidden="1" x14ac:dyDescent="0.3">
      <c r="A8237">
        <v>8235</v>
      </c>
      <c r="B8237" t="s">
        <v>10789</v>
      </c>
      <c r="C8237" t="s">
        <v>73</v>
      </c>
      <c r="D8237">
        <v>0.99980816169324005</v>
      </c>
    </row>
    <row r="8238" spans="1:4" hidden="1" x14ac:dyDescent="0.3">
      <c r="A8238">
        <v>8236</v>
      </c>
      <c r="B8238" t="s">
        <v>74</v>
      </c>
      <c r="C8238" t="s">
        <v>75</v>
      </c>
      <c r="D8238">
        <v>2.7397260273972599E-3</v>
      </c>
    </row>
    <row r="8239" spans="1:4" hidden="1" x14ac:dyDescent="0.3">
      <c r="A8239">
        <v>8237</v>
      </c>
      <c r="B8239" t="s">
        <v>76</v>
      </c>
      <c r="C8239" t="s">
        <v>77</v>
      </c>
      <c r="D8239">
        <v>0</v>
      </c>
    </row>
    <row r="8240" spans="1:4" hidden="1" x14ac:dyDescent="0.3">
      <c r="A8240">
        <v>8238</v>
      </c>
      <c r="B8240" t="s">
        <v>188</v>
      </c>
      <c r="C8240" t="s">
        <v>79</v>
      </c>
      <c r="D8240" s="2">
        <v>-2.2204460492503101E-16</v>
      </c>
    </row>
    <row r="8241" spans="1:4" hidden="1" x14ac:dyDescent="0.3">
      <c r="A8241">
        <v>8239</v>
      </c>
      <c r="B8241" s="1" t="s">
        <v>10790</v>
      </c>
      <c r="C8241" t="s">
        <v>81</v>
      </c>
      <c r="D8241" s="1" t="s">
        <v>10791</v>
      </c>
    </row>
    <row r="8242" spans="1:4" hidden="1" x14ac:dyDescent="0.3">
      <c r="A8242">
        <v>8240</v>
      </c>
      <c r="B8242" t="s">
        <v>10792</v>
      </c>
      <c r="C8242" t="s">
        <v>84</v>
      </c>
      <c r="D8242">
        <v>0.99978847693138795</v>
      </c>
    </row>
    <row r="8243" spans="1:4" hidden="1" x14ac:dyDescent="0.3">
      <c r="A8243">
        <v>8241</v>
      </c>
      <c r="B8243" s="1" t="s">
        <v>10793</v>
      </c>
      <c r="C8243" t="s">
        <v>86</v>
      </c>
      <c r="D8243" s="1" t="s">
        <v>10794</v>
      </c>
    </row>
    <row r="8244" spans="1:4" hidden="1" x14ac:dyDescent="0.3">
      <c r="A8244">
        <v>8242</v>
      </c>
      <c r="B8244" t="s">
        <v>10795</v>
      </c>
      <c r="C8244" t="s">
        <v>89</v>
      </c>
      <c r="D8244">
        <v>103015203.78650799</v>
      </c>
    </row>
    <row r="8245" spans="1:4" hidden="1" x14ac:dyDescent="0.3">
      <c r="A8245">
        <v>8243</v>
      </c>
      <c r="B8245" s="1" t="s">
        <v>10796</v>
      </c>
      <c r="C8245" t="s">
        <v>91</v>
      </c>
      <c r="D8245" s="1" t="s">
        <v>10731</v>
      </c>
    </row>
    <row r="8246" spans="1:4" hidden="1" x14ac:dyDescent="0.3">
      <c r="A8246">
        <v>8244</v>
      </c>
      <c r="B8246" t="s">
        <v>10797</v>
      </c>
      <c r="C8246" t="s">
        <v>94</v>
      </c>
      <c r="D8246">
        <v>79408228.534857601</v>
      </c>
    </row>
    <row r="8247" spans="1:4" hidden="1" x14ac:dyDescent="0.3">
      <c r="A8247">
        <v>8245</v>
      </c>
      <c r="B8247" t="s">
        <v>10798</v>
      </c>
      <c r="C8247" t="s">
        <v>96</v>
      </c>
      <c r="D8247">
        <v>34591440.266116299</v>
      </c>
    </row>
    <row r="8248" spans="1:4" hidden="1" x14ac:dyDescent="0.3">
      <c r="A8248">
        <v>8246</v>
      </c>
      <c r="B8248" t="s">
        <v>10799</v>
      </c>
      <c r="C8248" t="s">
        <v>98</v>
      </c>
      <c r="D8248">
        <v>33674487.507752098</v>
      </c>
    </row>
    <row r="8249" spans="1:4" hidden="1" x14ac:dyDescent="0.3">
      <c r="A8249">
        <v>8247</v>
      </c>
      <c r="B8249" s="1" t="s">
        <v>10800</v>
      </c>
      <c r="C8249" t="s">
        <v>100</v>
      </c>
      <c r="D8249" s="1" t="s">
        <v>10801</v>
      </c>
    </row>
    <row r="8250" spans="1:4" hidden="1" x14ac:dyDescent="0.3">
      <c r="A8250">
        <v>8248</v>
      </c>
      <c r="B8250" t="s">
        <v>10802</v>
      </c>
      <c r="C8250" t="s">
        <v>103</v>
      </c>
      <c r="D8250">
        <v>9.8805064396459696E-3</v>
      </c>
    </row>
    <row r="8251" spans="1:4" hidden="1" x14ac:dyDescent="0.3">
      <c r="A8251">
        <v>8249</v>
      </c>
      <c r="B8251" t="s">
        <v>10803</v>
      </c>
      <c r="C8251" t="s">
        <v>105</v>
      </c>
      <c r="D8251">
        <v>2.86948523566391E-3</v>
      </c>
    </row>
    <row r="8252" spans="1:4" hidden="1" x14ac:dyDescent="0.3">
      <c r="A8252">
        <v>8250</v>
      </c>
      <c r="B8252" t="s">
        <v>10804</v>
      </c>
      <c r="C8252" t="s">
        <v>107</v>
      </c>
      <c r="D8252">
        <v>2.0078582228912501E-2</v>
      </c>
    </row>
    <row r="8253" spans="1:4" hidden="1" x14ac:dyDescent="0.3">
      <c r="A8253">
        <v>8251</v>
      </c>
      <c r="B8253" s="1" t="s">
        <v>10805</v>
      </c>
      <c r="C8253" t="s">
        <v>109</v>
      </c>
      <c r="D8253" s="1" t="s">
        <v>10806</v>
      </c>
    </row>
    <row r="8254" spans="1:4" hidden="1" x14ac:dyDescent="0.3">
      <c r="A8254">
        <v>8252</v>
      </c>
      <c r="B8254" t="s">
        <v>10807</v>
      </c>
      <c r="C8254" t="s">
        <v>208</v>
      </c>
      <c r="D8254">
        <v>147673458.43618</v>
      </c>
    </row>
    <row r="8255" spans="1:4" hidden="1" x14ac:dyDescent="0.3">
      <c r="A8255">
        <v>8253</v>
      </c>
      <c r="B8255" t="s">
        <v>10808</v>
      </c>
      <c r="C8255" t="s">
        <v>210</v>
      </c>
      <c r="D8255">
        <v>1563.4212596242201</v>
      </c>
    </row>
    <row r="8256" spans="1:4" hidden="1" x14ac:dyDescent="0.3">
      <c r="A8256">
        <v>8254</v>
      </c>
      <c r="B8256" t="s">
        <v>10809</v>
      </c>
      <c r="C8256" t="s">
        <v>212</v>
      </c>
      <c r="D8256">
        <v>681.05332925213702</v>
      </c>
    </row>
    <row r="8257" spans="1:4" hidden="1" x14ac:dyDescent="0.3">
      <c r="A8257">
        <v>8255</v>
      </c>
      <c r="B8257" s="1" t="s">
        <v>10810</v>
      </c>
      <c r="C8257" t="s">
        <v>214</v>
      </c>
      <c r="D8257" s="1" t="s">
        <v>10811</v>
      </c>
    </row>
    <row r="8258" spans="1:4" hidden="1" x14ac:dyDescent="0.3">
      <c r="A8258">
        <v>8256</v>
      </c>
      <c r="B8258" t="s">
        <v>10812</v>
      </c>
      <c r="C8258" t="s">
        <v>217</v>
      </c>
      <c r="D8258">
        <v>79406119.905240104</v>
      </c>
    </row>
    <row r="8259" spans="1:4" hidden="1" x14ac:dyDescent="0.3">
      <c r="A8259">
        <v>8257</v>
      </c>
      <c r="B8259" t="s">
        <v>10813</v>
      </c>
      <c r="C8259" t="s">
        <v>219</v>
      </c>
      <c r="D8259">
        <v>34590678.610482998</v>
      </c>
    </row>
    <row r="8260" spans="1:4" hidden="1" x14ac:dyDescent="0.3">
      <c r="A8260">
        <v>8258</v>
      </c>
      <c r="B8260" t="s">
        <v>10814</v>
      </c>
      <c r="C8260" t="s">
        <v>221</v>
      </c>
      <c r="D8260">
        <v>33673752.445830397</v>
      </c>
    </row>
    <row r="8261" spans="1:4" hidden="1" x14ac:dyDescent="0.3">
      <c r="A8261">
        <v>8259</v>
      </c>
      <c r="B8261" s="1" t="s">
        <v>10815</v>
      </c>
      <c r="C8261" t="s">
        <v>223</v>
      </c>
      <c r="D8261" s="1" t="s">
        <v>10816</v>
      </c>
    </row>
    <row r="8262" spans="1:4" hidden="1" x14ac:dyDescent="0.3">
      <c r="A8262">
        <v>8260</v>
      </c>
      <c r="B8262" t="s">
        <v>10817</v>
      </c>
      <c r="C8262" t="s">
        <v>226</v>
      </c>
      <c r="D8262">
        <v>103013175.567664</v>
      </c>
    </row>
    <row r="8263" spans="1:4" hidden="1" x14ac:dyDescent="0.3">
      <c r="A8263">
        <v>8261</v>
      </c>
      <c r="B8263" t="s">
        <v>10818</v>
      </c>
      <c r="C8263" t="s">
        <v>228</v>
      </c>
      <c r="D8263">
        <v>2028.2188437878999</v>
      </c>
    </row>
    <row r="8264" spans="1:4" hidden="1" x14ac:dyDescent="0.3">
      <c r="A8264">
        <v>8262</v>
      </c>
      <c r="B8264" s="1" t="s">
        <v>10819</v>
      </c>
      <c r="C8264" t="s">
        <v>230</v>
      </c>
      <c r="D8264" s="1" t="s">
        <v>10820</v>
      </c>
    </row>
    <row r="8265" spans="1:4" hidden="1" x14ac:dyDescent="0.3">
      <c r="A8265">
        <v>8263</v>
      </c>
      <c r="B8265" t="s">
        <v>10821</v>
      </c>
      <c r="C8265" t="s">
        <v>112</v>
      </c>
      <c r="D8265">
        <v>-545.20835784922497</v>
      </c>
    </row>
    <row r="8266" spans="1:4" hidden="1" x14ac:dyDescent="0.3">
      <c r="A8266">
        <v>8264</v>
      </c>
      <c r="B8266" t="s">
        <v>10822</v>
      </c>
      <c r="C8266" t="s">
        <v>114</v>
      </c>
      <c r="D8266">
        <v>-80.602303978124496</v>
      </c>
    </row>
    <row r="8267" spans="1:4" hidden="1" x14ac:dyDescent="0.3">
      <c r="A8267">
        <v>8265</v>
      </c>
      <c r="B8267" s="1" t="s">
        <v>10823</v>
      </c>
      <c r="C8267" t="s">
        <v>116</v>
      </c>
      <c r="D8267" s="1" t="s">
        <v>10824</v>
      </c>
    </row>
    <row r="8268" spans="1:4" hidden="1" x14ac:dyDescent="0.3">
      <c r="A8268">
        <v>8266</v>
      </c>
      <c r="B8268" t="s">
        <v>10825</v>
      </c>
      <c r="C8268" t="s">
        <v>119</v>
      </c>
      <c r="D8268">
        <v>79406119.905240104</v>
      </c>
    </row>
    <row r="8269" spans="1:4" hidden="1" x14ac:dyDescent="0.3">
      <c r="A8269">
        <v>8267</v>
      </c>
      <c r="B8269" t="s">
        <v>10826</v>
      </c>
      <c r="C8269" t="s">
        <v>121</v>
      </c>
      <c r="D8269">
        <v>34590678.610482998</v>
      </c>
    </row>
    <row r="8270" spans="1:4" hidden="1" x14ac:dyDescent="0.3">
      <c r="A8270">
        <v>8268</v>
      </c>
      <c r="B8270" s="1" t="s">
        <v>10827</v>
      </c>
      <c r="C8270" t="s">
        <v>123</v>
      </c>
      <c r="D8270" s="1" t="s">
        <v>10828</v>
      </c>
    </row>
    <row r="8271" spans="1:4" hidden="1" x14ac:dyDescent="0.3">
      <c r="A8271">
        <v>8269</v>
      </c>
      <c r="B8271" t="s">
        <v>10829</v>
      </c>
      <c r="C8271" t="s">
        <v>126</v>
      </c>
      <c r="D8271">
        <v>0.77099768303677296</v>
      </c>
    </row>
    <row r="8272" spans="1:4" hidden="1" x14ac:dyDescent="0.3">
      <c r="A8272">
        <v>8270</v>
      </c>
      <c r="B8272" t="s">
        <v>10830</v>
      </c>
      <c r="C8272" t="s">
        <v>128</v>
      </c>
      <c r="D8272">
        <v>0.335859919804395</v>
      </c>
    </row>
    <row r="8273" spans="1:4" hidden="1" x14ac:dyDescent="0.3">
      <c r="A8273">
        <v>8271</v>
      </c>
      <c r="B8273" s="1" t="s">
        <v>10831</v>
      </c>
      <c r="C8273" t="s">
        <v>130</v>
      </c>
      <c r="D8273" s="1" t="s">
        <v>10832</v>
      </c>
    </row>
    <row r="8274" spans="1:4" ht="72" x14ac:dyDescent="0.3">
      <c r="A8274">
        <v>8272</v>
      </c>
      <c r="B8274" s="1" t="s">
        <v>10833</v>
      </c>
      <c r="C8274" t="s">
        <v>4</v>
      </c>
      <c r="D8274" t="s">
        <v>10834</v>
      </c>
    </row>
    <row r="8275" spans="1:4" hidden="1" x14ac:dyDescent="0.3">
      <c r="A8275">
        <v>8273</v>
      </c>
      <c r="B8275" t="s">
        <v>10835</v>
      </c>
      <c r="C8275" t="s">
        <v>7</v>
      </c>
      <c r="D8275">
        <v>1814.39</v>
      </c>
    </row>
    <row r="8276" spans="1:4" hidden="1" x14ac:dyDescent="0.3">
      <c r="A8276">
        <v>8274</v>
      </c>
      <c r="B8276" s="1" t="s">
        <v>10836</v>
      </c>
      <c r="C8276" t="s">
        <v>9</v>
      </c>
      <c r="D8276" s="1" t="s">
        <v>10837</v>
      </c>
    </row>
    <row r="8277" spans="1:4" hidden="1" x14ac:dyDescent="0.3">
      <c r="A8277">
        <v>8275</v>
      </c>
      <c r="B8277" t="s">
        <v>10838</v>
      </c>
      <c r="C8277" t="s">
        <v>14</v>
      </c>
      <c r="D8277">
        <v>89.9140625</v>
      </c>
    </row>
    <row r="8278" spans="1:4" hidden="1" x14ac:dyDescent="0.3">
      <c r="A8278">
        <v>8276</v>
      </c>
      <c r="B8278" t="s">
        <v>10839</v>
      </c>
      <c r="C8278" t="s">
        <v>16</v>
      </c>
      <c r="D8278">
        <v>4.2329401094023096</v>
      </c>
    </row>
    <row r="8279" spans="1:4" hidden="1" x14ac:dyDescent="0.3">
      <c r="A8279">
        <v>8277</v>
      </c>
      <c r="B8279" s="1" t="s">
        <v>10840</v>
      </c>
      <c r="C8279" t="s">
        <v>140</v>
      </c>
      <c r="D8279" s="1" t="s">
        <v>10841</v>
      </c>
    </row>
    <row r="8280" spans="1:4" hidden="1" x14ac:dyDescent="0.3">
      <c r="A8280">
        <v>8278</v>
      </c>
      <c r="B8280" t="s">
        <v>10842</v>
      </c>
      <c r="C8280" t="s">
        <v>22</v>
      </c>
      <c r="D8280">
        <v>55.15</v>
      </c>
    </row>
    <row r="8281" spans="1:4" hidden="1" x14ac:dyDescent="0.3">
      <c r="A8281">
        <v>8279</v>
      </c>
      <c r="B8281" t="s">
        <v>10843</v>
      </c>
      <c r="C8281" t="s">
        <v>24</v>
      </c>
      <c r="D8281">
        <v>4.6475531427834502</v>
      </c>
    </row>
    <row r="8282" spans="1:4" hidden="1" x14ac:dyDescent="0.3">
      <c r="A8282">
        <v>8280</v>
      </c>
      <c r="B8282" s="1" t="s">
        <v>10844</v>
      </c>
      <c r="C8282" t="s">
        <v>145</v>
      </c>
      <c r="D8282" s="1" t="s">
        <v>10845</v>
      </c>
    </row>
    <row r="8283" spans="1:4" hidden="1" x14ac:dyDescent="0.3">
      <c r="A8283">
        <v>8281</v>
      </c>
      <c r="B8283" t="s">
        <v>10846</v>
      </c>
      <c r="C8283" t="s">
        <v>35</v>
      </c>
      <c r="D8283">
        <v>-0.32437095539641098</v>
      </c>
    </row>
    <row r="8284" spans="1:4" hidden="1" x14ac:dyDescent="0.3">
      <c r="A8284">
        <v>8282</v>
      </c>
      <c r="B8284" t="s">
        <v>10847</v>
      </c>
      <c r="C8284" t="s">
        <v>149</v>
      </c>
      <c r="D8284">
        <v>0.54045949827934603</v>
      </c>
    </row>
    <row r="8285" spans="1:4" hidden="1" x14ac:dyDescent="0.3">
      <c r="A8285">
        <v>8283</v>
      </c>
      <c r="B8285" s="1" t="s">
        <v>10848</v>
      </c>
      <c r="C8285" t="s">
        <v>151</v>
      </c>
      <c r="D8285" s="1" t="s">
        <v>10849</v>
      </c>
    </row>
    <row r="8286" spans="1:4" hidden="1" x14ac:dyDescent="0.3">
      <c r="A8286">
        <v>8284</v>
      </c>
      <c r="B8286" t="s">
        <v>10850</v>
      </c>
      <c r="C8286" t="s">
        <v>30</v>
      </c>
      <c r="D8286">
        <v>0.623129989545948</v>
      </c>
    </row>
    <row r="8287" spans="1:4" hidden="1" x14ac:dyDescent="0.3">
      <c r="A8287">
        <v>8285</v>
      </c>
      <c r="B8287" t="s">
        <v>10851</v>
      </c>
      <c r="C8287" t="s">
        <v>32</v>
      </c>
      <c r="D8287">
        <v>0.38751847714231002</v>
      </c>
    </row>
    <row r="8288" spans="1:4" hidden="1" x14ac:dyDescent="0.3">
      <c r="A8288">
        <v>8286</v>
      </c>
      <c r="B8288" s="1" t="s">
        <v>10852</v>
      </c>
      <c r="C8288" t="s">
        <v>155</v>
      </c>
      <c r="D8288" s="1" t="s">
        <v>10853</v>
      </c>
    </row>
    <row r="8289" spans="1:4" hidden="1" x14ac:dyDescent="0.3">
      <c r="A8289">
        <v>8287</v>
      </c>
      <c r="B8289" t="s">
        <v>10854</v>
      </c>
      <c r="C8289" t="s">
        <v>40</v>
      </c>
      <c r="D8289">
        <v>0.70124096585046203</v>
      </c>
    </row>
    <row r="8290" spans="1:4" hidden="1" x14ac:dyDescent="0.3">
      <c r="A8290">
        <v>8288</v>
      </c>
      <c r="B8290" t="s">
        <v>10855</v>
      </c>
      <c r="C8290" t="s">
        <v>42</v>
      </c>
      <c r="D8290">
        <v>0.46275893158801301</v>
      </c>
    </row>
    <row r="8291" spans="1:4" hidden="1" x14ac:dyDescent="0.3">
      <c r="A8291">
        <v>8289</v>
      </c>
      <c r="B8291" s="1" t="s">
        <v>10856</v>
      </c>
      <c r="C8291" t="s">
        <v>159</v>
      </c>
      <c r="D8291" s="1" t="s">
        <v>10857</v>
      </c>
    </row>
    <row r="8292" spans="1:4" hidden="1" x14ac:dyDescent="0.3">
      <c r="A8292">
        <v>8290</v>
      </c>
      <c r="B8292" t="s">
        <v>10858</v>
      </c>
      <c r="C8292" t="s">
        <v>161</v>
      </c>
      <c r="D8292">
        <v>0.99804724028295699</v>
      </c>
    </row>
    <row r="8293" spans="1:4" hidden="1" x14ac:dyDescent="0.3">
      <c r="A8293">
        <v>8291</v>
      </c>
      <c r="B8293" t="s">
        <v>10859</v>
      </c>
      <c r="C8293" t="s">
        <v>163</v>
      </c>
      <c r="D8293">
        <v>1.00079433481513</v>
      </c>
    </row>
    <row r="8294" spans="1:4" hidden="1" x14ac:dyDescent="0.3">
      <c r="A8294">
        <v>8292</v>
      </c>
      <c r="B8294" s="1" t="s">
        <v>10860</v>
      </c>
      <c r="C8294" t="s">
        <v>165</v>
      </c>
      <c r="D8294" s="1" t="s">
        <v>10861</v>
      </c>
    </row>
    <row r="8295" spans="1:4" hidden="1" x14ac:dyDescent="0.3">
      <c r="A8295">
        <v>8293</v>
      </c>
      <c r="B8295" t="s">
        <v>10862</v>
      </c>
      <c r="C8295" t="s">
        <v>168</v>
      </c>
      <c r="D8295">
        <v>1.0008763869338599</v>
      </c>
    </row>
    <row r="8296" spans="1:4" hidden="1" x14ac:dyDescent="0.3">
      <c r="A8296">
        <v>8294</v>
      </c>
      <c r="B8296" t="s">
        <v>10863</v>
      </c>
      <c r="C8296" t="s">
        <v>170</v>
      </c>
      <c r="D8296">
        <v>0.99764634324582602</v>
      </c>
    </row>
    <row r="8297" spans="1:4" hidden="1" x14ac:dyDescent="0.3">
      <c r="A8297">
        <v>8295</v>
      </c>
      <c r="B8297" s="1" t="s">
        <v>10864</v>
      </c>
      <c r="C8297" t="s">
        <v>172</v>
      </c>
      <c r="D8297" s="1" t="s">
        <v>10865</v>
      </c>
    </row>
    <row r="8298" spans="1:4" hidden="1" x14ac:dyDescent="0.3">
      <c r="A8298">
        <v>8296</v>
      </c>
      <c r="B8298" s="1" t="s">
        <v>10866</v>
      </c>
      <c r="C8298" t="s">
        <v>55</v>
      </c>
      <c r="D8298" s="1" t="s">
        <v>10867</v>
      </c>
    </row>
    <row r="8299" spans="1:4" hidden="1" x14ac:dyDescent="0.3">
      <c r="A8299">
        <v>8297</v>
      </c>
      <c r="B8299" s="1" t="s">
        <v>10868</v>
      </c>
      <c r="C8299" t="s">
        <v>52</v>
      </c>
      <c r="D8299" s="1" t="s">
        <v>10869</v>
      </c>
    </row>
    <row r="8300" spans="1:4" hidden="1" x14ac:dyDescent="0.3">
      <c r="A8300">
        <v>8298</v>
      </c>
      <c r="B8300" s="1" t="s">
        <v>10870</v>
      </c>
      <c r="C8300" t="s">
        <v>58</v>
      </c>
      <c r="D8300" s="1" t="s">
        <v>10871</v>
      </c>
    </row>
    <row r="8301" spans="1:4" hidden="1" x14ac:dyDescent="0.3">
      <c r="A8301">
        <v>8299</v>
      </c>
      <c r="B8301" t="s">
        <v>10872</v>
      </c>
      <c r="C8301" t="s">
        <v>61</v>
      </c>
      <c r="D8301">
        <v>147624030.52706799</v>
      </c>
    </row>
    <row r="8302" spans="1:4" hidden="1" x14ac:dyDescent="0.3">
      <c r="A8302">
        <v>8300</v>
      </c>
      <c r="B8302" t="s">
        <v>10873</v>
      </c>
      <c r="C8302" t="s">
        <v>63</v>
      </c>
      <c r="D8302">
        <v>79251058.833002597</v>
      </c>
    </row>
    <row r="8303" spans="1:4" hidden="1" x14ac:dyDescent="0.3">
      <c r="A8303">
        <v>8301</v>
      </c>
      <c r="B8303" t="s">
        <v>10874</v>
      </c>
      <c r="C8303" t="s">
        <v>65</v>
      </c>
      <c r="D8303">
        <v>34618155.190782502</v>
      </c>
    </row>
    <row r="8304" spans="1:4" hidden="1" x14ac:dyDescent="0.3">
      <c r="A8304">
        <v>8302</v>
      </c>
      <c r="B8304" s="1" t="s">
        <v>10875</v>
      </c>
      <c r="C8304" t="s">
        <v>67</v>
      </c>
      <c r="D8304" s="1" t="s">
        <v>10876</v>
      </c>
    </row>
    <row r="8305" spans="1:4" hidden="1" x14ac:dyDescent="0.3">
      <c r="A8305">
        <v>8303</v>
      </c>
      <c r="B8305" s="1" t="s">
        <v>10877</v>
      </c>
      <c r="C8305" t="s">
        <v>70</v>
      </c>
      <c r="D8305" s="1" t="s">
        <v>10878</v>
      </c>
    </row>
    <row r="8306" spans="1:4" hidden="1" x14ac:dyDescent="0.3">
      <c r="A8306">
        <v>8304</v>
      </c>
      <c r="B8306" t="s">
        <v>10879</v>
      </c>
      <c r="C8306" t="s">
        <v>73</v>
      </c>
      <c r="D8306">
        <v>0.99978847693138795</v>
      </c>
    </row>
    <row r="8307" spans="1:4" hidden="1" x14ac:dyDescent="0.3">
      <c r="A8307">
        <v>8305</v>
      </c>
      <c r="B8307" t="s">
        <v>74</v>
      </c>
      <c r="C8307" t="s">
        <v>75</v>
      </c>
      <c r="D8307">
        <v>2.7397260273972599E-3</v>
      </c>
    </row>
    <row r="8308" spans="1:4" hidden="1" x14ac:dyDescent="0.3">
      <c r="A8308">
        <v>8306</v>
      </c>
      <c r="B8308" t="s">
        <v>76</v>
      </c>
      <c r="C8308" t="s">
        <v>77</v>
      </c>
      <c r="D8308">
        <v>0</v>
      </c>
    </row>
    <row r="8309" spans="1:4" hidden="1" x14ac:dyDescent="0.3">
      <c r="A8309">
        <v>8307</v>
      </c>
      <c r="B8309" t="s">
        <v>78</v>
      </c>
      <c r="C8309" t="s">
        <v>79</v>
      </c>
      <c r="D8309">
        <v>0</v>
      </c>
    </row>
    <row r="8310" spans="1:4" hidden="1" x14ac:dyDescent="0.3">
      <c r="A8310">
        <v>8308</v>
      </c>
      <c r="B8310" s="1" t="s">
        <v>10880</v>
      </c>
      <c r="C8310" t="s">
        <v>81</v>
      </c>
      <c r="D8310" s="1" t="s">
        <v>10881</v>
      </c>
    </row>
    <row r="8311" spans="1:4" hidden="1" x14ac:dyDescent="0.3">
      <c r="A8311">
        <v>8309</v>
      </c>
      <c r="B8311" t="s">
        <v>10882</v>
      </c>
      <c r="C8311" t="s">
        <v>84</v>
      </c>
      <c r="D8311">
        <v>0.99983127848447995</v>
      </c>
    </row>
    <row r="8312" spans="1:4" hidden="1" x14ac:dyDescent="0.3">
      <c r="A8312">
        <v>8310</v>
      </c>
      <c r="B8312" s="1" t="s">
        <v>10883</v>
      </c>
      <c r="C8312" t="s">
        <v>86</v>
      </c>
      <c r="D8312" s="1" t="s">
        <v>10884</v>
      </c>
    </row>
    <row r="8313" spans="1:4" hidden="1" x14ac:dyDescent="0.3">
      <c r="A8313">
        <v>8311</v>
      </c>
      <c r="B8313" t="s">
        <v>10885</v>
      </c>
      <c r="C8313" t="s">
        <v>89</v>
      </c>
      <c r="D8313">
        <v>103010793.83174001</v>
      </c>
    </row>
    <row r="8314" spans="1:4" hidden="1" x14ac:dyDescent="0.3">
      <c r="A8314">
        <v>8312</v>
      </c>
      <c r="B8314" s="1" t="s">
        <v>10886</v>
      </c>
      <c r="C8314" t="s">
        <v>91</v>
      </c>
      <c r="D8314" s="1" t="s">
        <v>10820</v>
      </c>
    </row>
    <row r="8315" spans="1:4" hidden="1" x14ac:dyDescent="0.3">
      <c r="A8315">
        <v>8313</v>
      </c>
      <c r="B8315" t="s">
        <v>10887</v>
      </c>
      <c r="C8315" t="s">
        <v>94</v>
      </c>
      <c r="D8315">
        <v>79251058.833002597</v>
      </c>
    </row>
    <row r="8316" spans="1:4" hidden="1" x14ac:dyDescent="0.3">
      <c r="A8316">
        <v>8314</v>
      </c>
      <c r="B8316" t="s">
        <v>10888</v>
      </c>
      <c r="C8316" t="s">
        <v>96</v>
      </c>
      <c r="D8316">
        <v>34618155.190782502</v>
      </c>
    </row>
    <row r="8317" spans="1:4" hidden="1" x14ac:dyDescent="0.3">
      <c r="A8317">
        <v>8315</v>
      </c>
      <c r="B8317" t="s">
        <v>10889</v>
      </c>
      <c r="C8317" t="s">
        <v>98</v>
      </c>
      <c r="D8317">
        <v>33754816.503283396</v>
      </c>
    </row>
    <row r="8318" spans="1:4" hidden="1" x14ac:dyDescent="0.3">
      <c r="A8318">
        <v>8316</v>
      </c>
      <c r="B8318" s="1" t="s">
        <v>10890</v>
      </c>
      <c r="C8318" t="s">
        <v>100</v>
      </c>
      <c r="D8318" s="1" t="s">
        <v>10891</v>
      </c>
    </row>
    <row r="8319" spans="1:4" hidden="1" x14ac:dyDescent="0.3">
      <c r="A8319">
        <v>8317</v>
      </c>
      <c r="B8319" t="s">
        <v>10892</v>
      </c>
      <c r="C8319" t="s">
        <v>103</v>
      </c>
      <c r="D8319">
        <v>9.9751282013419307E-3</v>
      </c>
    </row>
    <row r="8320" spans="1:4" hidden="1" x14ac:dyDescent="0.3">
      <c r="A8320">
        <v>8318</v>
      </c>
      <c r="B8320" t="s">
        <v>10893</v>
      </c>
      <c r="C8320" t="s">
        <v>105</v>
      </c>
      <c r="D8320">
        <v>2.86378299275748E-3</v>
      </c>
    </row>
    <row r="8321" spans="1:4" hidden="1" x14ac:dyDescent="0.3">
      <c r="A8321">
        <v>8319</v>
      </c>
      <c r="B8321" t="s">
        <v>10894</v>
      </c>
      <c r="C8321" t="s">
        <v>107</v>
      </c>
      <c r="D8321">
        <v>2.0082831488528099E-2</v>
      </c>
    </row>
    <row r="8322" spans="1:4" hidden="1" x14ac:dyDescent="0.3">
      <c r="A8322">
        <v>8320</v>
      </c>
      <c r="B8322" s="1" t="s">
        <v>10895</v>
      </c>
      <c r="C8322" t="s">
        <v>109</v>
      </c>
      <c r="D8322" s="1" t="s">
        <v>10896</v>
      </c>
    </row>
    <row r="8323" spans="1:4" hidden="1" x14ac:dyDescent="0.3">
      <c r="A8323">
        <v>8321</v>
      </c>
      <c r="B8323" t="s">
        <v>10897</v>
      </c>
      <c r="C8323" t="s">
        <v>208</v>
      </c>
      <c r="D8323">
        <v>147625551.53944099</v>
      </c>
    </row>
    <row r="8324" spans="1:4" hidden="1" x14ac:dyDescent="0.3">
      <c r="A8324">
        <v>8322</v>
      </c>
      <c r="B8324" t="s">
        <v>10898</v>
      </c>
      <c r="C8324" t="s">
        <v>210</v>
      </c>
      <c r="D8324">
        <v>-3392.8367201802898</v>
      </c>
    </row>
    <row r="8325" spans="1:4" hidden="1" x14ac:dyDescent="0.3">
      <c r="A8325">
        <v>8323</v>
      </c>
      <c r="B8325" t="s">
        <v>10899</v>
      </c>
      <c r="C8325" t="s">
        <v>212</v>
      </c>
      <c r="D8325">
        <v>-1482.0319069223899</v>
      </c>
    </row>
    <row r="8326" spans="1:4" hidden="1" x14ac:dyDescent="0.3">
      <c r="A8326">
        <v>8324</v>
      </c>
      <c r="B8326" s="1" t="s">
        <v>10900</v>
      </c>
      <c r="C8326" t="s">
        <v>214</v>
      </c>
      <c r="D8326" s="1" t="s">
        <v>10901</v>
      </c>
    </row>
    <row r="8327" spans="1:4" hidden="1" x14ac:dyDescent="0.3">
      <c r="A8327">
        <v>8325</v>
      </c>
      <c r="B8327" t="s">
        <v>10902</v>
      </c>
      <c r="C8327" t="s">
        <v>217</v>
      </c>
      <c r="D8327">
        <v>79255635.147973493</v>
      </c>
    </row>
    <row r="8328" spans="1:4" hidden="1" x14ac:dyDescent="0.3">
      <c r="A8328">
        <v>8326</v>
      </c>
      <c r="B8328" t="s">
        <v>10903</v>
      </c>
      <c r="C8328" t="s">
        <v>219</v>
      </c>
      <c r="D8328">
        <v>34619815.151745699</v>
      </c>
    </row>
    <row r="8329" spans="1:4" hidden="1" x14ac:dyDescent="0.3">
      <c r="A8329">
        <v>8327</v>
      </c>
      <c r="B8329" t="s">
        <v>10904</v>
      </c>
      <c r="C8329" t="s">
        <v>221</v>
      </c>
      <c r="D8329">
        <v>33756421.179416902</v>
      </c>
    </row>
    <row r="8330" spans="1:4" hidden="1" x14ac:dyDescent="0.3">
      <c r="A8330">
        <v>8328</v>
      </c>
      <c r="B8330" s="1" t="s">
        <v>10905</v>
      </c>
      <c r="C8330" t="s">
        <v>223</v>
      </c>
      <c r="D8330" s="1" t="s">
        <v>10906</v>
      </c>
    </row>
    <row r="8331" spans="1:4" hidden="1" x14ac:dyDescent="0.3">
      <c r="A8331">
        <v>8329</v>
      </c>
      <c r="B8331" t="s">
        <v>10907</v>
      </c>
      <c r="C8331" t="s">
        <v>226</v>
      </c>
      <c r="D8331">
        <v>103015203.78650799</v>
      </c>
    </row>
    <row r="8332" spans="1:4" hidden="1" x14ac:dyDescent="0.3">
      <c r="A8332">
        <v>8330</v>
      </c>
      <c r="B8332" t="s">
        <v>10908</v>
      </c>
      <c r="C8332" t="s">
        <v>228</v>
      </c>
      <c r="D8332">
        <v>-4409.95476840436</v>
      </c>
    </row>
    <row r="8333" spans="1:4" hidden="1" x14ac:dyDescent="0.3">
      <c r="A8333">
        <v>8331</v>
      </c>
      <c r="B8333" s="1" t="s">
        <v>10909</v>
      </c>
      <c r="C8333" t="s">
        <v>230</v>
      </c>
      <c r="D8333" s="1" t="s">
        <v>10910</v>
      </c>
    </row>
    <row r="8334" spans="1:4" hidden="1" x14ac:dyDescent="0.3">
      <c r="A8334">
        <v>8332</v>
      </c>
      <c r="B8334" t="s">
        <v>10911</v>
      </c>
      <c r="C8334" t="s">
        <v>112</v>
      </c>
      <c r="D8334">
        <v>1183.4782507919899</v>
      </c>
    </row>
    <row r="8335" spans="1:4" hidden="1" x14ac:dyDescent="0.3">
      <c r="A8335">
        <v>8333</v>
      </c>
      <c r="B8335" t="s">
        <v>10912</v>
      </c>
      <c r="C8335" t="s">
        <v>114</v>
      </c>
      <c r="D8335">
        <v>177.929056299422</v>
      </c>
    </row>
    <row r="8336" spans="1:4" hidden="1" x14ac:dyDescent="0.3">
      <c r="A8336">
        <v>8334</v>
      </c>
      <c r="B8336" s="1" t="s">
        <v>10913</v>
      </c>
      <c r="C8336" t="s">
        <v>116</v>
      </c>
      <c r="D8336" s="1" t="s">
        <v>10914</v>
      </c>
    </row>
    <row r="8337" spans="1:4" hidden="1" x14ac:dyDescent="0.3">
      <c r="A8337">
        <v>8335</v>
      </c>
      <c r="B8337" t="s">
        <v>10915</v>
      </c>
      <c r="C8337" t="s">
        <v>119</v>
      </c>
      <c r="D8337">
        <v>79255635.147973493</v>
      </c>
    </row>
    <row r="8338" spans="1:4" hidden="1" x14ac:dyDescent="0.3">
      <c r="A8338">
        <v>8336</v>
      </c>
      <c r="B8338" t="s">
        <v>10916</v>
      </c>
      <c r="C8338" t="s">
        <v>121</v>
      </c>
      <c r="D8338">
        <v>34619815.151745699</v>
      </c>
    </row>
    <row r="8339" spans="1:4" hidden="1" x14ac:dyDescent="0.3">
      <c r="A8339">
        <v>8337</v>
      </c>
      <c r="B8339" s="1" t="s">
        <v>10917</v>
      </c>
      <c r="C8339" t="s">
        <v>123</v>
      </c>
      <c r="D8339" s="1" t="s">
        <v>10918</v>
      </c>
    </row>
    <row r="8340" spans="1:4" hidden="1" x14ac:dyDescent="0.3">
      <c r="A8340">
        <v>8338</v>
      </c>
      <c r="B8340" t="s">
        <v>10919</v>
      </c>
      <c r="C8340" t="s">
        <v>126</v>
      </c>
      <c r="D8340">
        <v>0.76948845045897496</v>
      </c>
    </row>
    <row r="8341" spans="1:4" hidden="1" x14ac:dyDescent="0.3">
      <c r="A8341">
        <v>8339</v>
      </c>
      <c r="B8341" t="s">
        <v>10920</v>
      </c>
      <c r="C8341" t="s">
        <v>128</v>
      </c>
      <c r="D8341">
        <v>0.33612181476504299</v>
      </c>
    </row>
    <row r="8342" spans="1:4" hidden="1" x14ac:dyDescent="0.3">
      <c r="A8342">
        <v>8340</v>
      </c>
      <c r="B8342" s="1" t="s">
        <v>10921</v>
      </c>
      <c r="C8342" t="s">
        <v>130</v>
      </c>
      <c r="D8342" s="1" t="s">
        <v>10922</v>
      </c>
    </row>
    <row r="8343" spans="1:4" ht="72" x14ac:dyDescent="0.3">
      <c r="A8343">
        <v>8341</v>
      </c>
      <c r="B8343" s="1" t="s">
        <v>10923</v>
      </c>
      <c r="C8343" t="s">
        <v>4</v>
      </c>
      <c r="D8343" t="s">
        <v>10924</v>
      </c>
    </row>
    <row r="8344" spans="1:4" hidden="1" x14ac:dyDescent="0.3">
      <c r="A8344">
        <v>8342</v>
      </c>
      <c r="B8344" t="s">
        <v>10925</v>
      </c>
      <c r="C8344" t="s">
        <v>7</v>
      </c>
      <c r="D8344">
        <v>1792.52</v>
      </c>
    </row>
    <row r="8345" spans="1:4" hidden="1" x14ac:dyDescent="0.3">
      <c r="A8345">
        <v>8343</v>
      </c>
      <c r="B8345" s="1" t="s">
        <v>10926</v>
      </c>
      <c r="C8345" t="s">
        <v>9</v>
      </c>
      <c r="D8345" s="1" t="s">
        <v>10927</v>
      </c>
    </row>
    <row r="8346" spans="1:4" hidden="1" x14ac:dyDescent="0.3">
      <c r="A8346">
        <v>8344</v>
      </c>
      <c r="B8346" t="s">
        <v>10928</v>
      </c>
      <c r="C8346" t="s">
        <v>14</v>
      </c>
      <c r="D8346">
        <v>89.81640625</v>
      </c>
    </row>
    <row r="8347" spans="1:4" hidden="1" x14ac:dyDescent="0.3">
      <c r="A8347">
        <v>8345</v>
      </c>
      <c r="B8347" t="s">
        <v>10929</v>
      </c>
      <c r="C8347" t="s">
        <v>16</v>
      </c>
      <c r="D8347">
        <v>4.2339556339838502</v>
      </c>
    </row>
    <row r="8348" spans="1:4" hidden="1" x14ac:dyDescent="0.3">
      <c r="A8348">
        <v>8346</v>
      </c>
      <c r="B8348" s="1" t="s">
        <v>10930</v>
      </c>
      <c r="C8348" t="s">
        <v>140</v>
      </c>
      <c r="D8348" s="1" t="s">
        <v>10931</v>
      </c>
    </row>
    <row r="8349" spans="1:4" hidden="1" x14ac:dyDescent="0.3">
      <c r="A8349">
        <v>8347</v>
      </c>
      <c r="B8349" t="s">
        <v>10932</v>
      </c>
      <c r="C8349" t="s">
        <v>22</v>
      </c>
      <c r="D8349">
        <v>56.35</v>
      </c>
    </row>
    <row r="8350" spans="1:4" hidden="1" x14ac:dyDescent="0.3">
      <c r="A8350">
        <v>8348</v>
      </c>
      <c r="B8350" t="s">
        <v>10933</v>
      </c>
      <c r="C8350" t="s">
        <v>24</v>
      </c>
      <c r="D8350">
        <v>4.54482121669826</v>
      </c>
    </row>
    <row r="8351" spans="1:4" hidden="1" x14ac:dyDescent="0.3">
      <c r="A8351">
        <v>8349</v>
      </c>
      <c r="B8351" s="1" t="s">
        <v>10934</v>
      </c>
      <c r="C8351" t="s">
        <v>145</v>
      </c>
      <c r="D8351" s="1" t="s">
        <v>10935</v>
      </c>
    </row>
    <row r="8352" spans="1:4" hidden="1" x14ac:dyDescent="0.3">
      <c r="A8352">
        <v>8350</v>
      </c>
      <c r="B8352" t="s">
        <v>10936</v>
      </c>
      <c r="C8352" t="s">
        <v>35</v>
      </c>
      <c r="D8352">
        <v>0.25297065068436603</v>
      </c>
    </row>
    <row r="8353" spans="1:4" hidden="1" x14ac:dyDescent="0.3">
      <c r="A8353">
        <v>8351</v>
      </c>
      <c r="B8353" t="s">
        <v>10937</v>
      </c>
      <c r="C8353" t="s">
        <v>149</v>
      </c>
      <c r="D8353">
        <v>0.54151751459828401</v>
      </c>
    </row>
    <row r="8354" spans="1:4" hidden="1" x14ac:dyDescent="0.3">
      <c r="A8354">
        <v>8352</v>
      </c>
      <c r="B8354" s="1" t="s">
        <v>10938</v>
      </c>
      <c r="C8354" t="s">
        <v>151</v>
      </c>
      <c r="D8354" s="1" t="s">
        <v>10939</v>
      </c>
    </row>
    <row r="8355" spans="1:4" hidden="1" x14ac:dyDescent="0.3">
      <c r="A8355">
        <v>8353</v>
      </c>
      <c r="B8355" t="s">
        <v>10940</v>
      </c>
      <c r="C8355" t="s">
        <v>30</v>
      </c>
      <c r="D8355">
        <v>0.350445331788027</v>
      </c>
    </row>
    <row r="8356" spans="1:4" hidden="1" x14ac:dyDescent="0.3">
      <c r="A8356">
        <v>8354</v>
      </c>
      <c r="B8356" t="s">
        <v>10941</v>
      </c>
      <c r="C8356" t="s">
        <v>32</v>
      </c>
      <c r="D8356">
        <v>0.382439023690474</v>
      </c>
    </row>
    <row r="8357" spans="1:4" hidden="1" x14ac:dyDescent="0.3">
      <c r="A8357">
        <v>8355</v>
      </c>
      <c r="B8357" s="1" t="s">
        <v>10942</v>
      </c>
      <c r="C8357" t="s">
        <v>155</v>
      </c>
      <c r="D8357" s="1" t="s">
        <v>10943</v>
      </c>
    </row>
    <row r="8358" spans="1:4" hidden="1" x14ac:dyDescent="0.3">
      <c r="A8358">
        <v>8356</v>
      </c>
      <c r="B8358" t="s">
        <v>10944</v>
      </c>
      <c r="C8358" t="s">
        <v>40</v>
      </c>
      <c r="D8358">
        <v>0.39658401752760603</v>
      </c>
    </row>
    <row r="8359" spans="1:4" hidden="1" x14ac:dyDescent="0.3">
      <c r="A8359">
        <v>8357</v>
      </c>
      <c r="B8359" t="s">
        <v>10945</v>
      </c>
      <c r="C8359" t="s">
        <v>42</v>
      </c>
      <c r="D8359">
        <v>0.46422331509247799</v>
      </c>
    </row>
    <row r="8360" spans="1:4" hidden="1" x14ac:dyDescent="0.3">
      <c r="A8360">
        <v>8358</v>
      </c>
      <c r="B8360" s="1" t="s">
        <v>10946</v>
      </c>
      <c r="C8360" t="s">
        <v>159</v>
      </c>
      <c r="D8360" s="1" t="s">
        <v>10947</v>
      </c>
    </row>
    <row r="8361" spans="1:4" hidden="1" x14ac:dyDescent="0.3">
      <c r="A8361">
        <v>8359</v>
      </c>
      <c r="B8361" t="s">
        <v>10948</v>
      </c>
      <c r="C8361" t="s">
        <v>161</v>
      </c>
      <c r="D8361">
        <v>0.98794636213823905</v>
      </c>
    </row>
    <row r="8362" spans="1:4" hidden="1" x14ac:dyDescent="0.3">
      <c r="A8362">
        <v>8360</v>
      </c>
      <c r="B8362" t="s">
        <v>10949</v>
      </c>
      <c r="C8362" t="s">
        <v>163</v>
      </c>
      <c r="D8362">
        <v>0.99897351245668997</v>
      </c>
    </row>
    <row r="8363" spans="1:4" hidden="1" x14ac:dyDescent="0.3">
      <c r="A8363">
        <v>8361</v>
      </c>
      <c r="B8363" s="1" t="s">
        <v>10950</v>
      </c>
      <c r="C8363" t="s">
        <v>165</v>
      </c>
      <c r="D8363" s="1" t="s">
        <v>10951</v>
      </c>
    </row>
    <row r="8364" spans="1:4" hidden="1" x14ac:dyDescent="0.3">
      <c r="A8364">
        <v>8362</v>
      </c>
      <c r="B8364" t="s">
        <v>10952</v>
      </c>
      <c r="C8364" t="s">
        <v>168</v>
      </c>
      <c r="D8364">
        <v>1.00068681865386</v>
      </c>
    </row>
    <row r="8365" spans="1:4" hidden="1" x14ac:dyDescent="0.3">
      <c r="A8365">
        <v>8363</v>
      </c>
      <c r="B8365" t="s">
        <v>10953</v>
      </c>
      <c r="C8365" t="s">
        <v>170</v>
      </c>
      <c r="D8365">
        <v>0.99633918139793198</v>
      </c>
    </row>
    <row r="8366" spans="1:4" hidden="1" x14ac:dyDescent="0.3">
      <c r="A8366">
        <v>8364</v>
      </c>
      <c r="B8366" s="1" t="s">
        <v>10954</v>
      </c>
      <c r="C8366" t="s">
        <v>172</v>
      </c>
      <c r="D8366" s="1" t="s">
        <v>10955</v>
      </c>
    </row>
    <row r="8367" spans="1:4" hidden="1" x14ac:dyDescent="0.3">
      <c r="A8367">
        <v>8365</v>
      </c>
      <c r="B8367" s="1" t="s">
        <v>10956</v>
      </c>
      <c r="C8367" t="s">
        <v>55</v>
      </c>
      <c r="D8367" s="1" t="s">
        <v>10957</v>
      </c>
    </row>
    <row r="8368" spans="1:4" hidden="1" x14ac:dyDescent="0.3">
      <c r="A8368">
        <v>8366</v>
      </c>
      <c r="B8368" s="1" t="s">
        <v>10958</v>
      </c>
      <c r="C8368" t="s">
        <v>52</v>
      </c>
      <c r="D8368" s="1" t="s">
        <v>10959</v>
      </c>
    </row>
    <row r="8369" spans="1:4" hidden="1" x14ac:dyDescent="0.3">
      <c r="A8369">
        <v>8367</v>
      </c>
      <c r="B8369" s="1" t="s">
        <v>10960</v>
      </c>
      <c r="C8369" t="s">
        <v>58</v>
      </c>
      <c r="D8369" s="1" t="s">
        <v>10961</v>
      </c>
    </row>
    <row r="8370" spans="1:4" hidden="1" x14ac:dyDescent="0.3">
      <c r="A8370">
        <v>8368</v>
      </c>
      <c r="B8370" t="s">
        <v>10962</v>
      </c>
      <c r="C8370" t="s">
        <v>61</v>
      </c>
      <c r="D8370">
        <v>147260436.66267499</v>
      </c>
    </row>
    <row r="8371" spans="1:4" hidden="1" x14ac:dyDescent="0.3">
      <c r="A8371">
        <v>8369</v>
      </c>
      <c r="B8371" t="s">
        <v>10963</v>
      </c>
      <c r="C8371" t="s">
        <v>63</v>
      </c>
      <c r="D8371">
        <v>78300316.423396006</v>
      </c>
    </row>
    <row r="8372" spans="1:4" hidden="1" x14ac:dyDescent="0.3">
      <c r="A8372">
        <v>8370</v>
      </c>
      <c r="B8372" t="s">
        <v>10964</v>
      </c>
      <c r="C8372" t="s">
        <v>65</v>
      </c>
      <c r="D8372">
        <v>34584278.342740797</v>
      </c>
    </row>
    <row r="8373" spans="1:4" hidden="1" x14ac:dyDescent="0.3">
      <c r="A8373">
        <v>8371</v>
      </c>
      <c r="B8373" s="1" t="s">
        <v>10965</v>
      </c>
      <c r="C8373" t="s">
        <v>67</v>
      </c>
      <c r="D8373" s="1" t="s">
        <v>10966</v>
      </c>
    </row>
    <row r="8374" spans="1:4" hidden="1" x14ac:dyDescent="0.3">
      <c r="A8374">
        <v>8372</v>
      </c>
      <c r="B8374" s="1" t="s">
        <v>10967</v>
      </c>
      <c r="C8374" t="s">
        <v>70</v>
      </c>
      <c r="D8374" s="1" t="s">
        <v>10968</v>
      </c>
    </row>
    <row r="8375" spans="1:4" hidden="1" x14ac:dyDescent="0.3">
      <c r="A8375">
        <v>8373</v>
      </c>
      <c r="B8375" t="s">
        <v>10969</v>
      </c>
      <c r="C8375" t="s">
        <v>73</v>
      </c>
      <c r="D8375">
        <v>0.99983127848447995</v>
      </c>
    </row>
    <row r="8376" spans="1:4" hidden="1" x14ac:dyDescent="0.3">
      <c r="A8376">
        <v>8374</v>
      </c>
      <c r="B8376" t="s">
        <v>74</v>
      </c>
      <c r="C8376" t="s">
        <v>75</v>
      </c>
      <c r="D8376">
        <v>2.7397260273972599E-3</v>
      </c>
    </row>
    <row r="8377" spans="1:4" hidden="1" x14ac:dyDescent="0.3">
      <c r="A8377">
        <v>8375</v>
      </c>
      <c r="B8377" t="s">
        <v>76</v>
      </c>
      <c r="C8377" t="s">
        <v>77</v>
      </c>
      <c r="D8377">
        <v>0</v>
      </c>
    </row>
    <row r="8378" spans="1:4" hidden="1" x14ac:dyDescent="0.3">
      <c r="A8378">
        <v>8376</v>
      </c>
      <c r="B8378" t="s">
        <v>78</v>
      </c>
      <c r="C8378" t="s">
        <v>79</v>
      </c>
      <c r="D8378">
        <v>0</v>
      </c>
    </row>
    <row r="8379" spans="1:4" hidden="1" x14ac:dyDescent="0.3">
      <c r="A8379">
        <v>8377</v>
      </c>
      <c r="B8379" s="1" t="s">
        <v>10970</v>
      </c>
      <c r="C8379" t="s">
        <v>81</v>
      </c>
      <c r="D8379" s="1" t="s">
        <v>10971</v>
      </c>
    </row>
    <row r="8380" spans="1:4" hidden="1" x14ac:dyDescent="0.3">
      <c r="A8380">
        <v>8378</v>
      </c>
      <c r="B8380" t="s">
        <v>10972</v>
      </c>
      <c r="C8380" t="s">
        <v>84</v>
      </c>
      <c r="D8380">
        <v>0.99986644334821595</v>
      </c>
    </row>
    <row r="8381" spans="1:4" hidden="1" x14ac:dyDescent="0.3">
      <c r="A8381">
        <v>8379</v>
      </c>
      <c r="B8381" s="1" t="s">
        <v>10973</v>
      </c>
      <c r="C8381" t="s">
        <v>86</v>
      </c>
      <c r="D8381" s="1" t="s">
        <v>10974</v>
      </c>
    </row>
    <row r="8382" spans="1:4" hidden="1" x14ac:dyDescent="0.3">
      <c r="A8382">
        <v>8380</v>
      </c>
      <c r="B8382" t="s">
        <v>10975</v>
      </c>
      <c r="C8382" t="s">
        <v>89</v>
      </c>
      <c r="D8382">
        <v>103007170.98735601</v>
      </c>
    </row>
    <row r="8383" spans="1:4" hidden="1" x14ac:dyDescent="0.3">
      <c r="A8383">
        <v>8381</v>
      </c>
      <c r="B8383" s="1" t="s">
        <v>10976</v>
      </c>
      <c r="C8383" t="s">
        <v>91</v>
      </c>
      <c r="D8383" s="1" t="s">
        <v>10910</v>
      </c>
    </row>
    <row r="8384" spans="1:4" hidden="1" x14ac:dyDescent="0.3">
      <c r="A8384">
        <v>8382</v>
      </c>
      <c r="B8384" t="s">
        <v>10977</v>
      </c>
      <c r="C8384" t="s">
        <v>94</v>
      </c>
      <c r="D8384">
        <v>78300316.423396006</v>
      </c>
    </row>
    <row r="8385" spans="1:4" hidden="1" x14ac:dyDescent="0.3">
      <c r="A8385">
        <v>8383</v>
      </c>
      <c r="B8385" t="s">
        <v>10978</v>
      </c>
      <c r="C8385" t="s">
        <v>96</v>
      </c>
      <c r="D8385">
        <v>34584278.342740797</v>
      </c>
    </row>
    <row r="8386" spans="1:4" hidden="1" x14ac:dyDescent="0.3">
      <c r="A8386">
        <v>8384</v>
      </c>
      <c r="B8386" t="s">
        <v>10979</v>
      </c>
      <c r="C8386" t="s">
        <v>98</v>
      </c>
      <c r="D8386">
        <v>34375841.896538101</v>
      </c>
    </row>
    <row r="8387" spans="1:4" hidden="1" x14ac:dyDescent="0.3">
      <c r="A8387">
        <v>8385</v>
      </c>
      <c r="B8387" s="1" t="s">
        <v>10980</v>
      </c>
      <c r="C8387" t="s">
        <v>100</v>
      </c>
      <c r="D8387" s="1" t="s">
        <v>10981</v>
      </c>
    </row>
    <row r="8388" spans="1:4" hidden="1" x14ac:dyDescent="0.3">
      <c r="A8388">
        <v>8386</v>
      </c>
      <c r="B8388" t="s">
        <v>10982</v>
      </c>
      <c r="C8388" t="s">
        <v>103</v>
      </c>
      <c r="D8388">
        <v>9.9038602019394101E-3</v>
      </c>
    </row>
    <row r="8389" spans="1:4" hidden="1" x14ac:dyDescent="0.3">
      <c r="A8389">
        <v>8387</v>
      </c>
      <c r="B8389" t="s">
        <v>10983</v>
      </c>
      <c r="C8389" t="s">
        <v>105</v>
      </c>
      <c r="D8389">
        <v>2.81364297421715E-3</v>
      </c>
    </row>
    <row r="8390" spans="1:4" hidden="1" x14ac:dyDescent="0.3">
      <c r="A8390">
        <v>8388</v>
      </c>
      <c r="B8390" t="s">
        <v>10984</v>
      </c>
      <c r="C8390" t="s">
        <v>107</v>
      </c>
      <c r="D8390">
        <v>2.0202444694749699E-2</v>
      </c>
    </row>
    <row r="8391" spans="1:4" hidden="1" x14ac:dyDescent="0.3">
      <c r="A8391">
        <v>8389</v>
      </c>
      <c r="B8391" s="1" t="s">
        <v>10985</v>
      </c>
      <c r="C8391" t="s">
        <v>109</v>
      </c>
      <c r="D8391" s="1" t="s">
        <v>10986</v>
      </c>
    </row>
    <row r="8392" spans="1:4" hidden="1" x14ac:dyDescent="0.3">
      <c r="A8392">
        <v>8390</v>
      </c>
      <c r="B8392" t="s">
        <v>10987</v>
      </c>
      <c r="C8392" t="s">
        <v>208</v>
      </c>
      <c r="D8392">
        <v>147261685.32024199</v>
      </c>
    </row>
    <row r="8393" spans="1:4" hidden="1" x14ac:dyDescent="0.3">
      <c r="A8393">
        <v>8391</v>
      </c>
      <c r="B8393" t="s">
        <v>10988</v>
      </c>
      <c r="C8393" t="s">
        <v>210</v>
      </c>
      <c r="D8393">
        <v>-2753.91846637874</v>
      </c>
    </row>
    <row r="8394" spans="1:4" hidden="1" x14ac:dyDescent="0.3">
      <c r="A8394">
        <v>8392</v>
      </c>
      <c r="B8394" t="s">
        <v>10989</v>
      </c>
      <c r="C8394" t="s">
        <v>212</v>
      </c>
      <c r="D8394">
        <v>-1216.3618703239599</v>
      </c>
    </row>
    <row r="8395" spans="1:4" hidden="1" x14ac:dyDescent="0.3">
      <c r="A8395">
        <v>8393</v>
      </c>
      <c r="B8395" s="1" t="s">
        <v>10990</v>
      </c>
      <c r="C8395" t="s">
        <v>214</v>
      </c>
      <c r="D8395" s="1" t="s">
        <v>10991</v>
      </c>
    </row>
    <row r="8396" spans="1:4" hidden="1" x14ac:dyDescent="0.3">
      <c r="A8396">
        <v>8394</v>
      </c>
      <c r="B8396" t="s">
        <v>10992</v>
      </c>
      <c r="C8396" t="s">
        <v>217</v>
      </c>
      <c r="D8396">
        <v>78304033.336427599</v>
      </c>
    </row>
    <row r="8397" spans="1:4" hidden="1" x14ac:dyDescent="0.3">
      <c r="A8397">
        <v>8395</v>
      </c>
      <c r="B8397" t="s">
        <v>10993</v>
      </c>
      <c r="C8397" t="s">
        <v>219</v>
      </c>
      <c r="D8397">
        <v>34585642.823424198</v>
      </c>
    </row>
    <row r="8398" spans="1:4" hidden="1" x14ac:dyDescent="0.3">
      <c r="A8398">
        <v>8396</v>
      </c>
      <c r="B8398" t="s">
        <v>10994</v>
      </c>
      <c r="C8398" t="s">
        <v>221</v>
      </c>
      <c r="D8398">
        <v>34377188.471349701</v>
      </c>
    </row>
    <row r="8399" spans="1:4" hidden="1" x14ac:dyDescent="0.3">
      <c r="A8399">
        <v>8397</v>
      </c>
      <c r="B8399" s="1" t="s">
        <v>10995</v>
      </c>
      <c r="C8399" t="s">
        <v>223</v>
      </c>
      <c r="D8399" s="1" t="s">
        <v>10996</v>
      </c>
    </row>
    <row r="8400" spans="1:4" hidden="1" x14ac:dyDescent="0.3">
      <c r="A8400">
        <v>8398</v>
      </c>
      <c r="B8400" t="s">
        <v>10997</v>
      </c>
      <c r="C8400" t="s">
        <v>226</v>
      </c>
      <c r="D8400">
        <v>103010793.83174001</v>
      </c>
    </row>
    <row r="8401" spans="1:4" hidden="1" x14ac:dyDescent="0.3">
      <c r="A8401">
        <v>8399</v>
      </c>
      <c r="B8401" t="s">
        <v>10998</v>
      </c>
      <c r="C8401" t="s">
        <v>228</v>
      </c>
      <c r="D8401">
        <v>-3622.84438338875</v>
      </c>
    </row>
    <row r="8402" spans="1:4" hidden="1" x14ac:dyDescent="0.3">
      <c r="A8402">
        <v>8400</v>
      </c>
      <c r="B8402" s="1" t="s">
        <v>10999</v>
      </c>
      <c r="C8402" t="s">
        <v>230</v>
      </c>
      <c r="D8402" s="1" t="s">
        <v>11000</v>
      </c>
    </row>
    <row r="8403" spans="1:4" hidden="1" x14ac:dyDescent="0.3">
      <c r="A8403">
        <v>8401</v>
      </c>
      <c r="B8403" t="s">
        <v>11001</v>
      </c>
      <c r="C8403" t="s">
        <v>112</v>
      </c>
      <c r="D8403">
        <v>962.99456524565505</v>
      </c>
    </row>
    <row r="8404" spans="1:4" hidden="1" x14ac:dyDescent="0.3">
      <c r="A8404">
        <v>8402</v>
      </c>
      <c r="B8404" t="s">
        <v>11002</v>
      </c>
      <c r="C8404" t="s">
        <v>114</v>
      </c>
      <c r="D8404">
        <v>148.11881309124999</v>
      </c>
    </row>
    <row r="8405" spans="1:4" hidden="1" x14ac:dyDescent="0.3">
      <c r="A8405">
        <v>8403</v>
      </c>
      <c r="B8405" s="1" t="s">
        <v>11003</v>
      </c>
      <c r="C8405" t="s">
        <v>116</v>
      </c>
      <c r="D8405" s="1" t="s">
        <v>11004</v>
      </c>
    </row>
    <row r="8406" spans="1:4" hidden="1" x14ac:dyDescent="0.3">
      <c r="A8406">
        <v>8404</v>
      </c>
      <c r="B8406" t="s">
        <v>11005</v>
      </c>
      <c r="C8406" t="s">
        <v>119</v>
      </c>
      <c r="D8406">
        <v>78304033.336427599</v>
      </c>
    </row>
    <row r="8407" spans="1:4" hidden="1" x14ac:dyDescent="0.3">
      <c r="A8407">
        <v>8405</v>
      </c>
      <c r="B8407" t="s">
        <v>11006</v>
      </c>
      <c r="C8407" t="s">
        <v>121</v>
      </c>
      <c r="D8407">
        <v>34585642.823424198</v>
      </c>
    </row>
    <row r="8408" spans="1:4" hidden="1" x14ac:dyDescent="0.3">
      <c r="A8408">
        <v>8406</v>
      </c>
      <c r="B8408" s="1" t="s">
        <v>11007</v>
      </c>
      <c r="C8408" t="s">
        <v>123</v>
      </c>
      <c r="D8408" s="1" t="s">
        <v>11008</v>
      </c>
    </row>
    <row r="8409" spans="1:4" hidden="1" x14ac:dyDescent="0.3">
      <c r="A8409">
        <v>8407</v>
      </c>
      <c r="B8409" t="s">
        <v>11009</v>
      </c>
      <c r="C8409" t="s">
        <v>126</v>
      </c>
      <c r="D8409">
        <v>0.76025521059265699</v>
      </c>
    </row>
    <row r="8410" spans="1:4" hidden="1" x14ac:dyDescent="0.3">
      <c r="A8410">
        <v>8408</v>
      </c>
      <c r="B8410" t="s">
        <v>11010</v>
      </c>
      <c r="C8410" t="s">
        <v>128</v>
      </c>
      <c r="D8410">
        <v>0.335792602856546</v>
      </c>
    </row>
    <row r="8411" spans="1:4" hidden="1" x14ac:dyDescent="0.3">
      <c r="A8411">
        <v>8409</v>
      </c>
      <c r="B8411" s="1" t="s">
        <v>11011</v>
      </c>
      <c r="C8411" t="s">
        <v>130</v>
      </c>
      <c r="D8411" s="1" t="s">
        <v>11012</v>
      </c>
    </row>
    <row r="8412" spans="1:4" ht="72" x14ac:dyDescent="0.3">
      <c r="A8412">
        <v>8410</v>
      </c>
      <c r="B8412" s="1" t="s">
        <v>11013</v>
      </c>
      <c r="C8412" t="s">
        <v>4</v>
      </c>
      <c r="D8412" t="s">
        <v>11014</v>
      </c>
    </row>
    <row r="8413" spans="1:4" hidden="1" x14ac:dyDescent="0.3">
      <c r="A8413">
        <v>8411</v>
      </c>
      <c r="B8413" t="s">
        <v>11015</v>
      </c>
      <c r="C8413" t="s">
        <v>7</v>
      </c>
      <c r="D8413">
        <v>1798.2</v>
      </c>
    </row>
    <row r="8414" spans="1:4" hidden="1" x14ac:dyDescent="0.3">
      <c r="A8414">
        <v>8412</v>
      </c>
      <c r="B8414" s="1" t="s">
        <v>11016</v>
      </c>
      <c r="C8414" t="s">
        <v>9</v>
      </c>
      <c r="D8414" s="1" t="s">
        <v>11017</v>
      </c>
    </row>
    <row r="8415" spans="1:4" hidden="1" x14ac:dyDescent="0.3">
      <c r="A8415">
        <v>8413</v>
      </c>
      <c r="B8415" t="s">
        <v>11018</v>
      </c>
      <c r="C8415" t="s">
        <v>14</v>
      </c>
      <c r="D8415">
        <v>89.70703125</v>
      </c>
    </row>
    <row r="8416" spans="1:4" hidden="1" x14ac:dyDescent="0.3">
      <c r="A8416">
        <v>8414</v>
      </c>
      <c r="B8416" t="s">
        <v>11019</v>
      </c>
      <c r="C8416" t="s">
        <v>16</v>
      </c>
      <c r="D8416">
        <v>4.2284780243865896</v>
      </c>
    </row>
    <row r="8417" spans="1:4" hidden="1" x14ac:dyDescent="0.3">
      <c r="A8417">
        <v>8415</v>
      </c>
      <c r="B8417" s="1" t="s">
        <v>11020</v>
      </c>
      <c r="C8417" t="s">
        <v>140</v>
      </c>
      <c r="D8417" s="1" t="s">
        <v>11021</v>
      </c>
    </row>
    <row r="8418" spans="1:4" hidden="1" x14ac:dyDescent="0.3">
      <c r="A8418">
        <v>8416</v>
      </c>
      <c r="B8418" t="s">
        <v>11022</v>
      </c>
      <c r="C8418" t="s">
        <v>22</v>
      </c>
      <c r="D8418">
        <v>56.25</v>
      </c>
    </row>
    <row r="8419" spans="1:4" hidden="1" x14ac:dyDescent="0.3">
      <c r="A8419">
        <v>8417</v>
      </c>
      <c r="B8419" t="s">
        <v>11023</v>
      </c>
      <c r="C8419" t="s">
        <v>24</v>
      </c>
      <c r="D8419">
        <v>4.5069488437501102</v>
      </c>
    </row>
    <row r="8420" spans="1:4" hidden="1" x14ac:dyDescent="0.3">
      <c r="A8420">
        <v>8418</v>
      </c>
      <c r="B8420" s="1" t="s">
        <v>11024</v>
      </c>
      <c r="C8420" t="s">
        <v>145</v>
      </c>
      <c r="D8420" s="1" t="s">
        <v>11025</v>
      </c>
    </row>
    <row r="8421" spans="1:4" hidden="1" x14ac:dyDescent="0.3">
      <c r="A8421">
        <v>8419</v>
      </c>
      <c r="B8421" t="s">
        <v>11026</v>
      </c>
      <c r="C8421" t="s">
        <v>35</v>
      </c>
      <c r="D8421">
        <v>0.28568745239086102</v>
      </c>
    </row>
    <row r="8422" spans="1:4" hidden="1" x14ac:dyDescent="0.3">
      <c r="A8422">
        <v>8420</v>
      </c>
      <c r="B8422" t="s">
        <v>11027</v>
      </c>
      <c r="C8422" t="s">
        <v>149</v>
      </c>
      <c r="D8422">
        <v>0.54147409729041995</v>
      </c>
    </row>
    <row r="8423" spans="1:4" hidden="1" x14ac:dyDescent="0.3">
      <c r="A8423">
        <v>8421</v>
      </c>
      <c r="B8423" s="1" t="s">
        <v>11028</v>
      </c>
      <c r="C8423" t="s">
        <v>151</v>
      </c>
      <c r="D8423" s="1" t="s">
        <v>11029</v>
      </c>
    </row>
    <row r="8424" spans="1:4" hidden="1" x14ac:dyDescent="0.3">
      <c r="A8424">
        <v>8422</v>
      </c>
      <c r="B8424" t="s">
        <v>11030</v>
      </c>
      <c r="C8424" t="s">
        <v>30</v>
      </c>
      <c r="D8424">
        <v>0.33427086735773098</v>
      </c>
    </row>
    <row r="8425" spans="1:4" hidden="1" x14ac:dyDescent="0.3">
      <c r="A8425">
        <v>8423</v>
      </c>
      <c r="B8425" t="s">
        <v>11031</v>
      </c>
      <c r="C8425" t="s">
        <v>32</v>
      </c>
      <c r="D8425">
        <v>0.38079061877489601</v>
      </c>
    </row>
    <row r="8426" spans="1:4" hidden="1" x14ac:dyDescent="0.3">
      <c r="A8426">
        <v>8424</v>
      </c>
      <c r="B8426" s="1" t="s">
        <v>11032</v>
      </c>
      <c r="C8426" t="s">
        <v>155</v>
      </c>
      <c r="D8426" s="1" t="s">
        <v>11033</v>
      </c>
    </row>
    <row r="8427" spans="1:4" hidden="1" x14ac:dyDescent="0.3">
      <c r="A8427">
        <v>8425</v>
      </c>
      <c r="B8427" t="s">
        <v>11034</v>
      </c>
      <c r="C8427" t="s">
        <v>40</v>
      </c>
      <c r="D8427">
        <v>0.380041680251407</v>
      </c>
    </row>
    <row r="8428" spans="1:4" hidden="1" x14ac:dyDescent="0.3">
      <c r="A8428">
        <v>8426</v>
      </c>
      <c r="B8428" t="s">
        <v>11035</v>
      </c>
      <c r="C8428" t="s">
        <v>42</v>
      </c>
      <c r="D8428">
        <v>0.466019791924488</v>
      </c>
    </row>
    <row r="8429" spans="1:4" hidden="1" x14ac:dyDescent="0.3">
      <c r="A8429">
        <v>8427</v>
      </c>
      <c r="B8429" s="1" t="s">
        <v>11036</v>
      </c>
      <c r="C8429" t="s">
        <v>159</v>
      </c>
      <c r="D8429" s="1" t="s">
        <v>11037</v>
      </c>
    </row>
    <row r="8430" spans="1:4" hidden="1" x14ac:dyDescent="0.3">
      <c r="A8430">
        <v>8428</v>
      </c>
      <c r="B8430" t="s">
        <v>11038</v>
      </c>
      <c r="C8430" t="s">
        <v>161</v>
      </c>
      <c r="D8430">
        <v>1.0031687233615201</v>
      </c>
    </row>
    <row r="8431" spans="1:4" hidden="1" x14ac:dyDescent="0.3">
      <c r="A8431">
        <v>8429</v>
      </c>
      <c r="B8431" t="s">
        <v>11039</v>
      </c>
      <c r="C8431" t="s">
        <v>163</v>
      </c>
      <c r="D8431">
        <v>0.99877881799392798</v>
      </c>
    </row>
    <row r="8432" spans="1:4" hidden="1" x14ac:dyDescent="0.3">
      <c r="A8432">
        <v>8430</v>
      </c>
      <c r="B8432" s="1" t="s">
        <v>11040</v>
      </c>
      <c r="C8432" t="s">
        <v>165</v>
      </c>
      <c r="D8432" s="1" t="s">
        <v>11041</v>
      </c>
    </row>
    <row r="8433" spans="1:4" hidden="1" x14ac:dyDescent="0.3">
      <c r="A8433">
        <v>8431</v>
      </c>
      <c r="B8433" t="s">
        <v>11042</v>
      </c>
      <c r="C8433" t="s">
        <v>168</v>
      </c>
      <c r="D8433">
        <v>0.99997183469700901</v>
      </c>
    </row>
    <row r="8434" spans="1:4" hidden="1" x14ac:dyDescent="0.3">
      <c r="A8434">
        <v>8432</v>
      </c>
      <c r="B8434" t="s">
        <v>11043</v>
      </c>
      <c r="C8434" t="s">
        <v>170</v>
      </c>
      <c r="D8434">
        <v>0.998807611122566</v>
      </c>
    </row>
    <row r="8435" spans="1:4" hidden="1" x14ac:dyDescent="0.3">
      <c r="A8435">
        <v>8433</v>
      </c>
      <c r="B8435" s="1" t="s">
        <v>11044</v>
      </c>
      <c r="C8435" t="s">
        <v>172</v>
      </c>
      <c r="D8435" s="1" t="s">
        <v>11045</v>
      </c>
    </row>
    <row r="8436" spans="1:4" hidden="1" x14ac:dyDescent="0.3">
      <c r="A8436">
        <v>8434</v>
      </c>
      <c r="B8436" s="1" t="s">
        <v>11046</v>
      </c>
      <c r="C8436" t="s">
        <v>55</v>
      </c>
      <c r="D8436" s="1" t="s">
        <v>11047</v>
      </c>
    </row>
    <row r="8437" spans="1:4" hidden="1" x14ac:dyDescent="0.3">
      <c r="A8437">
        <v>8435</v>
      </c>
      <c r="B8437" s="1" t="s">
        <v>11048</v>
      </c>
      <c r="C8437" t="s">
        <v>52</v>
      </c>
      <c r="D8437" s="1" t="s">
        <v>11049</v>
      </c>
    </row>
    <row r="8438" spans="1:4" hidden="1" x14ac:dyDescent="0.3">
      <c r="A8438">
        <v>8436</v>
      </c>
      <c r="B8438" s="1" t="s">
        <v>11050</v>
      </c>
      <c r="C8438" t="s">
        <v>58</v>
      </c>
      <c r="D8438" s="1" t="s">
        <v>11051</v>
      </c>
    </row>
    <row r="8439" spans="1:4" hidden="1" x14ac:dyDescent="0.3">
      <c r="A8439">
        <v>8437</v>
      </c>
      <c r="B8439" t="s">
        <v>11052</v>
      </c>
      <c r="C8439" t="s">
        <v>61</v>
      </c>
      <c r="D8439">
        <v>147394919.46337301</v>
      </c>
    </row>
    <row r="8440" spans="1:4" hidden="1" x14ac:dyDescent="0.3">
      <c r="A8440">
        <v>8438</v>
      </c>
      <c r="B8440" t="s">
        <v>11053</v>
      </c>
      <c r="C8440" t="s">
        <v>63</v>
      </c>
      <c r="D8440">
        <v>78552157.156162396</v>
      </c>
    </row>
    <row r="8441" spans="1:4" hidden="1" x14ac:dyDescent="0.3">
      <c r="A8441">
        <v>8439</v>
      </c>
      <c r="B8441" t="s">
        <v>11054</v>
      </c>
      <c r="C8441" t="s">
        <v>65</v>
      </c>
      <c r="D8441">
        <v>34543407.458739802</v>
      </c>
    </row>
    <row r="8442" spans="1:4" hidden="1" x14ac:dyDescent="0.3">
      <c r="A8442">
        <v>8440</v>
      </c>
      <c r="B8442" s="1" t="s">
        <v>11055</v>
      </c>
      <c r="C8442" t="s">
        <v>67</v>
      </c>
      <c r="D8442" s="1" t="s">
        <v>11056</v>
      </c>
    </row>
    <row r="8443" spans="1:4" hidden="1" x14ac:dyDescent="0.3">
      <c r="A8443">
        <v>8441</v>
      </c>
      <c r="B8443" s="1" t="s">
        <v>11057</v>
      </c>
      <c r="C8443" t="s">
        <v>70</v>
      </c>
      <c r="D8443" s="1" t="s">
        <v>11058</v>
      </c>
    </row>
    <row r="8444" spans="1:4" hidden="1" x14ac:dyDescent="0.3">
      <c r="A8444">
        <v>8442</v>
      </c>
      <c r="B8444" t="s">
        <v>11059</v>
      </c>
      <c r="C8444" t="s">
        <v>73</v>
      </c>
      <c r="D8444">
        <v>0.99986644334821595</v>
      </c>
    </row>
    <row r="8445" spans="1:4" hidden="1" x14ac:dyDescent="0.3">
      <c r="A8445">
        <v>8443</v>
      </c>
      <c r="B8445" t="s">
        <v>74</v>
      </c>
      <c r="C8445" t="s">
        <v>75</v>
      </c>
      <c r="D8445">
        <v>2.7397260273972599E-3</v>
      </c>
    </row>
    <row r="8446" spans="1:4" hidden="1" x14ac:dyDescent="0.3">
      <c r="A8446">
        <v>8444</v>
      </c>
      <c r="B8446" t="s">
        <v>76</v>
      </c>
      <c r="C8446" t="s">
        <v>77</v>
      </c>
      <c r="D8446">
        <v>0</v>
      </c>
    </row>
    <row r="8447" spans="1:4" hidden="1" x14ac:dyDescent="0.3">
      <c r="A8447">
        <v>8445</v>
      </c>
      <c r="B8447" t="s">
        <v>78</v>
      </c>
      <c r="C8447" t="s">
        <v>79</v>
      </c>
      <c r="D8447">
        <v>0</v>
      </c>
    </row>
    <row r="8448" spans="1:4" hidden="1" x14ac:dyDescent="0.3">
      <c r="A8448">
        <v>8446</v>
      </c>
      <c r="B8448" s="1" t="s">
        <v>11060</v>
      </c>
      <c r="C8448" t="s">
        <v>81</v>
      </c>
      <c r="D8448" s="1" t="s">
        <v>11061</v>
      </c>
    </row>
    <row r="8449" spans="1:4" hidden="1" x14ac:dyDescent="0.3">
      <c r="A8449">
        <v>8447</v>
      </c>
      <c r="B8449" t="s">
        <v>11062</v>
      </c>
      <c r="C8449" t="s">
        <v>84</v>
      </c>
      <c r="D8449">
        <v>0.99989369410582996</v>
      </c>
    </row>
    <row r="8450" spans="1:4" hidden="1" x14ac:dyDescent="0.3">
      <c r="A8450">
        <v>8448</v>
      </c>
      <c r="B8450" s="1" t="s">
        <v>11063</v>
      </c>
      <c r="C8450" t="s">
        <v>86</v>
      </c>
      <c r="D8450" s="1" t="s">
        <v>11064</v>
      </c>
    </row>
    <row r="8451" spans="1:4" hidden="1" x14ac:dyDescent="0.3">
      <c r="A8451">
        <v>8449</v>
      </c>
      <c r="B8451" t="s">
        <v>11065</v>
      </c>
      <c r="C8451" t="s">
        <v>89</v>
      </c>
      <c r="D8451">
        <v>103004363.665472</v>
      </c>
    </row>
    <row r="8452" spans="1:4" hidden="1" x14ac:dyDescent="0.3">
      <c r="A8452">
        <v>8450</v>
      </c>
      <c r="B8452" s="1" t="s">
        <v>11066</v>
      </c>
      <c r="C8452" t="s">
        <v>91</v>
      </c>
      <c r="D8452" s="1" t="s">
        <v>11000</v>
      </c>
    </row>
    <row r="8453" spans="1:4" hidden="1" x14ac:dyDescent="0.3">
      <c r="A8453">
        <v>8451</v>
      </c>
      <c r="B8453" t="s">
        <v>11067</v>
      </c>
      <c r="C8453" t="s">
        <v>94</v>
      </c>
      <c r="D8453">
        <v>78552157.156162396</v>
      </c>
    </row>
    <row r="8454" spans="1:4" hidden="1" x14ac:dyDescent="0.3">
      <c r="A8454">
        <v>8452</v>
      </c>
      <c r="B8454" t="s">
        <v>11068</v>
      </c>
      <c r="C8454" t="s">
        <v>96</v>
      </c>
      <c r="D8454">
        <v>34543407.458739802</v>
      </c>
    </row>
    <row r="8455" spans="1:4" hidden="1" x14ac:dyDescent="0.3">
      <c r="A8455">
        <v>8453</v>
      </c>
      <c r="B8455" t="s">
        <v>11069</v>
      </c>
      <c r="C8455" t="s">
        <v>98</v>
      </c>
      <c r="D8455">
        <v>34299354.848471202</v>
      </c>
    </row>
    <row r="8456" spans="1:4" hidden="1" x14ac:dyDescent="0.3">
      <c r="A8456">
        <v>8454</v>
      </c>
      <c r="B8456" s="1" t="s">
        <v>11070</v>
      </c>
      <c r="C8456" t="s">
        <v>100</v>
      </c>
      <c r="D8456" s="1" t="s">
        <v>11071</v>
      </c>
    </row>
    <row r="8457" spans="1:4" hidden="1" x14ac:dyDescent="0.3">
      <c r="A8457">
        <v>8455</v>
      </c>
      <c r="B8457" t="s">
        <v>11072</v>
      </c>
      <c r="C8457" t="s">
        <v>103</v>
      </c>
      <c r="D8457">
        <v>9.9668319974108698E-3</v>
      </c>
    </row>
    <row r="8458" spans="1:4" hidden="1" x14ac:dyDescent="0.3">
      <c r="A8458">
        <v>8456</v>
      </c>
      <c r="B8458" t="s">
        <v>11073</v>
      </c>
      <c r="C8458" t="s">
        <v>105</v>
      </c>
      <c r="D8458">
        <v>2.8143294086086898E-3</v>
      </c>
    </row>
    <row r="8459" spans="1:4" hidden="1" x14ac:dyDescent="0.3">
      <c r="A8459">
        <v>8457</v>
      </c>
      <c r="B8459" t="s">
        <v>11074</v>
      </c>
      <c r="C8459" t="s">
        <v>107</v>
      </c>
      <c r="D8459">
        <v>2.0178693969204201E-2</v>
      </c>
    </row>
    <row r="8460" spans="1:4" hidden="1" x14ac:dyDescent="0.3">
      <c r="A8460">
        <v>8458</v>
      </c>
      <c r="B8460" s="1" t="s">
        <v>11075</v>
      </c>
      <c r="C8460" t="s">
        <v>109</v>
      </c>
      <c r="D8460" s="1" t="s">
        <v>11076</v>
      </c>
    </row>
    <row r="8461" spans="1:4" hidden="1" x14ac:dyDescent="0.3">
      <c r="A8461">
        <v>8459</v>
      </c>
      <c r="B8461" t="s">
        <v>11077</v>
      </c>
      <c r="C8461" t="s">
        <v>208</v>
      </c>
      <c r="D8461">
        <v>147395885.525186</v>
      </c>
    </row>
    <row r="8462" spans="1:4" hidden="1" x14ac:dyDescent="0.3">
      <c r="A8462">
        <v>8460</v>
      </c>
      <c r="B8462" t="s">
        <v>11078</v>
      </c>
      <c r="C8462" t="s">
        <v>210</v>
      </c>
      <c r="D8462">
        <v>-2140.9099510413898</v>
      </c>
    </row>
    <row r="8463" spans="1:4" hidden="1" x14ac:dyDescent="0.3">
      <c r="A8463">
        <v>8461</v>
      </c>
      <c r="B8463" t="s">
        <v>11079</v>
      </c>
      <c r="C8463" t="s">
        <v>212</v>
      </c>
      <c r="D8463">
        <v>-941.463734991107</v>
      </c>
    </row>
    <row r="8464" spans="1:4" hidden="1" x14ac:dyDescent="0.3">
      <c r="A8464">
        <v>8462</v>
      </c>
      <c r="B8464" s="1" t="s">
        <v>11080</v>
      </c>
      <c r="C8464" t="s">
        <v>214</v>
      </c>
      <c r="D8464" s="1" t="s">
        <v>11081</v>
      </c>
    </row>
    <row r="8465" spans="1:4" hidden="1" x14ac:dyDescent="0.3">
      <c r="A8465">
        <v>8463</v>
      </c>
      <c r="B8465" t="s">
        <v>11082</v>
      </c>
      <c r="C8465" t="s">
        <v>217</v>
      </c>
      <c r="D8465">
        <v>78554966.800153002</v>
      </c>
    </row>
    <row r="8466" spans="1:4" hidden="1" x14ac:dyDescent="0.3">
      <c r="A8466">
        <v>8464</v>
      </c>
      <c r="B8466" t="s">
        <v>11083</v>
      </c>
      <c r="C8466" t="s">
        <v>219</v>
      </c>
      <c r="D8466">
        <v>34544494.694790803</v>
      </c>
    </row>
    <row r="8467" spans="1:4" hidden="1" x14ac:dyDescent="0.3">
      <c r="A8467">
        <v>8465</v>
      </c>
      <c r="B8467" t="s">
        <v>11084</v>
      </c>
      <c r="C8467" t="s">
        <v>221</v>
      </c>
      <c r="D8467">
        <v>34300441.216313899</v>
      </c>
    </row>
    <row r="8468" spans="1:4" hidden="1" x14ac:dyDescent="0.3">
      <c r="A8468">
        <v>8466</v>
      </c>
      <c r="B8468" s="1" t="s">
        <v>11085</v>
      </c>
      <c r="C8468" t="s">
        <v>223</v>
      </c>
      <c r="D8468" s="1" t="s">
        <v>11086</v>
      </c>
    </row>
    <row r="8469" spans="1:4" hidden="1" x14ac:dyDescent="0.3">
      <c r="A8469">
        <v>8467</v>
      </c>
      <c r="B8469" t="s">
        <v>11087</v>
      </c>
      <c r="C8469" t="s">
        <v>226</v>
      </c>
      <c r="D8469">
        <v>103007170.98735601</v>
      </c>
    </row>
    <row r="8470" spans="1:4" hidden="1" x14ac:dyDescent="0.3">
      <c r="A8470">
        <v>8468</v>
      </c>
      <c r="B8470" t="s">
        <v>11088</v>
      </c>
      <c r="C8470" t="s">
        <v>228</v>
      </c>
      <c r="D8470">
        <v>-2807.32188400626</v>
      </c>
    </row>
    <row r="8471" spans="1:4" hidden="1" x14ac:dyDescent="0.3">
      <c r="A8471">
        <v>8469</v>
      </c>
      <c r="B8471" s="1" t="s">
        <v>11089</v>
      </c>
      <c r="C8471" t="s">
        <v>230</v>
      </c>
      <c r="D8471" s="1" t="s">
        <v>11090</v>
      </c>
    </row>
    <row r="8472" spans="1:4" hidden="1" x14ac:dyDescent="0.3">
      <c r="A8472">
        <v>8470</v>
      </c>
      <c r="B8472" t="s">
        <v>11091</v>
      </c>
      <c r="C8472" t="s">
        <v>112</v>
      </c>
      <c r="D8472">
        <v>668.73403954260095</v>
      </c>
    </row>
    <row r="8473" spans="1:4" hidden="1" x14ac:dyDescent="0.3">
      <c r="A8473">
        <v>8471</v>
      </c>
      <c r="B8473" t="s">
        <v>11092</v>
      </c>
      <c r="C8473" t="s">
        <v>114</v>
      </c>
      <c r="D8473">
        <v>145.77231599683699</v>
      </c>
    </row>
    <row r="8474" spans="1:4" hidden="1" x14ac:dyDescent="0.3">
      <c r="A8474">
        <v>8472</v>
      </c>
      <c r="B8474" s="1" t="s">
        <v>11093</v>
      </c>
      <c r="C8474" t="s">
        <v>116</v>
      </c>
      <c r="D8474" s="1" t="s">
        <v>11094</v>
      </c>
    </row>
    <row r="8475" spans="1:4" hidden="1" x14ac:dyDescent="0.3">
      <c r="A8475">
        <v>8473</v>
      </c>
      <c r="B8475" t="s">
        <v>11095</v>
      </c>
      <c r="C8475" t="s">
        <v>119</v>
      </c>
      <c r="D8475">
        <v>78554966.800153002</v>
      </c>
    </row>
    <row r="8476" spans="1:4" hidden="1" x14ac:dyDescent="0.3">
      <c r="A8476">
        <v>8474</v>
      </c>
      <c r="B8476" t="s">
        <v>11096</v>
      </c>
      <c r="C8476" t="s">
        <v>121</v>
      </c>
      <c r="D8476">
        <v>34544494.694790803</v>
      </c>
    </row>
    <row r="8477" spans="1:4" hidden="1" x14ac:dyDescent="0.3">
      <c r="A8477">
        <v>8475</v>
      </c>
      <c r="B8477" s="1" t="s">
        <v>11097</v>
      </c>
      <c r="C8477" t="s">
        <v>123</v>
      </c>
      <c r="D8477" s="1" t="s">
        <v>11098</v>
      </c>
    </row>
    <row r="8478" spans="1:4" hidden="1" x14ac:dyDescent="0.3">
      <c r="A8478">
        <v>8476</v>
      </c>
      <c r="B8478" t="s">
        <v>11099</v>
      </c>
      <c r="C8478" t="s">
        <v>126</v>
      </c>
      <c r="D8478">
        <v>0.76269756552796197</v>
      </c>
    </row>
    <row r="8479" spans="1:4" hidden="1" x14ac:dyDescent="0.3">
      <c r="A8479">
        <v>8477</v>
      </c>
      <c r="B8479" t="s">
        <v>11100</v>
      </c>
      <c r="C8479" t="s">
        <v>128</v>
      </c>
      <c r="D8479">
        <v>0.33539574999934002</v>
      </c>
    </row>
    <row r="8480" spans="1:4" hidden="1" x14ac:dyDescent="0.3">
      <c r="A8480">
        <v>8478</v>
      </c>
      <c r="B8480" s="1" t="s">
        <v>11101</v>
      </c>
      <c r="C8480" t="s">
        <v>130</v>
      </c>
      <c r="D8480" s="1" t="s">
        <v>11102</v>
      </c>
    </row>
    <row r="8481" spans="1:4" ht="72" x14ac:dyDescent="0.3">
      <c r="A8481">
        <v>8479</v>
      </c>
      <c r="B8481" s="1" t="s">
        <v>11103</v>
      </c>
      <c r="C8481" t="s">
        <v>4</v>
      </c>
      <c r="D8481" t="s">
        <v>11104</v>
      </c>
    </row>
    <row r="8482" spans="1:4" hidden="1" x14ac:dyDescent="0.3">
      <c r="A8482">
        <v>8480</v>
      </c>
      <c r="B8482" t="s">
        <v>11105</v>
      </c>
      <c r="C8482" t="s">
        <v>7</v>
      </c>
      <c r="D8482">
        <v>1804.35</v>
      </c>
    </row>
    <row r="8483" spans="1:4" hidden="1" x14ac:dyDescent="0.3">
      <c r="A8483">
        <v>8481</v>
      </c>
      <c r="B8483" s="1" t="s">
        <v>11106</v>
      </c>
      <c r="C8483" t="s">
        <v>9</v>
      </c>
      <c r="D8483" s="1" t="s">
        <v>11107</v>
      </c>
    </row>
    <row r="8484" spans="1:4" hidden="1" x14ac:dyDescent="0.3">
      <c r="A8484">
        <v>8482</v>
      </c>
      <c r="B8484" t="s">
        <v>11108</v>
      </c>
      <c r="C8484" t="s">
        <v>14</v>
      </c>
      <c r="D8484">
        <v>89.48828125</v>
      </c>
    </row>
    <row r="8485" spans="1:4" hidden="1" x14ac:dyDescent="0.3">
      <c r="A8485">
        <v>8483</v>
      </c>
      <c r="B8485" t="s">
        <v>11109</v>
      </c>
      <c r="C8485" t="s">
        <v>16</v>
      </c>
      <c r="D8485">
        <v>4.2197344563022003</v>
      </c>
    </row>
    <row r="8486" spans="1:4" hidden="1" x14ac:dyDescent="0.3">
      <c r="A8486">
        <v>8484</v>
      </c>
      <c r="B8486" s="1" t="s">
        <v>11110</v>
      </c>
      <c r="C8486" t="s">
        <v>140</v>
      </c>
      <c r="D8486" s="1" t="s">
        <v>11111</v>
      </c>
    </row>
    <row r="8487" spans="1:4" hidden="1" x14ac:dyDescent="0.3">
      <c r="A8487">
        <v>8485</v>
      </c>
      <c r="B8487" t="s">
        <v>11112</v>
      </c>
      <c r="C8487" t="s">
        <v>22</v>
      </c>
      <c r="D8487">
        <v>56.6</v>
      </c>
    </row>
    <row r="8488" spans="1:4" hidden="1" x14ac:dyDescent="0.3">
      <c r="A8488">
        <v>8486</v>
      </c>
      <c r="B8488" t="s">
        <v>11113</v>
      </c>
      <c r="C8488" t="s">
        <v>24</v>
      </c>
      <c r="D8488">
        <v>4.4005909743558096</v>
      </c>
    </row>
    <row r="8489" spans="1:4" hidden="1" x14ac:dyDescent="0.3">
      <c r="A8489">
        <v>8487</v>
      </c>
      <c r="B8489" s="1" t="s">
        <v>11114</v>
      </c>
      <c r="C8489" t="s">
        <v>145</v>
      </c>
      <c r="D8489" s="1" t="s">
        <v>11115</v>
      </c>
    </row>
    <row r="8490" spans="1:4" hidden="1" x14ac:dyDescent="0.3">
      <c r="A8490">
        <v>8488</v>
      </c>
      <c r="B8490" t="s">
        <v>11116</v>
      </c>
      <c r="C8490" t="s">
        <v>35</v>
      </c>
      <c r="D8490">
        <v>-0.21561789502833301</v>
      </c>
    </row>
    <row r="8491" spans="1:4" hidden="1" x14ac:dyDescent="0.3">
      <c r="A8491">
        <v>8489</v>
      </c>
      <c r="B8491" t="s">
        <v>11117</v>
      </c>
      <c r="C8491" t="s">
        <v>149</v>
      </c>
      <c r="D8491">
        <v>0.53805533560990504</v>
      </c>
    </row>
    <row r="8492" spans="1:4" hidden="1" x14ac:dyDescent="0.3">
      <c r="A8492">
        <v>8490</v>
      </c>
      <c r="B8492" s="1" t="s">
        <v>11118</v>
      </c>
      <c r="C8492" t="s">
        <v>151</v>
      </c>
      <c r="D8492" s="1" t="s">
        <v>11119</v>
      </c>
    </row>
    <row r="8493" spans="1:4" hidden="1" x14ac:dyDescent="0.3">
      <c r="A8493">
        <v>8491</v>
      </c>
      <c r="B8493" t="s">
        <v>11120</v>
      </c>
      <c r="C8493" t="s">
        <v>30</v>
      </c>
      <c r="D8493">
        <v>0.56576386962657799</v>
      </c>
    </row>
    <row r="8494" spans="1:4" hidden="1" x14ac:dyDescent="0.3">
      <c r="A8494">
        <v>8492</v>
      </c>
      <c r="B8494" t="s">
        <v>11121</v>
      </c>
      <c r="C8494" t="s">
        <v>32</v>
      </c>
      <c r="D8494">
        <v>0.38169763812671897</v>
      </c>
    </row>
    <row r="8495" spans="1:4" hidden="1" x14ac:dyDescent="0.3">
      <c r="A8495">
        <v>8493</v>
      </c>
      <c r="B8495" s="1" t="s">
        <v>11122</v>
      </c>
      <c r="C8495" t="s">
        <v>155</v>
      </c>
      <c r="D8495" s="1" t="s">
        <v>11123</v>
      </c>
    </row>
    <row r="8496" spans="1:4" hidden="1" x14ac:dyDescent="0.3">
      <c r="A8496">
        <v>8494</v>
      </c>
      <c r="B8496" t="s">
        <v>11124</v>
      </c>
      <c r="C8496" t="s">
        <v>40</v>
      </c>
      <c r="D8496">
        <v>0.64985402540175397</v>
      </c>
    </row>
    <row r="8497" spans="1:4" hidden="1" x14ac:dyDescent="0.3">
      <c r="A8497">
        <v>8495</v>
      </c>
      <c r="B8497" t="s">
        <v>11125</v>
      </c>
      <c r="C8497" t="s">
        <v>42</v>
      </c>
      <c r="D8497">
        <v>0.47684726203018202</v>
      </c>
    </row>
    <row r="8498" spans="1:4" hidden="1" x14ac:dyDescent="0.3">
      <c r="A8498">
        <v>8496</v>
      </c>
      <c r="B8498" s="1" t="s">
        <v>11126</v>
      </c>
      <c r="C8498" t="s">
        <v>159</v>
      </c>
      <c r="D8498" s="1" t="s">
        <v>11127</v>
      </c>
    </row>
    <row r="8499" spans="1:4" hidden="1" x14ac:dyDescent="0.3">
      <c r="A8499">
        <v>8497</v>
      </c>
      <c r="B8499" t="s">
        <v>11128</v>
      </c>
      <c r="C8499" t="s">
        <v>161</v>
      </c>
      <c r="D8499">
        <v>1.00342008675342</v>
      </c>
    </row>
    <row r="8500" spans="1:4" hidden="1" x14ac:dyDescent="0.3">
      <c r="A8500">
        <v>8498</v>
      </c>
      <c r="B8500" t="s">
        <v>11129</v>
      </c>
      <c r="C8500" t="s">
        <v>163</v>
      </c>
      <c r="D8500">
        <v>0.99757819412656901</v>
      </c>
    </row>
    <row r="8501" spans="1:4" hidden="1" x14ac:dyDescent="0.3">
      <c r="A8501">
        <v>8499</v>
      </c>
      <c r="B8501" s="1" t="s">
        <v>11130</v>
      </c>
      <c r="C8501" t="s">
        <v>165</v>
      </c>
      <c r="D8501" s="1" t="s">
        <v>11131</v>
      </c>
    </row>
    <row r="8502" spans="1:4" hidden="1" x14ac:dyDescent="0.3">
      <c r="A8502">
        <v>8500</v>
      </c>
      <c r="B8502" t="s">
        <v>11132</v>
      </c>
      <c r="C8502" t="s">
        <v>168</v>
      </c>
      <c r="D8502">
        <v>0.997782147824264</v>
      </c>
    </row>
    <row r="8503" spans="1:4" hidden="1" x14ac:dyDescent="0.3">
      <c r="A8503">
        <v>8501</v>
      </c>
      <c r="B8503" t="s">
        <v>11133</v>
      </c>
      <c r="C8503" t="s">
        <v>170</v>
      </c>
      <c r="D8503">
        <v>1.0006568840629999</v>
      </c>
    </row>
    <row r="8504" spans="1:4" hidden="1" x14ac:dyDescent="0.3">
      <c r="A8504">
        <v>8502</v>
      </c>
      <c r="B8504" s="1" t="s">
        <v>11134</v>
      </c>
      <c r="C8504" t="s">
        <v>172</v>
      </c>
      <c r="D8504" s="1" t="s">
        <v>11135</v>
      </c>
    </row>
    <row r="8505" spans="1:4" hidden="1" x14ac:dyDescent="0.3">
      <c r="A8505">
        <v>8503</v>
      </c>
      <c r="B8505" s="1" t="s">
        <v>11136</v>
      </c>
      <c r="C8505" t="s">
        <v>55</v>
      </c>
      <c r="D8505" s="1" t="s">
        <v>11137</v>
      </c>
    </row>
    <row r="8506" spans="1:4" hidden="1" x14ac:dyDescent="0.3">
      <c r="A8506">
        <v>8504</v>
      </c>
      <c r="B8506" s="1" t="s">
        <v>11138</v>
      </c>
      <c r="C8506" t="s">
        <v>52</v>
      </c>
      <c r="D8506" s="1" t="s">
        <v>11139</v>
      </c>
    </row>
    <row r="8507" spans="1:4" hidden="1" x14ac:dyDescent="0.3">
      <c r="A8507">
        <v>8505</v>
      </c>
      <c r="B8507" s="1" t="s">
        <v>11140</v>
      </c>
      <c r="C8507" t="s">
        <v>58</v>
      </c>
      <c r="D8507" s="1" t="s">
        <v>11141</v>
      </c>
    </row>
    <row r="8508" spans="1:4" hidden="1" x14ac:dyDescent="0.3">
      <c r="A8508">
        <v>8506</v>
      </c>
      <c r="B8508" t="s">
        <v>11142</v>
      </c>
      <c r="C8508" t="s">
        <v>61</v>
      </c>
      <c r="D8508">
        <v>147722456.04136801</v>
      </c>
    </row>
    <row r="8509" spans="1:4" hidden="1" x14ac:dyDescent="0.3">
      <c r="A8509">
        <v>8507</v>
      </c>
      <c r="B8509" t="s">
        <v>11143</v>
      </c>
      <c r="C8509" t="s">
        <v>63</v>
      </c>
      <c r="D8509">
        <v>78823631.601521507</v>
      </c>
    </row>
    <row r="8510" spans="1:4" hidden="1" x14ac:dyDescent="0.3">
      <c r="A8510">
        <v>8508</v>
      </c>
      <c r="B8510" t="s">
        <v>11144</v>
      </c>
      <c r="C8510" t="s">
        <v>65</v>
      </c>
      <c r="D8510">
        <v>34460834.6346443</v>
      </c>
    </row>
    <row r="8511" spans="1:4" hidden="1" x14ac:dyDescent="0.3">
      <c r="A8511">
        <v>8509</v>
      </c>
      <c r="B8511" s="1" t="s">
        <v>11145</v>
      </c>
      <c r="C8511" t="s">
        <v>67</v>
      </c>
      <c r="D8511" s="1" t="s">
        <v>11146</v>
      </c>
    </row>
    <row r="8512" spans="1:4" hidden="1" x14ac:dyDescent="0.3">
      <c r="A8512">
        <v>8510</v>
      </c>
      <c r="B8512" s="1" t="s">
        <v>11147</v>
      </c>
      <c r="C8512" t="s">
        <v>70</v>
      </c>
      <c r="D8512" s="1" t="s">
        <v>11148</v>
      </c>
    </row>
    <row r="8513" spans="1:4" hidden="1" x14ac:dyDescent="0.3">
      <c r="A8513">
        <v>8511</v>
      </c>
      <c r="B8513" t="s">
        <v>11149</v>
      </c>
      <c r="C8513" t="s">
        <v>73</v>
      </c>
      <c r="D8513">
        <v>0.99989369410582996</v>
      </c>
    </row>
    <row r="8514" spans="1:4" hidden="1" x14ac:dyDescent="0.3">
      <c r="A8514">
        <v>8512</v>
      </c>
      <c r="B8514" t="s">
        <v>74</v>
      </c>
      <c r="C8514" t="s">
        <v>75</v>
      </c>
      <c r="D8514">
        <v>2.7397260273972599E-3</v>
      </c>
    </row>
    <row r="8515" spans="1:4" hidden="1" x14ac:dyDescent="0.3">
      <c r="A8515">
        <v>8513</v>
      </c>
      <c r="B8515" t="s">
        <v>76</v>
      </c>
      <c r="C8515" t="s">
        <v>77</v>
      </c>
      <c r="D8515">
        <v>0</v>
      </c>
    </row>
    <row r="8516" spans="1:4" hidden="1" x14ac:dyDescent="0.3">
      <c r="A8516">
        <v>8514</v>
      </c>
      <c r="B8516" t="s">
        <v>78</v>
      </c>
      <c r="C8516" t="s">
        <v>79</v>
      </c>
      <c r="D8516">
        <v>0</v>
      </c>
    </row>
    <row r="8517" spans="1:4" hidden="1" x14ac:dyDescent="0.3">
      <c r="A8517">
        <v>8515</v>
      </c>
      <c r="B8517" s="1" t="s">
        <v>11150</v>
      </c>
      <c r="C8517" t="s">
        <v>81</v>
      </c>
      <c r="D8517" s="1" t="s">
        <v>11151</v>
      </c>
    </row>
    <row r="8518" spans="1:4" hidden="1" x14ac:dyDescent="0.3">
      <c r="A8518">
        <v>8516</v>
      </c>
      <c r="B8518" t="s">
        <v>11152</v>
      </c>
      <c r="C8518" t="s">
        <v>84</v>
      </c>
      <c r="D8518">
        <v>0.999896512805314</v>
      </c>
    </row>
    <row r="8519" spans="1:4" hidden="1" x14ac:dyDescent="0.3">
      <c r="A8519">
        <v>8517</v>
      </c>
      <c r="B8519" s="1" t="s">
        <v>11153</v>
      </c>
      <c r="C8519" t="s">
        <v>86</v>
      </c>
      <c r="D8519" s="1" t="s">
        <v>11154</v>
      </c>
    </row>
    <row r="8520" spans="1:4" hidden="1" x14ac:dyDescent="0.3">
      <c r="A8520">
        <v>8518</v>
      </c>
      <c r="B8520" t="s">
        <v>11155</v>
      </c>
      <c r="C8520" t="s">
        <v>89</v>
      </c>
      <c r="D8520">
        <v>103004073.297076</v>
      </c>
    </row>
    <row r="8521" spans="1:4" hidden="1" x14ac:dyDescent="0.3">
      <c r="A8521">
        <v>8519</v>
      </c>
      <c r="B8521" s="1" t="s">
        <v>11156</v>
      </c>
      <c r="C8521" t="s">
        <v>91</v>
      </c>
      <c r="D8521" s="1" t="s">
        <v>11090</v>
      </c>
    </row>
    <row r="8522" spans="1:4" hidden="1" x14ac:dyDescent="0.3">
      <c r="A8522">
        <v>8520</v>
      </c>
      <c r="B8522" t="s">
        <v>11157</v>
      </c>
      <c r="C8522" t="s">
        <v>94</v>
      </c>
      <c r="D8522">
        <v>78823631.601521507</v>
      </c>
    </row>
    <row r="8523" spans="1:4" hidden="1" x14ac:dyDescent="0.3">
      <c r="A8523">
        <v>8521</v>
      </c>
      <c r="B8523" t="s">
        <v>11158</v>
      </c>
      <c r="C8523" t="s">
        <v>96</v>
      </c>
      <c r="D8523">
        <v>34460834.6346443</v>
      </c>
    </row>
    <row r="8524" spans="1:4" hidden="1" x14ac:dyDescent="0.3">
      <c r="A8524">
        <v>8522</v>
      </c>
      <c r="B8524" t="s">
        <v>11159</v>
      </c>
      <c r="C8524" t="s">
        <v>98</v>
      </c>
      <c r="D8524">
        <v>34437989.805202901</v>
      </c>
    </row>
    <row r="8525" spans="1:4" hidden="1" x14ac:dyDescent="0.3">
      <c r="A8525">
        <v>8523</v>
      </c>
      <c r="B8525" s="1" t="s">
        <v>11160</v>
      </c>
      <c r="C8525" t="s">
        <v>100</v>
      </c>
      <c r="D8525" s="1" t="s">
        <v>11161</v>
      </c>
    </row>
    <row r="8526" spans="1:4" hidden="1" x14ac:dyDescent="0.3">
      <c r="A8526">
        <v>8524</v>
      </c>
      <c r="B8526" t="s">
        <v>11162</v>
      </c>
      <c r="C8526" t="s">
        <v>103</v>
      </c>
      <c r="D8526">
        <v>9.9656743478429705E-3</v>
      </c>
    </row>
    <row r="8527" spans="1:4" hidden="1" x14ac:dyDescent="0.3">
      <c r="A8527">
        <v>8525</v>
      </c>
      <c r="B8527" t="s">
        <v>11163</v>
      </c>
      <c r="C8527" t="s">
        <v>105</v>
      </c>
      <c r="D8527">
        <v>2.8208120285525698E-3</v>
      </c>
    </row>
    <row r="8528" spans="1:4" hidden="1" x14ac:dyDescent="0.3">
      <c r="A8528">
        <v>8526</v>
      </c>
      <c r="B8528" t="s">
        <v>11164</v>
      </c>
      <c r="C8528" t="s">
        <v>107</v>
      </c>
      <c r="D8528">
        <v>2.01693619384175E-2</v>
      </c>
    </row>
    <row r="8529" spans="1:4" hidden="1" x14ac:dyDescent="0.3">
      <c r="A8529">
        <v>8527</v>
      </c>
      <c r="B8529" s="1" t="s">
        <v>11165</v>
      </c>
      <c r="C8529" t="s">
        <v>109</v>
      </c>
      <c r="D8529" s="1" t="s">
        <v>11166</v>
      </c>
    </row>
    <row r="8530" spans="1:4" hidden="1" x14ac:dyDescent="0.3">
      <c r="A8530">
        <v>8528</v>
      </c>
      <c r="B8530" t="s">
        <v>11167</v>
      </c>
      <c r="C8530" t="s">
        <v>208</v>
      </c>
      <c r="D8530">
        <v>147722555.91437399</v>
      </c>
    </row>
    <row r="8531" spans="1:4" hidden="1" x14ac:dyDescent="0.3">
      <c r="A8531">
        <v>8529</v>
      </c>
      <c r="B8531" t="s">
        <v>11168</v>
      </c>
      <c r="C8531" t="s">
        <v>210</v>
      </c>
      <c r="D8531">
        <v>-222.203957775314</v>
      </c>
    </row>
    <row r="8532" spans="1:4" hidden="1" x14ac:dyDescent="0.3">
      <c r="A8532">
        <v>8530</v>
      </c>
      <c r="B8532" t="s">
        <v>11169</v>
      </c>
      <c r="C8532" t="s">
        <v>212</v>
      </c>
      <c r="D8532">
        <v>-97.145108348916906</v>
      </c>
    </row>
    <row r="8533" spans="1:4" hidden="1" x14ac:dyDescent="0.3">
      <c r="A8533">
        <v>8531</v>
      </c>
      <c r="B8533" s="1" t="s">
        <v>11170</v>
      </c>
      <c r="C8533" t="s">
        <v>214</v>
      </c>
      <c r="D8533" s="1" t="s">
        <v>11171</v>
      </c>
    </row>
    <row r="8534" spans="1:4" hidden="1" x14ac:dyDescent="0.3">
      <c r="A8534">
        <v>8532</v>
      </c>
      <c r="B8534" t="s">
        <v>11172</v>
      </c>
      <c r="C8534" t="s">
        <v>217</v>
      </c>
      <c r="D8534">
        <v>78823927.058669493</v>
      </c>
    </row>
    <row r="8535" spans="1:4" hidden="1" x14ac:dyDescent="0.3">
      <c r="A8535">
        <v>8533</v>
      </c>
      <c r="B8535" t="s">
        <v>11173</v>
      </c>
      <c r="C8535" t="s">
        <v>219</v>
      </c>
      <c r="D8535">
        <v>34460947.551368304</v>
      </c>
    </row>
    <row r="8536" spans="1:4" hidden="1" x14ac:dyDescent="0.3">
      <c r="A8536">
        <v>8534</v>
      </c>
      <c r="B8536" t="s">
        <v>11174</v>
      </c>
      <c r="C8536" t="s">
        <v>221</v>
      </c>
      <c r="D8536">
        <v>34438097.7340976</v>
      </c>
    </row>
    <row r="8537" spans="1:4" hidden="1" x14ac:dyDescent="0.3">
      <c r="A8537">
        <v>8535</v>
      </c>
      <c r="B8537" s="1" t="s">
        <v>11175</v>
      </c>
      <c r="C8537" t="s">
        <v>223</v>
      </c>
      <c r="D8537" s="1" t="s">
        <v>11176</v>
      </c>
    </row>
    <row r="8538" spans="1:4" hidden="1" x14ac:dyDescent="0.3">
      <c r="A8538">
        <v>8536</v>
      </c>
      <c r="B8538" t="s">
        <v>11177</v>
      </c>
      <c r="C8538" t="s">
        <v>226</v>
      </c>
      <c r="D8538">
        <v>103004363.665472</v>
      </c>
    </row>
    <row r="8539" spans="1:4" hidden="1" x14ac:dyDescent="0.3">
      <c r="A8539">
        <v>8537</v>
      </c>
      <c r="B8539" t="s">
        <v>11178</v>
      </c>
      <c r="C8539" t="s">
        <v>228</v>
      </c>
      <c r="D8539">
        <v>-290.368396103382</v>
      </c>
    </row>
    <row r="8540" spans="1:4" hidden="1" x14ac:dyDescent="0.3">
      <c r="A8540">
        <v>8538</v>
      </c>
      <c r="B8540" s="1" t="s">
        <v>11179</v>
      </c>
      <c r="C8540" t="s">
        <v>230</v>
      </c>
      <c r="D8540" s="1" t="s">
        <v>11180</v>
      </c>
    </row>
    <row r="8541" spans="1:4" hidden="1" x14ac:dyDescent="0.3">
      <c r="A8541">
        <v>8539</v>
      </c>
      <c r="B8541" t="s">
        <v>11181</v>
      </c>
      <c r="C8541" t="s">
        <v>112</v>
      </c>
      <c r="D8541">
        <v>73.253190202283605</v>
      </c>
    </row>
    <row r="8542" spans="1:4" hidden="1" x14ac:dyDescent="0.3">
      <c r="A8542">
        <v>8540</v>
      </c>
      <c r="B8542" t="s">
        <v>11182</v>
      </c>
      <c r="C8542" t="s">
        <v>114</v>
      </c>
      <c r="D8542">
        <v>15.7716156987919</v>
      </c>
    </row>
    <row r="8543" spans="1:4" hidden="1" x14ac:dyDescent="0.3">
      <c r="A8543">
        <v>8541</v>
      </c>
      <c r="B8543" s="1" t="s">
        <v>11183</v>
      </c>
      <c r="C8543" t="s">
        <v>116</v>
      </c>
      <c r="D8543" s="1" t="s">
        <v>11184</v>
      </c>
    </row>
    <row r="8544" spans="1:4" hidden="1" x14ac:dyDescent="0.3">
      <c r="A8544">
        <v>8542</v>
      </c>
      <c r="B8544" t="s">
        <v>11185</v>
      </c>
      <c r="C8544" t="s">
        <v>119</v>
      </c>
      <c r="D8544">
        <v>78823927.058669493</v>
      </c>
    </row>
    <row r="8545" spans="1:4" hidden="1" x14ac:dyDescent="0.3">
      <c r="A8545">
        <v>8543</v>
      </c>
      <c r="B8545" t="s">
        <v>11186</v>
      </c>
      <c r="C8545" t="s">
        <v>121</v>
      </c>
      <c r="D8545">
        <v>34460947.551368304</v>
      </c>
    </row>
    <row r="8546" spans="1:4" hidden="1" x14ac:dyDescent="0.3">
      <c r="A8546">
        <v>8544</v>
      </c>
      <c r="B8546" s="1" t="s">
        <v>11187</v>
      </c>
      <c r="C8546" t="s">
        <v>123</v>
      </c>
      <c r="D8546" s="1" t="s">
        <v>11188</v>
      </c>
    </row>
    <row r="8547" spans="1:4" hidden="1" x14ac:dyDescent="0.3">
      <c r="A8547">
        <v>8545</v>
      </c>
      <c r="B8547" t="s">
        <v>11189</v>
      </c>
      <c r="C8547" t="s">
        <v>126</v>
      </c>
      <c r="D8547">
        <v>0.76532762656578102</v>
      </c>
    </row>
    <row r="8548" spans="1:4" hidden="1" x14ac:dyDescent="0.3">
      <c r="A8548">
        <v>8546</v>
      </c>
      <c r="B8548" t="s">
        <v>11190</v>
      </c>
      <c r="C8548" t="s">
        <v>128</v>
      </c>
      <c r="D8548">
        <v>0.33459275860572402</v>
      </c>
    </row>
    <row r="8549" spans="1:4" hidden="1" x14ac:dyDescent="0.3">
      <c r="A8549">
        <v>8547</v>
      </c>
      <c r="B8549" s="1" t="s">
        <v>11191</v>
      </c>
      <c r="C8549" t="s">
        <v>130</v>
      </c>
      <c r="D8549" s="1" t="s">
        <v>11192</v>
      </c>
    </row>
    <row r="8550" spans="1:4" ht="72" x14ac:dyDescent="0.3">
      <c r="A8550">
        <v>8548</v>
      </c>
      <c r="B8550" s="1" t="s">
        <v>11193</v>
      </c>
      <c r="C8550" t="s">
        <v>4</v>
      </c>
      <c r="D8550" t="s">
        <v>11194</v>
      </c>
    </row>
    <row r="8551" spans="1:4" hidden="1" x14ac:dyDescent="0.3">
      <c r="A8551">
        <v>8549</v>
      </c>
      <c r="B8551" t="s">
        <v>11195</v>
      </c>
      <c r="C8551" t="s">
        <v>7</v>
      </c>
      <c r="D8551">
        <v>1814.91</v>
      </c>
    </row>
    <row r="8552" spans="1:4" hidden="1" x14ac:dyDescent="0.3">
      <c r="A8552">
        <v>8550</v>
      </c>
      <c r="B8552" s="1" t="s">
        <v>11196</v>
      </c>
      <c r="C8552" t="s">
        <v>9</v>
      </c>
      <c r="D8552" s="1" t="s">
        <v>11197</v>
      </c>
    </row>
    <row r="8553" spans="1:4" hidden="1" x14ac:dyDescent="0.3">
      <c r="A8553">
        <v>8551</v>
      </c>
      <c r="B8553" t="s">
        <v>11198</v>
      </c>
      <c r="C8553" t="s">
        <v>14</v>
      </c>
      <c r="D8553">
        <v>89.5078125</v>
      </c>
    </row>
    <row r="8554" spans="1:4" hidden="1" x14ac:dyDescent="0.3">
      <c r="A8554">
        <v>8552</v>
      </c>
      <c r="B8554" t="s">
        <v>11199</v>
      </c>
      <c r="C8554" t="s">
        <v>16</v>
      </c>
      <c r="D8554">
        <v>4.2232914108757003</v>
      </c>
    </row>
    <row r="8555" spans="1:4" hidden="1" x14ac:dyDescent="0.3">
      <c r="A8555">
        <v>8553</v>
      </c>
      <c r="B8555" s="1" t="s">
        <v>11200</v>
      </c>
      <c r="C8555" t="s">
        <v>140</v>
      </c>
      <c r="D8555" s="1" t="s">
        <v>11201</v>
      </c>
    </row>
    <row r="8556" spans="1:4" hidden="1" x14ac:dyDescent="0.3">
      <c r="A8556">
        <v>8554</v>
      </c>
      <c r="B8556" t="s">
        <v>11202</v>
      </c>
      <c r="C8556" t="s">
        <v>22</v>
      </c>
      <c r="D8556">
        <v>56.8</v>
      </c>
    </row>
    <row r="8557" spans="1:4" hidden="1" x14ac:dyDescent="0.3">
      <c r="A8557">
        <v>8555</v>
      </c>
      <c r="B8557" t="s">
        <v>11203</v>
      </c>
      <c r="C8557" t="s">
        <v>24</v>
      </c>
      <c r="D8557">
        <v>4.4244124248940198</v>
      </c>
    </row>
    <row r="8558" spans="1:4" hidden="1" x14ac:dyDescent="0.3">
      <c r="A8558">
        <v>8556</v>
      </c>
      <c r="B8558" s="1" t="s">
        <v>11204</v>
      </c>
      <c r="C8558" t="s">
        <v>145</v>
      </c>
      <c r="D8558" s="1" t="s">
        <v>11205</v>
      </c>
    </row>
    <row r="8559" spans="1:4" hidden="1" x14ac:dyDescent="0.3">
      <c r="A8559">
        <v>8557</v>
      </c>
      <c r="B8559" t="s">
        <v>11206</v>
      </c>
      <c r="C8559" t="s">
        <v>35</v>
      </c>
      <c r="D8559">
        <v>-0.42381815540652001</v>
      </c>
    </row>
    <row r="8560" spans="1:4" hidden="1" x14ac:dyDescent="0.3">
      <c r="A8560">
        <v>8558</v>
      </c>
      <c r="B8560" t="s">
        <v>11207</v>
      </c>
      <c r="C8560" t="s">
        <v>149</v>
      </c>
      <c r="D8560">
        <v>0.547194404150118</v>
      </c>
    </row>
    <row r="8561" spans="1:4" hidden="1" x14ac:dyDescent="0.3">
      <c r="A8561">
        <v>8559</v>
      </c>
      <c r="B8561" s="1" t="s">
        <v>11208</v>
      </c>
      <c r="C8561" t="s">
        <v>151</v>
      </c>
      <c r="D8561" s="1" t="s">
        <v>11209</v>
      </c>
    </row>
    <row r="8562" spans="1:4" hidden="1" x14ac:dyDescent="0.3">
      <c r="A8562">
        <v>8560</v>
      </c>
      <c r="B8562" t="s">
        <v>11210</v>
      </c>
      <c r="C8562" t="s">
        <v>30</v>
      </c>
      <c r="D8562">
        <v>0.66611949252005198</v>
      </c>
    </row>
    <row r="8563" spans="1:4" hidden="1" x14ac:dyDescent="0.3">
      <c r="A8563">
        <v>8561</v>
      </c>
      <c r="B8563" t="s">
        <v>11211</v>
      </c>
      <c r="C8563" t="s">
        <v>32</v>
      </c>
      <c r="D8563">
        <v>0.368339822961951</v>
      </c>
    </row>
    <row r="8564" spans="1:4" hidden="1" x14ac:dyDescent="0.3">
      <c r="A8564">
        <v>8562</v>
      </c>
      <c r="B8564" s="1" t="s">
        <v>11212</v>
      </c>
      <c r="C8564" t="s">
        <v>155</v>
      </c>
      <c r="D8564" s="1" t="s">
        <v>11213</v>
      </c>
    </row>
    <row r="8565" spans="1:4" hidden="1" x14ac:dyDescent="0.3">
      <c r="A8565">
        <v>8563</v>
      </c>
      <c r="B8565" t="s">
        <v>11214</v>
      </c>
      <c r="C8565" t="s">
        <v>40</v>
      </c>
      <c r="D8565">
        <v>0.75769866288646803</v>
      </c>
    </row>
    <row r="8566" spans="1:4" hidden="1" x14ac:dyDescent="0.3">
      <c r="A8566">
        <v>8564</v>
      </c>
      <c r="B8566" t="s">
        <v>11215</v>
      </c>
      <c r="C8566" t="s">
        <v>42</v>
      </c>
      <c r="D8566">
        <v>0.45916424582172399</v>
      </c>
    </row>
    <row r="8567" spans="1:4" hidden="1" x14ac:dyDescent="0.3">
      <c r="A8567">
        <v>8565</v>
      </c>
      <c r="B8567" s="1" t="s">
        <v>11216</v>
      </c>
      <c r="C8567" t="s">
        <v>159</v>
      </c>
      <c r="D8567" s="1" t="s">
        <v>11217</v>
      </c>
    </row>
    <row r="8568" spans="1:4" hidden="1" x14ac:dyDescent="0.3">
      <c r="A8568">
        <v>8566</v>
      </c>
      <c r="B8568" t="s">
        <v>11218</v>
      </c>
      <c r="C8568" t="s">
        <v>161</v>
      </c>
      <c r="D8568">
        <v>1.0058525230692399</v>
      </c>
    </row>
    <row r="8569" spans="1:4" hidden="1" x14ac:dyDescent="0.3">
      <c r="A8569">
        <v>8567</v>
      </c>
      <c r="B8569" t="s">
        <v>11219</v>
      </c>
      <c r="C8569" t="s">
        <v>163</v>
      </c>
      <c r="D8569">
        <v>1.0002463845211</v>
      </c>
    </row>
    <row r="8570" spans="1:4" hidden="1" x14ac:dyDescent="0.3">
      <c r="A8570">
        <v>8568</v>
      </c>
      <c r="B8570" s="1" t="s">
        <v>11220</v>
      </c>
      <c r="C8570" t="s">
        <v>165</v>
      </c>
      <c r="D8570" s="1" t="s">
        <v>11221</v>
      </c>
    </row>
    <row r="8571" spans="1:4" hidden="1" x14ac:dyDescent="0.3">
      <c r="A8571">
        <v>8569</v>
      </c>
      <c r="B8571" t="s">
        <v>11222</v>
      </c>
      <c r="C8571" t="s">
        <v>168</v>
      </c>
      <c r="D8571">
        <v>1.0059419634187501</v>
      </c>
    </row>
    <row r="8572" spans="1:4" hidden="1" x14ac:dyDescent="0.3">
      <c r="A8572">
        <v>8570</v>
      </c>
      <c r="B8572" t="s">
        <v>11223</v>
      </c>
      <c r="C8572" t="s">
        <v>170</v>
      </c>
      <c r="D8572">
        <v>0.99033231671230204</v>
      </c>
    </row>
    <row r="8573" spans="1:4" hidden="1" x14ac:dyDescent="0.3">
      <c r="A8573">
        <v>8571</v>
      </c>
      <c r="B8573" s="1" t="s">
        <v>11224</v>
      </c>
      <c r="C8573" t="s">
        <v>172</v>
      </c>
      <c r="D8573" s="1" t="s">
        <v>11225</v>
      </c>
    </row>
    <row r="8574" spans="1:4" hidden="1" x14ac:dyDescent="0.3">
      <c r="A8574">
        <v>8572</v>
      </c>
      <c r="B8574" s="1" t="s">
        <v>11226</v>
      </c>
      <c r="C8574" t="s">
        <v>55</v>
      </c>
      <c r="D8574" s="1" t="s">
        <v>11227</v>
      </c>
    </row>
    <row r="8575" spans="1:4" hidden="1" x14ac:dyDescent="0.3">
      <c r="A8575">
        <v>8573</v>
      </c>
      <c r="B8575" s="1" t="s">
        <v>11228</v>
      </c>
      <c r="C8575" t="s">
        <v>52</v>
      </c>
      <c r="D8575" s="1" t="s">
        <v>11229</v>
      </c>
    </row>
    <row r="8576" spans="1:4" hidden="1" x14ac:dyDescent="0.3">
      <c r="A8576">
        <v>8574</v>
      </c>
      <c r="B8576" s="1" t="s">
        <v>11230</v>
      </c>
      <c r="C8576" t="s">
        <v>58</v>
      </c>
      <c r="D8576" s="1" t="s">
        <v>11231</v>
      </c>
    </row>
    <row r="8577" spans="1:4" hidden="1" x14ac:dyDescent="0.3">
      <c r="A8577">
        <v>8575</v>
      </c>
      <c r="B8577" t="s">
        <v>11232</v>
      </c>
      <c r="C8577" t="s">
        <v>61</v>
      </c>
      <c r="D8577">
        <v>148319141.02518299</v>
      </c>
    </row>
    <row r="8578" spans="1:4" hidden="1" x14ac:dyDescent="0.3">
      <c r="A8578">
        <v>8576</v>
      </c>
      <c r="B8578" t="s">
        <v>11233</v>
      </c>
      <c r="C8578" t="s">
        <v>63</v>
      </c>
      <c r="D8578">
        <v>79285245.910189196</v>
      </c>
    </row>
    <row r="8579" spans="1:4" hidden="1" x14ac:dyDescent="0.3">
      <c r="A8579">
        <v>8577</v>
      </c>
      <c r="B8579" t="s">
        <v>11234</v>
      </c>
      <c r="C8579" t="s">
        <v>65</v>
      </c>
      <c r="D8579">
        <v>34469438.195427597</v>
      </c>
    </row>
    <row r="8580" spans="1:4" hidden="1" x14ac:dyDescent="0.3">
      <c r="A8580">
        <v>8578</v>
      </c>
      <c r="B8580" s="1" t="s">
        <v>11235</v>
      </c>
      <c r="C8580" t="s">
        <v>67</v>
      </c>
      <c r="D8580" s="1" t="s">
        <v>11236</v>
      </c>
    </row>
    <row r="8581" spans="1:4" hidden="1" x14ac:dyDescent="0.3">
      <c r="A8581">
        <v>8579</v>
      </c>
      <c r="B8581" s="1" t="s">
        <v>11237</v>
      </c>
      <c r="C8581" t="s">
        <v>70</v>
      </c>
      <c r="D8581" s="1" t="s">
        <v>11238</v>
      </c>
    </row>
    <row r="8582" spans="1:4" hidden="1" x14ac:dyDescent="0.3">
      <c r="A8582">
        <v>8580</v>
      </c>
      <c r="B8582" t="s">
        <v>11239</v>
      </c>
      <c r="C8582" t="s">
        <v>73</v>
      </c>
      <c r="D8582">
        <v>0.999896512805314</v>
      </c>
    </row>
    <row r="8583" spans="1:4" hidden="1" x14ac:dyDescent="0.3">
      <c r="A8583">
        <v>8581</v>
      </c>
      <c r="B8583" t="s">
        <v>74</v>
      </c>
      <c r="C8583" t="s">
        <v>75</v>
      </c>
      <c r="D8583">
        <v>2.7397260273972599E-3</v>
      </c>
    </row>
    <row r="8584" spans="1:4" hidden="1" x14ac:dyDescent="0.3">
      <c r="A8584">
        <v>8582</v>
      </c>
      <c r="B8584" t="s">
        <v>76</v>
      </c>
      <c r="C8584" t="s">
        <v>77</v>
      </c>
      <c r="D8584">
        <v>0</v>
      </c>
    </row>
    <row r="8585" spans="1:4" hidden="1" x14ac:dyDescent="0.3">
      <c r="A8585">
        <v>8583</v>
      </c>
      <c r="B8585" t="s">
        <v>78</v>
      </c>
      <c r="C8585" t="s">
        <v>79</v>
      </c>
      <c r="D8585">
        <v>0</v>
      </c>
    </row>
    <row r="8586" spans="1:4" hidden="1" x14ac:dyDescent="0.3">
      <c r="A8586">
        <v>8584</v>
      </c>
      <c r="B8586" s="1" t="s">
        <v>11240</v>
      </c>
      <c r="C8586" t="s">
        <v>81</v>
      </c>
      <c r="D8586" s="1" t="s">
        <v>11241</v>
      </c>
    </row>
    <row r="8587" spans="1:4" hidden="1" x14ac:dyDescent="0.3">
      <c r="A8587">
        <v>8585</v>
      </c>
      <c r="B8587" t="s">
        <v>11242</v>
      </c>
      <c r="C8587" t="s">
        <v>84</v>
      </c>
      <c r="D8587">
        <v>0.99993420683607903</v>
      </c>
    </row>
    <row r="8588" spans="1:4" hidden="1" x14ac:dyDescent="0.3">
      <c r="A8588">
        <v>8586</v>
      </c>
      <c r="B8588" s="1" t="s">
        <v>11243</v>
      </c>
      <c r="C8588" t="s">
        <v>86</v>
      </c>
      <c r="D8588" s="1" t="s">
        <v>11244</v>
      </c>
    </row>
    <row r="8589" spans="1:4" hidden="1" x14ac:dyDescent="0.3">
      <c r="A8589">
        <v>8587</v>
      </c>
      <c r="B8589" t="s">
        <v>11245</v>
      </c>
      <c r="C8589" t="s">
        <v>89</v>
      </c>
      <c r="D8589">
        <v>103000190.40290099</v>
      </c>
    </row>
    <row r="8590" spans="1:4" hidden="1" x14ac:dyDescent="0.3">
      <c r="A8590">
        <v>8588</v>
      </c>
      <c r="B8590" s="1" t="s">
        <v>11246</v>
      </c>
      <c r="C8590" t="s">
        <v>91</v>
      </c>
      <c r="D8590" s="1" t="s">
        <v>11180</v>
      </c>
    </row>
    <row r="8591" spans="1:4" hidden="1" x14ac:dyDescent="0.3">
      <c r="A8591">
        <v>8589</v>
      </c>
      <c r="B8591" t="s">
        <v>11247</v>
      </c>
      <c r="C8591" t="s">
        <v>94</v>
      </c>
      <c r="D8591">
        <v>79285245.910189196</v>
      </c>
    </row>
    <row r="8592" spans="1:4" hidden="1" x14ac:dyDescent="0.3">
      <c r="A8592">
        <v>8590</v>
      </c>
      <c r="B8592" t="s">
        <v>11248</v>
      </c>
      <c r="C8592" t="s">
        <v>96</v>
      </c>
      <c r="D8592">
        <v>34469438.195427597</v>
      </c>
    </row>
    <row r="8593" spans="1:4" hidden="1" x14ac:dyDescent="0.3">
      <c r="A8593">
        <v>8591</v>
      </c>
      <c r="B8593" t="s">
        <v>11249</v>
      </c>
      <c r="C8593" t="s">
        <v>98</v>
      </c>
      <c r="D8593">
        <v>34564456.919566199</v>
      </c>
    </row>
    <row r="8594" spans="1:4" hidden="1" x14ac:dyDescent="0.3">
      <c r="A8594">
        <v>8592</v>
      </c>
      <c r="B8594" s="1" t="s">
        <v>11250</v>
      </c>
      <c r="C8594" t="s">
        <v>100</v>
      </c>
      <c r="D8594" s="1" t="s">
        <v>11251</v>
      </c>
    </row>
    <row r="8595" spans="1:4" hidden="1" x14ac:dyDescent="0.3">
      <c r="A8595">
        <v>8593</v>
      </c>
      <c r="B8595" t="s">
        <v>11252</v>
      </c>
      <c r="C8595" t="s">
        <v>103</v>
      </c>
      <c r="D8595">
        <v>9.9464501774515508E-3</v>
      </c>
    </row>
    <row r="8596" spans="1:4" hidden="1" x14ac:dyDescent="0.3">
      <c r="A8596">
        <v>8594</v>
      </c>
      <c r="B8596" t="s">
        <v>11253</v>
      </c>
      <c r="C8596" t="s">
        <v>105</v>
      </c>
      <c r="D8596">
        <v>2.7271378170889301E-3</v>
      </c>
    </row>
    <row r="8597" spans="1:4" hidden="1" x14ac:dyDescent="0.3">
      <c r="A8597">
        <v>8595</v>
      </c>
      <c r="B8597" t="s">
        <v>11254</v>
      </c>
      <c r="C8597" t="s">
        <v>107</v>
      </c>
      <c r="D8597">
        <v>2.00906381312046E-2</v>
      </c>
    </row>
    <row r="8598" spans="1:4" hidden="1" x14ac:dyDescent="0.3">
      <c r="A8598">
        <v>8596</v>
      </c>
      <c r="B8598" s="1" t="s">
        <v>11255</v>
      </c>
      <c r="C8598" t="s">
        <v>109</v>
      </c>
      <c r="D8598" s="1" t="s">
        <v>11256</v>
      </c>
    </row>
    <row r="8599" spans="1:4" hidden="1" x14ac:dyDescent="0.3">
      <c r="A8599">
        <v>8597</v>
      </c>
      <c r="B8599" t="s">
        <v>11257</v>
      </c>
      <c r="C8599" t="s">
        <v>208</v>
      </c>
      <c r="D8599">
        <v>148320480.24219799</v>
      </c>
    </row>
    <row r="8600" spans="1:4" hidden="1" x14ac:dyDescent="0.3">
      <c r="A8600">
        <v>8598</v>
      </c>
      <c r="B8600" t="s">
        <v>11258</v>
      </c>
      <c r="C8600" t="s">
        <v>210</v>
      </c>
      <c r="D8600">
        <v>-2988.9247837636199</v>
      </c>
    </row>
    <row r="8601" spans="1:4" hidden="1" x14ac:dyDescent="0.3">
      <c r="A8601">
        <v>8599</v>
      </c>
      <c r="B8601" t="s">
        <v>11259</v>
      </c>
      <c r="C8601" t="s">
        <v>212</v>
      </c>
      <c r="D8601">
        <v>-1299.43447990817</v>
      </c>
    </row>
    <row r="8602" spans="1:4" hidden="1" x14ac:dyDescent="0.3">
      <c r="A8602">
        <v>8600</v>
      </c>
      <c r="B8602" s="1" t="s">
        <v>11260</v>
      </c>
      <c r="C8602" t="s">
        <v>214</v>
      </c>
      <c r="D8602" s="1" t="s">
        <v>11261</v>
      </c>
    </row>
    <row r="8603" spans="1:4" hidden="1" x14ac:dyDescent="0.3">
      <c r="A8603">
        <v>8601</v>
      </c>
      <c r="B8603" t="s">
        <v>11262</v>
      </c>
      <c r="C8603" t="s">
        <v>217</v>
      </c>
      <c r="D8603">
        <v>79289162.561650097</v>
      </c>
    </row>
    <row r="8604" spans="1:4" hidden="1" x14ac:dyDescent="0.3">
      <c r="A8604">
        <v>8602</v>
      </c>
      <c r="B8604" t="s">
        <v>11263</v>
      </c>
      <c r="C8604" t="s">
        <v>219</v>
      </c>
      <c r="D8604">
        <v>34470948.307342902</v>
      </c>
    </row>
    <row r="8605" spans="1:4" hidden="1" x14ac:dyDescent="0.3">
      <c r="A8605">
        <v>8603</v>
      </c>
      <c r="B8605" t="s">
        <v>11264</v>
      </c>
      <c r="C8605" t="s">
        <v>221</v>
      </c>
      <c r="D8605">
        <v>34565960.748586804</v>
      </c>
    </row>
    <row r="8606" spans="1:4" hidden="1" x14ac:dyDescent="0.3">
      <c r="A8606">
        <v>8604</v>
      </c>
      <c r="B8606" s="1" t="s">
        <v>11265</v>
      </c>
      <c r="C8606" t="s">
        <v>223</v>
      </c>
      <c r="D8606" s="1" t="s">
        <v>11266</v>
      </c>
    </row>
    <row r="8607" spans="1:4" hidden="1" x14ac:dyDescent="0.3">
      <c r="A8607">
        <v>8605</v>
      </c>
      <c r="B8607" t="s">
        <v>11267</v>
      </c>
      <c r="C8607" t="s">
        <v>226</v>
      </c>
      <c r="D8607">
        <v>103004073.297076</v>
      </c>
    </row>
    <row r="8608" spans="1:4" hidden="1" x14ac:dyDescent="0.3">
      <c r="A8608">
        <v>8606</v>
      </c>
      <c r="B8608" t="s">
        <v>11268</v>
      </c>
      <c r="C8608" t="s">
        <v>228</v>
      </c>
      <c r="D8608">
        <v>-3882.89417569339</v>
      </c>
    </row>
    <row r="8609" spans="1:4" hidden="1" x14ac:dyDescent="0.3">
      <c r="A8609">
        <v>8607</v>
      </c>
      <c r="B8609" s="1" t="s">
        <v>11269</v>
      </c>
      <c r="C8609" t="s">
        <v>230</v>
      </c>
      <c r="D8609" s="1" t="s">
        <v>11270</v>
      </c>
    </row>
    <row r="8610" spans="1:4" hidden="1" x14ac:dyDescent="0.3">
      <c r="A8610">
        <v>8608</v>
      </c>
      <c r="B8610" t="s">
        <v>11271</v>
      </c>
      <c r="C8610" t="s">
        <v>112</v>
      </c>
      <c r="D8610">
        <v>927.72667707094695</v>
      </c>
    </row>
    <row r="8611" spans="1:4" hidden="1" x14ac:dyDescent="0.3">
      <c r="A8611">
        <v>8609</v>
      </c>
      <c r="B8611" t="s">
        <v>11272</v>
      </c>
      <c r="C8611" t="s">
        <v>114</v>
      </c>
      <c r="D8611">
        <v>210.67743542513901</v>
      </c>
    </row>
    <row r="8612" spans="1:4" hidden="1" x14ac:dyDescent="0.3">
      <c r="A8612">
        <v>8610</v>
      </c>
      <c r="B8612" s="1" t="s">
        <v>11273</v>
      </c>
      <c r="C8612" t="s">
        <v>116</v>
      </c>
      <c r="D8612" s="1" t="s">
        <v>11274</v>
      </c>
    </row>
    <row r="8613" spans="1:4" hidden="1" x14ac:dyDescent="0.3">
      <c r="A8613">
        <v>8611</v>
      </c>
      <c r="B8613" t="s">
        <v>11275</v>
      </c>
      <c r="C8613" t="s">
        <v>119</v>
      </c>
      <c r="D8613">
        <v>79289162.561650097</v>
      </c>
    </row>
    <row r="8614" spans="1:4" hidden="1" x14ac:dyDescent="0.3">
      <c r="A8614">
        <v>8612</v>
      </c>
      <c r="B8614" t="s">
        <v>11276</v>
      </c>
      <c r="C8614" t="s">
        <v>121</v>
      </c>
      <c r="D8614">
        <v>34470948.307342902</v>
      </c>
    </row>
    <row r="8615" spans="1:4" hidden="1" x14ac:dyDescent="0.3">
      <c r="A8615">
        <v>8613</v>
      </c>
      <c r="B8615" s="1" t="s">
        <v>11277</v>
      </c>
      <c r="C8615" t="s">
        <v>123</v>
      </c>
      <c r="D8615" s="1" t="s">
        <v>11278</v>
      </c>
    </row>
    <row r="8616" spans="1:4" hidden="1" x14ac:dyDescent="0.3">
      <c r="A8616">
        <v>8614</v>
      </c>
      <c r="B8616" t="s">
        <v>11279</v>
      </c>
      <c r="C8616" t="s">
        <v>126</v>
      </c>
      <c r="D8616">
        <v>0.76981790187140797</v>
      </c>
    </row>
    <row r="8617" spans="1:4" hidden="1" x14ac:dyDescent="0.3">
      <c r="A8617">
        <v>8615</v>
      </c>
      <c r="B8617" t="s">
        <v>11280</v>
      </c>
      <c r="C8617" t="s">
        <v>128</v>
      </c>
      <c r="D8617">
        <v>0.33467818607421401</v>
      </c>
    </row>
    <row r="8618" spans="1:4" hidden="1" x14ac:dyDescent="0.3">
      <c r="A8618">
        <v>8616</v>
      </c>
      <c r="B8618" s="1" t="s">
        <v>11281</v>
      </c>
      <c r="C8618" t="s">
        <v>130</v>
      </c>
      <c r="D8618" s="1" t="s">
        <v>11282</v>
      </c>
    </row>
    <row r="8619" spans="1:4" ht="72" x14ac:dyDescent="0.3">
      <c r="A8619">
        <v>8617</v>
      </c>
      <c r="B8619" s="1" t="s">
        <v>11283</v>
      </c>
      <c r="C8619" t="s">
        <v>4</v>
      </c>
      <c r="D8619" t="s">
        <v>11284</v>
      </c>
    </row>
    <row r="8620" spans="1:4" hidden="1" x14ac:dyDescent="0.3">
      <c r="A8620">
        <v>8618</v>
      </c>
      <c r="B8620" t="s">
        <v>11285</v>
      </c>
      <c r="C8620" t="s">
        <v>7</v>
      </c>
      <c r="D8620">
        <v>1824.02</v>
      </c>
    </row>
    <row r="8621" spans="1:4" hidden="1" x14ac:dyDescent="0.3">
      <c r="A8621">
        <v>8619</v>
      </c>
      <c r="B8621" s="1" t="s">
        <v>11286</v>
      </c>
      <c r="C8621" t="s">
        <v>9</v>
      </c>
      <c r="D8621" s="1" t="s">
        <v>11287</v>
      </c>
    </row>
    <row r="8622" spans="1:4" hidden="1" x14ac:dyDescent="0.3">
      <c r="A8622">
        <v>8620</v>
      </c>
      <c r="B8622" t="s">
        <v>11288</v>
      </c>
      <c r="C8622" t="s">
        <v>14</v>
      </c>
      <c r="D8622">
        <v>89.3984375</v>
      </c>
    </row>
    <row r="8623" spans="1:4" hidden="1" x14ac:dyDescent="0.3">
      <c r="A8623">
        <v>8621</v>
      </c>
      <c r="B8623" t="s">
        <v>11289</v>
      </c>
      <c r="C8623" t="s">
        <v>16</v>
      </c>
      <c r="D8623">
        <v>4.2200153292825604</v>
      </c>
    </row>
    <row r="8624" spans="1:4" hidden="1" x14ac:dyDescent="0.3">
      <c r="A8624">
        <v>8622</v>
      </c>
      <c r="B8624" s="1" t="s">
        <v>11290</v>
      </c>
      <c r="C8624" t="s">
        <v>140</v>
      </c>
      <c r="D8624" s="1" t="s">
        <v>11291</v>
      </c>
    </row>
    <row r="8625" spans="1:4" hidden="1" x14ac:dyDescent="0.3">
      <c r="A8625">
        <v>8623</v>
      </c>
      <c r="B8625" t="s">
        <v>11292</v>
      </c>
      <c r="C8625" t="s">
        <v>22</v>
      </c>
      <c r="D8625">
        <v>57.3</v>
      </c>
    </row>
    <row r="8626" spans="1:4" hidden="1" x14ac:dyDescent="0.3">
      <c r="A8626">
        <v>8624</v>
      </c>
      <c r="B8626" t="s">
        <v>11293</v>
      </c>
      <c r="C8626" t="s">
        <v>24</v>
      </c>
      <c r="D8626">
        <v>4.3507794680260101</v>
      </c>
    </row>
    <row r="8627" spans="1:4" hidden="1" x14ac:dyDescent="0.3">
      <c r="A8627">
        <v>8625</v>
      </c>
      <c r="B8627" s="1" t="s">
        <v>11294</v>
      </c>
      <c r="C8627" t="s">
        <v>145</v>
      </c>
      <c r="D8627" s="1" t="s">
        <v>11295</v>
      </c>
    </row>
    <row r="8628" spans="1:4" hidden="1" x14ac:dyDescent="0.3">
      <c r="A8628">
        <v>8626</v>
      </c>
      <c r="B8628" t="s">
        <v>11296</v>
      </c>
      <c r="C8628" t="s">
        <v>35</v>
      </c>
      <c r="D8628">
        <v>-0.191256109627892</v>
      </c>
    </row>
    <row r="8629" spans="1:4" hidden="1" x14ac:dyDescent="0.3">
      <c r="A8629">
        <v>8627</v>
      </c>
      <c r="B8629" t="s">
        <v>11297</v>
      </c>
      <c r="C8629" t="s">
        <v>149</v>
      </c>
      <c r="D8629">
        <v>0.54460707723639601</v>
      </c>
    </row>
    <row r="8630" spans="1:4" hidden="1" x14ac:dyDescent="0.3">
      <c r="A8630">
        <v>8628</v>
      </c>
      <c r="B8630" s="1" t="s">
        <v>11298</v>
      </c>
      <c r="C8630" t="s">
        <v>151</v>
      </c>
      <c r="D8630" s="1" t="s">
        <v>11299</v>
      </c>
    </row>
    <row r="8631" spans="1:4" hidden="1" x14ac:dyDescent="0.3">
      <c r="A8631">
        <v>8629</v>
      </c>
      <c r="B8631" t="s">
        <v>11300</v>
      </c>
      <c r="C8631" t="s">
        <v>30</v>
      </c>
      <c r="D8631">
        <v>0.56750790005788099</v>
      </c>
    </row>
    <row r="8632" spans="1:4" hidden="1" x14ac:dyDescent="0.3">
      <c r="A8632">
        <v>8630</v>
      </c>
      <c r="B8632" t="s">
        <v>11301</v>
      </c>
      <c r="C8632" t="s">
        <v>32</v>
      </c>
      <c r="D8632">
        <v>0.36814751905059301</v>
      </c>
    </row>
    <row r="8633" spans="1:4" hidden="1" x14ac:dyDescent="0.3">
      <c r="A8633">
        <v>8631</v>
      </c>
      <c r="B8633" s="1" t="s">
        <v>11302</v>
      </c>
      <c r="C8633" t="s">
        <v>155</v>
      </c>
      <c r="D8633" s="1" t="s">
        <v>11303</v>
      </c>
    </row>
    <row r="8634" spans="1:4" hidden="1" x14ac:dyDescent="0.3">
      <c r="A8634">
        <v>8632</v>
      </c>
      <c r="B8634" t="s">
        <v>11304</v>
      </c>
      <c r="C8634" t="s">
        <v>40</v>
      </c>
      <c r="D8634">
        <v>0.62374820957000998</v>
      </c>
    </row>
    <row r="8635" spans="1:4" hidden="1" x14ac:dyDescent="0.3">
      <c r="A8635">
        <v>8633</v>
      </c>
      <c r="B8635" t="s">
        <v>11305</v>
      </c>
      <c r="C8635" t="s">
        <v>42</v>
      </c>
      <c r="D8635">
        <v>0.46803868160344703</v>
      </c>
    </row>
    <row r="8636" spans="1:4" hidden="1" x14ac:dyDescent="0.3">
      <c r="A8636">
        <v>8634</v>
      </c>
      <c r="B8636" s="1" t="s">
        <v>11306</v>
      </c>
      <c r="C8636" t="s">
        <v>159</v>
      </c>
      <c r="D8636" s="1" t="s">
        <v>11307</v>
      </c>
    </row>
    <row r="8637" spans="1:4" hidden="1" x14ac:dyDescent="0.3">
      <c r="A8637">
        <v>8635</v>
      </c>
      <c r="B8637" t="s">
        <v>11308</v>
      </c>
      <c r="C8637" t="s">
        <v>161</v>
      </c>
      <c r="D8637">
        <v>1.0050195326489999</v>
      </c>
    </row>
    <row r="8638" spans="1:4" hidden="1" x14ac:dyDescent="0.3">
      <c r="A8638">
        <v>8636</v>
      </c>
      <c r="B8638" t="s">
        <v>11309</v>
      </c>
      <c r="C8638" t="s">
        <v>163</v>
      </c>
      <c r="D8638">
        <v>0.99879814621942098</v>
      </c>
    </row>
    <row r="8639" spans="1:4" hidden="1" x14ac:dyDescent="0.3">
      <c r="A8639">
        <v>8637</v>
      </c>
      <c r="B8639" s="1" t="s">
        <v>11310</v>
      </c>
      <c r="C8639" t="s">
        <v>165</v>
      </c>
      <c r="D8639" s="1" t="s">
        <v>11311</v>
      </c>
    </row>
    <row r="8640" spans="1:4" hidden="1" x14ac:dyDescent="0.3">
      <c r="A8640">
        <v>8638</v>
      </c>
      <c r="B8640" t="s">
        <v>11312</v>
      </c>
      <c r="C8640" t="s">
        <v>168</v>
      </c>
      <c r="D8640">
        <v>0.998327729917596</v>
      </c>
    </row>
    <row r="8641" spans="1:4" hidden="1" x14ac:dyDescent="0.3">
      <c r="A8641">
        <v>8639</v>
      </c>
      <c r="B8641" t="s">
        <v>11313</v>
      </c>
      <c r="C8641" t="s">
        <v>170</v>
      </c>
      <c r="D8641">
        <v>0.99985946187625996</v>
      </c>
    </row>
    <row r="8642" spans="1:4" hidden="1" x14ac:dyDescent="0.3">
      <c r="A8642">
        <v>8640</v>
      </c>
      <c r="B8642" s="1" t="s">
        <v>11314</v>
      </c>
      <c r="C8642" t="s">
        <v>172</v>
      </c>
      <c r="D8642" s="1" t="s">
        <v>11315</v>
      </c>
    </row>
    <row r="8643" spans="1:4" hidden="1" x14ac:dyDescent="0.3">
      <c r="A8643">
        <v>8641</v>
      </c>
      <c r="B8643" s="1" t="s">
        <v>11316</v>
      </c>
      <c r="C8643" t="s">
        <v>55</v>
      </c>
      <c r="D8643" s="1" t="s">
        <v>11317</v>
      </c>
    </row>
    <row r="8644" spans="1:4" hidden="1" x14ac:dyDescent="0.3">
      <c r="A8644">
        <v>8642</v>
      </c>
      <c r="B8644" s="1" t="s">
        <v>11318</v>
      </c>
      <c r="C8644" t="s">
        <v>52</v>
      </c>
      <c r="D8644" s="1" t="s">
        <v>11319</v>
      </c>
    </row>
    <row r="8645" spans="1:4" hidden="1" x14ac:dyDescent="0.3">
      <c r="A8645">
        <v>8643</v>
      </c>
      <c r="B8645" s="1" t="s">
        <v>11320</v>
      </c>
      <c r="C8645" t="s">
        <v>58</v>
      </c>
      <c r="D8645" s="1" t="s">
        <v>11321</v>
      </c>
    </row>
    <row r="8646" spans="1:4" hidden="1" x14ac:dyDescent="0.3">
      <c r="A8646">
        <v>8644</v>
      </c>
      <c r="B8646" t="s">
        <v>11322</v>
      </c>
      <c r="C8646" t="s">
        <v>61</v>
      </c>
      <c r="D8646">
        <v>148923354.601558</v>
      </c>
    </row>
    <row r="8647" spans="1:4" hidden="1" x14ac:dyDescent="0.3">
      <c r="A8647">
        <v>8645</v>
      </c>
      <c r="B8647" t="s">
        <v>11323</v>
      </c>
      <c r="C8647" t="s">
        <v>63</v>
      </c>
      <c r="D8647">
        <v>79687157.101840302</v>
      </c>
    </row>
    <row r="8648" spans="1:4" hidden="1" x14ac:dyDescent="0.3">
      <c r="A8648">
        <v>8646</v>
      </c>
      <c r="B8648" t="s">
        <v>11324</v>
      </c>
      <c r="C8648" t="s">
        <v>65</v>
      </c>
      <c r="D8648">
        <v>34429519.267799601</v>
      </c>
    </row>
    <row r="8649" spans="1:4" hidden="1" x14ac:dyDescent="0.3">
      <c r="A8649">
        <v>8647</v>
      </c>
      <c r="B8649" s="1" t="s">
        <v>11325</v>
      </c>
      <c r="C8649" t="s">
        <v>67</v>
      </c>
      <c r="D8649" s="1" t="s">
        <v>11326</v>
      </c>
    </row>
    <row r="8650" spans="1:4" hidden="1" x14ac:dyDescent="0.3">
      <c r="A8650">
        <v>8648</v>
      </c>
      <c r="B8650" s="1" t="s">
        <v>11327</v>
      </c>
      <c r="C8650" t="s">
        <v>70</v>
      </c>
      <c r="D8650" s="1" t="s">
        <v>11328</v>
      </c>
    </row>
    <row r="8651" spans="1:4" hidden="1" x14ac:dyDescent="0.3">
      <c r="A8651">
        <v>8649</v>
      </c>
      <c r="B8651" t="s">
        <v>11329</v>
      </c>
      <c r="C8651" t="s">
        <v>73</v>
      </c>
      <c r="D8651">
        <v>0.99993420683607903</v>
      </c>
    </row>
    <row r="8652" spans="1:4" hidden="1" x14ac:dyDescent="0.3">
      <c r="A8652">
        <v>8650</v>
      </c>
      <c r="B8652" t="s">
        <v>74</v>
      </c>
      <c r="C8652" t="s">
        <v>75</v>
      </c>
      <c r="D8652">
        <v>2.7397260273972599E-3</v>
      </c>
    </row>
    <row r="8653" spans="1:4" hidden="1" x14ac:dyDescent="0.3">
      <c r="A8653">
        <v>8651</v>
      </c>
      <c r="B8653" t="s">
        <v>76</v>
      </c>
      <c r="C8653" t="s">
        <v>77</v>
      </c>
      <c r="D8653">
        <v>0</v>
      </c>
    </row>
    <row r="8654" spans="1:4" hidden="1" x14ac:dyDescent="0.3">
      <c r="A8654">
        <v>8652</v>
      </c>
      <c r="B8654" t="s">
        <v>78</v>
      </c>
      <c r="C8654" t="s">
        <v>79</v>
      </c>
      <c r="D8654">
        <v>0</v>
      </c>
    </row>
    <row r="8655" spans="1:4" hidden="1" x14ac:dyDescent="0.3">
      <c r="A8655">
        <v>8653</v>
      </c>
      <c r="B8655" s="1" t="s">
        <v>11330</v>
      </c>
      <c r="C8655" t="s">
        <v>81</v>
      </c>
      <c r="D8655" s="1" t="s">
        <v>11331</v>
      </c>
    </row>
    <row r="8656" spans="1:4" hidden="1" x14ac:dyDescent="0.3">
      <c r="A8656">
        <v>8654</v>
      </c>
      <c r="B8656" t="s">
        <v>11332</v>
      </c>
      <c r="C8656" t="s">
        <v>84</v>
      </c>
      <c r="D8656">
        <v>0.99995994680203504</v>
      </c>
    </row>
    <row r="8657" spans="1:4" hidden="1" x14ac:dyDescent="0.3">
      <c r="A8657">
        <v>8655</v>
      </c>
      <c r="B8657" s="1" t="s">
        <v>11333</v>
      </c>
      <c r="C8657" t="s">
        <v>86</v>
      </c>
      <c r="D8657" s="1" t="s">
        <v>11334</v>
      </c>
    </row>
    <row r="8658" spans="1:4" hidden="1" x14ac:dyDescent="0.3">
      <c r="A8658">
        <v>8656</v>
      </c>
      <c r="B8658" t="s">
        <v>11335</v>
      </c>
      <c r="C8658" t="s">
        <v>89</v>
      </c>
      <c r="D8658">
        <v>102997539.075312</v>
      </c>
    </row>
    <row r="8659" spans="1:4" hidden="1" x14ac:dyDescent="0.3">
      <c r="A8659">
        <v>8657</v>
      </c>
      <c r="B8659" s="1" t="s">
        <v>11336</v>
      </c>
      <c r="C8659" t="s">
        <v>91</v>
      </c>
      <c r="D8659" s="1" t="s">
        <v>11270</v>
      </c>
    </row>
    <row r="8660" spans="1:4" hidden="1" x14ac:dyDescent="0.3">
      <c r="A8660">
        <v>8658</v>
      </c>
      <c r="B8660" t="s">
        <v>11337</v>
      </c>
      <c r="C8660" t="s">
        <v>94</v>
      </c>
      <c r="D8660">
        <v>79687157.101840302</v>
      </c>
    </row>
    <row r="8661" spans="1:4" hidden="1" x14ac:dyDescent="0.3">
      <c r="A8661">
        <v>8659</v>
      </c>
      <c r="B8661" t="s">
        <v>11338</v>
      </c>
      <c r="C8661" t="s">
        <v>96</v>
      </c>
      <c r="D8661">
        <v>34429519.267799601</v>
      </c>
    </row>
    <row r="8662" spans="1:4" hidden="1" x14ac:dyDescent="0.3">
      <c r="A8662">
        <v>8660</v>
      </c>
      <c r="B8662" t="s">
        <v>11339</v>
      </c>
      <c r="C8662" t="s">
        <v>98</v>
      </c>
      <c r="D8662">
        <v>34806678.2319187</v>
      </c>
    </row>
    <row r="8663" spans="1:4" hidden="1" x14ac:dyDescent="0.3">
      <c r="A8663">
        <v>8661</v>
      </c>
      <c r="B8663" s="1" t="s">
        <v>11340</v>
      </c>
      <c r="C8663" t="s">
        <v>100</v>
      </c>
      <c r="D8663" s="1" t="s">
        <v>11341</v>
      </c>
    </row>
    <row r="8664" spans="1:4" hidden="1" x14ac:dyDescent="0.3">
      <c r="A8664">
        <v>8662</v>
      </c>
      <c r="B8664" t="s">
        <v>11342</v>
      </c>
      <c r="C8664" t="s">
        <v>103</v>
      </c>
      <c r="D8664">
        <v>9.95904075963879E-3</v>
      </c>
    </row>
    <row r="8665" spans="1:4" hidden="1" x14ac:dyDescent="0.3">
      <c r="A8665">
        <v>8663</v>
      </c>
      <c r="B8665" t="s">
        <v>11343</v>
      </c>
      <c r="C8665" t="s">
        <v>105</v>
      </c>
      <c r="D8665">
        <v>2.7280316209523799E-3</v>
      </c>
    </row>
    <row r="8666" spans="1:4" hidden="1" x14ac:dyDescent="0.3">
      <c r="A8666">
        <v>8664</v>
      </c>
      <c r="B8666" t="s">
        <v>11344</v>
      </c>
      <c r="C8666" t="s">
        <v>107</v>
      </c>
      <c r="D8666">
        <v>2.0110519675628599E-2</v>
      </c>
    </row>
    <row r="8667" spans="1:4" hidden="1" x14ac:dyDescent="0.3">
      <c r="A8667">
        <v>8665</v>
      </c>
      <c r="B8667" s="1" t="s">
        <v>11345</v>
      </c>
      <c r="C8667" t="s">
        <v>109</v>
      </c>
      <c r="D8667" s="1" t="s">
        <v>11346</v>
      </c>
    </row>
    <row r="8668" spans="1:4" hidden="1" x14ac:dyDescent="0.3">
      <c r="A8668">
        <v>8666</v>
      </c>
      <c r="B8668" t="s">
        <v>11347</v>
      </c>
      <c r="C8668" t="s">
        <v>208</v>
      </c>
      <c r="D8668">
        <v>148924267.068537</v>
      </c>
    </row>
    <row r="8669" spans="1:4" hidden="1" x14ac:dyDescent="0.3">
      <c r="A8669">
        <v>8667</v>
      </c>
      <c r="B8669" t="s">
        <v>11348</v>
      </c>
      <c r="C8669" t="s">
        <v>210</v>
      </c>
      <c r="D8669">
        <v>-2051.2969557739002</v>
      </c>
    </row>
    <row r="8670" spans="1:4" hidden="1" x14ac:dyDescent="0.3">
      <c r="A8670">
        <v>8668</v>
      </c>
      <c r="B8670" t="s">
        <v>11349</v>
      </c>
      <c r="C8670" t="s">
        <v>212</v>
      </c>
      <c r="D8670">
        <v>-886.27660460970105</v>
      </c>
    </row>
    <row r="8671" spans="1:4" hidden="1" x14ac:dyDescent="0.3">
      <c r="A8671">
        <v>8669</v>
      </c>
      <c r="B8671" s="1" t="s">
        <v>11350</v>
      </c>
      <c r="C8671" t="s">
        <v>214</v>
      </c>
      <c r="D8671" s="1" t="s">
        <v>11351</v>
      </c>
    </row>
    <row r="8672" spans="1:4" hidden="1" x14ac:dyDescent="0.3">
      <c r="A8672">
        <v>8670</v>
      </c>
      <c r="B8672" t="s">
        <v>11352</v>
      </c>
      <c r="C8672" t="s">
        <v>217</v>
      </c>
      <c r="D8672">
        <v>79689879.866443798</v>
      </c>
    </row>
    <row r="8673" spans="1:4" hidden="1" x14ac:dyDescent="0.3">
      <c r="A8673">
        <v>8671</v>
      </c>
      <c r="B8673" t="s">
        <v>11353</v>
      </c>
      <c r="C8673" t="s">
        <v>219</v>
      </c>
      <c r="D8673">
        <v>34430546.952740401</v>
      </c>
    </row>
    <row r="8674" spans="1:4" hidden="1" x14ac:dyDescent="0.3">
      <c r="A8674">
        <v>8672</v>
      </c>
      <c r="B8674" t="s">
        <v>11354</v>
      </c>
      <c r="C8674" t="s">
        <v>221</v>
      </c>
      <c r="D8674">
        <v>34807673.807139002</v>
      </c>
    </row>
    <row r="8675" spans="1:4" hidden="1" x14ac:dyDescent="0.3">
      <c r="A8675">
        <v>8673</v>
      </c>
      <c r="B8675" s="1" t="s">
        <v>11355</v>
      </c>
      <c r="C8675" t="s">
        <v>223</v>
      </c>
      <c r="D8675" s="1" t="s">
        <v>11356</v>
      </c>
    </row>
    <row r="8676" spans="1:4" hidden="1" x14ac:dyDescent="0.3">
      <c r="A8676">
        <v>8674</v>
      </c>
      <c r="B8676" t="s">
        <v>11357</v>
      </c>
      <c r="C8676" t="s">
        <v>226</v>
      </c>
      <c r="D8676">
        <v>103000190.40290099</v>
      </c>
    </row>
    <row r="8677" spans="1:4" hidden="1" x14ac:dyDescent="0.3">
      <c r="A8677">
        <v>8675</v>
      </c>
      <c r="B8677" t="s">
        <v>11358</v>
      </c>
      <c r="C8677" t="s">
        <v>228</v>
      </c>
      <c r="D8677">
        <v>-2651.3275885432899</v>
      </c>
    </row>
    <row r="8678" spans="1:4" hidden="1" x14ac:dyDescent="0.3">
      <c r="A8678">
        <v>8676</v>
      </c>
      <c r="B8678" s="1" t="s">
        <v>11359</v>
      </c>
      <c r="C8678" t="s">
        <v>230</v>
      </c>
      <c r="D8678" s="1" t="s">
        <v>11360</v>
      </c>
    </row>
    <row r="8679" spans="1:4" hidden="1" x14ac:dyDescent="0.3">
      <c r="A8679">
        <v>8677</v>
      </c>
      <c r="B8679" t="s">
        <v>11361</v>
      </c>
      <c r="C8679" t="s">
        <v>112</v>
      </c>
      <c r="D8679">
        <v>671.46764772630297</v>
      </c>
    </row>
    <row r="8680" spans="1:4" hidden="1" x14ac:dyDescent="0.3">
      <c r="A8680">
        <v>8678</v>
      </c>
      <c r="B8680" t="s">
        <v>11362</v>
      </c>
      <c r="C8680" t="s">
        <v>114</v>
      </c>
      <c r="D8680">
        <v>141.408336147413</v>
      </c>
    </row>
    <row r="8681" spans="1:4" hidden="1" x14ac:dyDescent="0.3">
      <c r="A8681">
        <v>8679</v>
      </c>
      <c r="B8681" s="1" t="s">
        <v>11363</v>
      </c>
      <c r="C8681" t="s">
        <v>116</v>
      </c>
      <c r="D8681" s="1" t="s">
        <v>11364</v>
      </c>
    </row>
    <row r="8682" spans="1:4" hidden="1" x14ac:dyDescent="0.3">
      <c r="A8682">
        <v>8680</v>
      </c>
      <c r="B8682" t="s">
        <v>11365</v>
      </c>
      <c r="C8682" t="s">
        <v>119</v>
      </c>
      <c r="D8682">
        <v>79689879.866443798</v>
      </c>
    </row>
    <row r="8683" spans="1:4" hidden="1" x14ac:dyDescent="0.3">
      <c r="A8683">
        <v>8681</v>
      </c>
      <c r="B8683" t="s">
        <v>11366</v>
      </c>
      <c r="C8683" t="s">
        <v>121</v>
      </c>
      <c r="D8683">
        <v>34430546.952740401</v>
      </c>
    </row>
    <row r="8684" spans="1:4" hidden="1" x14ac:dyDescent="0.3">
      <c r="A8684">
        <v>8682</v>
      </c>
      <c r="B8684" s="1" t="s">
        <v>11367</v>
      </c>
      <c r="C8684" t="s">
        <v>123</v>
      </c>
      <c r="D8684" s="1" t="s">
        <v>11368</v>
      </c>
    </row>
    <row r="8685" spans="1:4" hidden="1" x14ac:dyDescent="0.3">
      <c r="A8685">
        <v>8683</v>
      </c>
      <c r="B8685" t="s">
        <v>11369</v>
      </c>
      <c r="C8685" t="s">
        <v>126</v>
      </c>
      <c r="D8685">
        <v>0.77371771369639597</v>
      </c>
    </row>
    <row r="8686" spans="1:4" hidden="1" x14ac:dyDescent="0.3">
      <c r="A8686">
        <v>8684</v>
      </c>
      <c r="B8686" t="s">
        <v>11370</v>
      </c>
      <c r="C8686" t="s">
        <v>128</v>
      </c>
      <c r="D8686">
        <v>0.33428992632737298</v>
      </c>
    </row>
    <row r="8687" spans="1:4" hidden="1" x14ac:dyDescent="0.3">
      <c r="A8687">
        <v>8685</v>
      </c>
      <c r="B8687" s="1" t="s">
        <v>11371</v>
      </c>
      <c r="C8687" t="s">
        <v>130</v>
      </c>
      <c r="D8687" s="1" t="s">
        <v>11372</v>
      </c>
    </row>
    <row r="8688" spans="1:4" ht="72" x14ac:dyDescent="0.3">
      <c r="A8688">
        <v>8686</v>
      </c>
      <c r="B8688" s="1" t="s">
        <v>11373</v>
      </c>
      <c r="C8688" t="s">
        <v>4</v>
      </c>
      <c r="D8688" t="s">
        <v>11374</v>
      </c>
    </row>
    <row r="8689" spans="1:4" hidden="1" x14ac:dyDescent="0.3">
      <c r="A8689">
        <v>8687</v>
      </c>
      <c r="B8689" t="s">
        <v>11375</v>
      </c>
      <c r="C8689" t="s">
        <v>7</v>
      </c>
      <c r="D8689">
        <v>1839.48</v>
      </c>
    </row>
    <row r="8690" spans="1:4" hidden="1" x14ac:dyDescent="0.3">
      <c r="A8690">
        <v>8688</v>
      </c>
      <c r="B8690" s="1" t="s">
        <v>11376</v>
      </c>
      <c r="C8690" t="s">
        <v>9</v>
      </c>
      <c r="D8690" s="1" t="s">
        <v>11377</v>
      </c>
    </row>
    <row r="8691" spans="1:4" hidden="1" x14ac:dyDescent="0.3">
      <c r="A8691">
        <v>8689</v>
      </c>
      <c r="B8691" t="s">
        <v>11378</v>
      </c>
      <c r="C8691" t="s">
        <v>14</v>
      </c>
      <c r="D8691">
        <v>89.58984375</v>
      </c>
    </row>
    <row r="8692" spans="1:4" hidden="1" x14ac:dyDescent="0.3">
      <c r="A8692">
        <v>8690</v>
      </c>
      <c r="B8692" t="s">
        <v>11379</v>
      </c>
      <c r="C8692" t="s">
        <v>16</v>
      </c>
      <c r="D8692">
        <v>4.2259352258192404</v>
      </c>
    </row>
    <row r="8693" spans="1:4" hidden="1" x14ac:dyDescent="0.3">
      <c r="A8693">
        <v>8691</v>
      </c>
      <c r="B8693" s="1" t="s">
        <v>11380</v>
      </c>
      <c r="C8693" t="s">
        <v>140</v>
      </c>
      <c r="D8693" s="1" t="s">
        <v>11381</v>
      </c>
    </row>
    <row r="8694" spans="1:4" hidden="1" x14ac:dyDescent="0.3">
      <c r="A8694">
        <v>8692</v>
      </c>
      <c r="B8694" t="s">
        <v>11382</v>
      </c>
      <c r="C8694" t="s">
        <v>22</v>
      </c>
      <c r="D8694">
        <v>58.2</v>
      </c>
    </row>
    <row r="8695" spans="1:4" hidden="1" x14ac:dyDescent="0.3">
      <c r="A8695">
        <v>8693</v>
      </c>
      <c r="B8695" t="s">
        <v>11383</v>
      </c>
      <c r="C8695" t="s">
        <v>24</v>
      </c>
      <c r="D8695">
        <v>4.3341288538995002</v>
      </c>
    </row>
    <row r="8696" spans="1:4" hidden="1" x14ac:dyDescent="0.3">
      <c r="A8696">
        <v>8694</v>
      </c>
      <c r="B8696" s="1" t="s">
        <v>11384</v>
      </c>
      <c r="C8696" t="s">
        <v>145</v>
      </c>
      <c r="D8696" s="1" t="s">
        <v>11385</v>
      </c>
    </row>
    <row r="8697" spans="1:4" hidden="1" x14ac:dyDescent="0.3">
      <c r="A8697">
        <v>8695</v>
      </c>
      <c r="B8697" t="s">
        <v>11386</v>
      </c>
      <c r="C8697" t="s">
        <v>35</v>
      </c>
      <c r="D8697">
        <v>5.7450746743740302</v>
      </c>
    </row>
    <row r="8698" spans="1:4" hidden="1" x14ac:dyDescent="0.3">
      <c r="A8698">
        <v>8696</v>
      </c>
      <c r="B8698" t="s">
        <v>11387</v>
      </c>
      <c r="C8698" t="s">
        <v>149</v>
      </c>
      <c r="D8698">
        <v>0.54443849537482603</v>
      </c>
    </row>
    <row r="8699" spans="1:4" hidden="1" x14ac:dyDescent="0.3">
      <c r="A8699">
        <v>8697</v>
      </c>
      <c r="B8699" s="1" t="s">
        <v>11388</v>
      </c>
      <c r="C8699" t="s">
        <v>151</v>
      </c>
      <c r="D8699" s="1" t="s">
        <v>11389</v>
      </c>
    </row>
    <row r="8700" spans="1:4" hidden="1" x14ac:dyDescent="0.3">
      <c r="A8700">
        <v>8698</v>
      </c>
      <c r="B8700" t="s">
        <v>11390</v>
      </c>
      <c r="C8700" t="s">
        <v>30</v>
      </c>
      <c r="D8700">
        <v>-2.3044431054282501</v>
      </c>
    </row>
    <row r="8701" spans="1:4" hidden="1" x14ac:dyDescent="0.3">
      <c r="A8701">
        <v>8699</v>
      </c>
      <c r="B8701" t="s">
        <v>11391</v>
      </c>
      <c r="C8701" t="s">
        <v>32</v>
      </c>
      <c r="D8701">
        <v>0.37138573173817702</v>
      </c>
    </row>
    <row r="8702" spans="1:4" hidden="1" x14ac:dyDescent="0.3">
      <c r="A8702">
        <v>8700</v>
      </c>
      <c r="B8702" s="1" t="s">
        <v>11392</v>
      </c>
      <c r="C8702" t="s">
        <v>155</v>
      </c>
      <c r="D8702" s="1" t="s">
        <v>11393</v>
      </c>
    </row>
    <row r="8703" spans="1:4" hidden="1" x14ac:dyDescent="0.3">
      <c r="A8703">
        <v>8701</v>
      </c>
      <c r="B8703" t="s">
        <v>11394</v>
      </c>
      <c r="C8703" t="s">
        <v>40</v>
      </c>
      <c r="D8703">
        <v>-2.4406315689457698</v>
      </c>
    </row>
    <row r="8704" spans="1:4" hidden="1" x14ac:dyDescent="0.3">
      <c r="A8704">
        <v>8702</v>
      </c>
      <c r="B8704" t="s">
        <v>11395</v>
      </c>
      <c r="C8704" t="s">
        <v>42</v>
      </c>
      <c r="D8704">
        <v>0.46536903210624098</v>
      </c>
    </row>
    <row r="8705" spans="1:4" hidden="1" x14ac:dyDescent="0.3">
      <c r="A8705">
        <v>8703</v>
      </c>
      <c r="B8705" s="1" t="s">
        <v>11396</v>
      </c>
      <c r="C8705" t="s">
        <v>159</v>
      </c>
      <c r="D8705" s="1" t="s">
        <v>11397</v>
      </c>
    </row>
    <row r="8706" spans="1:4" hidden="1" x14ac:dyDescent="0.3">
      <c r="A8706">
        <v>8704</v>
      </c>
      <c r="B8706" t="s">
        <v>11398</v>
      </c>
      <c r="C8706" t="s">
        <v>161</v>
      </c>
      <c r="D8706">
        <v>1.00847578425675</v>
      </c>
    </row>
    <row r="8707" spans="1:4" hidden="1" x14ac:dyDescent="0.3">
      <c r="A8707">
        <v>8705</v>
      </c>
      <c r="B8707" t="s">
        <v>11399</v>
      </c>
      <c r="C8707" t="s">
        <v>163</v>
      </c>
      <c r="D8707">
        <v>1.00210776978868</v>
      </c>
    </row>
    <row r="8708" spans="1:4" hidden="1" x14ac:dyDescent="0.3">
      <c r="A8708">
        <v>8706</v>
      </c>
      <c r="B8708" s="1" t="s">
        <v>11400</v>
      </c>
      <c r="C8708" t="s">
        <v>165</v>
      </c>
      <c r="D8708" s="1" t="s">
        <v>11401</v>
      </c>
    </row>
    <row r="8709" spans="1:4" hidden="1" x14ac:dyDescent="0.3">
      <c r="A8709">
        <v>8707</v>
      </c>
      <c r="B8709" t="s">
        <v>11402</v>
      </c>
      <c r="C8709" t="s">
        <v>168</v>
      </c>
      <c r="D8709">
        <v>0.999890857769555</v>
      </c>
    </row>
    <row r="8710" spans="1:4" hidden="1" x14ac:dyDescent="0.3">
      <c r="A8710">
        <v>8708</v>
      </c>
      <c r="B8710" t="s">
        <v>11403</v>
      </c>
      <c r="C8710" t="s">
        <v>170</v>
      </c>
      <c r="D8710">
        <v>1.0023668593060999</v>
      </c>
    </row>
    <row r="8711" spans="1:4" hidden="1" x14ac:dyDescent="0.3">
      <c r="A8711">
        <v>8709</v>
      </c>
      <c r="B8711" s="1" t="s">
        <v>11404</v>
      </c>
      <c r="C8711" t="s">
        <v>172</v>
      </c>
      <c r="D8711" s="1" t="s">
        <v>11405</v>
      </c>
    </row>
    <row r="8712" spans="1:4" hidden="1" x14ac:dyDescent="0.3">
      <c r="A8712">
        <v>8710</v>
      </c>
      <c r="B8712" s="1" t="s">
        <v>11406</v>
      </c>
      <c r="C8712" t="s">
        <v>55</v>
      </c>
      <c r="D8712" s="1" t="s">
        <v>11407</v>
      </c>
    </row>
    <row r="8713" spans="1:4" hidden="1" x14ac:dyDescent="0.3">
      <c r="A8713">
        <v>8711</v>
      </c>
      <c r="B8713" s="1" t="s">
        <v>11408</v>
      </c>
      <c r="C8713" t="s">
        <v>52</v>
      </c>
      <c r="D8713" s="1" t="s">
        <v>11409</v>
      </c>
    </row>
    <row r="8714" spans="1:4" hidden="1" x14ac:dyDescent="0.3">
      <c r="A8714">
        <v>8712</v>
      </c>
      <c r="B8714" s="1" t="s">
        <v>11410</v>
      </c>
      <c r="C8714" t="s">
        <v>58</v>
      </c>
      <c r="D8714" s="1" t="s">
        <v>11411</v>
      </c>
    </row>
    <row r="8715" spans="1:4" hidden="1" x14ac:dyDescent="0.3">
      <c r="A8715">
        <v>8713</v>
      </c>
      <c r="B8715" t="s">
        <v>11412</v>
      </c>
      <c r="C8715" t="s">
        <v>61</v>
      </c>
      <c r="D8715">
        <v>150174840.480571</v>
      </c>
    </row>
    <row r="8716" spans="1:4" hidden="1" x14ac:dyDescent="0.3">
      <c r="A8716">
        <v>8714</v>
      </c>
      <c r="B8716" t="s">
        <v>11413</v>
      </c>
      <c r="C8716" t="s">
        <v>63</v>
      </c>
      <c r="D8716">
        <v>80365314.095638201</v>
      </c>
    </row>
    <row r="8717" spans="1:4" hidden="1" x14ac:dyDescent="0.3">
      <c r="A8717">
        <v>8715</v>
      </c>
      <c r="B8717" t="s">
        <v>11414</v>
      </c>
      <c r="C8717" t="s">
        <v>65</v>
      </c>
      <c r="D8717">
        <v>34503118.619415201</v>
      </c>
    </row>
    <row r="8718" spans="1:4" hidden="1" x14ac:dyDescent="0.3">
      <c r="A8718">
        <v>8716</v>
      </c>
      <c r="B8718" s="1" t="s">
        <v>11415</v>
      </c>
      <c r="C8718" t="s">
        <v>67</v>
      </c>
      <c r="D8718" s="1" t="s">
        <v>11416</v>
      </c>
    </row>
    <row r="8719" spans="1:4" hidden="1" x14ac:dyDescent="0.3">
      <c r="A8719">
        <v>8717</v>
      </c>
      <c r="B8719" s="1" t="s">
        <v>11417</v>
      </c>
      <c r="C8719" t="s">
        <v>70</v>
      </c>
      <c r="D8719" s="1" t="s">
        <v>11418</v>
      </c>
    </row>
    <row r="8720" spans="1:4" hidden="1" x14ac:dyDescent="0.3">
      <c r="A8720">
        <v>8718</v>
      </c>
      <c r="B8720" t="s">
        <v>11419</v>
      </c>
      <c r="C8720" t="s">
        <v>73</v>
      </c>
      <c r="D8720">
        <v>0.99995994680203504</v>
      </c>
    </row>
    <row r="8721" spans="1:4" hidden="1" x14ac:dyDescent="0.3">
      <c r="A8721">
        <v>8719</v>
      </c>
      <c r="B8721" t="s">
        <v>74</v>
      </c>
      <c r="C8721" t="s">
        <v>75</v>
      </c>
      <c r="D8721">
        <v>2.7397260273972599E-3</v>
      </c>
    </row>
    <row r="8722" spans="1:4" hidden="1" x14ac:dyDescent="0.3">
      <c r="A8722">
        <v>8720</v>
      </c>
      <c r="B8722" t="s">
        <v>76</v>
      </c>
      <c r="C8722" t="s">
        <v>77</v>
      </c>
      <c r="D8722">
        <v>0</v>
      </c>
    </row>
    <row r="8723" spans="1:4" hidden="1" x14ac:dyDescent="0.3">
      <c r="A8723">
        <v>8721</v>
      </c>
      <c r="B8723" t="s">
        <v>831</v>
      </c>
      <c r="C8723" t="s">
        <v>79</v>
      </c>
      <c r="D8723" s="2">
        <v>2.2204460492503101E-16</v>
      </c>
    </row>
    <row r="8724" spans="1:4" hidden="1" x14ac:dyDescent="0.3">
      <c r="A8724">
        <v>8722</v>
      </c>
      <c r="B8724" s="1" t="s">
        <v>11420</v>
      </c>
      <c r="C8724" t="s">
        <v>81</v>
      </c>
      <c r="D8724" s="1" t="s">
        <v>11421</v>
      </c>
    </row>
    <row r="8725" spans="1:4" hidden="1" x14ac:dyDescent="0.3">
      <c r="A8725">
        <v>8723</v>
      </c>
      <c r="B8725" t="s">
        <v>11422</v>
      </c>
      <c r="C8725" t="s">
        <v>84</v>
      </c>
      <c r="D8725">
        <v>0.99993581039455703</v>
      </c>
    </row>
    <row r="8726" spans="1:4" hidden="1" x14ac:dyDescent="0.3">
      <c r="A8726">
        <v>8724</v>
      </c>
      <c r="B8726" s="1" t="s">
        <v>11423</v>
      </c>
      <c r="C8726" t="s">
        <v>86</v>
      </c>
      <c r="D8726" s="1" t="s">
        <v>11424</v>
      </c>
    </row>
    <row r="8727" spans="1:4" hidden="1" x14ac:dyDescent="0.3">
      <c r="A8727">
        <v>8725</v>
      </c>
      <c r="B8727" t="s">
        <v>11425</v>
      </c>
      <c r="C8727" t="s">
        <v>89</v>
      </c>
      <c r="D8727">
        <v>103000025.22546899</v>
      </c>
    </row>
    <row r="8728" spans="1:4" hidden="1" x14ac:dyDescent="0.3">
      <c r="A8728">
        <v>8726</v>
      </c>
      <c r="B8728" s="1" t="s">
        <v>11426</v>
      </c>
      <c r="C8728" t="s">
        <v>91</v>
      </c>
      <c r="D8728" s="1" t="s">
        <v>11360</v>
      </c>
    </row>
    <row r="8729" spans="1:4" hidden="1" x14ac:dyDescent="0.3">
      <c r="A8729">
        <v>8727</v>
      </c>
      <c r="B8729" t="s">
        <v>11427</v>
      </c>
      <c r="C8729" t="s">
        <v>94</v>
      </c>
      <c r="D8729">
        <v>80365314.095638201</v>
      </c>
    </row>
    <row r="8730" spans="1:4" hidden="1" x14ac:dyDescent="0.3">
      <c r="A8730">
        <v>8728</v>
      </c>
      <c r="B8730" t="s">
        <v>11428</v>
      </c>
      <c r="C8730" t="s">
        <v>96</v>
      </c>
      <c r="D8730">
        <v>34503118.619415201</v>
      </c>
    </row>
    <row r="8731" spans="1:4" hidden="1" x14ac:dyDescent="0.3">
      <c r="A8731">
        <v>8729</v>
      </c>
      <c r="B8731" t="s">
        <v>11429</v>
      </c>
      <c r="C8731" t="s">
        <v>98</v>
      </c>
      <c r="D8731">
        <v>35306407.765517697</v>
      </c>
    </row>
    <row r="8732" spans="1:4" hidden="1" x14ac:dyDescent="0.3">
      <c r="A8732">
        <v>8730</v>
      </c>
      <c r="B8732" s="1" t="s">
        <v>11430</v>
      </c>
      <c r="C8732" t="s">
        <v>100</v>
      </c>
      <c r="D8732" s="1" t="s">
        <v>11431</v>
      </c>
    </row>
    <row r="8733" spans="1:4" hidden="1" x14ac:dyDescent="0.3">
      <c r="A8733">
        <v>8731</v>
      </c>
      <c r="B8733" t="s">
        <v>11432</v>
      </c>
      <c r="C8733" t="s">
        <v>103</v>
      </c>
      <c r="D8733">
        <v>9.8632521155509901E-3</v>
      </c>
    </row>
    <row r="8734" spans="1:4" hidden="1" x14ac:dyDescent="0.3">
      <c r="A8734">
        <v>8732</v>
      </c>
      <c r="B8734" t="s">
        <v>11433</v>
      </c>
      <c r="C8734" t="s">
        <v>105</v>
      </c>
      <c r="D8734">
        <v>2.7342400237350601E-3</v>
      </c>
    </row>
    <row r="8735" spans="1:4" hidden="1" x14ac:dyDescent="0.3">
      <c r="A8735">
        <v>8733</v>
      </c>
      <c r="B8735" t="s">
        <v>11434</v>
      </c>
      <c r="C8735" t="s">
        <v>107</v>
      </c>
      <c r="D8735">
        <v>2.0112411824886701E-2</v>
      </c>
    </row>
    <row r="8736" spans="1:4" hidden="1" x14ac:dyDescent="0.3">
      <c r="A8736">
        <v>8734</v>
      </c>
      <c r="B8736" s="1" t="s">
        <v>11435</v>
      </c>
      <c r="C8736" t="s">
        <v>109</v>
      </c>
      <c r="D8736" s="1" t="s">
        <v>11436</v>
      </c>
    </row>
    <row r="8737" spans="1:4" hidden="1" x14ac:dyDescent="0.3">
      <c r="A8737">
        <v>8735</v>
      </c>
      <c r="B8737" t="s">
        <v>11437</v>
      </c>
      <c r="C8737" t="s">
        <v>208</v>
      </c>
      <c r="D8737">
        <v>150173984.70519999</v>
      </c>
    </row>
    <row r="8738" spans="1:4" hidden="1" x14ac:dyDescent="0.3">
      <c r="A8738">
        <v>8736</v>
      </c>
      <c r="B8738" t="s">
        <v>11438</v>
      </c>
      <c r="C8738" t="s">
        <v>210</v>
      </c>
      <c r="D8738">
        <v>1939.7924925665</v>
      </c>
    </row>
    <row r="8739" spans="1:4" hidden="1" x14ac:dyDescent="0.3">
      <c r="A8739">
        <v>8737</v>
      </c>
      <c r="B8739" t="s">
        <v>11439</v>
      </c>
      <c r="C8739" t="s">
        <v>212</v>
      </c>
      <c r="D8739">
        <v>832.81250997529605</v>
      </c>
    </row>
    <row r="8740" spans="1:4" hidden="1" x14ac:dyDescent="0.3">
      <c r="A8740">
        <v>8738</v>
      </c>
      <c r="B8740" s="1" t="s">
        <v>11440</v>
      </c>
      <c r="C8740" t="s">
        <v>214</v>
      </c>
      <c r="D8740" s="1" t="s">
        <v>11441</v>
      </c>
    </row>
    <row r="8741" spans="1:4" hidden="1" x14ac:dyDescent="0.3">
      <c r="A8741">
        <v>8739</v>
      </c>
      <c r="B8741" t="s">
        <v>11442</v>
      </c>
      <c r="C8741" t="s">
        <v>217</v>
      </c>
      <c r="D8741">
        <v>80362745.774571493</v>
      </c>
    </row>
    <row r="8742" spans="1:4" hidden="1" x14ac:dyDescent="0.3">
      <c r="A8742">
        <v>8740</v>
      </c>
      <c r="B8742" t="s">
        <v>11443</v>
      </c>
      <c r="C8742" t="s">
        <v>219</v>
      </c>
      <c r="D8742">
        <v>34502195.607777297</v>
      </c>
    </row>
    <row r="8743" spans="1:4" hidden="1" x14ac:dyDescent="0.3">
      <c r="A8743">
        <v>8741</v>
      </c>
      <c r="B8743" t="s">
        <v>11444</v>
      </c>
      <c r="C8743" t="s">
        <v>221</v>
      </c>
      <c r="D8743">
        <v>35305418.517179199</v>
      </c>
    </row>
    <row r="8744" spans="1:4" hidden="1" x14ac:dyDescent="0.3">
      <c r="A8744">
        <v>8742</v>
      </c>
      <c r="B8744" s="1" t="s">
        <v>11445</v>
      </c>
      <c r="C8744" t="s">
        <v>223</v>
      </c>
      <c r="D8744" s="1" t="s">
        <v>11446</v>
      </c>
    </row>
    <row r="8745" spans="1:4" hidden="1" x14ac:dyDescent="0.3">
      <c r="A8745">
        <v>8743</v>
      </c>
      <c r="B8745" t="s">
        <v>11447</v>
      </c>
      <c r="C8745" t="s">
        <v>226</v>
      </c>
      <c r="D8745">
        <v>102997539.075312</v>
      </c>
    </row>
    <row r="8746" spans="1:4" hidden="1" x14ac:dyDescent="0.3">
      <c r="A8746">
        <v>8744</v>
      </c>
      <c r="B8746" t="s">
        <v>11448</v>
      </c>
      <c r="C8746" t="s">
        <v>228</v>
      </c>
      <c r="D8746">
        <v>2486.1501573324199</v>
      </c>
    </row>
    <row r="8747" spans="1:4" hidden="1" x14ac:dyDescent="0.3">
      <c r="A8747">
        <v>8745</v>
      </c>
      <c r="B8747" s="1" t="s">
        <v>11449</v>
      </c>
      <c r="C8747" t="s">
        <v>230</v>
      </c>
      <c r="D8747" s="1" t="s">
        <v>11450</v>
      </c>
    </row>
    <row r="8748" spans="1:4" hidden="1" x14ac:dyDescent="0.3">
      <c r="A8748">
        <v>8746</v>
      </c>
      <c r="B8748" t="s">
        <v>11451</v>
      </c>
      <c r="C8748" t="s">
        <v>112</v>
      </c>
      <c r="D8748">
        <v>-628.52857413259596</v>
      </c>
    </row>
    <row r="8749" spans="1:4" hidden="1" x14ac:dyDescent="0.3">
      <c r="A8749">
        <v>8747</v>
      </c>
      <c r="B8749" t="s">
        <v>11452</v>
      </c>
      <c r="C8749" t="s">
        <v>114</v>
      </c>
      <c r="D8749">
        <v>-90.1991278290932</v>
      </c>
    </row>
    <row r="8750" spans="1:4" hidden="1" x14ac:dyDescent="0.3">
      <c r="A8750">
        <v>8748</v>
      </c>
      <c r="B8750" s="1" t="s">
        <v>11453</v>
      </c>
      <c r="C8750" t="s">
        <v>116</v>
      </c>
      <c r="D8750" s="1" t="s">
        <v>11454</v>
      </c>
    </row>
    <row r="8751" spans="1:4" hidden="1" x14ac:dyDescent="0.3">
      <c r="A8751">
        <v>8749</v>
      </c>
      <c r="B8751" t="s">
        <v>11455</v>
      </c>
      <c r="C8751" t="s">
        <v>119</v>
      </c>
      <c r="D8751">
        <v>80362745.774571493</v>
      </c>
    </row>
    <row r="8752" spans="1:4" hidden="1" x14ac:dyDescent="0.3">
      <c r="A8752">
        <v>8750</v>
      </c>
      <c r="B8752" t="s">
        <v>11456</v>
      </c>
      <c r="C8752" t="s">
        <v>121</v>
      </c>
      <c r="D8752">
        <v>34502195.607777297</v>
      </c>
    </row>
    <row r="8753" spans="1:4" hidden="1" x14ac:dyDescent="0.3">
      <c r="A8753">
        <v>8751</v>
      </c>
      <c r="B8753" s="1" t="s">
        <v>11457</v>
      </c>
      <c r="C8753" t="s">
        <v>123</v>
      </c>
      <c r="D8753" s="1" t="s">
        <v>11458</v>
      </c>
    </row>
    <row r="8754" spans="1:4" hidden="1" x14ac:dyDescent="0.3">
      <c r="A8754">
        <v>8752</v>
      </c>
      <c r="B8754" t="s">
        <v>11459</v>
      </c>
      <c r="C8754" t="s">
        <v>126</v>
      </c>
      <c r="D8754">
        <v>0.78028956109222902</v>
      </c>
    </row>
    <row r="8755" spans="1:4" hidden="1" x14ac:dyDescent="0.3">
      <c r="A8755">
        <v>8753</v>
      </c>
      <c r="B8755" t="s">
        <v>11460</v>
      </c>
      <c r="C8755" t="s">
        <v>128</v>
      </c>
      <c r="D8755">
        <v>0.33500228007427602</v>
      </c>
    </row>
    <row r="8756" spans="1:4" hidden="1" x14ac:dyDescent="0.3">
      <c r="A8756">
        <v>8754</v>
      </c>
      <c r="B8756" s="1" t="s">
        <v>11461</v>
      </c>
      <c r="C8756" t="s">
        <v>130</v>
      </c>
      <c r="D8756" s="1" t="s">
        <v>11462</v>
      </c>
    </row>
    <row r="8757" spans="1:4" ht="72" x14ac:dyDescent="0.3">
      <c r="A8757">
        <v>8755</v>
      </c>
      <c r="B8757" s="1" t="s">
        <v>11463</v>
      </c>
      <c r="C8757" t="s">
        <v>4</v>
      </c>
      <c r="D8757" t="s">
        <v>11464</v>
      </c>
    </row>
    <row r="8758" spans="1:4" hidden="1" x14ac:dyDescent="0.3">
      <c r="A8758">
        <v>8756</v>
      </c>
      <c r="B8758" t="s">
        <v>11465</v>
      </c>
      <c r="C8758" t="s">
        <v>7</v>
      </c>
      <c r="D8758">
        <v>1854.56</v>
      </c>
    </row>
    <row r="8759" spans="1:4" hidden="1" x14ac:dyDescent="0.3">
      <c r="A8759">
        <v>8757</v>
      </c>
      <c r="B8759" s="1" t="s">
        <v>11466</v>
      </c>
      <c r="C8759" t="s">
        <v>9</v>
      </c>
      <c r="D8759" s="1" t="s">
        <v>11467</v>
      </c>
    </row>
    <row r="8760" spans="1:4" hidden="1" x14ac:dyDescent="0.3">
      <c r="A8760">
        <v>8758</v>
      </c>
      <c r="B8760" t="s">
        <v>11468</v>
      </c>
      <c r="C8760" t="s">
        <v>14</v>
      </c>
      <c r="D8760">
        <v>89.7265625</v>
      </c>
    </row>
    <row r="8761" spans="1:4" hidden="1" x14ac:dyDescent="0.3">
      <c r="A8761">
        <v>8759</v>
      </c>
      <c r="B8761" t="s">
        <v>11469</v>
      </c>
      <c r="C8761" t="s">
        <v>16</v>
      </c>
      <c r="D8761">
        <v>4.2327707503948702</v>
      </c>
    </row>
    <row r="8762" spans="1:4" hidden="1" x14ac:dyDescent="0.3">
      <c r="A8762">
        <v>8760</v>
      </c>
      <c r="B8762" s="1" t="s">
        <v>11470</v>
      </c>
      <c r="C8762" t="s">
        <v>140</v>
      </c>
      <c r="D8762" s="1" t="s">
        <v>11471</v>
      </c>
    </row>
    <row r="8763" spans="1:4" hidden="1" x14ac:dyDescent="0.3">
      <c r="A8763">
        <v>8761</v>
      </c>
      <c r="B8763" t="s">
        <v>11472</v>
      </c>
      <c r="C8763" t="s">
        <v>22</v>
      </c>
      <c r="D8763">
        <v>60</v>
      </c>
    </row>
    <row r="8764" spans="1:4" hidden="1" x14ac:dyDescent="0.3">
      <c r="A8764">
        <v>8762</v>
      </c>
      <c r="B8764" t="s">
        <v>11473</v>
      </c>
      <c r="C8764" t="s">
        <v>24</v>
      </c>
      <c r="D8764">
        <v>4.2251249085029698</v>
      </c>
    </row>
    <row r="8765" spans="1:4" hidden="1" x14ac:dyDescent="0.3">
      <c r="A8765">
        <v>8763</v>
      </c>
      <c r="B8765" s="1" t="s">
        <v>11474</v>
      </c>
      <c r="C8765" t="s">
        <v>145</v>
      </c>
      <c r="D8765" s="1" t="s">
        <v>11475</v>
      </c>
    </row>
    <row r="8766" spans="1:4" hidden="1" x14ac:dyDescent="0.3">
      <c r="A8766">
        <v>8764</v>
      </c>
      <c r="B8766" t="s">
        <v>11476</v>
      </c>
      <c r="C8766" t="s">
        <v>35</v>
      </c>
      <c r="D8766">
        <v>-7.0919413333356998</v>
      </c>
    </row>
    <row r="8767" spans="1:4" hidden="1" x14ac:dyDescent="0.3">
      <c r="A8767">
        <v>8765</v>
      </c>
      <c r="B8767" t="s">
        <v>11477</v>
      </c>
      <c r="C8767" t="s">
        <v>149</v>
      </c>
      <c r="D8767">
        <v>0.54867955151411996</v>
      </c>
    </row>
    <row r="8768" spans="1:4" hidden="1" x14ac:dyDescent="0.3">
      <c r="A8768">
        <v>8766</v>
      </c>
      <c r="B8768" s="1" t="s">
        <v>11478</v>
      </c>
      <c r="C8768" t="s">
        <v>151</v>
      </c>
      <c r="D8768" s="1" t="s">
        <v>11479</v>
      </c>
    </row>
    <row r="8769" spans="1:4" hidden="1" x14ac:dyDescent="0.3">
      <c r="A8769">
        <v>8767</v>
      </c>
      <c r="B8769" t="s">
        <v>11480</v>
      </c>
      <c r="C8769" t="s">
        <v>30</v>
      </c>
      <c r="D8769">
        <v>3.9278031429894402</v>
      </c>
    </row>
    <row r="8770" spans="1:4" hidden="1" x14ac:dyDescent="0.3">
      <c r="A8770">
        <v>8768</v>
      </c>
      <c r="B8770" t="s">
        <v>11481</v>
      </c>
      <c r="C8770" t="s">
        <v>32</v>
      </c>
      <c r="D8770">
        <v>0.362627758361587</v>
      </c>
    </row>
    <row r="8771" spans="1:4" hidden="1" x14ac:dyDescent="0.3">
      <c r="A8771">
        <v>8769</v>
      </c>
      <c r="B8771" s="1" t="s">
        <v>11482</v>
      </c>
      <c r="C8771" t="s">
        <v>155</v>
      </c>
      <c r="D8771" s="1" t="s">
        <v>11483</v>
      </c>
    </row>
    <row r="8772" spans="1:4" hidden="1" x14ac:dyDescent="0.3">
      <c r="A8772">
        <v>8770</v>
      </c>
      <c r="B8772" t="s">
        <v>11484</v>
      </c>
      <c r="C8772" t="s">
        <v>40</v>
      </c>
      <c r="D8772">
        <v>4.16413819034626</v>
      </c>
    </row>
    <row r="8773" spans="1:4" hidden="1" x14ac:dyDescent="0.3">
      <c r="A8773">
        <v>8771</v>
      </c>
      <c r="B8773" t="s">
        <v>11485</v>
      </c>
      <c r="C8773" t="s">
        <v>42</v>
      </c>
      <c r="D8773">
        <v>0.459929683847492</v>
      </c>
    </row>
    <row r="8774" spans="1:4" hidden="1" x14ac:dyDescent="0.3">
      <c r="A8774">
        <v>8772</v>
      </c>
      <c r="B8774" s="1" t="s">
        <v>11486</v>
      </c>
      <c r="C8774" t="s">
        <v>159</v>
      </c>
      <c r="D8774" s="1" t="s">
        <v>11487</v>
      </c>
    </row>
    <row r="8775" spans="1:4" hidden="1" x14ac:dyDescent="0.3">
      <c r="A8775">
        <v>8773</v>
      </c>
      <c r="B8775" t="s">
        <v>11488</v>
      </c>
      <c r="C8775" t="s">
        <v>161</v>
      </c>
      <c r="D8775">
        <v>1.0081979689912299</v>
      </c>
    </row>
    <row r="8776" spans="1:4" hidden="1" x14ac:dyDescent="0.3">
      <c r="A8776">
        <v>8774</v>
      </c>
      <c r="B8776" t="s">
        <v>11489</v>
      </c>
      <c r="C8776" t="s">
        <v>163</v>
      </c>
      <c r="D8776">
        <v>1.0015301719619301</v>
      </c>
    </row>
    <row r="8777" spans="1:4" hidden="1" x14ac:dyDescent="0.3">
      <c r="A8777">
        <v>8775</v>
      </c>
      <c r="B8777" s="1" t="s">
        <v>11490</v>
      </c>
      <c r="C8777" t="s">
        <v>165</v>
      </c>
      <c r="D8777" s="1" t="s">
        <v>11491</v>
      </c>
    </row>
    <row r="8778" spans="1:4" hidden="1" x14ac:dyDescent="0.3">
      <c r="A8778">
        <v>8776</v>
      </c>
      <c r="B8778" t="s">
        <v>11492</v>
      </c>
      <c r="C8778" t="s">
        <v>168</v>
      </c>
      <c r="D8778">
        <v>1.0027460181496299</v>
      </c>
    </row>
    <row r="8779" spans="1:4" hidden="1" x14ac:dyDescent="0.3">
      <c r="A8779">
        <v>8777</v>
      </c>
      <c r="B8779" t="s">
        <v>11493</v>
      </c>
      <c r="C8779" t="s">
        <v>170</v>
      </c>
      <c r="D8779">
        <v>0.99361377825807595</v>
      </c>
    </row>
    <row r="8780" spans="1:4" hidden="1" x14ac:dyDescent="0.3">
      <c r="A8780">
        <v>8778</v>
      </c>
      <c r="B8780" s="1" t="s">
        <v>11494</v>
      </c>
      <c r="C8780" t="s">
        <v>172</v>
      </c>
      <c r="D8780" s="1" t="s">
        <v>11495</v>
      </c>
    </row>
    <row r="8781" spans="1:4" hidden="1" x14ac:dyDescent="0.3">
      <c r="A8781">
        <v>8779</v>
      </c>
      <c r="B8781" s="1" t="s">
        <v>11496</v>
      </c>
      <c r="C8781" t="s">
        <v>55</v>
      </c>
      <c r="D8781" s="1" t="s">
        <v>11497</v>
      </c>
    </row>
    <row r="8782" spans="1:4" hidden="1" x14ac:dyDescent="0.3">
      <c r="A8782">
        <v>8780</v>
      </c>
      <c r="B8782" s="1" t="s">
        <v>11498</v>
      </c>
      <c r="C8782" t="s">
        <v>52</v>
      </c>
      <c r="D8782" s="1" t="s">
        <v>11499</v>
      </c>
    </row>
    <row r="8783" spans="1:4" hidden="1" x14ac:dyDescent="0.3">
      <c r="A8783">
        <v>8781</v>
      </c>
      <c r="B8783" s="1" t="s">
        <v>11500</v>
      </c>
      <c r="C8783" t="s">
        <v>58</v>
      </c>
      <c r="D8783" s="1" t="s">
        <v>11501</v>
      </c>
    </row>
    <row r="8784" spans="1:4" hidden="1" x14ac:dyDescent="0.3">
      <c r="A8784">
        <v>8782</v>
      </c>
      <c r="B8784" t="s">
        <v>11502</v>
      </c>
      <c r="C8784" t="s">
        <v>61</v>
      </c>
      <c r="D8784">
        <v>151836665.33949399</v>
      </c>
    </row>
    <row r="8785" spans="1:4" hidden="1" x14ac:dyDescent="0.3">
      <c r="A8785">
        <v>8783</v>
      </c>
      <c r="B8785" t="s">
        <v>11503</v>
      </c>
      <c r="C8785" t="s">
        <v>63</v>
      </c>
      <c r="D8785">
        <v>81021557.072482094</v>
      </c>
    </row>
    <row r="8786" spans="1:4" hidden="1" x14ac:dyDescent="0.3">
      <c r="A8786">
        <v>8784</v>
      </c>
      <c r="B8786" t="s">
        <v>11504</v>
      </c>
      <c r="C8786" t="s">
        <v>65</v>
      </c>
      <c r="D8786">
        <v>34554989.900121503</v>
      </c>
    </row>
    <row r="8787" spans="1:4" hidden="1" x14ac:dyDescent="0.3">
      <c r="A8787">
        <v>8785</v>
      </c>
      <c r="B8787" s="1" t="s">
        <v>11505</v>
      </c>
      <c r="C8787" t="s">
        <v>67</v>
      </c>
      <c r="D8787" s="1" t="s">
        <v>11506</v>
      </c>
    </row>
    <row r="8788" spans="1:4" hidden="1" x14ac:dyDescent="0.3">
      <c r="A8788">
        <v>8786</v>
      </c>
      <c r="B8788" s="1" t="s">
        <v>11507</v>
      </c>
      <c r="C8788" t="s">
        <v>70</v>
      </c>
      <c r="D8788" s="1" t="s">
        <v>11508</v>
      </c>
    </row>
    <row r="8789" spans="1:4" hidden="1" x14ac:dyDescent="0.3">
      <c r="A8789">
        <v>8787</v>
      </c>
      <c r="B8789" t="s">
        <v>11509</v>
      </c>
      <c r="C8789" t="s">
        <v>73</v>
      </c>
      <c r="D8789">
        <v>0.99993581039455703</v>
      </c>
    </row>
    <row r="8790" spans="1:4" hidden="1" x14ac:dyDescent="0.3">
      <c r="A8790">
        <v>8788</v>
      </c>
      <c r="B8790" t="s">
        <v>74</v>
      </c>
      <c r="C8790" t="s">
        <v>75</v>
      </c>
      <c r="D8790">
        <v>2.7397260273972599E-3</v>
      </c>
    </row>
    <row r="8791" spans="1:4" hidden="1" x14ac:dyDescent="0.3">
      <c r="A8791">
        <v>8789</v>
      </c>
      <c r="B8791" t="s">
        <v>76</v>
      </c>
      <c r="C8791" t="s">
        <v>77</v>
      </c>
      <c r="D8791">
        <v>0</v>
      </c>
    </row>
    <row r="8792" spans="1:4" hidden="1" x14ac:dyDescent="0.3">
      <c r="A8792">
        <v>8790</v>
      </c>
      <c r="B8792" t="s">
        <v>78</v>
      </c>
      <c r="C8792" t="s">
        <v>79</v>
      </c>
      <c r="D8792">
        <v>0</v>
      </c>
    </row>
    <row r="8793" spans="1:4" hidden="1" x14ac:dyDescent="0.3">
      <c r="A8793">
        <v>8791</v>
      </c>
      <c r="B8793" s="1" t="s">
        <v>11510</v>
      </c>
      <c r="C8793" t="s">
        <v>81</v>
      </c>
      <c r="D8793" s="1" t="s">
        <v>11511</v>
      </c>
    </row>
    <row r="8794" spans="1:4" hidden="1" x14ac:dyDescent="0.3">
      <c r="A8794">
        <v>8792</v>
      </c>
      <c r="B8794" t="s">
        <v>11512</v>
      </c>
      <c r="C8794" t="s">
        <v>84</v>
      </c>
      <c r="D8794">
        <v>0.99991774686426504</v>
      </c>
    </row>
    <row r="8795" spans="1:4" hidden="1" x14ac:dyDescent="0.3">
      <c r="A8795">
        <v>8793</v>
      </c>
      <c r="B8795" s="1" t="s">
        <v>11513</v>
      </c>
      <c r="C8795" t="s">
        <v>86</v>
      </c>
      <c r="D8795" s="1" t="s">
        <v>11514</v>
      </c>
    </row>
    <row r="8796" spans="1:4" hidden="1" x14ac:dyDescent="0.3">
      <c r="A8796">
        <v>8794</v>
      </c>
      <c r="B8796" t="s">
        <v>11515</v>
      </c>
      <c r="C8796" t="s">
        <v>89</v>
      </c>
      <c r="D8796">
        <v>103001885.922593</v>
      </c>
    </row>
    <row r="8797" spans="1:4" hidden="1" x14ac:dyDescent="0.3">
      <c r="A8797">
        <v>8795</v>
      </c>
      <c r="B8797" s="1" t="s">
        <v>11516</v>
      </c>
      <c r="C8797" t="s">
        <v>91</v>
      </c>
      <c r="D8797" s="1" t="s">
        <v>11450</v>
      </c>
    </row>
    <row r="8798" spans="1:4" hidden="1" x14ac:dyDescent="0.3">
      <c r="A8798">
        <v>8796</v>
      </c>
      <c r="B8798" t="s">
        <v>11517</v>
      </c>
      <c r="C8798" t="s">
        <v>94</v>
      </c>
      <c r="D8798">
        <v>81021557.072482094</v>
      </c>
    </row>
    <row r="8799" spans="1:4" hidden="1" x14ac:dyDescent="0.3">
      <c r="A8799">
        <v>8797</v>
      </c>
      <c r="B8799" t="s">
        <v>11518</v>
      </c>
      <c r="C8799" t="s">
        <v>96</v>
      </c>
      <c r="D8799">
        <v>34554989.900121503</v>
      </c>
    </row>
    <row r="8800" spans="1:4" hidden="1" x14ac:dyDescent="0.3">
      <c r="A8800">
        <v>8798</v>
      </c>
      <c r="B8800" t="s">
        <v>11519</v>
      </c>
      <c r="C8800" t="s">
        <v>98</v>
      </c>
      <c r="D8800">
        <v>36260118.366890997</v>
      </c>
    </row>
    <row r="8801" spans="1:4" hidden="1" x14ac:dyDescent="0.3">
      <c r="A8801">
        <v>8799</v>
      </c>
      <c r="B8801" s="1" t="s">
        <v>11520</v>
      </c>
      <c r="C8801" t="s">
        <v>100</v>
      </c>
      <c r="D8801" s="1" t="s">
        <v>11521</v>
      </c>
    </row>
    <row r="8802" spans="1:4" hidden="1" x14ac:dyDescent="0.3">
      <c r="A8802">
        <v>8800</v>
      </c>
      <c r="B8802" t="s">
        <v>11522</v>
      </c>
      <c r="C8802" t="s">
        <v>103</v>
      </c>
      <c r="D8802">
        <v>9.8545176529165994E-3</v>
      </c>
    </row>
    <row r="8803" spans="1:4" hidden="1" x14ac:dyDescent="0.3">
      <c r="A8803">
        <v>8801</v>
      </c>
      <c r="B8803" t="s">
        <v>11523</v>
      </c>
      <c r="C8803" t="s">
        <v>105</v>
      </c>
      <c r="D8803">
        <v>2.6758211290536299E-3</v>
      </c>
    </row>
    <row r="8804" spans="1:4" hidden="1" x14ac:dyDescent="0.3">
      <c r="A8804">
        <v>8802</v>
      </c>
      <c r="B8804" t="s">
        <v>11524</v>
      </c>
      <c r="C8804" t="s">
        <v>107</v>
      </c>
      <c r="D8804">
        <v>2.03470598480248E-2</v>
      </c>
    </row>
    <row r="8805" spans="1:4" hidden="1" x14ac:dyDescent="0.3">
      <c r="A8805">
        <v>8803</v>
      </c>
      <c r="B8805" s="1" t="s">
        <v>11525</v>
      </c>
      <c r="C8805" t="s">
        <v>109</v>
      </c>
      <c r="D8805" s="1" t="s">
        <v>11526</v>
      </c>
    </row>
    <row r="8806" spans="1:4" hidden="1" x14ac:dyDescent="0.3">
      <c r="A8806">
        <v>8804</v>
      </c>
      <c r="B8806" t="s">
        <v>11527</v>
      </c>
      <c r="C8806" t="s">
        <v>208</v>
      </c>
      <c r="D8806">
        <v>151836024.539325</v>
      </c>
    </row>
    <row r="8807" spans="1:4" hidden="1" x14ac:dyDescent="0.3">
      <c r="A8807">
        <v>8805</v>
      </c>
      <c r="B8807" t="s">
        <v>11528</v>
      </c>
      <c r="C8807" t="s">
        <v>210</v>
      </c>
      <c r="D8807">
        <v>1463.6208434227201</v>
      </c>
    </row>
    <row r="8808" spans="1:4" hidden="1" x14ac:dyDescent="0.3">
      <c r="A8808">
        <v>8806</v>
      </c>
      <c r="B8808" t="s">
        <v>11529</v>
      </c>
      <c r="C8808" t="s">
        <v>212</v>
      </c>
      <c r="D8808">
        <v>624.22397051500297</v>
      </c>
    </row>
    <row r="8809" spans="1:4" hidden="1" x14ac:dyDescent="0.3">
      <c r="A8809">
        <v>8807</v>
      </c>
      <c r="B8809" s="1" t="s">
        <v>11530</v>
      </c>
      <c r="C8809" t="s">
        <v>214</v>
      </c>
      <c r="D8809" s="1" t="s">
        <v>11531</v>
      </c>
    </row>
    <row r="8810" spans="1:4" hidden="1" x14ac:dyDescent="0.3">
      <c r="A8810">
        <v>8808</v>
      </c>
      <c r="B8810" t="s">
        <v>11532</v>
      </c>
      <c r="C8810" t="s">
        <v>217</v>
      </c>
      <c r="D8810">
        <v>81019625.307669997</v>
      </c>
    </row>
    <row r="8811" spans="1:4" hidden="1" x14ac:dyDescent="0.3">
      <c r="A8811">
        <v>8809</v>
      </c>
      <c r="B8811" t="s">
        <v>11533</v>
      </c>
      <c r="C8811" t="s">
        <v>219</v>
      </c>
      <c r="D8811">
        <v>34554298.967840597</v>
      </c>
    </row>
    <row r="8812" spans="1:4" hidden="1" x14ac:dyDescent="0.3">
      <c r="A8812">
        <v>8810</v>
      </c>
      <c r="B8812" t="s">
        <v>11534</v>
      </c>
      <c r="C8812" t="s">
        <v>221</v>
      </c>
      <c r="D8812">
        <v>36259357.393122301</v>
      </c>
    </row>
    <row r="8813" spans="1:4" hidden="1" x14ac:dyDescent="0.3">
      <c r="A8813">
        <v>8811</v>
      </c>
      <c r="B8813" s="1" t="s">
        <v>11535</v>
      </c>
      <c r="C8813" t="s">
        <v>223</v>
      </c>
      <c r="D8813" s="1" t="s">
        <v>11536</v>
      </c>
    </row>
    <row r="8814" spans="1:4" hidden="1" x14ac:dyDescent="0.3">
      <c r="A8814">
        <v>8812</v>
      </c>
      <c r="B8814" t="s">
        <v>11537</v>
      </c>
      <c r="C8814" t="s">
        <v>226</v>
      </c>
      <c r="D8814">
        <v>103000025.22546899</v>
      </c>
    </row>
    <row r="8815" spans="1:4" hidden="1" x14ac:dyDescent="0.3">
      <c r="A8815">
        <v>8813</v>
      </c>
      <c r="B8815" t="s">
        <v>11538</v>
      </c>
      <c r="C8815" t="s">
        <v>228</v>
      </c>
      <c r="D8815">
        <v>1860.69712394475</v>
      </c>
    </row>
    <row r="8816" spans="1:4" hidden="1" x14ac:dyDescent="0.3">
      <c r="A8816">
        <v>8814</v>
      </c>
      <c r="B8816" s="1" t="s">
        <v>11539</v>
      </c>
      <c r="C8816" t="s">
        <v>230</v>
      </c>
      <c r="D8816" s="1" t="s">
        <v>11540</v>
      </c>
    </row>
    <row r="8817" spans="1:4" hidden="1" x14ac:dyDescent="0.3">
      <c r="A8817">
        <v>8815</v>
      </c>
      <c r="B8817" t="s">
        <v>11541</v>
      </c>
      <c r="C8817" t="s">
        <v>112</v>
      </c>
      <c r="D8817">
        <v>-468.14396862395398</v>
      </c>
    </row>
    <row r="8818" spans="1:4" hidden="1" x14ac:dyDescent="0.3">
      <c r="A8818">
        <v>8816</v>
      </c>
      <c r="B8818" t="s">
        <v>11542</v>
      </c>
      <c r="C8818" t="s">
        <v>114</v>
      </c>
      <c r="D8818">
        <v>-66.708310387268597</v>
      </c>
    </row>
    <row r="8819" spans="1:4" hidden="1" x14ac:dyDescent="0.3">
      <c r="A8819">
        <v>8817</v>
      </c>
      <c r="B8819" s="1" t="s">
        <v>11543</v>
      </c>
      <c r="C8819" t="s">
        <v>116</v>
      </c>
      <c r="D8819" s="1" t="s">
        <v>11544</v>
      </c>
    </row>
    <row r="8820" spans="1:4" hidden="1" x14ac:dyDescent="0.3">
      <c r="A8820">
        <v>8818</v>
      </c>
      <c r="B8820" t="s">
        <v>11545</v>
      </c>
      <c r="C8820" t="s">
        <v>119</v>
      </c>
      <c r="D8820">
        <v>81019625.307669997</v>
      </c>
    </row>
    <row r="8821" spans="1:4" hidden="1" x14ac:dyDescent="0.3">
      <c r="A8821">
        <v>8819</v>
      </c>
      <c r="B8821" t="s">
        <v>11546</v>
      </c>
      <c r="C8821" t="s">
        <v>121</v>
      </c>
      <c r="D8821">
        <v>34554298.967840597</v>
      </c>
    </row>
    <row r="8822" spans="1:4" hidden="1" x14ac:dyDescent="0.3">
      <c r="A8822">
        <v>8820</v>
      </c>
      <c r="B8822" s="1" t="s">
        <v>11547</v>
      </c>
      <c r="C8822" t="s">
        <v>123</v>
      </c>
      <c r="D8822" s="1" t="s">
        <v>11548</v>
      </c>
    </row>
    <row r="8823" spans="1:4" hidden="1" x14ac:dyDescent="0.3">
      <c r="A8823">
        <v>8821</v>
      </c>
      <c r="B8823" t="s">
        <v>11549</v>
      </c>
      <c r="C8823" t="s">
        <v>126</v>
      </c>
      <c r="D8823">
        <v>0.78666281679765204</v>
      </c>
    </row>
    <row r="8824" spans="1:4" hidden="1" x14ac:dyDescent="0.3">
      <c r="A8824">
        <v>8822</v>
      </c>
      <c r="B8824" t="s">
        <v>11550</v>
      </c>
      <c r="C8824" t="s">
        <v>128</v>
      </c>
      <c r="D8824">
        <v>0.33550614502701598</v>
      </c>
    </row>
    <row r="8825" spans="1:4" hidden="1" x14ac:dyDescent="0.3">
      <c r="A8825">
        <v>8823</v>
      </c>
      <c r="B8825" s="1" t="s">
        <v>11551</v>
      </c>
      <c r="C8825" t="s">
        <v>130</v>
      </c>
      <c r="D8825" s="1" t="s">
        <v>11552</v>
      </c>
    </row>
    <row r="8826" spans="1:4" ht="72" x14ac:dyDescent="0.3">
      <c r="A8826">
        <v>8824</v>
      </c>
      <c r="B8826" s="1" t="s">
        <v>11553</v>
      </c>
      <c r="C8826" t="s">
        <v>4</v>
      </c>
      <c r="D8826" t="s">
        <v>11554</v>
      </c>
    </row>
    <row r="8827" spans="1:4" hidden="1" x14ac:dyDescent="0.3">
      <c r="A8827">
        <v>8825</v>
      </c>
      <c r="B8827" t="s">
        <v>11555</v>
      </c>
      <c r="C8827" t="s">
        <v>7</v>
      </c>
      <c r="D8827">
        <v>1832.89</v>
      </c>
    </row>
    <row r="8828" spans="1:4" hidden="1" x14ac:dyDescent="0.3">
      <c r="A8828">
        <v>8826</v>
      </c>
      <c r="B8828" s="1" t="s">
        <v>11556</v>
      </c>
      <c r="C8828" t="s">
        <v>9</v>
      </c>
      <c r="D8828" s="1" t="s">
        <v>11557</v>
      </c>
    </row>
    <row r="8829" spans="1:4" hidden="1" x14ac:dyDescent="0.3">
      <c r="A8829">
        <v>8827</v>
      </c>
      <c r="B8829" t="s">
        <v>11558</v>
      </c>
      <c r="C8829" t="s">
        <v>14</v>
      </c>
      <c r="D8829">
        <v>89.47265625</v>
      </c>
    </row>
    <row r="8830" spans="1:4" hidden="1" x14ac:dyDescent="0.3">
      <c r="A8830">
        <v>8828</v>
      </c>
      <c r="B8830" t="s">
        <v>11559</v>
      </c>
      <c r="C8830" t="s">
        <v>16</v>
      </c>
      <c r="D8830">
        <v>4.2320791357647396</v>
      </c>
    </row>
    <row r="8831" spans="1:4" hidden="1" x14ac:dyDescent="0.3">
      <c r="A8831">
        <v>8829</v>
      </c>
      <c r="B8831" s="1" t="s">
        <v>11560</v>
      </c>
      <c r="C8831" t="s">
        <v>140</v>
      </c>
      <c r="D8831" s="1" t="s">
        <v>11561</v>
      </c>
    </row>
    <row r="8832" spans="1:4" hidden="1" x14ac:dyDescent="0.3">
      <c r="A8832">
        <v>8830</v>
      </c>
      <c r="B8832" t="s">
        <v>4203</v>
      </c>
      <c r="C8832" t="s">
        <v>22</v>
      </c>
      <c r="D8832">
        <v>60.85</v>
      </c>
    </row>
    <row r="8833" spans="1:4" hidden="1" x14ac:dyDescent="0.3">
      <c r="A8833">
        <v>8831</v>
      </c>
      <c r="B8833" t="s">
        <v>11562</v>
      </c>
      <c r="C8833" t="s">
        <v>24</v>
      </c>
      <c r="D8833">
        <v>4.1373739760865096</v>
      </c>
    </row>
    <row r="8834" spans="1:4" hidden="1" x14ac:dyDescent="0.3">
      <c r="A8834">
        <v>8832</v>
      </c>
      <c r="B8834" s="1" t="s">
        <v>11563</v>
      </c>
      <c r="C8834" t="s">
        <v>145</v>
      </c>
      <c r="D8834" s="1" t="s">
        <v>11564</v>
      </c>
    </row>
    <row r="8835" spans="1:4" hidden="1" x14ac:dyDescent="0.3">
      <c r="A8835">
        <v>8833</v>
      </c>
      <c r="B8835" t="s">
        <v>11565</v>
      </c>
      <c r="C8835" t="s">
        <v>35</v>
      </c>
      <c r="D8835">
        <v>0.42646501282252303</v>
      </c>
    </row>
    <row r="8836" spans="1:4" hidden="1" x14ac:dyDescent="0.3">
      <c r="A8836">
        <v>8834</v>
      </c>
      <c r="B8836" t="s">
        <v>11566</v>
      </c>
      <c r="C8836" t="s">
        <v>149</v>
      </c>
      <c r="D8836">
        <v>0.544923778770522</v>
      </c>
    </row>
    <row r="8837" spans="1:4" hidden="1" x14ac:dyDescent="0.3">
      <c r="A8837">
        <v>8835</v>
      </c>
      <c r="B8837" s="1" t="s">
        <v>11567</v>
      </c>
      <c r="C8837" t="s">
        <v>151</v>
      </c>
      <c r="D8837" s="1" t="s">
        <v>11568</v>
      </c>
    </row>
    <row r="8838" spans="1:4" hidden="1" x14ac:dyDescent="0.3">
      <c r="A8838">
        <v>8836</v>
      </c>
      <c r="B8838" t="s">
        <v>11569</v>
      </c>
      <c r="C8838" t="s">
        <v>30</v>
      </c>
      <c r="D8838">
        <v>0.284472708472361</v>
      </c>
    </row>
    <row r="8839" spans="1:4" hidden="1" x14ac:dyDescent="0.3">
      <c r="A8839">
        <v>8837</v>
      </c>
      <c r="B8839" t="s">
        <v>11570</v>
      </c>
      <c r="C8839" t="s">
        <v>32</v>
      </c>
      <c r="D8839">
        <v>0.36379123776555899</v>
      </c>
    </row>
    <row r="8840" spans="1:4" hidden="1" x14ac:dyDescent="0.3">
      <c r="A8840">
        <v>8838</v>
      </c>
      <c r="B8840" s="1" t="s">
        <v>11571</v>
      </c>
      <c r="C8840" t="s">
        <v>155</v>
      </c>
      <c r="D8840" s="1" t="s">
        <v>11572</v>
      </c>
    </row>
    <row r="8841" spans="1:4" hidden="1" x14ac:dyDescent="0.3">
      <c r="A8841">
        <v>8839</v>
      </c>
      <c r="B8841" t="s">
        <v>11573</v>
      </c>
      <c r="C8841" t="s">
        <v>40</v>
      </c>
      <c r="D8841">
        <v>0.28906227870511503</v>
      </c>
    </row>
    <row r="8842" spans="1:4" hidden="1" x14ac:dyDescent="0.3">
      <c r="A8842">
        <v>8840</v>
      </c>
      <c r="B8842" t="s">
        <v>11574</v>
      </c>
      <c r="C8842" t="s">
        <v>42</v>
      </c>
      <c r="D8842">
        <v>0.47132779898529897</v>
      </c>
    </row>
    <row r="8843" spans="1:4" hidden="1" x14ac:dyDescent="0.3">
      <c r="A8843">
        <v>8841</v>
      </c>
      <c r="B8843" s="1" t="s">
        <v>11575</v>
      </c>
      <c r="C8843" t="s">
        <v>159</v>
      </c>
      <c r="D8843" s="1" t="s">
        <v>11576</v>
      </c>
    </row>
    <row r="8844" spans="1:4" hidden="1" x14ac:dyDescent="0.3">
      <c r="A8844">
        <v>8842</v>
      </c>
      <c r="B8844" t="s">
        <v>11577</v>
      </c>
      <c r="C8844" t="s">
        <v>161</v>
      </c>
      <c r="D8844">
        <v>0.98831528772323296</v>
      </c>
    </row>
    <row r="8845" spans="1:4" hidden="1" x14ac:dyDescent="0.3">
      <c r="A8845">
        <v>8843</v>
      </c>
      <c r="B8845" t="s">
        <v>11578</v>
      </c>
      <c r="C8845" t="s">
        <v>163</v>
      </c>
      <c r="D8845">
        <v>0.99729033981167503</v>
      </c>
    </row>
    <row r="8846" spans="1:4" hidden="1" x14ac:dyDescent="0.3">
      <c r="A8846">
        <v>8844</v>
      </c>
      <c r="B8846" s="1" t="s">
        <v>11579</v>
      </c>
      <c r="C8846" t="s">
        <v>165</v>
      </c>
      <c r="D8846" s="1" t="s">
        <v>11580</v>
      </c>
    </row>
    <row r="8847" spans="1:4" hidden="1" x14ac:dyDescent="0.3">
      <c r="A8847">
        <v>8845</v>
      </c>
      <c r="B8847" t="s">
        <v>11581</v>
      </c>
      <c r="C8847" t="s">
        <v>168</v>
      </c>
      <c r="D8847">
        <v>0.99757485482395203</v>
      </c>
    </row>
    <row r="8848" spans="1:4" hidden="1" x14ac:dyDescent="0.3">
      <c r="A8848">
        <v>8846</v>
      </c>
      <c r="B8848" t="s">
        <v>11582</v>
      </c>
      <c r="C8848" t="s">
        <v>170</v>
      </c>
      <c r="D8848">
        <v>1.00085384977432</v>
      </c>
    </row>
    <row r="8849" spans="1:4" hidden="1" x14ac:dyDescent="0.3">
      <c r="A8849">
        <v>8847</v>
      </c>
      <c r="B8849" s="1" t="s">
        <v>11583</v>
      </c>
      <c r="C8849" t="s">
        <v>172</v>
      </c>
      <c r="D8849" s="1" t="s">
        <v>11584</v>
      </c>
    </row>
    <row r="8850" spans="1:4" hidden="1" x14ac:dyDescent="0.3">
      <c r="A8850">
        <v>8848</v>
      </c>
      <c r="B8850" s="1" t="s">
        <v>11585</v>
      </c>
      <c r="C8850" t="s">
        <v>55</v>
      </c>
      <c r="D8850" s="1" t="s">
        <v>11586</v>
      </c>
    </row>
    <row r="8851" spans="1:4" hidden="1" x14ac:dyDescent="0.3">
      <c r="A8851">
        <v>8849</v>
      </c>
      <c r="B8851" s="1" t="s">
        <v>11587</v>
      </c>
      <c r="C8851" t="s">
        <v>52</v>
      </c>
      <c r="D8851" s="1" t="s">
        <v>11588</v>
      </c>
    </row>
    <row r="8852" spans="1:4" hidden="1" x14ac:dyDescent="0.3">
      <c r="A8852">
        <v>8850</v>
      </c>
      <c r="B8852" s="1" t="s">
        <v>11589</v>
      </c>
      <c r="C8852" t="s">
        <v>58</v>
      </c>
      <c r="D8852" s="1" t="s">
        <v>11590</v>
      </c>
    </row>
    <row r="8853" spans="1:4" hidden="1" x14ac:dyDescent="0.3">
      <c r="A8853">
        <v>8851</v>
      </c>
      <c r="B8853" t="s">
        <v>11591</v>
      </c>
      <c r="C8853" t="s">
        <v>61</v>
      </c>
      <c r="D8853">
        <v>151223300.57859501</v>
      </c>
    </row>
    <row r="8854" spans="1:4" hidden="1" x14ac:dyDescent="0.3">
      <c r="A8854">
        <v>8852</v>
      </c>
      <c r="B8854" t="s">
        <v>11592</v>
      </c>
      <c r="C8854" t="s">
        <v>63</v>
      </c>
      <c r="D8854">
        <v>80072934.297178507</v>
      </c>
    </row>
    <row r="8855" spans="1:4" hidden="1" x14ac:dyDescent="0.3">
      <c r="A8855">
        <v>8853</v>
      </c>
      <c r="B8855" t="s">
        <v>11593</v>
      </c>
      <c r="C8855" t="s">
        <v>65</v>
      </c>
      <c r="D8855">
        <v>34460668.559591897</v>
      </c>
    </row>
    <row r="8856" spans="1:4" hidden="1" x14ac:dyDescent="0.3">
      <c r="A8856">
        <v>8854</v>
      </c>
      <c r="B8856" s="1" t="s">
        <v>11594</v>
      </c>
      <c r="C8856" t="s">
        <v>67</v>
      </c>
      <c r="D8856" s="1" t="s">
        <v>11595</v>
      </c>
    </row>
    <row r="8857" spans="1:4" hidden="1" x14ac:dyDescent="0.3">
      <c r="A8857">
        <v>8855</v>
      </c>
      <c r="B8857" s="1" t="s">
        <v>11596</v>
      </c>
      <c r="C8857" t="s">
        <v>70</v>
      </c>
      <c r="D8857" s="1" t="s">
        <v>11597</v>
      </c>
    </row>
    <row r="8858" spans="1:4" hidden="1" x14ac:dyDescent="0.3">
      <c r="A8858">
        <v>8856</v>
      </c>
      <c r="B8858" t="s">
        <v>11598</v>
      </c>
      <c r="C8858" t="s">
        <v>73</v>
      </c>
      <c r="D8858">
        <v>0.99991774686426504</v>
      </c>
    </row>
    <row r="8859" spans="1:4" hidden="1" x14ac:dyDescent="0.3">
      <c r="A8859">
        <v>8857</v>
      </c>
      <c r="B8859" t="s">
        <v>74</v>
      </c>
      <c r="C8859" t="s">
        <v>75</v>
      </c>
      <c r="D8859">
        <v>2.7397260273972599E-3</v>
      </c>
    </row>
    <row r="8860" spans="1:4" hidden="1" x14ac:dyDescent="0.3">
      <c r="A8860">
        <v>8858</v>
      </c>
      <c r="B8860" t="s">
        <v>76</v>
      </c>
      <c r="C8860" t="s">
        <v>77</v>
      </c>
      <c r="D8860">
        <v>0</v>
      </c>
    </row>
    <row r="8861" spans="1:4" hidden="1" x14ac:dyDescent="0.3">
      <c r="A8861">
        <v>8859</v>
      </c>
      <c r="B8861" t="s">
        <v>78</v>
      </c>
      <c r="C8861" t="s">
        <v>79</v>
      </c>
      <c r="D8861">
        <v>0</v>
      </c>
    </row>
    <row r="8862" spans="1:4" hidden="1" x14ac:dyDescent="0.3">
      <c r="A8862">
        <v>8860</v>
      </c>
      <c r="B8862" s="1" t="s">
        <v>11599</v>
      </c>
      <c r="C8862" t="s">
        <v>81</v>
      </c>
      <c r="D8862" s="1" t="s">
        <v>11600</v>
      </c>
    </row>
    <row r="8863" spans="1:4" hidden="1" x14ac:dyDescent="0.3">
      <c r="A8863">
        <v>8861</v>
      </c>
      <c r="B8863" t="s">
        <v>11601</v>
      </c>
      <c r="C8863" t="s">
        <v>84</v>
      </c>
      <c r="D8863">
        <v>0.99993186917843502</v>
      </c>
    </row>
    <row r="8864" spans="1:4" hidden="1" x14ac:dyDescent="0.3">
      <c r="A8864">
        <v>8862</v>
      </c>
      <c r="B8864" s="1" t="s">
        <v>11602</v>
      </c>
      <c r="C8864" t="s">
        <v>86</v>
      </c>
      <c r="D8864" s="1" t="s">
        <v>11603</v>
      </c>
    </row>
    <row r="8865" spans="1:4" hidden="1" x14ac:dyDescent="0.3">
      <c r="A8865">
        <v>8863</v>
      </c>
      <c r="B8865" t="s">
        <v>11604</v>
      </c>
      <c r="C8865" t="s">
        <v>89</v>
      </c>
      <c r="D8865">
        <v>103000431.198489</v>
      </c>
    </row>
    <row r="8866" spans="1:4" hidden="1" x14ac:dyDescent="0.3">
      <c r="A8866">
        <v>8864</v>
      </c>
      <c r="B8866" s="1" t="s">
        <v>11605</v>
      </c>
      <c r="C8866" t="s">
        <v>91</v>
      </c>
      <c r="D8866" s="1" t="s">
        <v>11540</v>
      </c>
    </row>
    <row r="8867" spans="1:4" hidden="1" x14ac:dyDescent="0.3">
      <c r="A8867">
        <v>8865</v>
      </c>
      <c r="B8867" t="s">
        <v>11606</v>
      </c>
      <c r="C8867" t="s">
        <v>94</v>
      </c>
      <c r="D8867">
        <v>80072934.297178507</v>
      </c>
    </row>
    <row r="8868" spans="1:4" hidden="1" x14ac:dyDescent="0.3">
      <c r="A8868">
        <v>8866</v>
      </c>
      <c r="B8868" t="s">
        <v>11607</v>
      </c>
      <c r="C8868" t="s">
        <v>96</v>
      </c>
      <c r="D8868">
        <v>34460668.559591897</v>
      </c>
    </row>
    <row r="8869" spans="1:4" hidden="1" x14ac:dyDescent="0.3">
      <c r="A8869">
        <v>8867</v>
      </c>
      <c r="B8869" t="s">
        <v>11608</v>
      </c>
      <c r="C8869" t="s">
        <v>98</v>
      </c>
      <c r="D8869">
        <v>36689697.721824802</v>
      </c>
    </row>
    <row r="8870" spans="1:4" hidden="1" x14ac:dyDescent="0.3">
      <c r="A8870">
        <v>8868</v>
      </c>
      <c r="B8870" s="1" t="s">
        <v>11609</v>
      </c>
      <c r="C8870" t="s">
        <v>100</v>
      </c>
      <c r="D8870" s="1" t="s">
        <v>11610</v>
      </c>
    </row>
    <row r="8871" spans="1:4" hidden="1" x14ac:dyDescent="0.3">
      <c r="A8871">
        <v>8869</v>
      </c>
      <c r="B8871" t="s">
        <v>11611</v>
      </c>
      <c r="C8871" t="s">
        <v>103</v>
      </c>
      <c r="D8871">
        <v>9.8592932950112705E-3</v>
      </c>
    </row>
    <row r="8872" spans="1:4" hidden="1" x14ac:dyDescent="0.3">
      <c r="A8872">
        <v>8870</v>
      </c>
      <c r="B8872" t="s">
        <v>11612</v>
      </c>
      <c r="C8872" t="s">
        <v>105</v>
      </c>
      <c r="D8872">
        <v>2.6852750827531901E-3</v>
      </c>
    </row>
    <row r="8873" spans="1:4" hidden="1" x14ac:dyDescent="0.3">
      <c r="A8873">
        <v>8871</v>
      </c>
      <c r="B8873" t="s">
        <v>11613</v>
      </c>
      <c r="C8873" t="s">
        <v>107</v>
      </c>
      <c r="D8873">
        <v>2.0401724334397499E-2</v>
      </c>
    </row>
    <row r="8874" spans="1:4" hidden="1" x14ac:dyDescent="0.3">
      <c r="A8874">
        <v>8872</v>
      </c>
      <c r="B8874" s="1" t="s">
        <v>11614</v>
      </c>
      <c r="C8874" t="s">
        <v>109</v>
      </c>
      <c r="D8874" s="1" t="s">
        <v>11615</v>
      </c>
    </row>
    <row r="8875" spans="1:4" hidden="1" x14ac:dyDescent="0.3">
      <c r="A8875">
        <v>8873</v>
      </c>
      <c r="B8875" t="s">
        <v>11616</v>
      </c>
      <c r="C8875" t="s">
        <v>208</v>
      </c>
      <c r="D8875">
        <v>151223801.18722799</v>
      </c>
    </row>
    <row r="8876" spans="1:4" hidden="1" x14ac:dyDescent="0.3">
      <c r="A8876">
        <v>8874</v>
      </c>
      <c r="B8876" t="s">
        <v>11617</v>
      </c>
      <c r="C8876" t="s">
        <v>210</v>
      </c>
      <c r="D8876">
        <v>-1130.91359441652</v>
      </c>
    </row>
    <row r="8877" spans="1:4" hidden="1" x14ac:dyDescent="0.3">
      <c r="A8877">
        <v>8875</v>
      </c>
      <c r="B8877" t="s">
        <v>11618</v>
      </c>
      <c r="C8877" t="s">
        <v>212</v>
      </c>
      <c r="D8877">
        <v>-486.70521008929302</v>
      </c>
    </row>
    <row r="8878" spans="1:4" hidden="1" x14ac:dyDescent="0.3">
      <c r="A8878">
        <v>8876</v>
      </c>
      <c r="B8878" s="1" t="s">
        <v>11619</v>
      </c>
      <c r="C8878" t="s">
        <v>214</v>
      </c>
      <c r="D8878" s="1" t="s">
        <v>11620</v>
      </c>
    </row>
    <row r="8879" spans="1:4" hidden="1" x14ac:dyDescent="0.3">
      <c r="A8879">
        <v>8877</v>
      </c>
      <c r="B8879" t="s">
        <v>11621</v>
      </c>
      <c r="C8879" t="s">
        <v>217</v>
      </c>
      <c r="D8879">
        <v>80074450.318246499</v>
      </c>
    </row>
    <row r="8880" spans="1:4" hidden="1" x14ac:dyDescent="0.3">
      <c r="A8880">
        <v>8878</v>
      </c>
      <c r="B8880" t="s">
        <v>11622</v>
      </c>
      <c r="C8880" t="s">
        <v>219</v>
      </c>
      <c r="D8880">
        <v>34461211.145873703</v>
      </c>
    </row>
    <row r="8881" spans="1:4" hidden="1" x14ac:dyDescent="0.3">
      <c r="A8881">
        <v>8879</v>
      </c>
      <c r="B8881" t="s">
        <v>11623</v>
      </c>
      <c r="C8881" t="s">
        <v>221</v>
      </c>
      <c r="D8881">
        <v>36690275.528815404</v>
      </c>
    </row>
    <row r="8882" spans="1:4" hidden="1" x14ac:dyDescent="0.3">
      <c r="A8882">
        <v>8880</v>
      </c>
      <c r="B8882" s="1" t="s">
        <v>11624</v>
      </c>
      <c r="C8882" t="s">
        <v>223</v>
      </c>
      <c r="D8882" s="1" t="s">
        <v>11625</v>
      </c>
    </row>
    <row r="8883" spans="1:4" hidden="1" x14ac:dyDescent="0.3">
      <c r="A8883">
        <v>8881</v>
      </c>
      <c r="B8883" t="s">
        <v>11626</v>
      </c>
      <c r="C8883" t="s">
        <v>226</v>
      </c>
      <c r="D8883">
        <v>103001885.922593</v>
      </c>
    </row>
    <row r="8884" spans="1:4" hidden="1" x14ac:dyDescent="0.3">
      <c r="A8884">
        <v>8882</v>
      </c>
      <c r="B8884" t="s">
        <v>11627</v>
      </c>
      <c r="C8884" t="s">
        <v>228</v>
      </c>
      <c r="D8884">
        <v>-1454.72410459816</v>
      </c>
    </row>
    <row r="8885" spans="1:4" hidden="1" x14ac:dyDescent="0.3">
      <c r="A8885">
        <v>8883</v>
      </c>
      <c r="B8885" s="1" t="s">
        <v>11628</v>
      </c>
      <c r="C8885" t="s">
        <v>230</v>
      </c>
      <c r="D8885" s="1" t="s">
        <v>11629</v>
      </c>
    </row>
    <row r="8886" spans="1:4" hidden="1" x14ac:dyDescent="0.3">
      <c r="A8886">
        <v>8884</v>
      </c>
      <c r="B8886" t="s">
        <v>11630</v>
      </c>
      <c r="C8886" t="s">
        <v>112</v>
      </c>
      <c r="D8886">
        <v>385.10747360386398</v>
      </c>
    </row>
    <row r="8887" spans="1:4" hidden="1" x14ac:dyDescent="0.3">
      <c r="A8887">
        <v>8885</v>
      </c>
      <c r="B8887" t="s">
        <v>11631</v>
      </c>
      <c r="C8887" t="s">
        <v>114</v>
      </c>
      <c r="D8887">
        <v>55.881071674106302</v>
      </c>
    </row>
    <row r="8888" spans="1:4" hidden="1" x14ac:dyDescent="0.3">
      <c r="A8888">
        <v>8886</v>
      </c>
      <c r="B8888" s="1" t="s">
        <v>11632</v>
      </c>
      <c r="C8888" t="s">
        <v>116</v>
      </c>
      <c r="D8888" s="1" t="s">
        <v>11633</v>
      </c>
    </row>
    <row r="8889" spans="1:4" hidden="1" x14ac:dyDescent="0.3">
      <c r="A8889">
        <v>8887</v>
      </c>
      <c r="B8889" t="s">
        <v>11634</v>
      </c>
      <c r="C8889" t="s">
        <v>119</v>
      </c>
      <c r="D8889">
        <v>80074450.318246499</v>
      </c>
    </row>
    <row r="8890" spans="1:4" hidden="1" x14ac:dyDescent="0.3">
      <c r="A8890">
        <v>8888</v>
      </c>
      <c r="B8890" t="s">
        <v>11635</v>
      </c>
      <c r="C8890" t="s">
        <v>121</v>
      </c>
      <c r="D8890">
        <v>34461211.145873703</v>
      </c>
    </row>
    <row r="8891" spans="1:4" hidden="1" x14ac:dyDescent="0.3">
      <c r="A8891">
        <v>8889</v>
      </c>
      <c r="B8891" s="1" t="s">
        <v>11636</v>
      </c>
      <c r="C8891" t="s">
        <v>123</v>
      </c>
      <c r="D8891" s="1" t="s">
        <v>11637</v>
      </c>
    </row>
    <row r="8892" spans="1:4" hidden="1" x14ac:dyDescent="0.3">
      <c r="A8892">
        <v>8890</v>
      </c>
      <c r="B8892" t="s">
        <v>11638</v>
      </c>
      <c r="C8892" t="s">
        <v>126</v>
      </c>
      <c r="D8892">
        <v>0.77746058250068195</v>
      </c>
    </row>
    <row r="8893" spans="1:4" hidden="1" x14ac:dyDescent="0.3">
      <c r="A8893">
        <v>8891</v>
      </c>
      <c r="B8893" t="s">
        <v>11639</v>
      </c>
      <c r="C8893" t="s">
        <v>128</v>
      </c>
      <c r="D8893">
        <v>0.33459153556056098</v>
      </c>
    </row>
    <row r="8894" spans="1:4" hidden="1" x14ac:dyDescent="0.3">
      <c r="A8894">
        <v>8892</v>
      </c>
      <c r="B8894" s="1" t="s">
        <v>11640</v>
      </c>
      <c r="C8894" t="s">
        <v>130</v>
      </c>
      <c r="D8894" s="1" t="s">
        <v>11641</v>
      </c>
    </row>
    <row r="8895" spans="1:4" ht="72" x14ac:dyDescent="0.3">
      <c r="A8895">
        <v>8893</v>
      </c>
      <c r="B8895" s="1" t="s">
        <v>11642</v>
      </c>
      <c r="C8895" t="s">
        <v>4</v>
      </c>
      <c r="D8895" t="s">
        <v>11643</v>
      </c>
    </row>
    <row r="8896" spans="1:4" hidden="1" x14ac:dyDescent="0.3">
      <c r="A8896">
        <v>8894</v>
      </c>
      <c r="B8896" t="s">
        <v>11644</v>
      </c>
      <c r="C8896" t="s">
        <v>7</v>
      </c>
      <c r="D8896">
        <v>1865.69</v>
      </c>
    </row>
    <row r="8897" spans="1:4" hidden="1" x14ac:dyDescent="0.3">
      <c r="A8897">
        <v>8895</v>
      </c>
      <c r="B8897" s="1" t="s">
        <v>11645</v>
      </c>
      <c r="C8897" t="s">
        <v>9</v>
      </c>
      <c r="D8897" s="1" t="s">
        <v>11646</v>
      </c>
    </row>
    <row r="8898" spans="1:4" hidden="1" x14ac:dyDescent="0.3">
      <c r="A8898">
        <v>8896</v>
      </c>
      <c r="B8898" t="s">
        <v>4648</v>
      </c>
      <c r="C8898" t="s">
        <v>14</v>
      </c>
      <c r="D8898">
        <v>90.09375</v>
      </c>
    </row>
    <row r="8899" spans="1:4" hidden="1" x14ac:dyDescent="0.3">
      <c r="A8899">
        <v>8897</v>
      </c>
      <c r="B8899" t="s">
        <v>11647</v>
      </c>
      <c r="C8899" t="s">
        <v>16</v>
      </c>
      <c r="D8899">
        <v>4.2418738426393201</v>
      </c>
    </row>
    <row r="8900" spans="1:4" hidden="1" x14ac:dyDescent="0.3">
      <c r="A8900">
        <v>8898</v>
      </c>
      <c r="B8900" s="1" t="s">
        <v>11648</v>
      </c>
      <c r="C8900" t="s">
        <v>140</v>
      </c>
      <c r="D8900" s="1" t="s">
        <v>11649</v>
      </c>
    </row>
    <row r="8901" spans="1:4" hidden="1" x14ac:dyDescent="0.3">
      <c r="A8901">
        <v>8899</v>
      </c>
      <c r="B8901" t="s">
        <v>11650</v>
      </c>
      <c r="C8901" t="s">
        <v>22</v>
      </c>
      <c r="D8901">
        <v>59.05</v>
      </c>
    </row>
    <row r="8902" spans="1:4" hidden="1" x14ac:dyDescent="0.3">
      <c r="A8902">
        <v>8900</v>
      </c>
      <c r="B8902" t="s">
        <v>11651</v>
      </c>
      <c r="C8902" t="s">
        <v>24</v>
      </c>
      <c r="D8902">
        <v>4.3595936858610997</v>
      </c>
    </row>
    <row r="8903" spans="1:4" hidden="1" x14ac:dyDescent="0.3">
      <c r="A8903">
        <v>8901</v>
      </c>
      <c r="B8903" s="1" t="s">
        <v>11652</v>
      </c>
      <c r="C8903" t="s">
        <v>145</v>
      </c>
      <c r="D8903" s="1" t="s">
        <v>11653</v>
      </c>
    </row>
    <row r="8904" spans="1:4" hidden="1" x14ac:dyDescent="0.3">
      <c r="A8904">
        <v>8902</v>
      </c>
      <c r="B8904" t="s">
        <v>11654</v>
      </c>
      <c r="C8904" t="s">
        <v>35</v>
      </c>
      <c r="D8904">
        <v>-6.2332266238943897E-2</v>
      </c>
    </row>
    <row r="8905" spans="1:4" hidden="1" x14ac:dyDescent="0.3">
      <c r="A8905">
        <v>8903</v>
      </c>
      <c r="B8905" t="s">
        <v>11655</v>
      </c>
      <c r="C8905" t="s">
        <v>149</v>
      </c>
      <c r="D8905">
        <v>0.54504358472696302</v>
      </c>
    </row>
    <row r="8906" spans="1:4" hidden="1" x14ac:dyDescent="0.3">
      <c r="A8906">
        <v>8904</v>
      </c>
      <c r="B8906" s="1" t="s">
        <v>11656</v>
      </c>
      <c r="C8906" t="s">
        <v>151</v>
      </c>
      <c r="D8906" s="1" t="s">
        <v>11657</v>
      </c>
    </row>
    <row r="8907" spans="1:4" hidden="1" x14ac:dyDescent="0.3">
      <c r="A8907">
        <v>8905</v>
      </c>
      <c r="B8907" t="s">
        <v>11658</v>
      </c>
      <c r="C8907" t="s">
        <v>30</v>
      </c>
      <c r="D8907">
        <v>0.52176754230134503</v>
      </c>
    </row>
    <row r="8908" spans="1:4" hidden="1" x14ac:dyDescent="0.3">
      <c r="A8908">
        <v>8906</v>
      </c>
      <c r="B8908" t="s">
        <v>11659</v>
      </c>
      <c r="C8908" t="s">
        <v>32</v>
      </c>
      <c r="D8908">
        <v>0.37381583185344802</v>
      </c>
    </row>
    <row r="8909" spans="1:4" hidden="1" x14ac:dyDescent="0.3">
      <c r="A8909">
        <v>8907</v>
      </c>
      <c r="B8909" s="1" t="s">
        <v>11660</v>
      </c>
      <c r="C8909" t="s">
        <v>155</v>
      </c>
      <c r="D8909" s="1" t="s">
        <v>11661</v>
      </c>
    </row>
    <row r="8910" spans="1:4" hidden="1" x14ac:dyDescent="0.3">
      <c r="A8910">
        <v>8908</v>
      </c>
      <c r="B8910" t="s">
        <v>11662</v>
      </c>
      <c r="C8910" t="s">
        <v>40</v>
      </c>
      <c r="D8910">
        <v>0.54056472393759802</v>
      </c>
    </row>
    <row r="8911" spans="1:4" hidden="1" x14ac:dyDescent="0.3">
      <c r="A8911">
        <v>8909</v>
      </c>
      <c r="B8911" t="s">
        <v>11663</v>
      </c>
      <c r="C8911" t="s">
        <v>42</v>
      </c>
      <c r="D8911">
        <v>0.46089982763081799</v>
      </c>
    </row>
    <row r="8912" spans="1:4" hidden="1" x14ac:dyDescent="0.3">
      <c r="A8912">
        <v>8910</v>
      </c>
      <c r="B8912" s="1" t="s">
        <v>11664</v>
      </c>
      <c r="C8912" t="s">
        <v>159</v>
      </c>
      <c r="D8912" s="1" t="s">
        <v>11665</v>
      </c>
    </row>
    <row r="8913" spans="1:4" hidden="1" x14ac:dyDescent="0.3">
      <c r="A8913">
        <v>8911</v>
      </c>
      <c r="B8913" t="s">
        <v>11666</v>
      </c>
      <c r="C8913" t="s">
        <v>161</v>
      </c>
      <c r="D8913">
        <v>1.01789523648445</v>
      </c>
    </row>
    <row r="8914" spans="1:4" hidden="1" x14ac:dyDescent="0.3">
      <c r="A8914">
        <v>8912</v>
      </c>
      <c r="B8914" t="s">
        <v>11667</v>
      </c>
      <c r="C8914" t="s">
        <v>163</v>
      </c>
      <c r="D8914">
        <v>1.00673272758604</v>
      </c>
    </row>
    <row r="8915" spans="1:4" hidden="1" x14ac:dyDescent="0.3">
      <c r="A8915">
        <v>8913</v>
      </c>
      <c r="B8915" s="1" t="s">
        <v>11668</v>
      </c>
      <c r="C8915" t="s">
        <v>165</v>
      </c>
      <c r="D8915" s="1" t="s">
        <v>11669</v>
      </c>
    </row>
    <row r="8916" spans="1:4" hidden="1" x14ac:dyDescent="0.3">
      <c r="A8916">
        <v>8914</v>
      </c>
      <c r="B8916" t="s">
        <v>11670</v>
      </c>
      <c r="C8916" t="s">
        <v>168</v>
      </c>
      <c r="D8916">
        <v>1.00007754813414</v>
      </c>
    </row>
    <row r="8917" spans="1:4" hidden="1" x14ac:dyDescent="0.3">
      <c r="A8917">
        <v>8915</v>
      </c>
      <c r="B8917" t="s">
        <v>11671</v>
      </c>
      <c r="C8917" t="s">
        <v>170</v>
      </c>
      <c r="D8917">
        <v>1.00735053416556</v>
      </c>
    </row>
    <row r="8918" spans="1:4" hidden="1" x14ac:dyDescent="0.3">
      <c r="A8918">
        <v>8916</v>
      </c>
      <c r="B8918" s="1" t="s">
        <v>11672</v>
      </c>
      <c r="C8918" t="s">
        <v>172</v>
      </c>
      <c r="D8918" s="1" t="s">
        <v>11673</v>
      </c>
    </row>
    <row r="8919" spans="1:4" hidden="1" x14ac:dyDescent="0.3">
      <c r="A8919">
        <v>8917</v>
      </c>
      <c r="B8919" s="1" t="s">
        <v>11674</v>
      </c>
      <c r="C8919" t="s">
        <v>55</v>
      </c>
      <c r="D8919" s="1" t="s">
        <v>11675</v>
      </c>
    </row>
    <row r="8920" spans="1:4" hidden="1" x14ac:dyDescent="0.3">
      <c r="A8920">
        <v>8918</v>
      </c>
      <c r="B8920" s="1" t="s">
        <v>11676</v>
      </c>
      <c r="C8920" t="s">
        <v>52</v>
      </c>
      <c r="D8920" s="1" t="s">
        <v>11677</v>
      </c>
    </row>
    <row r="8921" spans="1:4" hidden="1" x14ac:dyDescent="0.3">
      <c r="A8921">
        <v>8919</v>
      </c>
      <c r="B8921" s="1" t="s">
        <v>11678</v>
      </c>
      <c r="C8921" t="s">
        <v>58</v>
      </c>
      <c r="D8921" s="1" t="s">
        <v>11679</v>
      </c>
    </row>
    <row r="8922" spans="1:4" hidden="1" x14ac:dyDescent="0.3">
      <c r="A8922">
        <v>8920</v>
      </c>
      <c r="B8922" t="s">
        <v>11680</v>
      </c>
      <c r="C8922" t="s">
        <v>61</v>
      </c>
      <c r="D8922">
        <v>152000130.156497</v>
      </c>
    </row>
    <row r="8923" spans="1:4" hidden="1" x14ac:dyDescent="0.3">
      <c r="A8923">
        <v>8921</v>
      </c>
      <c r="B8923" t="s">
        <v>11681</v>
      </c>
      <c r="C8923" t="s">
        <v>63</v>
      </c>
      <c r="D8923">
        <v>81507401.543054596</v>
      </c>
    </row>
    <row r="8924" spans="1:4" hidden="1" x14ac:dyDescent="0.3">
      <c r="A8924">
        <v>8922</v>
      </c>
      <c r="B8924" t="s">
        <v>11682</v>
      </c>
      <c r="C8924" t="s">
        <v>65</v>
      </c>
      <c r="D8924">
        <v>34693229.092804</v>
      </c>
    </row>
    <row r="8925" spans="1:4" hidden="1" x14ac:dyDescent="0.3">
      <c r="A8925">
        <v>8923</v>
      </c>
      <c r="B8925" s="1" t="s">
        <v>11683</v>
      </c>
      <c r="C8925" t="s">
        <v>67</v>
      </c>
      <c r="D8925" s="1" t="s">
        <v>11684</v>
      </c>
    </row>
    <row r="8926" spans="1:4" hidden="1" x14ac:dyDescent="0.3">
      <c r="A8926">
        <v>8924</v>
      </c>
      <c r="B8926" s="1" t="s">
        <v>11685</v>
      </c>
      <c r="C8926" t="s">
        <v>70</v>
      </c>
      <c r="D8926" s="1" t="s">
        <v>11686</v>
      </c>
    </row>
    <row r="8927" spans="1:4" hidden="1" x14ac:dyDescent="0.3">
      <c r="A8927">
        <v>8925</v>
      </c>
      <c r="B8927" t="s">
        <v>11687</v>
      </c>
      <c r="C8927" t="s">
        <v>73</v>
      </c>
      <c r="D8927">
        <v>0.99993186917843502</v>
      </c>
    </row>
    <row r="8928" spans="1:4" hidden="1" x14ac:dyDescent="0.3">
      <c r="A8928">
        <v>8926</v>
      </c>
      <c r="B8928" t="s">
        <v>74</v>
      </c>
      <c r="C8928" t="s">
        <v>75</v>
      </c>
      <c r="D8928">
        <v>2.7397260273972599E-3</v>
      </c>
    </row>
    <row r="8929" spans="1:4" hidden="1" x14ac:dyDescent="0.3">
      <c r="A8929">
        <v>8927</v>
      </c>
      <c r="B8929" t="s">
        <v>76</v>
      </c>
      <c r="C8929" t="s">
        <v>77</v>
      </c>
      <c r="D8929">
        <v>0</v>
      </c>
    </row>
    <row r="8930" spans="1:4" hidden="1" x14ac:dyDescent="0.3">
      <c r="A8930">
        <v>8928</v>
      </c>
      <c r="B8930" t="s">
        <v>78</v>
      </c>
      <c r="C8930" t="s">
        <v>79</v>
      </c>
      <c r="D8930">
        <v>0</v>
      </c>
    </row>
    <row r="8931" spans="1:4" hidden="1" x14ac:dyDescent="0.3">
      <c r="A8931">
        <v>8929</v>
      </c>
      <c r="B8931" s="1" t="s">
        <v>11688</v>
      </c>
      <c r="C8931" t="s">
        <v>81</v>
      </c>
      <c r="D8931" s="1" t="s">
        <v>11689</v>
      </c>
    </row>
    <row r="8932" spans="1:4" hidden="1" x14ac:dyDescent="0.3">
      <c r="A8932">
        <v>8930</v>
      </c>
      <c r="B8932" t="s">
        <v>11690</v>
      </c>
      <c r="C8932" t="s">
        <v>84</v>
      </c>
      <c r="D8932">
        <v>0.999930981412952</v>
      </c>
    </row>
    <row r="8933" spans="1:4" hidden="1" x14ac:dyDescent="0.3">
      <c r="A8933">
        <v>8931</v>
      </c>
      <c r="B8933" s="1" t="s">
        <v>11691</v>
      </c>
      <c r="C8933" t="s">
        <v>86</v>
      </c>
      <c r="D8933" s="1" t="s">
        <v>11692</v>
      </c>
    </row>
    <row r="8934" spans="1:4" hidden="1" x14ac:dyDescent="0.3">
      <c r="A8934">
        <v>8932</v>
      </c>
      <c r="B8934" t="s">
        <v>11693</v>
      </c>
      <c r="C8934" t="s">
        <v>89</v>
      </c>
      <c r="D8934">
        <v>103000522.645028</v>
      </c>
    </row>
    <row r="8935" spans="1:4" hidden="1" x14ac:dyDescent="0.3">
      <c r="A8935">
        <v>8933</v>
      </c>
      <c r="B8935" s="1" t="s">
        <v>11694</v>
      </c>
      <c r="C8935" t="s">
        <v>91</v>
      </c>
      <c r="D8935" s="1" t="s">
        <v>11629</v>
      </c>
    </row>
    <row r="8936" spans="1:4" hidden="1" x14ac:dyDescent="0.3">
      <c r="A8936">
        <v>8934</v>
      </c>
      <c r="B8936" t="s">
        <v>11695</v>
      </c>
      <c r="C8936" t="s">
        <v>94</v>
      </c>
      <c r="D8936">
        <v>81507401.543054596</v>
      </c>
    </row>
    <row r="8937" spans="1:4" hidden="1" x14ac:dyDescent="0.3">
      <c r="A8937">
        <v>8935</v>
      </c>
      <c r="B8937" t="s">
        <v>11696</v>
      </c>
      <c r="C8937" t="s">
        <v>96</v>
      </c>
      <c r="D8937">
        <v>34693229.092804</v>
      </c>
    </row>
    <row r="8938" spans="1:4" hidden="1" x14ac:dyDescent="0.3">
      <c r="A8938">
        <v>8936</v>
      </c>
      <c r="B8938" t="s">
        <v>11697</v>
      </c>
      <c r="C8938" t="s">
        <v>98</v>
      </c>
      <c r="D8938">
        <v>35799499.520638697</v>
      </c>
    </row>
    <row r="8939" spans="1:4" hidden="1" x14ac:dyDescent="0.3">
      <c r="A8939">
        <v>8937</v>
      </c>
      <c r="B8939" s="1" t="s">
        <v>11698</v>
      </c>
      <c r="C8939" t="s">
        <v>100</v>
      </c>
      <c r="D8939" s="1" t="s">
        <v>11699</v>
      </c>
    </row>
    <row r="8940" spans="1:4" hidden="1" x14ac:dyDescent="0.3">
      <c r="A8940">
        <v>8938</v>
      </c>
      <c r="B8940" t="s">
        <v>11700</v>
      </c>
      <c r="C8940" t="s">
        <v>103</v>
      </c>
      <c r="D8940">
        <v>9.93027480080887E-3</v>
      </c>
    </row>
    <row r="8941" spans="1:4" hidden="1" x14ac:dyDescent="0.3">
      <c r="A8941">
        <v>8939</v>
      </c>
      <c r="B8941" t="s">
        <v>11701</v>
      </c>
      <c r="C8941" t="s">
        <v>105</v>
      </c>
      <c r="D8941">
        <v>2.7714369109883398E-3</v>
      </c>
    </row>
    <row r="8942" spans="1:4" hidden="1" x14ac:dyDescent="0.3">
      <c r="A8942">
        <v>8940</v>
      </c>
      <c r="B8942" t="s">
        <v>11702</v>
      </c>
      <c r="C8942" t="s">
        <v>107</v>
      </c>
      <c r="D8942">
        <v>2.0592565384449701E-2</v>
      </c>
    </row>
    <row r="8943" spans="1:4" hidden="1" x14ac:dyDescent="0.3">
      <c r="A8943">
        <v>8941</v>
      </c>
      <c r="B8943" s="1" t="s">
        <v>11703</v>
      </c>
      <c r="C8943" t="s">
        <v>109</v>
      </c>
      <c r="D8943" s="1" t="s">
        <v>11704</v>
      </c>
    </row>
    <row r="8944" spans="1:4" hidden="1" x14ac:dyDescent="0.3">
      <c r="A8944">
        <v>8942</v>
      </c>
      <c r="B8944" t="s">
        <v>11705</v>
      </c>
      <c r="C8944" t="s">
        <v>208</v>
      </c>
      <c r="D8944">
        <v>152000098.69800299</v>
      </c>
    </row>
    <row r="8945" spans="1:4" hidden="1" x14ac:dyDescent="0.3">
      <c r="A8945">
        <v>8943</v>
      </c>
      <c r="B8945" t="s">
        <v>11706</v>
      </c>
      <c r="C8945" t="s">
        <v>210</v>
      </c>
      <c r="D8945">
        <v>72.364366103912602</v>
      </c>
    </row>
    <row r="8946" spans="1:4" hidden="1" x14ac:dyDescent="0.3">
      <c r="A8946">
        <v>8944</v>
      </c>
      <c r="B8946" t="s">
        <v>11707</v>
      </c>
      <c r="C8946" t="s">
        <v>212</v>
      </c>
      <c r="D8946">
        <v>30.8015467422791</v>
      </c>
    </row>
    <row r="8947" spans="1:4" hidden="1" x14ac:dyDescent="0.3">
      <c r="A8947">
        <v>8945</v>
      </c>
      <c r="B8947" s="1" t="s">
        <v>11708</v>
      </c>
      <c r="C8947" t="s">
        <v>214</v>
      </c>
      <c r="D8947" s="1" t="s">
        <v>11709</v>
      </c>
    </row>
    <row r="8948" spans="1:4" hidden="1" x14ac:dyDescent="0.3">
      <c r="A8948">
        <v>8946</v>
      </c>
      <c r="B8948" t="s">
        <v>11710</v>
      </c>
      <c r="C8948" t="s">
        <v>217</v>
      </c>
      <c r="D8948">
        <v>81507304.662058294</v>
      </c>
    </row>
    <row r="8949" spans="1:4" hidden="1" x14ac:dyDescent="0.3">
      <c r="A8949">
        <v>8947</v>
      </c>
      <c r="B8949" t="s">
        <v>11711</v>
      </c>
      <c r="C8949" t="s">
        <v>219</v>
      </c>
      <c r="D8949">
        <v>34693194.863069899</v>
      </c>
    </row>
    <row r="8950" spans="1:4" hidden="1" x14ac:dyDescent="0.3">
      <c r="A8950">
        <v>8948</v>
      </c>
      <c r="B8950" t="s">
        <v>11712</v>
      </c>
      <c r="C8950" t="s">
        <v>221</v>
      </c>
      <c r="D8950">
        <v>35799464.223240502</v>
      </c>
    </row>
    <row r="8951" spans="1:4" hidden="1" x14ac:dyDescent="0.3">
      <c r="A8951">
        <v>8949</v>
      </c>
      <c r="B8951" s="1" t="s">
        <v>11713</v>
      </c>
      <c r="C8951" t="s">
        <v>223</v>
      </c>
      <c r="D8951" s="1" t="s">
        <v>11714</v>
      </c>
    </row>
    <row r="8952" spans="1:4" hidden="1" x14ac:dyDescent="0.3">
      <c r="A8952">
        <v>8950</v>
      </c>
      <c r="B8952" t="s">
        <v>11715</v>
      </c>
      <c r="C8952" t="s">
        <v>226</v>
      </c>
      <c r="D8952">
        <v>103000431.198489</v>
      </c>
    </row>
    <row r="8953" spans="1:4" hidden="1" x14ac:dyDescent="0.3">
      <c r="A8953">
        <v>8951</v>
      </c>
      <c r="B8953" t="s">
        <v>11716</v>
      </c>
      <c r="C8953" t="s">
        <v>228</v>
      </c>
      <c r="D8953">
        <v>91.446538969874297</v>
      </c>
    </row>
    <row r="8954" spans="1:4" hidden="1" x14ac:dyDescent="0.3">
      <c r="A8954">
        <v>8952</v>
      </c>
      <c r="B8954" s="1" t="s">
        <v>11717</v>
      </c>
      <c r="C8954" t="s">
        <v>230</v>
      </c>
      <c r="D8954" s="1" t="s">
        <v>11718</v>
      </c>
    </row>
    <row r="8955" spans="1:4" hidden="1" x14ac:dyDescent="0.3">
      <c r="A8955">
        <v>8953</v>
      </c>
      <c r="B8955" t="s">
        <v>11719</v>
      </c>
      <c r="C8955" t="s">
        <v>112</v>
      </c>
      <c r="D8955">
        <v>-24.516630170975098</v>
      </c>
    </row>
    <row r="8956" spans="1:4" hidden="1" x14ac:dyDescent="0.3">
      <c r="A8956">
        <v>8954</v>
      </c>
      <c r="B8956" t="s">
        <v>11720</v>
      </c>
      <c r="C8956" t="s">
        <v>114</v>
      </c>
      <c r="D8956">
        <v>-3.4281873088002</v>
      </c>
    </row>
    <row r="8957" spans="1:4" hidden="1" x14ac:dyDescent="0.3">
      <c r="A8957">
        <v>8955</v>
      </c>
      <c r="B8957" s="1" t="s">
        <v>11721</v>
      </c>
      <c r="C8957" t="s">
        <v>116</v>
      </c>
      <c r="D8957" s="1" t="s">
        <v>11722</v>
      </c>
    </row>
    <row r="8958" spans="1:4" hidden="1" x14ac:dyDescent="0.3">
      <c r="A8958">
        <v>8956</v>
      </c>
      <c r="B8958" t="s">
        <v>11723</v>
      </c>
      <c r="C8958" t="s">
        <v>119</v>
      </c>
      <c r="D8958">
        <v>81507304.662058294</v>
      </c>
    </row>
    <row r="8959" spans="1:4" hidden="1" x14ac:dyDescent="0.3">
      <c r="A8959">
        <v>8957</v>
      </c>
      <c r="B8959" t="s">
        <v>11724</v>
      </c>
      <c r="C8959" t="s">
        <v>121</v>
      </c>
      <c r="D8959">
        <v>34693194.863069899</v>
      </c>
    </row>
    <row r="8960" spans="1:4" hidden="1" x14ac:dyDescent="0.3">
      <c r="A8960">
        <v>8958</v>
      </c>
      <c r="B8960" s="1" t="s">
        <v>11725</v>
      </c>
      <c r="C8960" t="s">
        <v>123</v>
      </c>
      <c r="D8960" s="1" t="s">
        <v>11726</v>
      </c>
    </row>
    <row r="8961" spans="1:4" hidden="1" x14ac:dyDescent="0.3">
      <c r="A8961">
        <v>8959</v>
      </c>
      <c r="B8961" t="s">
        <v>11727</v>
      </c>
      <c r="C8961" t="s">
        <v>126</v>
      </c>
      <c r="D8961">
        <v>0.79138436238457099</v>
      </c>
    </row>
    <row r="8962" spans="1:4" hidden="1" x14ac:dyDescent="0.3">
      <c r="A8962">
        <v>8960</v>
      </c>
      <c r="B8962" t="s">
        <v>11728</v>
      </c>
      <c r="C8962" t="s">
        <v>128</v>
      </c>
      <c r="D8962">
        <v>0.33684897334821201</v>
      </c>
    </row>
    <row r="8963" spans="1:4" hidden="1" x14ac:dyDescent="0.3">
      <c r="A8963">
        <v>8961</v>
      </c>
      <c r="B8963" s="1" t="s">
        <v>11729</v>
      </c>
      <c r="C8963" t="s">
        <v>130</v>
      </c>
      <c r="D8963" s="1" t="s">
        <v>11730</v>
      </c>
    </row>
    <row r="8964" spans="1:4" ht="72" x14ac:dyDescent="0.3">
      <c r="A8964">
        <v>8962</v>
      </c>
      <c r="B8964" s="1" t="s">
        <v>11731</v>
      </c>
      <c r="C8964" t="s">
        <v>4</v>
      </c>
      <c r="D8964" t="s">
        <v>11732</v>
      </c>
    </row>
    <row r="8965" spans="1:4" hidden="1" x14ac:dyDescent="0.3">
      <c r="A8965">
        <v>8963</v>
      </c>
      <c r="B8965" t="s">
        <v>11733</v>
      </c>
      <c r="C8965" t="s">
        <v>7</v>
      </c>
      <c r="D8965">
        <v>1871.81</v>
      </c>
    </row>
    <row r="8966" spans="1:4" hidden="1" x14ac:dyDescent="0.3">
      <c r="A8966">
        <v>8964</v>
      </c>
      <c r="B8966" s="1" t="s">
        <v>11734</v>
      </c>
      <c r="C8966" t="s">
        <v>9</v>
      </c>
      <c r="D8966" s="1" t="s">
        <v>11735</v>
      </c>
    </row>
    <row r="8967" spans="1:4" hidden="1" x14ac:dyDescent="0.3">
      <c r="A8967">
        <v>8965</v>
      </c>
      <c r="B8967" t="s">
        <v>11736</v>
      </c>
      <c r="C8967" t="s">
        <v>14</v>
      </c>
      <c r="D8967">
        <v>90.17578125</v>
      </c>
    </row>
    <row r="8968" spans="1:4" hidden="1" x14ac:dyDescent="0.3">
      <c r="A8968">
        <v>8966</v>
      </c>
      <c r="B8968" t="s">
        <v>11737</v>
      </c>
      <c r="C8968" t="s">
        <v>16</v>
      </c>
      <c r="D8968">
        <v>4.2430968534485602</v>
      </c>
    </row>
    <row r="8969" spans="1:4" hidden="1" x14ac:dyDescent="0.3">
      <c r="A8969">
        <v>8967</v>
      </c>
      <c r="B8969" s="1" t="s">
        <v>11738</v>
      </c>
      <c r="C8969" t="s">
        <v>140</v>
      </c>
      <c r="D8969" s="1" t="s">
        <v>11739</v>
      </c>
    </row>
    <row r="8970" spans="1:4" hidden="1" x14ac:dyDescent="0.3">
      <c r="A8970">
        <v>8968</v>
      </c>
      <c r="B8970" t="s">
        <v>11740</v>
      </c>
      <c r="C8970" t="s">
        <v>22</v>
      </c>
      <c r="D8970">
        <v>59.2</v>
      </c>
    </row>
    <row r="8971" spans="1:4" hidden="1" x14ac:dyDescent="0.3">
      <c r="A8971">
        <v>8969</v>
      </c>
      <c r="B8971" t="s">
        <v>11741</v>
      </c>
      <c r="C8971" t="s">
        <v>24</v>
      </c>
      <c r="D8971">
        <v>4.3616573469813398</v>
      </c>
    </row>
    <row r="8972" spans="1:4" hidden="1" x14ac:dyDescent="0.3">
      <c r="A8972">
        <v>8970</v>
      </c>
      <c r="B8972" s="1" t="s">
        <v>11742</v>
      </c>
      <c r="C8972" t="s">
        <v>145</v>
      </c>
      <c r="D8972" s="1" t="s">
        <v>11743</v>
      </c>
    </row>
    <row r="8973" spans="1:4" hidden="1" x14ac:dyDescent="0.3">
      <c r="A8973">
        <v>8971</v>
      </c>
      <c r="B8973" t="s">
        <v>11744</v>
      </c>
      <c r="C8973" t="s">
        <v>35</v>
      </c>
      <c r="D8973">
        <v>3.0507637963398002</v>
      </c>
    </row>
    <row r="8974" spans="1:4" hidden="1" x14ac:dyDescent="0.3">
      <c r="A8974">
        <v>8972</v>
      </c>
      <c r="B8974" t="s">
        <v>11745</v>
      </c>
      <c r="C8974" t="s">
        <v>149</v>
      </c>
      <c r="D8974">
        <v>0.54967595225215105</v>
      </c>
    </row>
    <row r="8975" spans="1:4" hidden="1" x14ac:dyDescent="0.3">
      <c r="A8975">
        <v>8973</v>
      </c>
      <c r="B8975" s="1" t="s">
        <v>11746</v>
      </c>
      <c r="C8975" t="s">
        <v>151</v>
      </c>
      <c r="D8975" s="1" t="s">
        <v>11747</v>
      </c>
    </row>
    <row r="8976" spans="1:4" hidden="1" x14ac:dyDescent="0.3">
      <c r="A8976">
        <v>8974</v>
      </c>
      <c r="B8976" t="s">
        <v>11748</v>
      </c>
      <c r="C8976" t="s">
        <v>30</v>
      </c>
      <c r="D8976">
        <v>-0.95432854886784602</v>
      </c>
    </row>
    <row r="8977" spans="1:4" hidden="1" x14ac:dyDescent="0.3">
      <c r="A8977">
        <v>8975</v>
      </c>
      <c r="B8977" t="s">
        <v>11749</v>
      </c>
      <c r="C8977" t="s">
        <v>32</v>
      </c>
      <c r="D8977">
        <v>0.36998471379521303</v>
      </c>
    </row>
    <row r="8978" spans="1:4" hidden="1" x14ac:dyDescent="0.3">
      <c r="A8978">
        <v>8976</v>
      </c>
      <c r="B8978" s="1" t="s">
        <v>11750</v>
      </c>
      <c r="C8978" t="s">
        <v>155</v>
      </c>
      <c r="D8978" s="1" t="s">
        <v>11751</v>
      </c>
    </row>
    <row r="8979" spans="1:4" hidden="1" x14ac:dyDescent="0.3">
      <c r="A8979">
        <v>8977</v>
      </c>
      <c r="B8979" t="s">
        <v>11752</v>
      </c>
      <c r="C8979" t="s">
        <v>40</v>
      </c>
      <c r="D8979">
        <v>-1.0964352474719501</v>
      </c>
    </row>
    <row r="8980" spans="1:4" hidden="1" x14ac:dyDescent="0.3">
      <c r="A8980">
        <v>8978</v>
      </c>
      <c r="B8980" t="s">
        <v>11753</v>
      </c>
      <c r="C8980" t="s">
        <v>42</v>
      </c>
      <c r="D8980">
        <v>0.44926896812913703</v>
      </c>
    </row>
    <row r="8981" spans="1:4" hidden="1" x14ac:dyDescent="0.3">
      <c r="A8981">
        <v>8979</v>
      </c>
      <c r="B8981" s="1" t="s">
        <v>11754</v>
      </c>
      <c r="C8981" t="s">
        <v>159</v>
      </c>
      <c r="D8981" s="1" t="s">
        <v>11755</v>
      </c>
    </row>
    <row r="8982" spans="1:4" hidden="1" x14ac:dyDescent="0.3">
      <c r="A8982">
        <v>8980</v>
      </c>
      <c r="B8982" t="s">
        <v>11756</v>
      </c>
      <c r="C8982" t="s">
        <v>161</v>
      </c>
      <c r="D8982">
        <v>1.00328028772196</v>
      </c>
    </row>
    <row r="8983" spans="1:4" hidden="1" x14ac:dyDescent="0.3">
      <c r="A8983">
        <v>8981</v>
      </c>
      <c r="B8983" t="s">
        <v>11757</v>
      </c>
      <c r="C8983" t="s">
        <v>163</v>
      </c>
      <c r="D8983">
        <v>1.00088253257272</v>
      </c>
    </row>
    <row r="8984" spans="1:4" hidden="1" x14ac:dyDescent="0.3">
      <c r="A8984">
        <v>8982</v>
      </c>
      <c r="B8984" s="1" t="s">
        <v>11758</v>
      </c>
      <c r="C8984" t="s">
        <v>165</v>
      </c>
      <c r="D8984" s="1" t="s">
        <v>11759</v>
      </c>
    </row>
    <row r="8985" spans="1:4" hidden="1" x14ac:dyDescent="0.3">
      <c r="A8985">
        <v>8983</v>
      </c>
      <c r="B8985" t="s">
        <v>11760</v>
      </c>
      <c r="C8985" t="s">
        <v>168</v>
      </c>
      <c r="D8985">
        <v>1.0029982115527201</v>
      </c>
    </row>
    <row r="8986" spans="1:4" hidden="1" x14ac:dyDescent="0.3">
      <c r="A8986">
        <v>8984</v>
      </c>
      <c r="B8986" t="s">
        <v>11761</v>
      </c>
      <c r="C8986" t="s">
        <v>170</v>
      </c>
      <c r="D8986">
        <v>0.99721133068246304</v>
      </c>
    </row>
    <row r="8987" spans="1:4" hidden="1" x14ac:dyDescent="0.3">
      <c r="A8987">
        <v>8985</v>
      </c>
      <c r="B8987" s="1" t="s">
        <v>11762</v>
      </c>
      <c r="C8987" t="s">
        <v>172</v>
      </c>
      <c r="D8987" s="1" t="s">
        <v>11763</v>
      </c>
    </row>
    <row r="8988" spans="1:4" hidden="1" x14ac:dyDescent="0.3">
      <c r="A8988">
        <v>8986</v>
      </c>
      <c r="B8988" s="1" t="s">
        <v>11764</v>
      </c>
      <c r="C8988" t="s">
        <v>55</v>
      </c>
      <c r="D8988" s="1" t="s">
        <v>11765</v>
      </c>
    </row>
    <row r="8989" spans="1:4" hidden="1" x14ac:dyDescent="0.3">
      <c r="A8989">
        <v>8987</v>
      </c>
      <c r="B8989" s="1" t="s">
        <v>11766</v>
      </c>
      <c r="C8989" t="s">
        <v>52</v>
      </c>
      <c r="D8989" s="1" t="s">
        <v>11767</v>
      </c>
    </row>
    <row r="8990" spans="1:4" hidden="1" x14ac:dyDescent="0.3">
      <c r="A8990">
        <v>8988</v>
      </c>
      <c r="B8990" s="1" t="s">
        <v>11768</v>
      </c>
      <c r="C8990" t="s">
        <v>58</v>
      </c>
      <c r="D8990" s="1" t="s">
        <v>11769</v>
      </c>
    </row>
    <row r="8991" spans="1:4" hidden="1" x14ac:dyDescent="0.3">
      <c r="A8991">
        <v>8989</v>
      </c>
      <c r="B8991" t="s">
        <v>11770</v>
      </c>
      <c r="C8991" t="s">
        <v>61</v>
      </c>
      <c r="D8991">
        <v>152383800.35799399</v>
      </c>
    </row>
    <row r="8992" spans="1:4" hidden="1" x14ac:dyDescent="0.3">
      <c r="A8992">
        <v>8990</v>
      </c>
      <c r="B8992" t="s">
        <v>11771</v>
      </c>
      <c r="C8992" t="s">
        <v>63</v>
      </c>
      <c r="D8992">
        <v>81774672.072791994</v>
      </c>
    </row>
    <row r="8993" spans="1:4" hidden="1" x14ac:dyDescent="0.3">
      <c r="A8993">
        <v>8991</v>
      </c>
      <c r="B8993" t="s">
        <v>11772</v>
      </c>
      <c r="C8993" t="s">
        <v>65</v>
      </c>
      <c r="D8993">
        <v>34723812.737588398</v>
      </c>
    </row>
    <row r="8994" spans="1:4" hidden="1" x14ac:dyDescent="0.3">
      <c r="A8994">
        <v>8992</v>
      </c>
      <c r="B8994" s="1" t="s">
        <v>11773</v>
      </c>
      <c r="C8994" t="s">
        <v>67</v>
      </c>
      <c r="D8994" s="1" t="s">
        <v>11774</v>
      </c>
    </row>
    <row r="8995" spans="1:4" hidden="1" x14ac:dyDescent="0.3">
      <c r="A8995">
        <v>8993</v>
      </c>
      <c r="B8995" s="1" t="s">
        <v>11775</v>
      </c>
      <c r="C8995" t="s">
        <v>70</v>
      </c>
      <c r="D8995" s="1" t="s">
        <v>11776</v>
      </c>
    </row>
    <row r="8996" spans="1:4" hidden="1" x14ac:dyDescent="0.3">
      <c r="A8996">
        <v>8994</v>
      </c>
      <c r="B8996" t="s">
        <v>11777</v>
      </c>
      <c r="C8996" t="s">
        <v>73</v>
      </c>
      <c r="D8996">
        <v>0.999930981412952</v>
      </c>
    </row>
    <row r="8997" spans="1:4" hidden="1" x14ac:dyDescent="0.3">
      <c r="A8997">
        <v>8995</v>
      </c>
      <c r="B8997" t="s">
        <v>74</v>
      </c>
      <c r="C8997" t="s">
        <v>75</v>
      </c>
      <c r="D8997">
        <v>2.7397260273972599E-3</v>
      </c>
    </row>
    <row r="8998" spans="1:4" hidden="1" x14ac:dyDescent="0.3">
      <c r="A8998">
        <v>8996</v>
      </c>
      <c r="B8998" t="s">
        <v>76</v>
      </c>
      <c r="C8998" t="s">
        <v>77</v>
      </c>
      <c r="D8998">
        <v>0</v>
      </c>
    </row>
    <row r="8999" spans="1:4" hidden="1" x14ac:dyDescent="0.3">
      <c r="A8999">
        <v>8997</v>
      </c>
      <c r="B8999" t="s">
        <v>188</v>
      </c>
      <c r="C8999" t="s">
        <v>79</v>
      </c>
      <c r="D8999" s="2">
        <v>-2.2204460492503101E-16</v>
      </c>
    </row>
    <row r="9000" spans="1:4" hidden="1" x14ac:dyDescent="0.3">
      <c r="A9000">
        <v>8998</v>
      </c>
      <c r="B9000" s="1" t="s">
        <v>11778</v>
      </c>
      <c r="C9000" t="s">
        <v>81</v>
      </c>
      <c r="D9000" s="1" t="s">
        <v>11779</v>
      </c>
    </row>
    <row r="9001" spans="1:4" hidden="1" x14ac:dyDescent="0.3">
      <c r="A9001">
        <v>8999</v>
      </c>
      <c r="B9001" t="s">
        <v>11780</v>
      </c>
      <c r="C9001" t="s">
        <v>84</v>
      </c>
      <c r="D9001">
        <v>0.99989688480501004</v>
      </c>
    </row>
    <row r="9002" spans="1:4" hidden="1" x14ac:dyDescent="0.3">
      <c r="A9002">
        <v>9000</v>
      </c>
      <c r="B9002" s="1" t="s">
        <v>11781</v>
      </c>
      <c r="C9002" t="s">
        <v>86</v>
      </c>
      <c r="D9002" s="1" t="s">
        <v>11782</v>
      </c>
    </row>
    <row r="9003" spans="1:4" hidden="1" x14ac:dyDescent="0.3">
      <c r="A9003">
        <v>9001</v>
      </c>
      <c r="B9003" t="s">
        <v>11783</v>
      </c>
      <c r="C9003" t="s">
        <v>89</v>
      </c>
      <c r="D9003">
        <v>103004034.975641</v>
      </c>
    </row>
    <row r="9004" spans="1:4" hidden="1" x14ac:dyDescent="0.3">
      <c r="A9004">
        <v>9002</v>
      </c>
      <c r="B9004" s="1" t="s">
        <v>11784</v>
      </c>
      <c r="C9004" t="s">
        <v>91</v>
      </c>
      <c r="D9004" s="1" t="s">
        <v>11718</v>
      </c>
    </row>
    <row r="9005" spans="1:4" hidden="1" x14ac:dyDescent="0.3">
      <c r="A9005">
        <v>9003</v>
      </c>
      <c r="B9005" t="s">
        <v>11785</v>
      </c>
      <c r="C9005" t="s">
        <v>94</v>
      </c>
      <c r="D9005">
        <v>81774672.072791994</v>
      </c>
    </row>
    <row r="9006" spans="1:4" hidden="1" x14ac:dyDescent="0.3">
      <c r="A9006">
        <v>9004</v>
      </c>
      <c r="B9006" t="s">
        <v>11786</v>
      </c>
      <c r="C9006" t="s">
        <v>96</v>
      </c>
      <c r="D9006">
        <v>34723812.737588398</v>
      </c>
    </row>
    <row r="9007" spans="1:4" hidden="1" x14ac:dyDescent="0.3">
      <c r="A9007">
        <v>9005</v>
      </c>
      <c r="B9007" t="s">
        <v>11787</v>
      </c>
      <c r="C9007" t="s">
        <v>98</v>
      </c>
      <c r="D9007">
        <v>35885315.547614098</v>
      </c>
    </row>
    <row r="9008" spans="1:4" hidden="1" x14ac:dyDescent="0.3">
      <c r="A9008">
        <v>9006</v>
      </c>
      <c r="B9008" s="1" t="s">
        <v>11788</v>
      </c>
      <c r="C9008" t="s">
        <v>100</v>
      </c>
      <c r="D9008" s="1" t="s">
        <v>11789</v>
      </c>
    </row>
    <row r="9009" spans="1:4" hidden="1" x14ac:dyDescent="0.3">
      <c r="A9009">
        <v>9007</v>
      </c>
      <c r="B9009" t="s">
        <v>11790</v>
      </c>
      <c r="C9009" t="s">
        <v>103</v>
      </c>
      <c r="D9009">
        <v>1.0085934632685201E-2</v>
      </c>
    </row>
    <row r="9010" spans="1:4" hidden="1" x14ac:dyDescent="0.3">
      <c r="A9010">
        <v>9008</v>
      </c>
      <c r="B9010" t="s">
        <v>11791</v>
      </c>
      <c r="C9010" t="s">
        <v>105</v>
      </c>
      <c r="D9010">
        <v>2.7666701561807E-3</v>
      </c>
    </row>
    <row r="9011" spans="1:4" hidden="1" x14ac:dyDescent="0.3">
      <c r="A9011">
        <v>9009</v>
      </c>
      <c r="B9011" t="s">
        <v>11792</v>
      </c>
      <c r="C9011" t="s">
        <v>107</v>
      </c>
      <c r="D9011">
        <v>2.05838249440355E-2</v>
      </c>
    </row>
    <row r="9012" spans="1:4" hidden="1" x14ac:dyDescent="0.3">
      <c r="A9012">
        <v>9010</v>
      </c>
      <c r="B9012" s="1" t="s">
        <v>11793</v>
      </c>
      <c r="C9012" t="s">
        <v>109</v>
      </c>
      <c r="D9012" s="1" t="s">
        <v>11794</v>
      </c>
    </row>
    <row r="9013" spans="1:4" hidden="1" x14ac:dyDescent="0.3">
      <c r="A9013">
        <v>9011</v>
      </c>
      <c r="B9013" t="s">
        <v>11795</v>
      </c>
      <c r="C9013" t="s">
        <v>208</v>
      </c>
      <c r="D9013">
        <v>152382588.72250599</v>
      </c>
    </row>
    <row r="9014" spans="1:4" hidden="1" x14ac:dyDescent="0.3">
      <c r="A9014">
        <v>9012</v>
      </c>
      <c r="B9014" t="s">
        <v>11796</v>
      </c>
      <c r="C9014" t="s">
        <v>210</v>
      </c>
      <c r="D9014">
        <v>2788.3992535021798</v>
      </c>
    </row>
    <row r="9015" spans="1:4" hidden="1" x14ac:dyDescent="0.3">
      <c r="A9015">
        <v>9013</v>
      </c>
      <c r="B9015" t="s">
        <v>11797</v>
      </c>
      <c r="C9015" t="s">
        <v>212</v>
      </c>
      <c r="D9015">
        <v>1184.0416535842901</v>
      </c>
    </row>
    <row r="9016" spans="1:4" hidden="1" x14ac:dyDescent="0.3">
      <c r="A9016">
        <v>9014</v>
      </c>
      <c r="B9016" s="1" t="s">
        <v>11798</v>
      </c>
      <c r="C9016" t="s">
        <v>214</v>
      </c>
      <c r="D9016" s="1" t="s">
        <v>11799</v>
      </c>
    </row>
    <row r="9017" spans="1:4" hidden="1" x14ac:dyDescent="0.3">
      <c r="A9017">
        <v>9015</v>
      </c>
      <c r="B9017" t="s">
        <v>11800</v>
      </c>
      <c r="C9017" t="s">
        <v>217</v>
      </c>
      <c r="D9017">
        <v>81770941.316608399</v>
      </c>
    </row>
    <row r="9018" spans="1:4" hidden="1" x14ac:dyDescent="0.3">
      <c r="A9018">
        <v>9016</v>
      </c>
      <c r="B9018" t="s">
        <v>11801</v>
      </c>
      <c r="C9018" t="s">
        <v>219</v>
      </c>
      <c r="D9018">
        <v>34722502.686821602</v>
      </c>
    </row>
    <row r="9019" spans="1:4" hidden="1" x14ac:dyDescent="0.3">
      <c r="A9019">
        <v>9017</v>
      </c>
      <c r="B9019" t="s">
        <v>11802</v>
      </c>
      <c r="C9019" t="s">
        <v>221</v>
      </c>
      <c r="D9019">
        <v>35883948.631064497</v>
      </c>
    </row>
    <row r="9020" spans="1:4" hidden="1" x14ac:dyDescent="0.3">
      <c r="A9020">
        <v>9018</v>
      </c>
      <c r="B9020" s="1" t="s">
        <v>11803</v>
      </c>
      <c r="C9020" t="s">
        <v>223</v>
      </c>
      <c r="D9020" s="1" t="s">
        <v>11804</v>
      </c>
    </row>
    <row r="9021" spans="1:4" hidden="1" x14ac:dyDescent="0.3">
      <c r="A9021">
        <v>9019</v>
      </c>
      <c r="B9021" t="s">
        <v>11805</v>
      </c>
      <c r="C9021" t="s">
        <v>226</v>
      </c>
      <c r="D9021">
        <v>103000522.645028</v>
      </c>
    </row>
    <row r="9022" spans="1:4" hidden="1" x14ac:dyDescent="0.3">
      <c r="A9022">
        <v>9020</v>
      </c>
      <c r="B9022" t="s">
        <v>11806</v>
      </c>
      <c r="C9022" t="s">
        <v>228</v>
      </c>
      <c r="D9022">
        <v>3512.3306131660902</v>
      </c>
    </row>
    <row r="9023" spans="1:4" hidden="1" x14ac:dyDescent="0.3">
      <c r="A9023">
        <v>9021</v>
      </c>
      <c r="B9023" s="1" t="s">
        <v>11807</v>
      </c>
      <c r="C9023" t="s">
        <v>230</v>
      </c>
      <c r="D9023" s="1" t="s">
        <v>11808</v>
      </c>
    </row>
    <row r="9024" spans="1:4" hidden="1" x14ac:dyDescent="0.3">
      <c r="A9024">
        <v>9022</v>
      </c>
      <c r="B9024" t="s">
        <v>11809</v>
      </c>
      <c r="C9024" t="s">
        <v>112</v>
      </c>
      <c r="D9024">
        <v>-942.35693010553996</v>
      </c>
    </row>
    <row r="9025" spans="1:4" hidden="1" x14ac:dyDescent="0.3">
      <c r="A9025">
        <v>9023</v>
      </c>
      <c r="B9025" t="s">
        <v>11810</v>
      </c>
      <c r="C9025" t="s">
        <v>114</v>
      </c>
      <c r="D9025">
        <v>-126.009113239149</v>
      </c>
    </row>
    <row r="9026" spans="1:4" hidden="1" x14ac:dyDescent="0.3">
      <c r="A9026">
        <v>9024</v>
      </c>
      <c r="B9026" s="1" t="s">
        <v>11811</v>
      </c>
      <c r="C9026" t="s">
        <v>116</v>
      </c>
      <c r="D9026" s="1" t="s">
        <v>11812</v>
      </c>
    </row>
    <row r="9027" spans="1:4" hidden="1" x14ac:dyDescent="0.3">
      <c r="A9027">
        <v>9025</v>
      </c>
      <c r="B9027" t="s">
        <v>11813</v>
      </c>
      <c r="C9027" t="s">
        <v>119</v>
      </c>
      <c r="D9027">
        <v>81770941.316608399</v>
      </c>
    </row>
    <row r="9028" spans="1:4" hidden="1" x14ac:dyDescent="0.3">
      <c r="A9028">
        <v>9026</v>
      </c>
      <c r="B9028" t="s">
        <v>11814</v>
      </c>
      <c r="C9028" t="s">
        <v>121</v>
      </c>
      <c r="D9028">
        <v>34722502.686821602</v>
      </c>
    </row>
    <row r="9029" spans="1:4" hidden="1" x14ac:dyDescent="0.3">
      <c r="A9029">
        <v>9027</v>
      </c>
      <c r="B9029" s="1" t="s">
        <v>11815</v>
      </c>
      <c r="C9029" t="s">
        <v>123</v>
      </c>
      <c r="D9029" s="1" t="s">
        <v>11816</v>
      </c>
    </row>
    <row r="9030" spans="1:4" hidden="1" x14ac:dyDescent="0.3">
      <c r="A9030">
        <v>9028</v>
      </c>
      <c r="B9030" t="s">
        <v>11817</v>
      </c>
      <c r="C9030" t="s">
        <v>126</v>
      </c>
      <c r="D9030">
        <v>0.79397047619401895</v>
      </c>
    </row>
    <row r="9031" spans="1:4" hidden="1" x14ac:dyDescent="0.3">
      <c r="A9031">
        <v>9029</v>
      </c>
      <c r="B9031" t="s">
        <v>11818</v>
      </c>
      <c r="C9031" t="s">
        <v>128</v>
      </c>
      <c r="D9031">
        <v>0.33714473074439699</v>
      </c>
    </row>
    <row r="9032" spans="1:4" hidden="1" x14ac:dyDescent="0.3">
      <c r="A9032">
        <v>9030</v>
      </c>
      <c r="B9032" s="1" t="s">
        <v>11819</v>
      </c>
      <c r="C9032" t="s">
        <v>130</v>
      </c>
      <c r="D9032" s="1" t="s">
        <v>11820</v>
      </c>
    </row>
    <row r="9033" spans="1:4" ht="72" x14ac:dyDescent="0.3">
      <c r="A9033">
        <v>9031</v>
      </c>
      <c r="B9033" s="1" t="s">
        <v>11821</v>
      </c>
      <c r="C9033" t="s">
        <v>4</v>
      </c>
      <c r="D9033" t="s">
        <v>11822</v>
      </c>
    </row>
    <row r="9034" spans="1:4" hidden="1" x14ac:dyDescent="0.3">
      <c r="A9034">
        <v>9032</v>
      </c>
      <c r="B9034" t="s">
        <v>11823</v>
      </c>
      <c r="C9034" t="s">
        <v>7</v>
      </c>
      <c r="D9034">
        <v>1877.03</v>
      </c>
    </row>
    <row r="9035" spans="1:4" hidden="1" x14ac:dyDescent="0.3">
      <c r="A9035">
        <v>9033</v>
      </c>
      <c r="B9035" s="1" t="s">
        <v>11824</v>
      </c>
      <c r="C9035" t="s">
        <v>9</v>
      </c>
      <c r="D9035" s="1" t="s">
        <v>11825</v>
      </c>
    </row>
    <row r="9036" spans="1:4" hidden="1" x14ac:dyDescent="0.3">
      <c r="A9036">
        <v>9034</v>
      </c>
      <c r="B9036" t="s">
        <v>11826</v>
      </c>
      <c r="C9036" t="s">
        <v>14</v>
      </c>
      <c r="D9036">
        <v>90.109375</v>
      </c>
    </row>
    <row r="9037" spans="1:4" hidden="1" x14ac:dyDescent="0.3">
      <c r="A9037">
        <v>9035</v>
      </c>
      <c r="B9037" t="s">
        <v>11827</v>
      </c>
      <c r="C9037" t="s">
        <v>16</v>
      </c>
      <c r="D9037">
        <v>4.2374593773036997</v>
      </c>
    </row>
    <row r="9038" spans="1:4" hidden="1" x14ac:dyDescent="0.3">
      <c r="A9038">
        <v>9036</v>
      </c>
      <c r="B9038" s="1" t="s">
        <v>11828</v>
      </c>
      <c r="C9038" t="s">
        <v>140</v>
      </c>
      <c r="D9038" s="1" t="s">
        <v>11829</v>
      </c>
    </row>
    <row r="9039" spans="1:4" hidden="1" x14ac:dyDescent="0.3">
      <c r="A9039">
        <v>9037</v>
      </c>
      <c r="B9039" t="s">
        <v>11830</v>
      </c>
      <c r="C9039" t="s">
        <v>22</v>
      </c>
      <c r="D9039">
        <v>59.95</v>
      </c>
    </row>
    <row r="9040" spans="1:4" hidden="1" x14ac:dyDescent="0.3">
      <c r="A9040">
        <v>9038</v>
      </c>
      <c r="B9040" t="s">
        <v>11831</v>
      </c>
      <c r="C9040" t="s">
        <v>24</v>
      </c>
      <c r="D9040">
        <v>4.2552204981045199</v>
      </c>
    </row>
    <row r="9041" spans="1:4" hidden="1" x14ac:dyDescent="0.3">
      <c r="A9041">
        <v>9039</v>
      </c>
      <c r="B9041" s="1" t="s">
        <v>11832</v>
      </c>
      <c r="C9041" t="s">
        <v>145</v>
      </c>
      <c r="D9041" s="1" t="s">
        <v>11833</v>
      </c>
    </row>
    <row r="9042" spans="1:4" hidden="1" x14ac:dyDescent="0.3">
      <c r="A9042">
        <v>9040</v>
      </c>
      <c r="B9042" t="s">
        <v>11834</v>
      </c>
      <c r="C9042" t="s">
        <v>35</v>
      </c>
      <c r="D9042">
        <v>-2.89967891782195E-2</v>
      </c>
    </row>
    <row r="9043" spans="1:4" hidden="1" x14ac:dyDescent="0.3">
      <c r="A9043">
        <v>9041</v>
      </c>
      <c r="B9043" t="s">
        <v>11835</v>
      </c>
      <c r="C9043" t="s">
        <v>149</v>
      </c>
      <c r="D9043">
        <v>0.54503102179160301</v>
      </c>
    </row>
    <row r="9044" spans="1:4" hidden="1" x14ac:dyDescent="0.3">
      <c r="A9044">
        <v>9042</v>
      </c>
      <c r="B9044" s="1" t="s">
        <v>11836</v>
      </c>
      <c r="C9044" t="s">
        <v>151</v>
      </c>
      <c r="D9044" s="1" t="s">
        <v>11837</v>
      </c>
    </row>
    <row r="9045" spans="1:4" hidden="1" x14ac:dyDescent="0.3">
      <c r="A9045">
        <v>9043</v>
      </c>
      <c r="B9045" t="s">
        <v>11838</v>
      </c>
      <c r="C9045" t="s">
        <v>30</v>
      </c>
      <c r="D9045">
        <v>0.50164411129859698</v>
      </c>
    </row>
    <row r="9046" spans="1:4" hidden="1" x14ac:dyDescent="0.3">
      <c r="A9046">
        <v>9044</v>
      </c>
      <c r="B9046" t="s">
        <v>11839</v>
      </c>
      <c r="C9046" t="s">
        <v>32</v>
      </c>
      <c r="D9046">
        <v>0.37038075874851201</v>
      </c>
    </row>
    <row r="9047" spans="1:4" hidden="1" x14ac:dyDescent="0.3">
      <c r="A9047">
        <v>9045</v>
      </c>
      <c r="B9047" s="1" t="s">
        <v>11840</v>
      </c>
      <c r="C9047" t="s">
        <v>155</v>
      </c>
      <c r="D9047" s="1" t="s">
        <v>11841</v>
      </c>
    </row>
    <row r="9048" spans="1:4" hidden="1" x14ac:dyDescent="0.3">
      <c r="A9048">
        <v>9046</v>
      </c>
      <c r="B9048" t="s">
        <v>11842</v>
      </c>
      <c r="C9048" t="s">
        <v>40</v>
      </c>
      <c r="D9048">
        <v>0.52735267787962103</v>
      </c>
    </row>
    <row r="9049" spans="1:4" hidden="1" x14ac:dyDescent="0.3">
      <c r="A9049">
        <v>9047</v>
      </c>
      <c r="B9049" t="s">
        <v>11843</v>
      </c>
      <c r="C9049" t="s">
        <v>42</v>
      </c>
      <c r="D9049">
        <v>0.46437719083175399</v>
      </c>
    </row>
    <row r="9050" spans="1:4" hidden="1" x14ac:dyDescent="0.3">
      <c r="A9050">
        <v>9048</v>
      </c>
      <c r="B9050" s="1" t="s">
        <v>11844</v>
      </c>
      <c r="C9050" t="s">
        <v>159</v>
      </c>
      <c r="D9050" s="1" t="s">
        <v>11845</v>
      </c>
    </row>
    <row r="9051" spans="1:4" hidden="1" x14ac:dyDescent="0.3">
      <c r="A9051">
        <v>9049</v>
      </c>
      <c r="B9051" t="s">
        <v>11846</v>
      </c>
      <c r="C9051" t="s">
        <v>161</v>
      </c>
      <c r="D9051">
        <v>1.0027887445841099</v>
      </c>
    </row>
    <row r="9052" spans="1:4" hidden="1" x14ac:dyDescent="0.3">
      <c r="A9052">
        <v>9050</v>
      </c>
      <c r="B9052" t="s">
        <v>11847</v>
      </c>
      <c r="C9052" t="s">
        <v>163</v>
      </c>
      <c r="D9052">
        <v>0.99923697752407104</v>
      </c>
    </row>
    <row r="9053" spans="1:4" hidden="1" x14ac:dyDescent="0.3">
      <c r="A9053">
        <v>9051</v>
      </c>
      <c r="B9053" s="1" t="s">
        <v>11848</v>
      </c>
      <c r="C9053" t="s">
        <v>165</v>
      </c>
      <c r="D9053" s="1" t="s">
        <v>11849</v>
      </c>
    </row>
    <row r="9054" spans="1:4" hidden="1" x14ac:dyDescent="0.3">
      <c r="A9054">
        <v>9052</v>
      </c>
      <c r="B9054" t="s">
        <v>11850</v>
      </c>
      <c r="C9054" t="s">
        <v>168</v>
      </c>
      <c r="D9054">
        <v>0.99700264403419403</v>
      </c>
    </row>
    <row r="9055" spans="1:4" hidden="1" x14ac:dyDescent="0.3">
      <c r="A9055">
        <v>9053</v>
      </c>
      <c r="B9055" t="s">
        <v>11851</v>
      </c>
      <c r="C9055" t="s">
        <v>170</v>
      </c>
      <c r="D9055">
        <v>1.0002890871330901</v>
      </c>
    </row>
    <row r="9056" spans="1:4" hidden="1" x14ac:dyDescent="0.3">
      <c r="A9056">
        <v>9054</v>
      </c>
      <c r="B9056" s="1" t="s">
        <v>11852</v>
      </c>
      <c r="C9056" t="s">
        <v>172</v>
      </c>
      <c r="D9056" s="1" t="s">
        <v>11853</v>
      </c>
    </row>
    <row r="9057" spans="1:4" hidden="1" x14ac:dyDescent="0.3">
      <c r="A9057">
        <v>9055</v>
      </c>
      <c r="B9057" s="1" t="s">
        <v>11854</v>
      </c>
      <c r="C9057" t="s">
        <v>55</v>
      </c>
      <c r="D9057" s="1" t="s">
        <v>11855</v>
      </c>
    </row>
    <row r="9058" spans="1:4" hidden="1" x14ac:dyDescent="0.3">
      <c r="A9058">
        <v>9056</v>
      </c>
      <c r="B9058" s="1" t="s">
        <v>11856</v>
      </c>
      <c r="C9058" t="s">
        <v>52</v>
      </c>
      <c r="D9058" s="1" t="s">
        <v>11857</v>
      </c>
    </row>
    <row r="9059" spans="1:4" hidden="1" x14ac:dyDescent="0.3">
      <c r="A9059">
        <v>9057</v>
      </c>
      <c r="B9059" s="1" t="s">
        <v>11858</v>
      </c>
      <c r="C9059" t="s">
        <v>58</v>
      </c>
      <c r="D9059" s="1" t="s">
        <v>11859</v>
      </c>
    </row>
    <row r="9060" spans="1:4" hidden="1" x14ac:dyDescent="0.3">
      <c r="A9060">
        <v>9058</v>
      </c>
      <c r="B9060" t="s">
        <v>11860</v>
      </c>
      <c r="C9060" t="s">
        <v>61</v>
      </c>
      <c r="D9060">
        <v>152942262.60786</v>
      </c>
    </row>
    <row r="9061" spans="1:4" hidden="1" x14ac:dyDescent="0.3">
      <c r="A9061">
        <v>9059</v>
      </c>
      <c r="B9061" t="s">
        <v>11861</v>
      </c>
      <c r="C9061" t="s">
        <v>63</v>
      </c>
      <c r="D9061">
        <v>81998979.586343393</v>
      </c>
    </row>
    <row r="9062" spans="1:4" hidden="1" x14ac:dyDescent="0.3">
      <c r="A9062">
        <v>9060</v>
      </c>
      <c r="B9062" t="s">
        <v>11862</v>
      </c>
      <c r="C9062" t="s">
        <v>65</v>
      </c>
      <c r="D9062">
        <v>34696008.636850998</v>
      </c>
    </row>
    <row r="9063" spans="1:4" hidden="1" x14ac:dyDescent="0.3">
      <c r="A9063">
        <v>9061</v>
      </c>
      <c r="B9063" s="1" t="s">
        <v>11863</v>
      </c>
      <c r="C9063" t="s">
        <v>67</v>
      </c>
      <c r="D9063" s="1" t="s">
        <v>11864</v>
      </c>
    </row>
    <row r="9064" spans="1:4" hidden="1" x14ac:dyDescent="0.3">
      <c r="A9064">
        <v>9062</v>
      </c>
      <c r="B9064" s="1" t="s">
        <v>11865</v>
      </c>
      <c r="C9064" t="s">
        <v>70</v>
      </c>
      <c r="D9064" s="1" t="s">
        <v>11866</v>
      </c>
    </row>
    <row r="9065" spans="1:4" hidden="1" x14ac:dyDescent="0.3">
      <c r="A9065">
        <v>9063</v>
      </c>
      <c r="B9065" t="s">
        <v>11867</v>
      </c>
      <c r="C9065" t="s">
        <v>73</v>
      </c>
      <c r="D9065">
        <v>0.99989688480501004</v>
      </c>
    </row>
    <row r="9066" spans="1:4" hidden="1" x14ac:dyDescent="0.3">
      <c r="A9066">
        <v>9064</v>
      </c>
      <c r="B9066" t="s">
        <v>74</v>
      </c>
      <c r="C9066" t="s">
        <v>75</v>
      </c>
      <c r="D9066">
        <v>2.7397260273972599E-3</v>
      </c>
    </row>
    <row r="9067" spans="1:4" hidden="1" x14ac:dyDescent="0.3">
      <c r="A9067">
        <v>9065</v>
      </c>
      <c r="B9067" t="s">
        <v>76</v>
      </c>
      <c r="C9067" t="s">
        <v>77</v>
      </c>
      <c r="D9067">
        <v>0</v>
      </c>
    </row>
    <row r="9068" spans="1:4" hidden="1" x14ac:dyDescent="0.3">
      <c r="A9068">
        <v>9066</v>
      </c>
      <c r="B9068" t="s">
        <v>78</v>
      </c>
      <c r="C9068" t="s">
        <v>79</v>
      </c>
      <c r="D9068">
        <v>0</v>
      </c>
    </row>
    <row r="9069" spans="1:4" hidden="1" x14ac:dyDescent="0.3">
      <c r="A9069">
        <v>9067</v>
      </c>
      <c r="B9069" s="1" t="s">
        <v>11868</v>
      </c>
      <c r="C9069" t="s">
        <v>81</v>
      </c>
      <c r="D9069" s="1" t="s">
        <v>11869</v>
      </c>
    </row>
    <row r="9070" spans="1:4" hidden="1" x14ac:dyDescent="0.3">
      <c r="A9070">
        <v>9068</v>
      </c>
      <c r="B9070" t="s">
        <v>11870</v>
      </c>
      <c r="C9070" t="s">
        <v>84</v>
      </c>
      <c r="D9070">
        <v>0.999871705962321</v>
      </c>
    </row>
    <row r="9071" spans="1:4" hidden="1" x14ac:dyDescent="0.3">
      <c r="A9071">
        <v>9069</v>
      </c>
      <c r="B9071" s="1" t="s">
        <v>11871</v>
      </c>
      <c r="C9071" t="s">
        <v>86</v>
      </c>
      <c r="D9071" s="1" t="s">
        <v>11872</v>
      </c>
    </row>
    <row r="9072" spans="1:4" hidden="1" x14ac:dyDescent="0.3">
      <c r="A9072">
        <v>9070</v>
      </c>
      <c r="B9072" t="s">
        <v>11873</v>
      </c>
      <c r="C9072" t="s">
        <v>89</v>
      </c>
      <c r="D9072">
        <v>103006628.83081</v>
      </c>
    </row>
    <row r="9073" spans="1:4" hidden="1" x14ac:dyDescent="0.3">
      <c r="A9073">
        <v>9071</v>
      </c>
      <c r="B9073" s="1" t="s">
        <v>11874</v>
      </c>
      <c r="C9073" t="s">
        <v>91</v>
      </c>
      <c r="D9073" s="1" t="s">
        <v>11808</v>
      </c>
    </row>
    <row r="9074" spans="1:4" hidden="1" x14ac:dyDescent="0.3">
      <c r="A9074">
        <v>9072</v>
      </c>
      <c r="B9074" t="s">
        <v>11875</v>
      </c>
      <c r="C9074" t="s">
        <v>94</v>
      </c>
      <c r="D9074">
        <v>81998979.586343393</v>
      </c>
    </row>
    <row r="9075" spans="1:4" hidden="1" x14ac:dyDescent="0.3">
      <c r="A9075">
        <v>9073</v>
      </c>
      <c r="B9075" t="s">
        <v>11876</v>
      </c>
      <c r="C9075" t="s">
        <v>96</v>
      </c>
      <c r="D9075">
        <v>34696008.636850998</v>
      </c>
    </row>
    <row r="9076" spans="1:4" hidden="1" x14ac:dyDescent="0.3">
      <c r="A9076">
        <v>9074</v>
      </c>
      <c r="B9076" t="s">
        <v>11877</v>
      </c>
      <c r="C9076" t="s">
        <v>98</v>
      </c>
      <c r="D9076">
        <v>36247274.384666003</v>
      </c>
    </row>
    <row r="9077" spans="1:4" hidden="1" x14ac:dyDescent="0.3">
      <c r="A9077">
        <v>9075</v>
      </c>
      <c r="B9077" s="1" t="s">
        <v>11878</v>
      </c>
      <c r="C9077" t="s">
        <v>100</v>
      </c>
      <c r="D9077" s="1" t="s">
        <v>11879</v>
      </c>
    </row>
    <row r="9078" spans="1:4" hidden="1" x14ac:dyDescent="0.3">
      <c r="A9078">
        <v>9076</v>
      </c>
      <c r="B9078" t="s">
        <v>11880</v>
      </c>
      <c r="C9078" t="s">
        <v>103</v>
      </c>
      <c r="D9078">
        <v>1.00879301961228E-2</v>
      </c>
    </row>
    <row r="9079" spans="1:4" hidden="1" x14ac:dyDescent="0.3">
      <c r="A9079">
        <v>9077</v>
      </c>
      <c r="B9079" t="s">
        <v>11881</v>
      </c>
      <c r="C9079" t="s">
        <v>105</v>
      </c>
      <c r="D9079">
        <v>2.7659941585716102E-3</v>
      </c>
    </row>
    <row r="9080" spans="1:4" hidden="1" x14ac:dyDescent="0.3">
      <c r="A9080">
        <v>9078</v>
      </c>
      <c r="B9080" t="s">
        <v>11882</v>
      </c>
      <c r="C9080" t="s">
        <v>107</v>
      </c>
      <c r="D9080">
        <v>2.0551433534467999E-2</v>
      </c>
    </row>
    <row r="9081" spans="1:4" hidden="1" x14ac:dyDescent="0.3">
      <c r="A9081">
        <v>9079</v>
      </c>
      <c r="B9081" s="1" t="s">
        <v>11883</v>
      </c>
      <c r="C9081" t="s">
        <v>109</v>
      </c>
      <c r="D9081" s="1" t="s">
        <v>11884</v>
      </c>
    </row>
    <row r="9082" spans="1:4" hidden="1" x14ac:dyDescent="0.3">
      <c r="A9082">
        <v>9080</v>
      </c>
      <c r="B9082" t="s">
        <v>11885</v>
      </c>
      <c r="C9082" t="s">
        <v>208</v>
      </c>
      <c r="D9082">
        <v>152941369.69172001</v>
      </c>
    </row>
    <row r="9083" spans="1:4" hidden="1" x14ac:dyDescent="0.3">
      <c r="A9083">
        <v>9081</v>
      </c>
      <c r="B9083" t="s">
        <v>11886</v>
      </c>
      <c r="C9083" t="s">
        <v>210</v>
      </c>
      <c r="D9083">
        <v>2064.8357900811302</v>
      </c>
    </row>
    <row r="9084" spans="1:4" hidden="1" x14ac:dyDescent="0.3">
      <c r="A9084">
        <v>9082</v>
      </c>
      <c r="B9084" t="s">
        <v>11887</v>
      </c>
      <c r="C9084" t="s">
        <v>212</v>
      </c>
      <c r="D9084">
        <v>873.69311328449896</v>
      </c>
    </row>
    <row r="9085" spans="1:4" hidden="1" x14ac:dyDescent="0.3">
      <c r="A9085">
        <v>9083</v>
      </c>
      <c r="B9085" s="1" t="s">
        <v>11888</v>
      </c>
      <c r="C9085" t="s">
        <v>214</v>
      </c>
      <c r="D9085" s="1" t="s">
        <v>11889</v>
      </c>
    </row>
    <row r="9086" spans="1:4" hidden="1" x14ac:dyDescent="0.3">
      <c r="A9086">
        <v>9084</v>
      </c>
      <c r="B9086" t="s">
        <v>11890</v>
      </c>
      <c r="C9086" t="s">
        <v>217</v>
      </c>
      <c r="D9086">
        <v>81996258.109401703</v>
      </c>
    </row>
    <row r="9087" spans="1:4" hidden="1" x14ac:dyDescent="0.3">
      <c r="A9087">
        <v>9085</v>
      </c>
      <c r="B9087" t="s">
        <v>11891</v>
      </c>
      <c r="C9087" t="s">
        <v>219</v>
      </c>
      <c r="D9087">
        <v>34695042.758081801</v>
      </c>
    </row>
    <row r="9088" spans="1:4" hidden="1" x14ac:dyDescent="0.3">
      <c r="A9088">
        <v>9086</v>
      </c>
      <c r="B9088" t="s">
        <v>11892</v>
      </c>
      <c r="C9088" t="s">
        <v>221</v>
      </c>
      <c r="D9088">
        <v>36246217.5404232</v>
      </c>
    </row>
    <row r="9089" spans="1:4" hidden="1" x14ac:dyDescent="0.3">
      <c r="A9089">
        <v>9087</v>
      </c>
      <c r="B9089" s="1" t="s">
        <v>11893</v>
      </c>
      <c r="C9089" t="s">
        <v>223</v>
      </c>
      <c r="D9089" s="1" t="s">
        <v>11894</v>
      </c>
    </row>
    <row r="9090" spans="1:4" hidden="1" x14ac:dyDescent="0.3">
      <c r="A9090">
        <v>9088</v>
      </c>
      <c r="B9090" t="s">
        <v>11895</v>
      </c>
      <c r="C9090" t="s">
        <v>226</v>
      </c>
      <c r="D9090">
        <v>103004034.975641</v>
      </c>
    </row>
    <row r="9091" spans="1:4" hidden="1" x14ac:dyDescent="0.3">
      <c r="A9091">
        <v>9089</v>
      </c>
      <c r="B9091" t="s">
        <v>11896</v>
      </c>
      <c r="C9091" t="s">
        <v>228</v>
      </c>
      <c r="D9091">
        <v>2593.8551690578402</v>
      </c>
    </row>
    <row r="9092" spans="1:4" hidden="1" x14ac:dyDescent="0.3">
      <c r="A9092">
        <v>9090</v>
      </c>
      <c r="B9092" s="1" t="s">
        <v>11897</v>
      </c>
      <c r="C9092" t="s">
        <v>230</v>
      </c>
      <c r="D9092" s="1" t="s">
        <v>11898</v>
      </c>
    </row>
    <row r="9093" spans="1:4" hidden="1" x14ac:dyDescent="0.3">
      <c r="A9093">
        <v>9091</v>
      </c>
      <c r="B9093" t="s">
        <v>11899</v>
      </c>
      <c r="C9093" t="s">
        <v>112</v>
      </c>
      <c r="D9093">
        <v>-656.64115165570797</v>
      </c>
    </row>
    <row r="9094" spans="1:4" hidden="1" x14ac:dyDescent="0.3">
      <c r="A9094">
        <v>9092</v>
      </c>
      <c r="B9094" t="s">
        <v>11900</v>
      </c>
      <c r="C9094" t="s">
        <v>114</v>
      </c>
      <c r="D9094">
        <v>-92.185655957423904</v>
      </c>
    </row>
    <row r="9095" spans="1:4" hidden="1" x14ac:dyDescent="0.3">
      <c r="A9095">
        <v>9093</v>
      </c>
      <c r="B9095" s="1" t="s">
        <v>11901</v>
      </c>
      <c r="C9095" t="s">
        <v>116</v>
      </c>
      <c r="D9095" s="1" t="s">
        <v>11902</v>
      </c>
    </row>
    <row r="9096" spans="1:4" hidden="1" x14ac:dyDescent="0.3">
      <c r="A9096">
        <v>9094</v>
      </c>
      <c r="B9096" t="s">
        <v>11903</v>
      </c>
      <c r="C9096" t="s">
        <v>119</v>
      </c>
      <c r="D9096">
        <v>81996258.109401703</v>
      </c>
    </row>
    <row r="9097" spans="1:4" hidden="1" x14ac:dyDescent="0.3">
      <c r="A9097">
        <v>9095</v>
      </c>
      <c r="B9097" t="s">
        <v>11904</v>
      </c>
      <c r="C9097" t="s">
        <v>121</v>
      </c>
      <c r="D9097">
        <v>34695042.758081801</v>
      </c>
    </row>
    <row r="9098" spans="1:4" hidden="1" x14ac:dyDescent="0.3">
      <c r="A9098">
        <v>9096</v>
      </c>
      <c r="B9098" s="1" t="s">
        <v>11905</v>
      </c>
      <c r="C9098" t="s">
        <v>123</v>
      </c>
      <c r="D9098" s="1" t="s">
        <v>11906</v>
      </c>
    </row>
    <row r="9099" spans="1:4" hidden="1" x14ac:dyDescent="0.3">
      <c r="A9099">
        <v>9097</v>
      </c>
      <c r="B9099" t="s">
        <v>11907</v>
      </c>
      <c r="C9099" t="s">
        <v>126</v>
      </c>
      <c r="D9099">
        <v>0.79615113242506697</v>
      </c>
    </row>
    <row r="9100" spans="1:4" hidden="1" x14ac:dyDescent="0.3">
      <c r="A9100">
        <v>9098</v>
      </c>
      <c r="B9100" t="s">
        <v>11908</v>
      </c>
      <c r="C9100" t="s">
        <v>128</v>
      </c>
      <c r="D9100">
        <v>0.33687509916035702</v>
      </c>
    </row>
    <row r="9101" spans="1:4" hidden="1" x14ac:dyDescent="0.3">
      <c r="A9101">
        <v>9099</v>
      </c>
      <c r="B9101" s="1" t="s">
        <v>11909</v>
      </c>
      <c r="C9101" t="s">
        <v>130</v>
      </c>
      <c r="D9101" s="1" t="s">
        <v>11910</v>
      </c>
    </row>
    <row r="9102" spans="1:4" ht="72" x14ac:dyDescent="0.3">
      <c r="A9102">
        <v>9100</v>
      </c>
      <c r="B9102" s="1" t="s">
        <v>11911</v>
      </c>
      <c r="C9102" t="s">
        <v>4</v>
      </c>
      <c r="D9102" t="s">
        <v>11912</v>
      </c>
    </row>
    <row r="9103" spans="1:4" hidden="1" x14ac:dyDescent="0.3">
      <c r="A9103">
        <v>9101</v>
      </c>
      <c r="B9103" t="s">
        <v>11913</v>
      </c>
      <c r="C9103" t="s">
        <v>7</v>
      </c>
      <c r="D9103">
        <v>1875.69</v>
      </c>
    </row>
    <row r="9104" spans="1:4" hidden="1" x14ac:dyDescent="0.3">
      <c r="A9104">
        <v>9102</v>
      </c>
      <c r="B9104" s="1" t="s">
        <v>11914</v>
      </c>
      <c r="C9104" t="s">
        <v>9</v>
      </c>
      <c r="D9104" s="1" t="s">
        <v>11915</v>
      </c>
    </row>
    <row r="9105" spans="1:4" hidden="1" x14ac:dyDescent="0.3">
      <c r="A9105">
        <v>9103</v>
      </c>
      <c r="B9105" t="s">
        <v>11916</v>
      </c>
      <c r="C9105" t="s">
        <v>14</v>
      </c>
      <c r="D9105">
        <v>90.265625</v>
      </c>
    </row>
    <row r="9106" spans="1:4" hidden="1" x14ac:dyDescent="0.3">
      <c r="A9106">
        <v>9104</v>
      </c>
      <c r="B9106" t="s">
        <v>11917</v>
      </c>
      <c r="C9106" t="s">
        <v>16</v>
      </c>
      <c r="D9106">
        <v>4.2421118222921699</v>
      </c>
    </row>
    <row r="9107" spans="1:4" hidden="1" x14ac:dyDescent="0.3">
      <c r="A9107">
        <v>9105</v>
      </c>
      <c r="B9107" s="1" t="s">
        <v>11918</v>
      </c>
      <c r="C9107" t="s">
        <v>140</v>
      </c>
      <c r="D9107" s="1" t="s">
        <v>11919</v>
      </c>
    </row>
    <row r="9108" spans="1:4" hidden="1" x14ac:dyDescent="0.3">
      <c r="A9108">
        <v>9106</v>
      </c>
      <c r="B9108" t="s">
        <v>11920</v>
      </c>
      <c r="C9108" t="s">
        <v>22</v>
      </c>
      <c r="D9108">
        <v>59.45</v>
      </c>
    </row>
    <row r="9109" spans="1:4" hidden="1" x14ac:dyDescent="0.3">
      <c r="A9109">
        <v>9107</v>
      </c>
      <c r="B9109" t="s">
        <v>11921</v>
      </c>
      <c r="C9109" t="s">
        <v>24</v>
      </c>
      <c r="D9109">
        <v>4.3386227946570104</v>
      </c>
    </row>
    <row r="9110" spans="1:4" hidden="1" x14ac:dyDescent="0.3">
      <c r="A9110">
        <v>9108</v>
      </c>
      <c r="B9110" s="1" t="s">
        <v>11922</v>
      </c>
      <c r="C9110" t="s">
        <v>145</v>
      </c>
      <c r="D9110" s="1" t="s">
        <v>11923</v>
      </c>
    </row>
    <row r="9111" spans="1:4" hidden="1" x14ac:dyDescent="0.3">
      <c r="A9111">
        <v>9109</v>
      </c>
      <c r="B9111" t="s">
        <v>11924</v>
      </c>
      <c r="C9111" t="s">
        <v>35</v>
      </c>
      <c r="D9111">
        <v>-9.0770575992738703E-2</v>
      </c>
    </row>
    <row r="9112" spans="1:4" hidden="1" x14ac:dyDescent="0.3">
      <c r="A9112">
        <v>9110</v>
      </c>
      <c r="B9112" t="s">
        <v>11925</v>
      </c>
      <c r="C9112" t="s">
        <v>149</v>
      </c>
      <c r="D9112">
        <v>0.54665874641366996</v>
      </c>
    </row>
    <row r="9113" spans="1:4" hidden="1" x14ac:dyDescent="0.3">
      <c r="A9113">
        <v>9111</v>
      </c>
      <c r="B9113" s="1" t="s">
        <v>11926</v>
      </c>
      <c r="C9113" t="s">
        <v>151</v>
      </c>
      <c r="D9113" s="1" t="s">
        <v>11927</v>
      </c>
    </row>
    <row r="9114" spans="1:4" hidden="1" x14ac:dyDescent="0.3">
      <c r="A9114">
        <v>9112</v>
      </c>
      <c r="B9114" t="s">
        <v>11928</v>
      </c>
      <c r="C9114" t="s">
        <v>30</v>
      </c>
      <c r="D9114">
        <v>0.52715765085823296</v>
      </c>
    </row>
    <row r="9115" spans="1:4" hidden="1" x14ac:dyDescent="0.3">
      <c r="A9115">
        <v>9113</v>
      </c>
      <c r="B9115" t="s">
        <v>11929</v>
      </c>
      <c r="C9115" t="s">
        <v>32</v>
      </c>
      <c r="D9115">
        <v>0.37167954510857498</v>
      </c>
    </row>
    <row r="9116" spans="1:4" hidden="1" x14ac:dyDescent="0.3">
      <c r="A9116">
        <v>9114</v>
      </c>
      <c r="B9116" s="1" t="s">
        <v>11930</v>
      </c>
      <c r="C9116" t="s">
        <v>155</v>
      </c>
      <c r="D9116" s="1" t="s">
        <v>11931</v>
      </c>
    </row>
    <row r="9117" spans="1:4" hidden="1" x14ac:dyDescent="0.3">
      <c r="A9117">
        <v>9115</v>
      </c>
      <c r="B9117" t="s">
        <v>11932</v>
      </c>
      <c r="C9117" t="s">
        <v>40</v>
      </c>
      <c r="D9117">
        <v>0.56361292513450501</v>
      </c>
    </row>
    <row r="9118" spans="1:4" hidden="1" x14ac:dyDescent="0.3">
      <c r="A9118">
        <v>9116</v>
      </c>
      <c r="B9118" t="s">
        <v>11933</v>
      </c>
      <c r="C9118" t="s">
        <v>42</v>
      </c>
      <c r="D9118">
        <v>0.45761525088701599</v>
      </c>
    </row>
    <row r="9119" spans="1:4" hidden="1" x14ac:dyDescent="0.3">
      <c r="A9119">
        <v>9117</v>
      </c>
      <c r="B9119" s="1" t="s">
        <v>11934</v>
      </c>
      <c r="C9119" t="s">
        <v>159</v>
      </c>
      <c r="D9119" s="1" t="s">
        <v>11935</v>
      </c>
    </row>
    <row r="9120" spans="1:4" hidden="1" x14ac:dyDescent="0.3">
      <c r="A9120">
        <v>9118</v>
      </c>
      <c r="B9120" t="s">
        <v>11936</v>
      </c>
      <c r="C9120" t="s">
        <v>161</v>
      </c>
      <c r="D9120">
        <v>0.99928610624230796</v>
      </c>
    </row>
    <row r="9121" spans="1:4" hidden="1" x14ac:dyDescent="0.3">
      <c r="A9121">
        <v>9119</v>
      </c>
      <c r="B9121" t="s">
        <v>11937</v>
      </c>
      <c r="C9121" t="s">
        <v>163</v>
      </c>
      <c r="D9121">
        <v>1.0017054355458801</v>
      </c>
    </row>
    <row r="9122" spans="1:4" hidden="1" x14ac:dyDescent="0.3">
      <c r="A9122">
        <v>9120</v>
      </c>
      <c r="B9122" s="1" t="s">
        <v>11938</v>
      </c>
      <c r="C9122" t="s">
        <v>165</v>
      </c>
      <c r="D9122" s="1" t="s">
        <v>11939</v>
      </c>
    </row>
    <row r="9123" spans="1:4" hidden="1" x14ac:dyDescent="0.3">
      <c r="A9123">
        <v>9121</v>
      </c>
      <c r="B9123" t="s">
        <v>11940</v>
      </c>
      <c r="C9123" t="s">
        <v>168</v>
      </c>
      <c r="D9123">
        <v>1.0010535222912</v>
      </c>
    </row>
    <row r="9124" spans="1:4" hidden="1" x14ac:dyDescent="0.3">
      <c r="A9124">
        <v>9122</v>
      </c>
      <c r="B9124" t="s">
        <v>11941</v>
      </c>
      <c r="C9124" t="s">
        <v>170</v>
      </c>
      <c r="D9124">
        <v>1.0009477558348401</v>
      </c>
    </row>
    <row r="9125" spans="1:4" hidden="1" x14ac:dyDescent="0.3">
      <c r="A9125">
        <v>9123</v>
      </c>
      <c r="B9125" s="1" t="s">
        <v>11942</v>
      </c>
      <c r="C9125" t="s">
        <v>172</v>
      </c>
      <c r="D9125" s="1" t="s">
        <v>11943</v>
      </c>
    </row>
    <row r="9126" spans="1:4" hidden="1" x14ac:dyDescent="0.3">
      <c r="A9126">
        <v>9124</v>
      </c>
      <c r="B9126" s="1" t="s">
        <v>11944</v>
      </c>
      <c r="C9126" t="s">
        <v>55</v>
      </c>
      <c r="D9126" s="1" t="s">
        <v>11945</v>
      </c>
    </row>
    <row r="9127" spans="1:4" hidden="1" x14ac:dyDescent="0.3">
      <c r="A9127">
        <v>9125</v>
      </c>
      <c r="B9127" s="1" t="s">
        <v>11946</v>
      </c>
      <c r="C9127" t="s">
        <v>52</v>
      </c>
      <c r="D9127" s="1" t="s">
        <v>11947</v>
      </c>
    </row>
    <row r="9128" spans="1:4" hidden="1" x14ac:dyDescent="0.3">
      <c r="A9128">
        <v>9126</v>
      </c>
      <c r="B9128" s="1" t="s">
        <v>11948</v>
      </c>
      <c r="C9128" t="s">
        <v>58</v>
      </c>
      <c r="D9128" s="1" t="s">
        <v>11949</v>
      </c>
    </row>
    <row r="9129" spans="1:4" hidden="1" x14ac:dyDescent="0.3">
      <c r="A9129">
        <v>9127</v>
      </c>
      <c r="B9129" t="s">
        <v>11950</v>
      </c>
      <c r="C9129" t="s">
        <v>61</v>
      </c>
      <c r="D9129">
        <v>152702967.16516</v>
      </c>
    </row>
    <row r="9130" spans="1:4" hidden="1" x14ac:dyDescent="0.3">
      <c r="A9130">
        <v>9128</v>
      </c>
      <c r="B9130" t="s">
        <v>11951</v>
      </c>
      <c r="C9130" t="s">
        <v>63</v>
      </c>
      <c r="D9130">
        <v>81937721.492583305</v>
      </c>
    </row>
    <row r="9131" spans="1:4" hidden="1" x14ac:dyDescent="0.3">
      <c r="A9131">
        <v>9129</v>
      </c>
      <c r="B9131" t="s">
        <v>11952</v>
      </c>
      <c r="C9131" t="s">
        <v>65</v>
      </c>
      <c r="D9131">
        <v>34754212.9172673</v>
      </c>
    </row>
    <row r="9132" spans="1:4" hidden="1" x14ac:dyDescent="0.3">
      <c r="A9132">
        <v>9130</v>
      </c>
      <c r="B9132" s="1" t="s">
        <v>11953</v>
      </c>
      <c r="C9132" t="s">
        <v>67</v>
      </c>
      <c r="D9132" s="1" t="s">
        <v>11954</v>
      </c>
    </row>
    <row r="9133" spans="1:4" hidden="1" x14ac:dyDescent="0.3">
      <c r="A9133">
        <v>9131</v>
      </c>
      <c r="B9133" s="1" t="s">
        <v>11955</v>
      </c>
      <c r="C9133" t="s">
        <v>70</v>
      </c>
      <c r="D9133" s="1" t="s">
        <v>11956</v>
      </c>
    </row>
    <row r="9134" spans="1:4" hidden="1" x14ac:dyDescent="0.3">
      <c r="A9134">
        <v>9132</v>
      </c>
      <c r="B9134" t="s">
        <v>11957</v>
      </c>
      <c r="C9134" t="s">
        <v>73</v>
      </c>
      <c r="D9134">
        <v>0.999871705962321</v>
      </c>
    </row>
    <row r="9135" spans="1:4" hidden="1" x14ac:dyDescent="0.3">
      <c r="A9135">
        <v>9133</v>
      </c>
      <c r="B9135" t="s">
        <v>74</v>
      </c>
      <c r="C9135" t="s">
        <v>75</v>
      </c>
      <c r="D9135">
        <v>2.7397260273972599E-3</v>
      </c>
    </row>
    <row r="9136" spans="1:4" hidden="1" x14ac:dyDescent="0.3">
      <c r="A9136">
        <v>9134</v>
      </c>
      <c r="B9136" t="s">
        <v>76</v>
      </c>
      <c r="C9136" t="s">
        <v>77</v>
      </c>
      <c r="D9136">
        <v>0</v>
      </c>
    </row>
    <row r="9137" spans="1:4" hidden="1" x14ac:dyDescent="0.3">
      <c r="A9137">
        <v>9135</v>
      </c>
      <c r="B9137" t="s">
        <v>78</v>
      </c>
      <c r="C9137" t="s">
        <v>79</v>
      </c>
      <c r="D9137">
        <v>0</v>
      </c>
    </row>
    <row r="9138" spans="1:4" hidden="1" x14ac:dyDescent="0.3">
      <c r="A9138">
        <v>9136</v>
      </c>
      <c r="B9138" s="1" t="s">
        <v>11958</v>
      </c>
      <c r="C9138" t="s">
        <v>81</v>
      </c>
      <c r="D9138" s="1" t="s">
        <v>11959</v>
      </c>
    </row>
    <row r="9139" spans="1:4" hidden="1" x14ac:dyDescent="0.3">
      <c r="A9139">
        <v>9137</v>
      </c>
      <c r="B9139" t="s">
        <v>11960</v>
      </c>
      <c r="C9139" t="s">
        <v>84</v>
      </c>
      <c r="D9139">
        <v>0.99987112573705506</v>
      </c>
    </row>
    <row r="9140" spans="1:4" hidden="1" x14ac:dyDescent="0.3">
      <c r="A9140">
        <v>9138</v>
      </c>
      <c r="B9140" s="1" t="s">
        <v>11961</v>
      </c>
      <c r="C9140" t="s">
        <v>86</v>
      </c>
      <c r="D9140" s="1" t="s">
        <v>11962</v>
      </c>
    </row>
    <row r="9141" spans="1:4" hidden="1" x14ac:dyDescent="0.3">
      <c r="A9141">
        <v>9139</v>
      </c>
      <c r="B9141" t="s">
        <v>11963</v>
      </c>
      <c r="C9141" t="s">
        <v>89</v>
      </c>
      <c r="D9141">
        <v>103006688.605562</v>
      </c>
    </row>
    <row r="9142" spans="1:4" hidden="1" x14ac:dyDescent="0.3">
      <c r="A9142">
        <v>9140</v>
      </c>
      <c r="B9142" s="1" t="s">
        <v>11964</v>
      </c>
      <c r="C9142" t="s">
        <v>91</v>
      </c>
      <c r="D9142" s="1" t="s">
        <v>11898</v>
      </c>
    </row>
    <row r="9143" spans="1:4" hidden="1" x14ac:dyDescent="0.3">
      <c r="A9143">
        <v>9141</v>
      </c>
      <c r="B9143" t="s">
        <v>11965</v>
      </c>
      <c r="C9143" t="s">
        <v>94</v>
      </c>
      <c r="D9143">
        <v>81937721.492583305</v>
      </c>
    </row>
    <row r="9144" spans="1:4" hidden="1" x14ac:dyDescent="0.3">
      <c r="A9144">
        <v>9142</v>
      </c>
      <c r="B9144" t="s">
        <v>11966</v>
      </c>
      <c r="C9144" t="s">
        <v>96</v>
      </c>
      <c r="D9144">
        <v>34754212.9172673</v>
      </c>
    </row>
    <row r="9145" spans="1:4" hidden="1" x14ac:dyDescent="0.3">
      <c r="A9145">
        <v>9143</v>
      </c>
      <c r="B9145" t="s">
        <v>11967</v>
      </c>
      <c r="C9145" t="s">
        <v>98</v>
      </c>
      <c r="D9145">
        <v>36011032.755309902</v>
      </c>
    </row>
    <row r="9146" spans="1:4" hidden="1" x14ac:dyDescent="0.3">
      <c r="A9146">
        <v>9144</v>
      </c>
      <c r="B9146" s="1" t="s">
        <v>11968</v>
      </c>
      <c r="C9146" t="s">
        <v>100</v>
      </c>
      <c r="D9146" s="1" t="s">
        <v>11969</v>
      </c>
    </row>
    <row r="9147" spans="1:4" hidden="1" x14ac:dyDescent="0.3">
      <c r="A9147">
        <v>9145</v>
      </c>
      <c r="B9147" t="s">
        <v>11970</v>
      </c>
      <c r="C9147" t="s">
        <v>103</v>
      </c>
      <c r="D9147">
        <v>1.0068571977258399E-2</v>
      </c>
    </row>
    <row r="9148" spans="1:4" hidden="1" x14ac:dyDescent="0.3">
      <c r="A9148">
        <v>9146</v>
      </c>
      <c r="B9148" t="s">
        <v>11971</v>
      </c>
      <c r="C9148" t="s">
        <v>105</v>
      </c>
      <c r="D9148">
        <v>2.7720959353386499E-3</v>
      </c>
    </row>
    <row r="9149" spans="1:4" hidden="1" x14ac:dyDescent="0.3">
      <c r="A9149">
        <v>9147</v>
      </c>
      <c r="B9149" t="s">
        <v>11972</v>
      </c>
      <c r="C9149" t="s">
        <v>107</v>
      </c>
      <c r="D9149">
        <v>2.05599862553578E-2</v>
      </c>
    </row>
    <row r="9150" spans="1:4" hidden="1" x14ac:dyDescent="0.3">
      <c r="A9150">
        <v>9148</v>
      </c>
      <c r="B9150" s="1" t="s">
        <v>11973</v>
      </c>
      <c r="C9150" t="s">
        <v>109</v>
      </c>
      <c r="D9150" s="1" t="s">
        <v>11974</v>
      </c>
    </row>
    <row r="9151" spans="1:4" hidden="1" x14ac:dyDescent="0.3">
      <c r="A9151">
        <v>9149</v>
      </c>
      <c r="B9151" t="s">
        <v>11975</v>
      </c>
      <c r="C9151" t="s">
        <v>208</v>
      </c>
      <c r="D9151">
        <v>152702946.549833</v>
      </c>
    </row>
    <row r="9152" spans="1:4" hidden="1" x14ac:dyDescent="0.3">
      <c r="A9152">
        <v>9150</v>
      </c>
      <c r="B9152" t="s">
        <v>11976</v>
      </c>
      <c r="C9152" t="s">
        <v>210</v>
      </c>
      <c r="D9152">
        <v>47.548427602261597</v>
      </c>
    </row>
    <row r="9153" spans="1:4" hidden="1" x14ac:dyDescent="0.3">
      <c r="A9153">
        <v>9151</v>
      </c>
      <c r="B9153" t="s">
        <v>11977</v>
      </c>
      <c r="C9153" t="s">
        <v>212</v>
      </c>
      <c r="D9153">
        <v>20.1678580542448</v>
      </c>
    </row>
    <row r="9154" spans="1:4" hidden="1" x14ac:dyDescent="0.3">
      <c r="A9154">
        <v>9152</v>
      </c>
      <c r="B9154" s="1" t="s">
        <v>11978</v>
      </c>
      <c r="C9154" t="s">
        <v>214</v>
      </c>
      <c r="D9154" s="1" t="s">
        <v>11979</v>
      </c>
    </row>
    <row r="9155" spans="1:4" hidden="1" x14ac:dyDescent="0.3">
      <c r="A9155">
        <v>9153</v>
      </c>
      <c r="B9155" t="s">
        <v>11980</v>
      </c>
      <c r="C9155" t="s">
        <v>217</v>
      </c>
      <c r="D9155">
        <v>81937658.739037901</v>
      </c>
    </row>
    <row r="9156" spans="1:4" hidden="1" x14ac:dyDescent="0.3">
      <c r="A9156">
        <v>9154</v>
      </c>
      <c r="B9156" t="s">
        <v>11981</v>
      </c>
      <c r="C9156" t="s">
        <v>219</v>
      </c>
      <c r="D9156">
        <v>34754189.656262502</v>
      </c>
    </row>
    <row r="9157" spans="1:4" hidden="1" x14ac:dyDescent="0.3">
      <c r="A9157">
        <v>9155</v>
      </c>
      <c r="B9157" t="s">
        <v>11982</v>
      </c>
      <c r="C9157" t="s">
        <v>221</v>
      </c>
      <c r="D9157">
        <v>36011009.541056298</v>
      </c>
    </row>
    <row r="9158" spans="1:4" hidden="1" x14ac:dyDescent="0.3">
      <c r="A9158">
        <v>9156</v>
      </c>
      <c r="B9158" s="1" t="s">
        <v>11983</v>
      </c>
      <c r="C9158" t="s">
        <v>223</v>
      </c>
      <c r="D9158" s="1" t="s">
        <v>11984</v>
      </c>
    </row>
    <row r="9159" spans="1:4" hidden="1" x14ac:dyDescent="0.3">
      <c r="A9159">
        <v>9157</v>
      </c>
      <c r="B9159" t="s">
        <v>11985</v>
      </c>
      <c r="C9159" t="s">
        <v>226</v>
      </c>
      <c r="D9159">
        <v>103006628.83081</v>
      </c>
    </row>
    <row r="9160" spans="1:4" hidden="1" x14ac:dyDescent="0.3">
      <c r="A9160">
        <v>9158</v>
      </c>
      <c r="B9160" t="s">
        <v>11986</v>
      </c>
      <c r="C9160" t="s">
        <v>228</v>
      </c>
      <c r="D9160">
        <v>59.774752035737002</v>
      </c>
    </row>
    <row r="9161" spans="1:4" hidden="1" x14ac:dyDescent="0.3">
      <c r="A9161">
        <v>9159</v>
      </c>
      <c r="B9161" s="1" t="s">
        <v>11987</v>
      </c>
      <c r="C9161" t="s">
        <v>230</v>
      </c>
      <c r="D9161" s="1" t="s">
        <v>11988</v>
      </c>
    </row>
    <row r="9162" spans="1:4" hidden="1" x14ac:dyDescent="0.3">
      <c r="A9162">
        <v>9160</v>
      </c>
      <c r="B9162" t="s">
        <v>11989</v>
      </c>
      <c r="C9162" t="s">
        <v>112</v>
      </c>
      <c r="D9162">
        <v>-15.2051178652661</v>
      </c>
    </row>
    <row r="9163" spans="1:4" hidden="1" x14ac:dyDescent="0.3">
      <c r="A9163">
        <v>9161</v>
      </c>
      <c r="B9163" t="s">
        <v>11990</v>
      </c>
      <c r="C9163" t="s">
        <v>114</v>
      </c>
      <c r="D9163">
        <v>-3.0931467485311699</v>
      </c>
    </row>
    <row r="9164" spans="1:4" hidden="1" x14ac:dyDescent="0.3">
      <c r="A9164">
        <v>9162</v>
      </c>
      <c r="B9164" s="1" t="s">
        <v>11991</v>
      </c>
      <c r="C9164" t="s">
        <v>116</v>
      </c>
      <c r="D9164" s="1" t="s">
        <v>11992</v>
      </c>
    </row>
    <row r="9165" spans="1:4" hidden="1" x14ac:dyDescent="0.3">
      <c r="A9165">
        <v>9163</v>
      </c>
      <c r="B9165" t="s">
        <v>11993</v>
      </c>
      <c r="C9165" t="s">
        <v>119</v>
      </c>
      <c r="D9165">
        <v>81937658.739037901</v>
      </c>
    </row>
    <row r="9166" spans="1:4" hidden="1" x14ac:dyDescent="0.3">
      <c r="A9166">
        <v>9164</v>
      </c>
      <c r="B9166" t="s">
        <v>11994</v>
      </c>
      <c r="C9166" t="s">
        <v>121</v>
      </c>
      <c r="D9166">
        <v>34754189.656262502</v>
      </c>
    </row>
    <row r="9167" spans="1:4" hidden="1" x14ac:dyDescent="0.3">
      <c r="A9167">
        <v>9165</v>
      </c>
      <c r="B9167" s="1" t="s">
        <v>11995</v>
      </c>
      <c r="C9167" t="s">
        <v>123</v>
      </c>
      <c r="D9167" s="1" t="s">
        <v>11996</v>
      </c>
    </row>
    <row r="9168" spans="1:4" hidden="1" x14ac:dyDescent="0.3">
      <c r="A9168">
        <v>9166</v>
      </c>
      <c r="B9168" t="s">
        <v>11997</v>
      </c>
      <c r="C9168" t="s">
        <v>126</v>
      </c>
      <c r="D9168">
        <v>0.79556258355041698</v>
      </c>
    </row>
    <row r="9169" spans="1:4" hidden="1" x14ac:dyDescent="0.3">
      <c r="A9169">
        <v>9167</v>
      </c>
      <c r="B9169" t="s">
        <v>11998</v>
      </c>
      <c r="C9169" t="s">
        <v>128</v>
      </c>
      <c r="D9169">
        <v>0.33744109042945297</v>
      </c>
    </row>
    <row r="9170" spans="1:4" hidden="1" x14ac:dyDescent="0.3">
      <c r="A9170">
        <v>9168</v>
      </c>
      <c r="B9170" s="1" t="s">
        <v>11999</v>
      </c>
      <c r="C9170" t="s">
        <v>130</v>
      </c>
      <c r="D9170" s="1" t="s">
        <v>12000</v>
      </c>
    </row>
    <row r="9171" spans="1:4" ht="72" x14ac:dyDescent="0.3">
      <c r="A9171">
        <v>9169</v>
      </c>
      <c r="B9171" s="1" t="s">
        <v>12001</v>
      </c>
      <c r="C9171" t="s">
        <v>4</v>
      </c>
      <c r="D9171" t="s">
        <v>12002</v>
      </c>
    </row>
    <row r="9172" spans="1:4" hidden="1" x14ac:dyDescent="0.3">
      <c r="A9172">
        <v>9170</v>
      </c>
      <c r="B9172" t="s">
        <v>12003</v>
      </c>
      <c r="C9172" t="s">
        <v>7</v>
      </c>
      <c r="D9172">
        <v>1897.09</v>
      </c>
    </row>
    <row r="9173" spans="1:4" hidden="1" x14ac:dyDescent="0.3">
      <c r="A9173">
        <v>9171</v>
      </c>
      <c r="B9173" s="1" t="s">
        <v>12004</v>
      </c>
      <c r="C9173" t="s">
        <v>9</v>
      </c>
      <c r="D9173" s="1" t="s">
        <v>12005</v>
      </c>
    </row>
    <row r="9174" spans="1:4" hidden="1" x14ac:dyDescent="0.3">
      <c r="A9174">
        <v>9172</v>
      </c>
      <c r="B9174" t="s">
        <v>3929</v>
      </c>
      <c r="C9174" t="s">
        <v>14</v>
      </c>
      <c r="D9174">
        <v>90.53515625</v>
      </c>
    </row>
    <row r="9175" spans="1:4" hidden="1" x14ac:dyDescent="0.3">
      <c r="A9175">
        <v>9173</v>
      </c>
      <c r="B9175" t="s">
        <v>12006</v>
      </c>
      <c r="C9175" t="s">
        <v>16</v>
      </c>
      <c r="D9175">
        <v>4.2493915795888899</v>
      </c>
    </row>
    <row r="9176" spans="1:4" hidden="1" x14ac:dyDescent="0.3">
      <c r="A9176">
        <v>9174</v>
      </c>
      <c r="B9176" s="1" t="s">
        <v>12007</v>
      </c>
      <c r="C9176" t="s">
        <v>140</v>
      </c>
      <c r="D9176" s="1" t="s">
        <v>12008</v>
      </c>
    </row>
    <row r="9177" spans="1:4" hidden="1" x14ac:dyDescent="0.3">
      <c r="A9177">
        <v>9175</v>
      </c>
      <c r="B9177" t="s">
        <v>12009</v>
      </c>
      <c r="C9177" t="s">
        <v>22</v>
      </c>
      <c r="D9177">
        <v>61.2</v>
      </c>
    </row>
    <row r="9178" spans="1:4" hidden="1" x14ac:dyDescent="0.3">
      <c r="A9178">
        <v>9176</v>
      </c>
      <c r="B9178" t="s">
        <v>12010</v>
      </c>
      <c r="C9178" t="s">
        <v>24</v>
      </c>
      <c r="D9178">
        <v>4.2481407160740003</v>
      </c>
    </row>
    <row r="9179" spans="1:4" hidden="1" x14ac:dyDescent="0.3">
      <c r="A9179">
        <v>9177</v>
      </c>
      <c r="B9179" s="1" t="s">
        <v>12011</v>
      </c>
      <c r="C9179" t="s">
        <v>145</v>
      </c>
      <c r="D9179" s="1" t="s">
        <v>12012</v>
      </c>
    </row>
    <row r="9180" spans="1:4" hidden="1" x14ac:dyDescent="0.3">
      <c r="A9180">
        <v>9178</v>
      </c>
      <c r="B9180" t="s">
        <v>12013</v>
      </c>
      <c r="C9180" t="s">
        <v>35</v>
      </c>
      <c r="D9180">
        <v>-0.26494019844663702</v>
      </c>
    </row>
    <row r="9181" spans="1:4" hidden="1" x14ac:dyDescent="0.3">
      <c r="A9181">
        <v>9179</v>
      </c>
      <c r="B9181" t="s">
        <v>12014</v>
      </c>
      <c r="C9181" t="s">
        <v>149</v>
      </c>
      <c r="D9181">
        <v>0.54444786262273903</v>
      </c>
    </row>
    <row r="9182" spans="1:4" hidden="1" x14ac:dyDescent="0.3">
      <c r="A9182">
        <v>9180</v>
      </c>
      <c r="B9182" s="1" t="s">
        <v>12015</v>
      </c>
      <c r="C9182" t="s">
        <v>151</v>
      </c>
      <c r="D9182" s="1" t="s">
        <v>12016</v>
      </c>
    </row>
    <row r="9183" spans="1:4" hidden="1" x14ac:dyDescent="0.3">
      <c r="A9183">
        <v>9181</v>
      </c>
      <c r="B9183" t="s">
        <v>12017</v>
      </c>
      <c r="C9183" t="s">
        <v>30</v>
      </c>
      <c r="D9183">
        <v>0.60253274557154801</v>
      </c>
    </row>
    <row r="9184" spans="1:4" hidden="1" x14ac:dyDescent="0.3">
      <c r="A9184">
        <v>9182</v>
      </c>
      <c r="B9184" t="s">
        <v>12018</v>
      </c>
      <c r="C9184" t="s">
        <v>32</v>
      </c>
      <c r="D9184">
        <v>0.37394973505479201</v>
      </c>
    </row>
    <row r="9185" spans="1:4" hidden="1" x14ac:dyDescent="0.3">
      <c r="A9185">
        <v>9183</v>
      </c>
      <c r="B9185" s="1" t="s">
        <v>12019</v>
      </c>
      <c r="C9185" t="s">
        <v>155</v>
      </c>
      <c r="D9185" s="1" t="s">
        <v>12020</v>
      </c>
    </row>
    <row r="9186" spans="1:4" hidden="1" x14ac:dyDescent="0.3">
      <c r="A9186">
        <v>9184</v>
      </c>
      <c r="B9186" t="s">
        <v>12021</v>
      </c>
      <c r="C9186" t="s">
        <v>40</v>
      </c>
      <c r="D9186">
        <v>0.66240745287508795</v>
      </c>
    </row>
    <row r="9187" spans="1:4" hidden="1" x14ac:dyDescent="0.3">
      <c r="A9187">
        <v>9185</v>
      </c>
      <c r="B9187" t="s">
        <v>12022</v>
      </c>
      <c r="C9187" t="s">
        <v>42</v>
      </c>
      <c r="D9187">
        <v>0.46277342734822102</v>
      </c>
    </row>
    <row r="9188" spans="1:4" hidden="1" x14ac:dyDescent="0.3">
      <c r="A9188">
        <v>9186</v>
      </c>
      <c r="B9188" s="1" t="s">
        <v>12023</v>
      </c>
      <c r="C9188" t="s">
        <v>159</v>
      </c>
      <c r="D9188" s="1" t="s">
        <v>12024</v>
      </c>
    </row>
    <row r="9189" spans="1:4" hidden="1" x14ac:dyDescent="0.3">
      <c r="A9189">
        <v>9187</v>
      </c>
      <c r="B9189" t="s">
        <v>12025</v>
      </c>
      <c r="C9189" t="s">
        <v>161</v>
      </c>
      <c r="D9189">
        <v>1.01140913477173</v>
      </c>
    </row>
    <row r="9190" spans="1:4" hidden="1" x14ac:dyDescent="0.3">
      <c r="A9190">
        <v>9188</v>
      </c>
      <c r="B9190" t="s">
        <v>12026</v>
      </c>
      <c r="C9190" t="s">
        <v>163</v>
      </c>
      <c r="D9190">
        <v>1.0029289772097401</v>
      </c>
    </row>
    <row r="9191" spans="1:4" hidden="1" x14ac:dyDescent="0.3">
      <c r="A9191">
        <v>9189</v>
      </c>
      <c r="B9191" s="1" t="s">
        <v>12027</v>
      </c>
      <c r="C9191" t="s">
        <v>165</v>
      </c>
      <c r="D9191" s="1" t="s">
        <v>12028</v>
      </c>
    </row>
    <row r="9192" spans="1:4" hidden="1" x14ac:dyDescent="0.3">
      <c r="A9192">
        <v>9190</v>
      </c>
      <c r="B9192" t="s">
        <v>12029</v>
      </c>
      <c r="C9192" t="s">
        <v>168</v>
      </c>
      <c r="D9192">
        <v>0.99857054195306005</v>
      </c>
    </row>
    <row r="9193" spans="1:4" hidden="1" x14ac:dyDescent="0.3">
      <c r="A9193">
        <v>9191</v>
      </c>
      <c r="B9193" t="s">
        <v>12030</v>
      </c>
      <c r="C9193" t="s">
        <v>170</v>
      </c>
      <c r="D9193">
        <v>1.00165504396002</v>
      </c>
    </row>
    <row r="9194" spans="1:4" hidden="1" x14ac:dyDescent="0.3">
      <c r="A9194">
        <v>9192</v>
      </c>
      <c r="B9194" s="1" t="s">
        <v>12031</v>
      </c>
      <c r="C9194" t="s">
        <v>172</v>
      </c>
      <c r="D9194" s="1" t="s">
        <v>12032</v>
      </c>
    </row>
    <row r="9195" spans="1:4" hidden="1" x14ac:dyDescent="0.3">
      <c r="A9195">
        <v>9193</v>
      </c>
      <c r="B9195" s="1" t="s">
        <v>12033</v>
      </c>
      <c r="C9195" t="s">
        <v>55</v>
      </c>
      <c r="D9195" s="1" t="s">
        <v>12034</v>
      </c>
    </row>
    <row r="9196" spans="1:4" hidden="1" x14ac:dyDescent="0.3">
      <c r="A9196">
        <v>9194</v>
      </c>
      <c r="B9196" s="1" t="s">
        <v>12035</v>
      </c>
      <c r="C9196" t="s">
        <v>52</v>
      </c>
      <c r="D9196" s="1" t="s">
        <v>12036</v>
      </c>
    </row>
    <row r="9197" spans="1:4" hidden="1" x14ac:dyDescent="0.3">
      <c r="A9197">
        <v>9195</v>
      </c>
      <c r="B9197" s="1" t="s">
        <v>12037</v>
      </c>
      <c r="C9197" t="s">
        <v>58</v>
      </c>
      <c r="D9197" s="1" t="s">
        <v>12038</v>
      </c>
    </row>
    <row r="9198" spans="1:4" hidden="1" x14ac:dyDescent="0.3">
      <c r="A9198">
        <v>9196</v>
      </c>
      <c r="B9198" t="s">
        <v>12039</v>
      </c>
      <c r="C9198" t="s">
        <v>61</v>
      </c>
      <c r="D9198">
        <v>154676348.49224699</v>
      </c>
    </row>
    <row r="9199" spans="1:4" hidden="1" x14ac:dyDescent="0.3">
      <c r="A9199">
        <v>9197</v>
      </c>
      <c r="B9199" t="s">
        <v>12040</v>
      </c>
      <c r="C9199" t="s">
        <v>63</v>
      </c>
      <c r="D9199">
        <v>82872496.530472204</v>
      </c>
    </row>
    <row r="9200" spans="1:4" hidden="1" x14ac:dyDescent="0.3">
      <c r="A9200">
        <v>9198</v>
      </c>
      <c r="B9200" t="s">
        <v>12041</v>
      </c>
      <c r="C9200" t="s">
        <v>65</v>
      </c>
      <c r="D9200">
        <v>34855983.885708697</v>
      </c>
    </row>
    <row r="9201" spans="1:4" hidden="1" x14ac:dyDescent="0.3">
      <c r="A9201">
        <v>9199</v>
      </c>
      <c r="B9201" s="1" t="s">
        <v>12042</v>
      </c>
      <c r="C9201" t="s">
        <v>67</v>
      </c>
      <c r="D9201" s="1" t="s">
        <v>12043</v>
      </c>
    </row>
    <row r="9202" spans="1:4" hidden="1" x14ac:dyDescent="0.3">
      <c r="A9202">
        <v>9200</v>
      </c>
      <c r="B9202" s="1" t="s">
        <v>12044</v>
      </c>
      <c r="C9202" t="s">
        <v>70</v>
      </c>
      <c r="D9202" s="1" t="s">
        <v>12045</v>
      </c>
    </row>
    <row r="9203" spans="1:4" hidden="1" x14ac:dyDescent="0.3">
      <c r="A9203">
        <v>9201</v>
      </c>
      <c r="B9203" t="s">
        <v>12046</v>
      </c>
      <c r="C9203" t="s">
        <v>73</v>
      </c>
      <c r="D9203">
        <v>0.99987112573705506</v>
      </c>
    </row>
    <row r="9204" spans="1:4" hidden="1" x14ac:dyDescent="0.3">
      <c r="A9204">
        <v>9202</v>
      </c>
      <c r="B9204" t="s">
        <v>74</v>
      </c>
      <c r="C9204" t="s">
        <v>75</v>
      </c>
      <c r="D9204">
        <v>2.7397260273972599E-3</v>
      </c>
    </row>
    <row r="9205" spans="1:4" hidden="1" x14ac:dyDescent="0.3">
      <c r="A9205">
        <v>9203</v>
      </c>
      <c r="B9205" t="s">
        <v>76</v>
      </c>
      <c r="C9205" t="s">
        <v>77</v>
      </c>
      <c r="D9205">
        <v>0</v>
      </c>
    </row>
    <row r="9206" spans="1:4" hidden="1" x14ac:dyDescent="0.3">
      <c r="A9206">
        <v>9204</v>
      </c>
      <c r="B9206" t="s">
        <v>78</v>
      </c>
      <c r="C9206" t="s">
        <v>79</v>
      </c>
      <c r="D9206">
        <v>0</v>
      </c>
    </row>
    <row r="9207" spans="1:4" hidden="1" x14ac:dyDescent="0.3">
      <c r="A9207">
        <v>9205</v>
      </c>
      <c r="B9207" s="1" t="s">
        <v>12047</v>
      </c>
      <c r="C9207" t="s">
        <v>81</v>
      </c>
      <c r="D9207" s="1" t="s">
        <v>12048</v>
      </c>
    </row>
    <row r="9208" spans="1:4" hidden="1" x14ac:dyDescent="0.3">
      <c r="A9208">
        <v>9206</v>
      </c>
      <c r="B9208" t="s">
        <v>12049</v>
      </c>
      <c r="C9208" t="s">
        <v>84</v>
      </c>
      <c r="D9208">
        <v>0.999846644714662</v>
      </c>
    </row>
    <row r="9209" spans="1:4" hidden="1" x14ac:dyDescent="0.3">
      <c r="A9209">
        <v>9207</v>
      </c>
      <c r="B9209" s="1" t="s">
        <v>12050</v>
      </c>
      <c r="C9209" t="s">
        <v>86</v>
      </c>
      <c r="D9209" s="1" t="s">
        <v>12051</v>
      </c>
    </row>
    <row r="9210" spans="1:4" hidden="1" x14ac:dyDescent="0.3">
      <c r="A9210">
        <v>9208</v>
      </c>
      <c r="B9210" t="s">
        <v>12052</v>
      </c>
      <c r="C9210" t="s">
        <v>89</v>
      </c>
      <c r="D9210">
        <v>103133381.710678</v>
      </c>
    </row>
    <row r="9211" spans="1:4" hidden="1" x14ac:dyDescent="0.3">
      <c r="A9211">
        <v>9209</v>
      </c>
      <c r="B9211" s="1" t="s">
        <v>12053</v>
      </c>
      <c r="C9211" t="s">
        <v>91</v>
      </c>
      <c r="D9211" s="1" t="s">
        <v>11988</v>
      </c>
    </row>
    <row r="9212" spans="1:4" hidden="1" x14ac:dyDescent="0.3">
      <c r="A9212">
        <v>9210</v>
      </c>
      <c r="B9212" t="s">
        <v>12054</v>
      </c>
      <c r="C9212" t="s">
        <v>94</v>
      </c>
      <c r="D9212">
        <v>82872496.530472204</v>
      </c>
    </row>
    <row r="9213" spans="1:4" hidden="1" x14ac:dyDescent="0.3">
      <c r="A9213">
        <v>9211</v>
      </c>
      <c r="B9213" t="s">
        <v>12055</v>
      </c>
      <c r="C9213" t="s">
        <v>96</v>
      </c>
      <c r="D9213">
        <v>34855983.885708697</v>
      </c>
    </row>
    <row r="9214" spans="1:4" hidden="1" x14ac:dyDescent="0.3">
      <c r="A9214">
        <v>9212</v>
      </c>
      <c r="B9214" t="s">
        <v>12056</v>
      </c>
      <c r="C9214" t="s">
        <v>98</v>
      </c>
      <c r="D9214">
        <v>36947868.076066203</v>
      </c>
    </row>
    <row r="9215" spans="1:4" hidden="1" x14ac:dyDescent="0.3">
      <c r="A9215">
        <v>9213</v>
      </c>
      <c r="B9215" s="1" t="s">
        <v>12057</v>
      </c>
      <c r="C9215" t="s">
        <v>100</v>
      </c>
      <c r="D9215" s="1" t="s">
        <v>12058</v>
      </c>
    </row>
    <row r="9216" spans="1:4" hidden="1" x14ac:dyDescent="0.3">
      <c r="A9216">
        <v>9214</v>
      </c>
      <c r="B9216" t="s">
        <v>12059</v>
      </c>
      <c r="C9216" t="s">
        <v>103</v>
      </c>
      <c r="D9216">
        <v>9.9818318651940796E-3</v>
      </c>
    </row>
    <row r="9217" spans="1:4" hidden="1" x14ac:dyDescent="0.3">
      <c r="A9217">
        <v>9215</v>
      </c>
      <c r="B9217" t="s">
        <v>12060</v>
      </c>
      <c r="C9217" t="s">
        <v>105</v>
      </c>
      <c r="D9217">
        <v>2.7784294625370401E-3</v>
      </c>
    </row>
    <row r="9218" spans="1:4" hidden="1" x14ac:dyDescent="0.3">
      <c r="A9218">
        <v>9216</v>
      </c>
      <c r="B9218" t="s">
        <v>12061</v>
      </c>
      <c r="C9218" t="s">
        <v>107</v>
      </c>
      <c r="D9218">
        <v>2.0761944254417099E-2</v>
      </c>
    </row>
    <row r="9219" spans="1:4" hidden="1" x14ac:dyDescent="0.3">
      <c r="A9219">
        <v>9217</v>
      </c>
      <c r="B9219" s="1" t="s">
        <v>12062</v>
      </c>
      <c r="C9219" t="s">
        <v>109</v>
      </c>
      <c r="D9219" s="1" t="s">
        <v>12063</v>
      </c>
    </row>
    <row r="9220" spans="1:4" hidden="1" x14ac:dyDescent="0.3">
      <c r="A9220">
        <v>9218</v>
      </c>
      <c r="B9220" t="s">
        <v>12064</v>
      </c>
      <c r="C9220" t="s">
        <v>208</v>
      </c>
      <c r="D9220">
        <v>154675479.69922301</v>
      </c>
    </row>
    <row r="9221" spans="1:4" hidden="1" x14ac:dyDescent="0.3">
      <c r="A9221">
        <v>9219</v>
      </c>
      <c r="B9221" t="s">
        <v>12065</v>
      </c>
      <c r="C9221" t="s">
        <v>210</v>
      </c>
      <c r="D9221">
        <v>101803.05244722401</v>
      </c>
    </row>
    <row r="9222" spans="1:4" hidden="1" x14ac:dyDescent="0.3">
      <c r="A9222">
        <v>9220</v>
      </c>
      <c r="B9222" t="s">
        <v>12066</v>
      </c>
      <c r="C9222" t="s">
        <v>212</v>
      </c>
      <c r="D9222">
        <v>42818.354434995003</v>
      </c>
    </row>
    <row r="9223" spans="1:4" hidden="1" x14ac:dyDescent="0.3">
      <c r="A9223">
        <v>9221</v>
      </c>
      <c r="B9223" s="1" t="s">
        <v>12067</v>
      </c>
      <c r="C9223" t="s">
        <v>214</v>
      </c>
      <c r="D9223" s="1" t="s">
        <v>12068</v>
      </c>
    </row>
    <row r="9224" spans="1:4" hidden="1" x14ac:dyDescent="0.3">
      <c r="A9224">
        <v>9222</v>
      </c>
      <c r="B9224" t="s">
        <v>12069</v>
      </c>
      <c r="C9224" t="s">
        <v>217</v>
      </c>
      <c r="D9224">
        <v>82770055.347108796</v>
      </c>
    </row>
    <row r="9225" spans="1:4" hidden="1" x14ac:dyDescent="0.3">
      <c r="A9225">
        <v>9223</v>
      </c>
      <c r="B9225" t="s">
        <v>12070</v>
      </c>
      <c r="C9225" t="s">
        <v>219</v>
      </c>
      <c r="D9225">
        <v>34813077.6166455</v>
      </c>
    </row>
    <row r="9226" spans="1:4" hidden="1" x14ac:dyDescent="0.3">
      <c r="A9226">
        <v>9224</v>
      </c>
      <c r="B9226" t="s">
        <v>12071</v>
      </c>
      <c r="C9226" t="s">
        <v>221</v>
      </c>
      <c r="D9226">
        <v>36902337.2886407</v>
      </c>
    </row>
    <row r="9227" spans="1:4" hidden="1" x14ac:dyDescent="0.3">
      <c r="A9227">
        <v>9225</v>
      </c>
      <c r="B9227" s="1" t="s">
        <v>12072</v>
      </c>
      <c r="C9227" t="s">
        <v>223</v>
      </c>
      <c r="D9227" s="1" t="s">
        <v>12073</v>
      </c>
    </row>
    <row r="9228" spans="1:4" hidden="1" x14ac:dyDescent="0.3">
      <c r="A9228">
        <v>9226</v>
      </c>
      <c r="B9228" t="s">
        <v>12074</v>
      </c>
      <c r="C9228" t="s">
        <v>226</v>
      </c>
      <c r="D9228">
        <v>103006688.605562</v>
      </c>
    </row>
    <row r="9229" spans="1:4" hidden="1" x14ac:dyDescent="0.3">
      <c r="A9229">
        <v>9227</v>
      </c>
      <c r="B9229" t="s">
        <v>12075</v>
      </c>
      <c r="C9229" t="s">
        <v>228</v>
      </c>
      <c r="D9229">
        <v>126693.105115741</v>
      </c>
    </row>
    <row r="9230" spans="1:4" hidden="1" x14ac:dyDescent="0.3">
      <c r="A9230">
        <v>9228</v>
      </c>
      <c r="B9230" s="1" t="s">
        <v>12076</v>
      </c>
      <c r="C9230" t="s">
        <v>230</v>
      </c>
      <c r="D9230" s="1" t="s">
        <v>12077</v>
      </c>
    </row>
    <row r="9231" spans="1:4" hidden="1" x14ac:dyDescent="0.3">
      <c r="A9231">
        <v>9229</v>
      </c>
      <c r="B9231" t="s">
        <v>12078</v>
      </c>
      <c r="C9231" t="s">
        <v>112</v>
      </c>
      <c r="D9231">
        <v>-638.13091614395705</v>
      </c>
    </row>
    <row r="9232" spans="1:4" hidden="1" x14ac:dyDescent="0.3">
      <c r="A9232">
        <v>9230</v>
      </c>
      <c r="B9232" t="s">
        <v>12079</v>
      </c>
      <c r="C9232" t="s">
        <v>114</v>
      </c>
      <c r="D9232">
        <v>-87.914628215007298</v>
      </c>
    </row>
    <row r="9233" spans="1:4" hidden="1" x14ac:dyDescent="0.3">
      <c r="A9233">
        <v>9231</v>
      </c>
      <c r="B9233" s="1" t="s">
        <v>12080</v>
      </c>
      <c r="C9233" t="s">
        <v>116</v>
      </c>
      <c r="D9233" s="1" t="s">
        <v>12081</v>
      </c>
    </row>
    <row r="9234" spans="1:4" hidden="1" x14ac:dyDescent="0.3">
      <c r="A9234">
        <v>9232</v>
      </c>
      <c r="B9234" t="s">
        <v>12082</v>
      </c>
      <c r="C9234" t="s">
        <v>119</v>
      </c>
      <c r="D9234">
        <v>82770055.347108796</v>
      </c>
    </row>
    <row r="9235" spans="1:4" hidden="1" x14ac:dyDescent="0.3">
      <c r="A9235">
        <v>9233</v>
      </c>
      <c r="B9235" t="s">
        <v>12083</v>
      </c>
      <c r="C9235" t="s">
        <v>121</v>
      </c>
      <c r="D9235">
        <v>34813077.6166455</v>
      </c>
    </row>
    <row r="9236" spans="1:4" hidden="1" x14ac:dyDescent="0.3">
      <c r="A9236">
        <v>9234</v>
      </c>
      <c r="B9236" s="1" t="s">
        <v>12084</v>
      </c>
      <c r="C9236" t="s">
        <v>123</v>
      </c>
      <c r="D9236" s="1" t="s">
        <v>12085</v>
      </c>
    </row>
    <row r="9237" spans="1:4" hidden="1" x14ac:dyDescent="0.3">
      <c r="A9237">
        <v>9235</v>
      </c>
      <c r="B9237" t="s">
        <v>12086</v>
      </c>
      <c r="C9237" t="s">
        <v>126</v>
      </c>
      <c r="D9237">
        <v>0.80366383620418003</v>
      </c>
    </row>
    <row r="9238" spans="1:4" hidden="1" x14ac:dyDescent="0.3">
      <c r="A9238">
        <v>9236</v>
      </c>
      <c r="B9238" t="s">
        <v>12087</v>
      </c>
      <c r="C9238" t="s">
        <v>128</v>
      </c>
      <c r="D9238">
        <v>0.33802093510916698</v>
      </c>
    </row>
    <row r="9239" spans="1:4" hidden="1" x14ac:dyDescent="0.3">
      <c r="A9239">
        <v>9237</v>
      </c>
      <c r="B9239" s="1" t="s">
        <v>12088</v>
      </c>
      <c r="C9239" t="s">
        <v>130</v>
      </c>
      <c r="D9239" s="1" t="s">
        <v>12089</v>
      </c>
    </row>
    <row r="9240" spans="1:4" ht="72" x14ac:dyDescent="0.3">
      <c r="A9240">
        <v>9238</v>
      </c>
      <c r="B9240" s="1" t="s">
        <v>12090</v>
      </c>
      <c r="C9240" t="s">
        <v>4</v>
      </c>
      <c r="D9240" t="s">
        <v>12091</v>
      </c>
    </row>
    <row r="9241" spans="1:4" hidden="1" x14ac:dyDescent="0.3">
      <c r="A9241">
        <v>9239</v>
      </c>
      <c r="B9241" t="s">
        <v>12092</v>
      </c>
      <c r="C9241" t="s">
        <v>7</v>
      </c>
      <c r="D9241">
        <v>1920.23</v>
      </c>
    </row>
    <row r="9242" spans="1:4" hidden="1" x14ac:dyDescent="0.3">
      <c r="A9242">
        <v>9240</v>
      </c>
      <c r="B9242" s="1" t="s">
        <v>12093</v>
      </c>
      <c r="C9242" t="s">
        <v>9</v>
      </c>
      <c r="D9242" s="1" t="s">
        <v>12094</v>
      </c>
    </row>
    <row r="9243" spans="1:4" hidden="1" x14ac:dyDescent="0.3">
      <c r="A9243">
        <v>9241</v>
      </c>
      <c r="B9243" t="s">
        <v>12095</v>
      </c>
      <c r="C9243" t="s">
        <v>14</v>
      </c>
      <c r="D9243">
        <v>90.33203125</v>
      </c>
    </row>
    <row r="9244" spans="1:4" hidden="1" x14ac:dyDescent="0.3">
      <c r="A9244">
        <v>9242</v>
      </c>
      <c r="B9244" t="s">
        <v>12096</v>
      </c>
      <c r="C9244" t="s">
        <v>16</v>
      </c>
      <c r="D9244">
        <v>4.2455727116716799</v>
      </c>
    </row>
    <row r="9245" spans="1:4" hidden="1" x14ac:dyDescent="0.3">
      <c r="A9245">
        <v>9243</v>
      </c>
      <c r="B9245" s="1" t="s">
        <v>12097</v>
      </c>
      <c r="C9245" t="s">
        <v>140</v>
      </c>
      <c r="D9245" s="1" t="s">
        <v>12098</v>
      </c>
    </row>
    <row r="9246" spans="1:4" hidden="1" x14ac:dyDescent="0.3">
      <c r="A9246">
        <v>9244</v>
      </c>
      <c r="B9246" t="s">
        <v>12099</v>
      </c>
      <c r="C9246" t="s">
        <v>22</v>
      </c>
      <c r="D9246">
        <v>61.45</v>
      </c>
    </row>
    <row r="9247" spans="1:4" hidden="1" x14ac:dyDescent="0.3">
      <c r="A9247">
        <v>9245</v>
      </c>
      <c r="B9247" t="s">
        <v>12100</v>
      </c>
      <c r="C9247" t="s">
        <v>24</v>
      </c>
      <c r="D9247">
        <v>4.1932401518212403</v>
      </c>
    </row>
    <row r="9248" spans="1:4" hidden="1" x14ac:dyDescent="0.3">
      <c r="A9248">
        <v>9246</v>
      </c>
      <c r="B9248" s="1" t="s">
        <v>12101</v>
      </c>
      <c r="C9248" t="s">
        <v>145</v>
      </c>
      <c r="D9248" s="1" t="s">
        <v>12102</v>
      </c>
    </row>
    <row r="9249" spans="1:4" hidden="1" x14ac:dyDescent="0.3">
      <c r="A9249">
        <v>9247</v>
      </c>
      <c r="B9249" t="s">
        <v>12103</v>
      </c>
      <c r="C9249" t="s">
        <v>35</v>
      </c>
      <c r="D9249">
        <v>11.5643532226676</v>
      </c>
    </row>
    <row r="9250" spans="1:4" hidden="1" x14ac:dyDescent="0.3">
      <c r="A9250">
        <v>9248</v>
      </c>
      <c r="B9250" t="s">
        <v>12104</v>
      </c>
      <c r="C9250" t="s">
        <v>149</v>
      </c>
      <c r="D9250">
        <v>0.54324178442170901</v>
      </c>
    </row>
    <row r="9251" spans="1:4" hidden="1" x14ac:dyDescent="0.3">
      <c r="A9251">
        <v>9249</v>
      </c>
      <c r="B9251" s="1" t="s">
        <v>12105</v>
      </c>
      <c r="C9251" t="s">
        <v>151</v>
      </c>
      <c r="D9251" s="1" t="s">
        <v>12106</v>
      </c>
    </row>
    <row r="9252" spans="1:4" hidden="1" x14ac:dyDescent="0.3">
      <c r="A9252">
        <v>9250</v>
      </c>
      <c r="B9252" t="s">
        <v>12107</v>
      </c>
      <c r="C9252" t="s">
        <v>30</v>
      </c>
      <c r="D9252">
        <v>-5.1999287265863998</v>
      </c>
    </row>
    <row r="9253" spans="1:4" hidden="1" x14ac:dyDescent="0.3">
      <c r="A9253">
        <v>9251</v>
      </c>
      <c r="B9253" t="s">
        <v>12108</v>
      </c>
      <c r="C9253" t="s">
        <v>32</v>
      </c>
      <c r="D9253">
        <v>0.37191564670085298</v>
      </c>
    </row>
    <row r="9254" spans="1:4" hidden="1" x14ac:dyDescent="0.3">
      <c r="A9254">
        <v>9252</v>
      </c>
      <c r="B9254" s="1" t="s">
        <v>12109</v>
      </c>
      <c r="C9254" t="s">
        <v>155</v>
      </c>
      <c r="D9254" s="1" t="s">
        <v>12110</v>
      </c>
    </row>
    <row r="9255" spans="1:4" hidden="1" x14ac:dyDescent="0.3">
      <c r="A9255">
        <v>9253</v>
      </c>
      <c r="B9255" t="s">
        <v>12111</v>
      </c>
      <c r="C9255" t="s">
        <v>40</v>
      </c>
      <c r="D9255">
        <v>-5.3644244960812104</v>
      </c>
    </row>
    <row r="9256" spans="1:4" hidden="1" x14ac:dyDescent="0.3">
      <c r="A9256">
        <v>9254</v>
      </c>
      <c r="B9256" t="s">
        <v>12112</v>
      </c>
      <c r="C9256" t="s">
        <v>42</v>
      </c>
      <c r="D9256">
        <v>0.46888531647343001</v>
      </c>
    </row>
    <row r="9257" spans="1:4" hidden="1" x14ac:dyDescent="0.3">
      <c r="A9257">
        <v>9255</v>
      </c>
      <c r="B9257" s="1" t="s">
        <v>12113</v>
      </c>
      <c r="C9257" t="s">
        <v>159</v>
      </c>
      <c r="D9257" s="1" t="s">
        <v>12114</v>
      </c>
    </row>
    <row r="9258" spans="1:4" hidden="1" x14ac:dyDescent="0.3">
      <c r="A9258">
        <v>9256</v>
      </c>
      <c r="B9258" t="s">
        <v>12115</v>
      </c>
      <c r="C9258" t="s">
        <v>161</v>
      </c>
      <c r="D9258">
        <v>1.0121976290001999</v>
      </c>
    </row>
    <row r="9259" spans="1:4" hidden="1" x14ac:dyDescent="0.3">
      <c r="A9259">
        <v>9257</v>
      </c>
      <c r="B9259" t="s">
        <v>12116</v>
      </c>
      <c r="C9259" t="s">
        <v>163</v>
      </c>
      <c r="D9259">
        <v>0.99781669193285305</v>
      </c>
    </row>
    <row r="9260" spans="1:4" hidden="1" x14ac:dyDescent="0.3">
      <c r="A9260">
        <v>9258</v>
      </c>
      <c r="B9260" s="1" t="s">
        <v>12117</v>
      </c>
      <c r="C9260" t="s">
        <v>165</v>
      </c>
      <c r="D9260" s="1" t="s">
        <v>12118</v>
      </c>
    </row>
    <row r="9261" spans="1:4" hidden="1" x14ac:dyDescent="0.3">
      <c r="A9261">
        <v>9259</v>
      </c>
      <c r="B9261" t="s">
        <v>12119</v>
      </c>
      <c r="C9261" t="s">
        <v>168</v>
      </c>
      <c r="D9261">
        <v>0.99921908778520896</v>
      </c>
    </row>
    <row r="9262" spans="1:4" hidden="1" x14ac:dyDescent="0.3">
      <c r="A9262">
        <v>9260</v>
      </c>
      <c r="B9262" t="s">
        <v>12120</v>
      </c>
      <c r="C9262" t="s">
        <v>170</v>
      </c>
      <c r="D9262">
        <v>0.99851953219099499</v>
      </c>
    </row>
    <row r="9263" spans="1:4" hidden="1" x14ac:dyDescent="0.3">
      <c r="A9263">
        <v>9261</v>
      </c>
      <c r="B9263" s="1" t="s">
        <v>12121</v>
      </c>
      <c r="C9263" t="s">
        <v>172</v>
      </c>
      <c r="D9263" s="1" t="s">
        <v>12122</v>
      </c>
    </row>
    <row r="9264" spans="1:4" hidden="1" x14ac:dyDescent="0.3">
      <c r="A9264">
        <v>9262</v>
      </c>
      <c r="B9264" s="1" t="s">
        <v>12123</v>
      </c>
      <c r="C9264" t="s">
        <v>55</v>
      </c>
      <c r="D9264" s="1" t="s">
        <v>12124</v>
      </c>
    </row>
    <row r="9265" spans="1:4" hidden="1" x14ac:dyDescent="0.3">
      <c r="A9265">
        <v>9263</v>
      </c>
      <c r="B9265" s="1" t="s">
        <v>12125</v>
      </c>
      <c r="C9265" t="s">
        <v>52</v>
      </c>
      <c r="D9265" s="1" t="s">
        <v>12126</v>
      </c>
    </row>
    <row r="9266" spans="1:4" hidden="1" x14ac:dyDescent="0.3">
      <c r="A9266">
        <v>9264</v>
      </c>
      <c r="B9266" s="1" t="s">
        <v>12127</v>
      </c>
      <c r="C9266" t="s">
        <v>58</v>
      </c>
      <c r="D9266" s="1" t="s">
        <v>12128</v>
      </c>
    </row>
    <row r="9267" spans="1:4" hidden="1" x14ac:dyDescent="0.3">
      <c r="A9267">
        <v>9265</v>
      </c>
      <c r="B9267" t="s">
        <v>12129</v>
      </c>
      <c r="C9267" t="s">
        <v>61</v>
      </c>
      <c r="D9267">
        <v>155529066.04427999</v>
      </c>
    </row>
    <row r="9268" spans="1:4" hidden="1" x14ac:dyDescent="0.3">
      <c r="A9268">
        <v>9266</v>
      </c>
      <c r="B9268" t="s">
        <v>12130</v>
      </c>
      <c r="C9268" t="s">
        <v>63</v>
      </c>
      <c r="D9268">
        <v>83779653.774559304</v>
      </c>
    </row>
    <row r="9269" spans="1:4" hidden="1" x14ac:dyDescent="0.3">
      <c r="A9269">
        <v>9267</v>
      </c>
      <c r="B9269" t="s">
        <v>12131</v>
      </c>
      <c r="C9269" t="s">
        <v>65</v>
      </c>
      <c r="D9269">
        <v>34737069.943442903</v>
      </c>
    </row>
    <row r="9270" spans="1:4" hidden="1" x14ac:dyDescent="0.3">
      <c r="A9270">
        <v>9268</v>
      </c>
      <c r="B9270" s="1" t="s">
        <v>12132</v>
      </c>
      <c r="C9270" t="s">
        <v>67</v>
      </c>
      <c r="D9270" s="1" t="s">
        <v>12133</v>
      </c>
    </row>
    <row r="9271" spans="1:4" hidden="1" x14ac:dyDescent="0.3">
      <c r="A9271">
        <v>9269</v>
      </c>
      <c r="B9271" s="1" t="s">
        <v>12134</v>
      </c>
      <c r="C9271" t="s">
        <v>70</v>
      </c>
      <c r="D9271" s="1" t="s">
        <v>12135</v>
      </c>
    </row>
    <row r="9272" spans="1:4" hidden="1" x14ac:dyDescent="0.3">
      <c r="A9272">
        <v>9270</v>
      </c>
      <c r="B9272" t="s">
        <v>12136</v>
      </c>
      <c r="C9272" t="s">
        <v>73</v>
      </c>
      <c r="D9272">
        <v>0.999846644714662</v>
      </c>
    </row>
    <row r="9273" spans="1:4" hidden="1" x14ac:dyDescent="0.3">
      <c r="A9273">
        <v>9271</v>
      </c>
      <c r="B9273" t="s">
        <v>74</v>
      </c>
      <c r="C9273" t="s">
        <v>75</v>
      </c>
      <c r="D9273">
        <v>2.7397260273972599E-3</v>
      </c>
    </row>
    <row r="9274" spans="1:4" hidden="1" x14ac:dyDescent="0.3">
      <c r="A9274">
        <v>9272</v>
      </c>
      <c r="B9274" t="s">
        <v>76</v>
      </c>
      <c r="C9274" t="s">
        <v>77</v>
      </c>
      <c r="D9274">
        <v>0</v>
      </c>
    </row>
    <row r="9275" spans="1:4" hidden="1" x14ac:dyDescent="0.3">
      <c r="A9275">
        <v>9273</v>
      </c>
      <c r="B9275" t="s">
        <v>188</v>
      </c>
      <c r="C9275" t="s">
        <v>79</v>
      </c>
      <c r="D9275" s="2">
        <v>-2.2204460492503101E-16</v>
      </c>
    </row>
    <row r="9276" spans="1:4" hidden="1" x14ac:dyDescent="0.3">
      <c r="A9276">
        <v>9274</v>
      </c>
      <c r="B9276" s="1" t="s">
        <v>12137</v>
      </c>
      <c r="C9276" t="s">
        <v>81</v>
      </c>
      <c r="D9276" s="1" t="s">
        <v>12138</v>
      </c>
    </row>
    <row r="9277" spans="1:4" hidden="1" x14ac:dyDescent="0.3">
      <c r="A9277">
        <v>9275</v>
      </c>
      <c r="B9277" t="s">
        <v>12139</v>
      </c>
      <c r="C9277" t="s">
        <v>84</v>
      </c>
      <c r="D9277">
        <v>0.99986069761730501</v>
      </c>
    </row>
    <row r="9278" spans="1:4" hidden="1" x14ac:dyDescent="0.3">
      <c r="A9278">
        <v>9276</v>
      </c>
      <c r="B9278" s="1" t="s">
        <v>12140</v>
      </c>
      <c r="C9278" t="s">
        <v>86</v>
      </c>
      <c r="D9278" s="1" t="s">
        <v>12141</v>
      </c>
    </row>
    <row r="9279" spans="1:4" hidden="1" x14ac:dyDescent="0.3">
      <c r="A9279">
        <v>9277</v>
      </c>
      <c r="B9279" t="s">
        <v>12142</v>
      </c>
      <c r="C9279" t="s">
        <v>89</v>
      </c>
      <c r="D9279">
        <v>103700489.754829</v>
      </c>
    </row>
    <row r="9280" spans="1:4" hidden="1" x14ac:dyDescent="0.3">
      <c r="A9280">
        <v>9278</v>
      </c>
      <c r="B9280" s="1" t="s">
        <v>12143</v>
      </c>
      <c r="C9280" t="s">
        <v>91</v>
      </c>
      <c r="D9280" s="1" t="s">
        <v>12077</v>
      </c>
    </row>
    <row r="9281" spans="1:4" hidden="1" x14ac:dyDescent="0.3">
      <c r="A9281">
        <v>9279</v>
      </c>
      <c r="B9281" t="s">
        <v>12144</v>
      </c>
      <c r="C9281" t="s">
        <v>94</v>
      </c>
      <c r="D9281">
        <v>83779653.774559304</v>
      </c>
    </row>
    <row r="9282" spans="1:4" hidden="1" x14ac:dyDescent="0.3">
      <c r="A9282">
        <v>9280</v>
      </c>
      <c r="B9282" t="s">
        <v>12145</v>
      </c>
      <c r="C9282" t="s">
        <v>96</v>
      </c>
      <c r="D9282">
        <v>34737069.943442903</v>
      </c>
    </row>
    <row r="9283" spans="1:4" hidden="1" x14ac:dyDescent="0.3">
      <c r="A9283">
        <v>9281</v>
      </c>
      <c r="B9283" t="s">
        <v>12146</v>
      </c>
      <c r="C9283" t="s">
        <v>98</v>
      </c>
      <c r="D9283">
        <v>37012342.326278098</v>
      </c>
    </row>
    <row r="9284" spans="1:4" hidden="1" x14ac:dyDescent="0.3">
      <c r="A9284">
        <v>9282</v>
      </c>
      <c r="B9284" s="1" t="s">
        <v>12147</v>
      </c>
      <c r="C9284" t="s">
        <v>100</v>
      </c>
      <c r="D9284" s="1" t="s">
        <v>12148</v>
      </c>
    </row>
    <row r="9285" spans="1:4" hidden="1" x14ac:dyDescent="0.3">
      <c r="A9285">
        <v>9283</v>
      </c>
      <c r="B9285" t="s">
        <v>12149</v>
      </c>
      <c r="C9285" t="s">
        <v>103</v>
      </c>
      <c r="D9285">
        <v>1.00364498213131E-2</v>
      </c>
    </row>
    <row r="9286" spans="1:4" hidden="1" x14ac:dyDescent="0.3">
      <c r="A9286">
        <v>9284</v>
      </c>
      <c r="B9286" t="s">
        <v>12150</v>
      </c>
      <c r="C9286" t="s">
        <v>105</v>
      </c>
      <c r="D9286">
        <v>2.7732901031939702E-3</v>
      </c>
    </row>
    <row r="9287" spans="1:4" hidden="1" x14ac:dyDescent="0.3">
      <c r="A9287">
        <v>9285</v>
      </c>
      <c r="B9287" t="s">
        <v>12151</v>
      </c>
      <c r="C9287" t="s">
        <v>107</v>
      </c>
      <c r="D9287">
        <v>2.0728827158632598E-2</v>
      </c>
    </row>
    <row r="9288" spans="1:4" hidden="1" x14ac:dyDescent="0.3">
      <c r="A9288">
        <v>9286</v>
      </c>
      <c r="B9288" s="1" t="s">
        <v>12152</v>
      </c>
      <c r="C9288" t="s">
        <v>109</v>
      </c>
      <c r="D9288" s="1" t="s">
        <v>12153</v>
      </c>
    </row>
    <row r="9289" spans="1:4" hidden="1" x14ac:dyDescent="0.3">
      <c r="A9289">
        <v>9287</v>
      </c>
      <c r="B9289" t="s">
        <v>12154</v>
      </c>
      <c r="C9289" t="s">
        <v>208</v>
      </c>
      <c r="D9289">
        <v>155529568.118765</v>
      </c>
    </row>
    <row r="9290" spans="1:4" hidden="1" x14ac:dyDescent="0.3">
      <c r="A9290">
        <v>9288</v>
      </c>
      <c r="B9290" t="s">
        <v>12155</v>
      </c>
      <c r="C9290" t="s">
        <v>210</v>
      </c>
      <c r="D9290">
        <v>458168.66815790802</v>
      </c>
    </row>
    <row r="9291" spans="1:4" hidden="1" x14ac:dyDescent="0.3">
      <c r="A9291">
        <v>9289</v>
      </c>
      <c r="B9291" t="s">
        <v>12156</v>
      </c>
      <c r="C9291" t="s">
        <v>212</v>
      </c>
      <c r="D9291">
        <v>189967.403908181</v>
      </c>
    </row>
    <row r="9292" spans="1:4" hidden="1" x14ac:dyDescent="0.3">
      <c r="A9292">
        <v>9290</v>
      </c>
      <c r="B9292" s="1" t="s">
        <v>12157</v>
      </c>
      <c r="C9292" t="s">
        <v>214</v>
      </c>
      <c r="D9292" s="1" t="s">
        <v>12158</v>
      </c>
    </row>
    <row r="9293" spans="1:4" hidden="1" x14ac:dyDescent="0.3">
      <c r="A9293">
        <v>9291</v>
      </c>
      <c r="B9293" t="s">
        <v>12159</v>
      </c>
      <c r="C9293" t="s">
        <v>217</v>
      </c>
      <c r="D9293">
        <v>83321837.220105693</v>
      </c>
    </row>
    <row r="9294" spans="1:4" hidden="1" x14ac:dyDescent="0.3">
      <c r="A9294">
        <v>9292</v>
      </c>
      <c r="B9294" t="s">
        <v>12160</v>
      </c>
      <c r="C9294" t="s">
        <v>219</v>
      </c>
      <c r="D9294">
        <v>34547174.8847486</v>
      </c>
    </row>
    <row r="9295" spans="1:4" hidden="1" x14ac:dyDescent="0.3">
      <c r="A9295">
        <v>9293</v>
      </c>
      <c r="B9295" t="s">
        <v>12161</v>
      </c>
      <c r="C9295" t="s">
        <v>221</v>
      </c>
      <c r="D9295">
        <v>36810009.701236598</v>
      </c>
    </row>
    <row r="9296" spans="1:4" hidden="1" x14ac:dyDescent="0.3">
      <c r="A9296">
        <v>9294</v>
      </c>
      <c r="B9296" s="1" t="s">
        <v>12162</v>
      </c>
      <c r="C9296" t="s">
        <v>223</v>
      </c>
      <c r="D9296" s="1" t="s">
        <v>12163</v>
      </c>
    </row>
    <row r="9297" spans="1:4" hidden="1" x14ac:dyDescent="0.3">
      <c r="A9297">
        <v>9295</v>
      </c>
      <c r="B9297" t="s">
        <v>12164</v>
      </c>
      <c r="C9297" t="s">
        <v>226</v>
      </c>
      <c r="D9297">
        <v>103133381.710678</v>
      </c>
    </row>
    <row r="9298" spans="1:4" hidden="1" x14ac:dyDescent="0.3">
      <c r="A9298">
        <v>9296</v>
      </c>
      <c r="B9298" t="s">
        <v>12165</v>
      </c>
      <c r="C9298" t="s">
        <v>228</v>
      </c>
      <c r="D9298">
        <v>567108.04415148497</v>
      </c>
    </row>
    <row r="9299" spans="1:4" hidden="1" x14ac:dyDescent="0.3">
      <c r="A9299">
        <v>9297</v>
      </c>
      <c r="B9299" s="1" t="s">
        <v>12166</v>
      </c>
      <c r="C9299" t="s">
        <v>230</v>
      </c>
      <c r="D9299" s="1" t="s">
        <v>12167</v>
      </c>
    </row>
    <row r="9300" spans="1:4" hidden="1" x14ac:dyDescent="0.3">
      <c r="A9300">
        <v>9298</v>
      </c>
      <c r="B9300" t="s">
        <v>12168</v>
      </c>
      <c r="C9300" t="s">
        <v>112</v>
      </c>
      <c r="D9300">
        <v>352.11370433513298</v>
      </c>
    </row>
    <row r="9301" spans="1:4" hidden="1" x14ac:dyDescent="0.3">
      <c r="A9301">
        <v>9299</v>
      </c>
      <c r="B9301" t="s">
        <v>12169</v>
      </c>
      <c r="C9301" t="s">
        <v>114</v>
      </c>
      <c r="D9301">
        <v>72.345213866867397</v>
      </c>
    </row>
    <row r="9302" spans="1:4" hidden="1" x14ac:dyDescent="0.3">
      <c r="A9302">
        <v>9300</v>
      </c>
      <c r="B9302" s="1" t="s">
        <v>12170</v>
      </c>
      <c r="C9302" t="s">
        <v>116</v>
      </c>
      <c r="D9302" s="1" t="s">
        <v>12171</v>
      </c>
    </row>
    <row r="9303" spans="1:4" hidden="1" x14ac:dyDescent="0.3">
      <c r="A9303">
        <v>9301</v>
      </c>
      <c r="B9303" t="s">
        <v>12172</v>
      </c>
      <c r="C9303" t="s">
        <v>119</v>
      </c>
      <c r="D9303">
        <v>83321837.220105693</v>
      </c>
    </row>
    <row r="9304" spans="1:4" hidden="1" x14ac:dyDescent="0.3">
      <c r="A9304">
        <v>9302</v>
      </c>
      <c r="B9304" t="s">
        <v>12173</v>
      </c>
      <c r="C9304" t="s">
        <v>121</v>
      </c>
      <c r="D9304">
        <v>34547174.8847486</v>
      </c>
    </row>
    <row r="9305" spans="1:4" hidden="1" x14ac:dyDescent="0.3">
      <c r="A9305">
        <v>9303</v>
      </c>
      <c r="B9305" s="1" t="s">
        <v>12174</v>
      </c>
      <c r="C9305" t="s">
        <v>123</v>
      </c>
      <c r="D9305" s="1" t="s">
        <v>12175</v>
      </c>
    </row>
    <row r="9306" spans="1:4" hidden="1" x14ac:dyDescent="0.3">
      <c r="A9306">
        <v>9304</v>
      </c>
      <c r="B9306" t="s">
        <v>12176</v>
      </c>
      <c r="C9306" t="s">
        <v>126</v>
      </c>
      <c r="D9306">
        <v>0.80801622506121296</v>
      </c>
    </row>
    <row r="9307" spans="1:4" hidden="1" x14ac:dyDescent="0.3">
      <c r="A9307">
        <v>9305</v>
      </c>
      <c r="B9307" t="s">
        <v>12177</v>
      </c>
      <c r="C9307" t="s">
        <v>128</v>
      </c>
      <c r="D9307">
        <v>0.33502235150148801</v>
      </c>
    </row>
    <row r="9308" spans="1:4" hidden="1" x14ac:dyDescent="0.3">
      <c r="A9308">
        <v>9306</v>
      </c>
      <c r="B9308" s="1" t="s">
        <v>12178</v>
      </c>
      <c r="C9308" t="s">
        <v>130</v>
      </c>
      <c r="D9308" s="1" t="s">
        <v>12179</v>
      </c>
    </row>
    <row r="9309" spans="1:4" ht="72" x14ac:dyDescent="0.3">
      <c r="A9309">
        <v>9307</v>
      </c>
      <c r="B9309" s="1" t="s">
        <v>12180</v>
      </c>
      <c r="C9309" t="s">
        <v>4</v>
      </c>
      <c r="D9309" t="s">
        <v>12181</v>
      </c>
    </row>
    <row r="9310" spans="1:4" hidden="1" x14ac:dyDescent="0.3">
      <c r="A9310">
        <v>9308</v>
      </c>
      <c r="B9310" t="s">
        <v>12182</v>
      </c>
      <c r="C9310" t="s">
        <v>7</v>
      </c>
      <c r="D9310">
        <v>1908.69</v>
      </c>
    </row>
    <row r="9311" spans="1:4" hidden="1" x14ac:dyDescent="0.3">
      <c r="A9311">
        <v>9309</v>
      </c>
      <c r="B9311" s="1" t="s">
        <v>12183</v>
      </c>
      <c r="C9311" t="s">
        <v>9</v>
      </c>
      <c r="D9311" s="1" t="s">
        <v>12184</v>
      </c>
    </row>
    <row r="9312" spans="1:4" hidden="1" x14ac:dyDescent="0.3">
      <c r="A9312">
        <v>9310</v>
      </c>
      <c r="B9312" t="s">
        <v>12185</v>
      </c>
      <c r="C9312" t="s">
        <v>14</v>
      </c>
      <c r="D9312">
        <v>90.3984375</v>
      </c>
    </row>
    <row r="9313" spans="1:4" hidden="1" x14ac:dyDescent="0.3">
      <c r="A9313">
        <v>9311</v>
      </c>
      <c r="B9313" t="s">
        <v>12186</v>
      </c>
      <c r="C9313" t="s">
        <v>16</v>
      </c>
      <c r="D9313">
        <v>4.2424636565333902</v>
      </c>
    </row>
    <row r="9314" spans="1:4" hidden="1" x14ac:dyDescent="0.3">
      <c r="A9314">
        <v>9312</v>
      </c>
      <c r="B9314" s="1" t="s">
        <v>12187</v>
      </c>
      <c r="C9314" t="s">
        <v>140</v>
      </c>
      <c r="D9314" s="1" t="s">
        <v>12188</v>
      </c>
    </row>
    <row r="9315" spans="1:4" hidden="1" x14ac:dyDescent="0.3">
      <c r="A9315">
        <v>9313</v>
      </c>
      <c r="B9315" t="s">
        <v>12189</v>
      </c>
      <c r="C9315" t="s">
        <v>22</v>
      </c>
      <c r="D9315">
        <v>62.8</v>
      </c>
    </row>
    <row r="9316" spans="1:4" hidden="1" x14ac:dyDescent="0.3">
      <c r="A9316">
        <v>9314</v>
      </c>
      <c r="B9316" t="s">
        <v>12190</v>
      </c>
      <c r="C9316" t="s">
        <v>24</v>
      </c>
      <c r="D9316">
        <v>4.0448273762968299</v>
      </c>
    </row>
    <row r="9317" spans="1:4" hidden="1" x14ac:dyDescent="0.3">
      <c r="A9317">
        <v>9315</v>
      </c>
      <c r="B9317" s="1" t="s">
        <v>12191</v>
      </c>
      <c r="C9317" t="s">
        <v>145</v>
      </c>
      <c r="D9317" s="1" t="s">
        <v>12192</v>
      </c>
    </row>
    <row r="9318" spans="1:4" hidden="1" x14ac:dyDescent="0.3">
      <c r="A9318">
        <v>9316</v>
      </c>
      <c r="B9318" t="s">
        <v>12193</v>
      </c>
      <c r="C9318" t="s">
        <v>35</v>
      </c>
      <c r="D9318">
        <v>-0.18483038246219899</v>
      </c>
    </row>
    <row r="9319" spans="1:4" hidden="1" x14ac:dyDescent="0.3">
      <c r="A9319">
        <v>9317</v>
      </c>
      <c r="B9319" t="s">
        <v>12194</v>
      </c>
      <c r="C9319" t="s">
        <v>149</v>
      </c>
      <c r="D9319">
        <v>0.54294987060741795</v>
      </c>
    </row>
    <row r="9320" spans="1:4" hidden="1" x14ac:dyDescent="0.3">
      <c r="A9320">
        <v>9318</v>
      </c>
      <c r="B9320" s="1" t="s">
        <v>12195</v>
      </c>
      <c r="C9320" t="s">
        <v>151</v>
      </c>
      <c r="D9320" s="1" t="s">
        <v>12196</v>
      </c>
    </row>
    <row r="9321" spans="1:4" hidden="1" x14ac:dyDescent="0.3">
      <c r="A9321">
        <v>9319</v>
      </c>
      <c r="B9321" t="s">
        <v>12197</v>
      </c>
      <c r="C9321" t="s">
        <v>30</v>
      </c>
      <c r="D9321">
        <v>0.57177458524111602</v>
      </c>
    </row>
    <row r="9322" spans="1:4" hidden="1" x14ac:dyDescent="0.3">
      <c r="A9322">
        <v>9320</v>
      </c>
      <c r="B9322" t="s">
        <v>12198</v>
      </c>
      <c r="C9322" t="s">
        <v>32</v>
      </c>
      <c r="D9322">
        <v>0.36870705840936602</v>
      </c>
    </row>
    <row r="9323" spans="1:4" hidden="1" x14ac:dyDescent="0.3">
      <c r="A9323">
        <v>9321</v>
      </c>
      <c r="B9323" s="1" t="s">
        <v>12199</v>
      </c>
      <c r="C9323" t="s">
        <v>155</v>
      </c>
      <c r="D9323" s="1" t="s">
        <v>12200</v>
      </c>
    </row>
    <row r="9324" spans="1:4" hidden="1" x14ac:dyDescent="0.3">
      <c r="A9324">
        <v>9322</v>
      </c>
      <c r="B9324" t="s">
        <v>12201</v>
      </c>
      <c r="C9324" t="s">
        <v>40</v>
      </c>
      <c r="D9324">
        <v>0.61305579722108205</v>
      </c>
    </row>
    <row r="9325" spans="1:4" hidden="1" x14ac:dyDescent="0.3">
      <c r="A9325">
        <v>9323</v>
      </c>
      <c r="B9325" t="s">
        <v>12202</v>
      </c>
      <c r="C9325" t="s">
        <v>42</v>
      </c>
      <c r="D9325">
        <v>0.47308360060904597</v>
      </c>
    </row>
    <row r="9326" spans="1:4" hidden="1" x14ac:dyDescent="0.3">
      <c r="A9326">
        <v>9324</v>
      </c>
      <c r="B9326" s="1" t="s">
        <v>12203</v>
      </c>
      <c r="C9326" t="s">
        <v>159</v>
      </c>
      <c r="D9326" s="1" t="s">
        <v>12204</v>
      </c>
    </row>
    <row r="9327" spans="1:4" hidden="1" x14ac:dyDescent="0.3">
      <c r="A9327">
        <v>9325</v>
      </c>
      <c r="B9327" t="s">
        <v>12205</v>
      </c>
      <c r="C9327" t="s">
        <v>161</v>
      </c>
      <c r="D9327">
        <v>0.99399030324492299</v>
      </c>
    </row>
    <row r="9328" spans="1:4" hidden="1" x14ac:dyDescent="0.3">
      <c r="A9328">
        <v>9326</v>
      </c>
      <c r="B9328" t="s">
        <v>12206</v>
      </c>
      <c r="C9328" t="s">
        <v>163</v>
      </c>
      <c r="D9328">
        <v>1.0006692619839099</v>
      </c>
    </row>
    <row r="9329" spans="1:4" hidden="1" x14ac:dyDescent="0.3">
      <c r="A9329">
        <v>9327</v>
      </c>
      <c r="B9329" s="1" t="s">
        <v>12207</v>
      </c>
      <c r="C9329" t="s">
        <v>165</v>
      </c>
      <c r="D9329" s="1" t="s">
        <v>12208</v>
      </c>
    </row>
    <row r="9330" spans="1:4" hidden="1" x14ac:dyDescent="0.3">
      <c r="A9330">
        <v>9328</v>
      </c>
      <c r="B9330" t="s">
        <v>12209</v>
      </c>
      <c r="C9330" t="s">
        <v>168</v>
      </c>
      <c r="D9330">
        <v>0.999810843759391</v>
      </c>
    </row>
    <row r="9331" spans="1:4" hidden="1" x14ac:dyDescent="0.3">
      <c r="A9331">
        <v>9329</v>
      </c>
      <c r="B9331" t="s">
        <v>12210</v>
      </c>
      <c r="C9331" t="s">
        <v>170</v>
      </c>
      <c r="D9331">
        <v>0.997661235004351</v>
      </c>
    </row>
    <row r="9332" spans="1:4" hidden="1" x14ac:dyDescent="0.3">
      <c r="A9332">
        <v>9330</v>
      </c>
      <c r="B9332" s="1" t="s">
        <v>12211</v>
      </c>
      <c r="C9332" t="s">
        <v>172</v>
      </c>
      <c r="D9332" s="1" t="s">
        <v>12212</v>
      </c>
    </row>
    <row r="9333" spans="1:4" hidden="1" x14ac:dyDescent="0.3">
      <c r="A9333">
        <v>9331</v>
      </c>
      <c r="B9333" s="1" t="s">
        <v>12213</v>
      </c>
      <c r="C9333" t="s">
        <v>55</v>
      </c>
      <c r="D9333" s="1" t="s">
        <v>12214</v>
      </c>
    </row>
    <row r="9334" spans="1:4" hidden="1" x14ac:dyDescent="0.3">
      <c r="A9334">
        <v>9332</v>
      </c>
      <c r="B9334" s="1" t="s">
        <v>12215</v>
      </c>
      <c r="C9334" t="s">
        <v>52</v>
      </c>
      <c r="D9334" s="1" t="s">
        <v>12216</v>
      </c>
    </row>
    <row r="9335" spans="1:4" hidden="1" x14ac:dyDescent="0.3">
      <c r="A9335">
        <v>9333</v>
      </c>
      <c r="B9335" s="1" t="s">
        <v>12217</v>
      </c>
      <c r="C9335" t="s">
        <v>58</v>
      </c>
      <c r="D9335" s="1" t="s">
        <v>12218</v>
      </c>
    </row>
    <row r="9336" spans="1:4" hidden="1" x14ac:dyDescent="0.3">
      <c r="A9336">
        <v>9334</v>
      </c>
      <c r="B9336" t="s">
        <v>12219</v>
      </c>
      <c r="C9336" t="s">
        <v>61</v>
      </c>
      <c r="D9336">
        <v>154875204.27994299</v>
      </c>
    </row>
    <row r="9337" spans="1:4" hidden="1" x14ac:dyDescent="0.3">
      <c r="A9337">
        <v>9335</v>
      </c>
      <c r="B9337" t="s">
        <v>12220</v>
      </c>
      <c r="C9337" t="s">
        <v>63</v>
      </c>
      <c r="D9337">
        <v>82821098.245337099</v>
      </c>
    </row>
    <row r="9338" spans="1:4" hidden="1" x14ac:dyDescent="0.3">
      <c r="A9338">
        <v>9336</v>
      </c>
      <c r="B9338" t="s">
        <v>12221</v>
      </c>
      <c r="C9338" t="s">
        <v>65</v>
      </c>
      <c r="D9338">
        <v>34570295.9955507</v>
      </c>
    </row>
    <row r="9339" spans="1:4" hidden="1" x14ac:dyDescent="0.3">
      <c r="A9339">
        <v>9337</v>
      </c>
      <c r="B9339" s="1" t="s">
        <v>12222</v>
      </c>
      <c r="C9339" t="s">
        <v>67</v>
      </c>
      <c r="D9339" s="1" t="s">
        <v>12223</v>
      </c>
    </row>
    <row r="9340" spans="1:4" hidden="1" x14ac:dyDescent="0.3">
      <c r="A9340">
        <v>9338</v>
      </c>
      <c r="B9340" s="1" t="s">
        <v>12224</v>
      </c>
      <c r="C9340" t="s">
        <v>70</v>
      </c>
      <c r="D9340" s="1" t="s">
        <v>12225</v>
      </c>
    </row>
    <row r="9341" spans="1:4" hidden="1" x14ac:dyDescent="0.3">
      <c r="A9341">
        <v>9339</v>
      </c>
      <c r="B9341" t="s">
        <v>12226</v>
      </c>
      <c r="C9341" t="s">
        <v>73</v>
      </c>
      <c r="D9341">
        <v>0.99986069761730501</v>
      </c>
    </row>
    <row r="9342" spans="1:4" hidden="1" x14ac:dyDescent="0.3">
      <c r="A9342">
        <v>9340</v>
      </c>
      <c r="B9342" t="s">
        <v>74</v>
      </c>
      <c r="C9342" t="s">
        <v>75</v>
      </c>
      <c r="D9342">
        <v>2.7397260273972599E-3</v>
      </c>
    </row>
    <row r="9343" spans="1:4" hidden="1" x14ac:dyDescent="0.3">
      <c r="A9343">
        <v>9341</v>
      </c>
      <c r="B9343" t="s">
        <v>76</v>
      </c>
      <c r="C9343" t="s">
        <v>77</v>
      </c>
      <c r="D9343">
        <v>0</v>
      </c>
    </row>
    <row r="9344" spans="1:4" hidden="1" x14ac:dyDescent="0.3">
      <c r="A9344">
        <v>9342</v>
      </c>
      <c r="B9344" t="s">
        <v>78</v>
      </c>
      <c r="C9344" t="s">
        <v>79</v>
      </c>
      <c r="D9344">
        <v>0</v>
      </c>
    </row>
    <row r="9345" spans="1:4" hidden="1" x14ac:dyDescent="0.3">
      <c r="A9345">
        <v>9343</v>
      </c>
      <c r="B9345" s="1" t="s">
        <v>12227</v>
      </c>
      <c r="C9345" t="s">
        <v>81</v>
      </c>
      <c r="D9345" s="1" t="s">
        <v>12228</v>
      </c>
    </row>
    <row r="9346" spans="1:4" hidden="1" x14ac:dyDescent="0.3">
      <c r="A9346">
        <v>9344</v>
      </c>
      <c r="B9346" t="s">
        <v>12229</v>
      </c>
      <c r="C9346" t="s">
        <v>84</v>
      </c>
      <c r="D9346">
        <v>0.999863075580398</v>
      </c>
    </row>
    <row r="9347" spans="1:4" hidden="1" x14ac:dyDescent="0.3">
      <c r="A9347">
        <v>9345</v>
      </c>
      <c r="B9347" s="1" t="s">
        <v>12230</v>
      </c>
      <c r="C9347" t="s">
        <v>86</v>
      </c>
      <c r="D9347" s="1" t="s">
        <v>12231</v>
      </c>
    </row>
    <row r="9348" spans="1:4" hidden="1" x14ac:dyDescent="0.3">
      <c r="A9348">
        <v>9346</v>
      </c>
      <c r="B9348" t="s">
        <v>12232</v>
      </c>
      <c r="C9348" t="s">
        <v>89</v>
      </c>
      <c r="D9348">
        <v>103700243.125122</v>
      </c>
    </row>
    <row r="9349" spans="1:4" hidden="1" x14ac:dyDescent="0.3">
      <c r="A9349">
        <v>9347</v>
      </c>
      <c r="B9349" s="1" t="s">
        <v>12233</v>
      </c>
      <c r="C9349" t="s">
        <v>91</v>
      </c>
      <c r="D9349" s="1" t="s">
        <v>12167</v>
      </c>
    </row>
    <row r="9350" spans="1:4" hidden="1" x14ac:dyDescent="0.3">
      <c r="A9350">
        <v>9348</v>
      </c>
      <c r="B9350" t="s">
        <v>12234</v>
      </c>
      <c r="C9350" t="s">
        <v>94</v>
      </c>
      <c r="D9350">
        <v>82821098.245337099</v>
      </c>
    </row>
    <row r="9351" spans="1:4" hidden="1" x14ac:dyDescent="0.3">
      <c r="A9351">
        <v>9349</v>
      </c>
      <c r="B9351" t="s">
        <v>12235</v>
      </c>
      <c r="C9351" t="s">
        <v>96</v>
      </c>
      <c r="D9351">
        <v>34570295.9955507</v>
      </c>
    </row>
    <row r="9352" spans="1:4" hidden="1" x14ac:dyDescent="0.3">
      <c r="A9352">
        <v>9350</v>
      </c>
      <c r="B9352" t="s">
        <v>12236</v>
      </c>
      <c r="C9352" t="s">
        <v>98</v>
      </c>
      <c r="D9352">
        <v>37483810.039055496</v>
      </c>
    </row>
    <row r="9353" spans="1:4" hidden="1" x14ac:dyDescent="0.3">
      <c r="A9353">
        <v>9351</v>
      </c>
      <c r="B9353" s="1" t="s">
        <v>12237</v>
      </c>
      <c r="C9353" t="s">
        <v>100</v>
      </c>
      <c r="D9353" s="1" t="s">
        <v>12238</v>
      </c>
    </row>
    <row r="9354" spans="1:4" hidden="1" x14ac:dyDescent="0.3">
      <c r="A9354">
        <v>9352</v>
      </c>
      <c r="B9354" t="s">
        <v>12239</v>
      </c>
      <c r="C9354" t="s">
        <v>103</v>
      </c>
      <c r="D9354">
        <v>1.00639504003098E-2</v>
      </c>
    </row>
    <row r="9355" spans="1:4" hidden="1" x14ac:dyDescent="0.3">
      <c r="A9355">
        <v>9353</v>
      </c>
      <c r="B9355" t="s">
        <v>12240</v>
      </c>
      <c r="C9355" t="s">
        <v>105</v>
      </c>
      <c r="D9355">
        <v>2.7638004387511399E-3</v>
      </c>
    </row>
    <row r="9356" spans="1:4" hidden="1" x14ac:dyDescent="0.3">
      <c r="A9356">
        <v>9354</v>
      </c>
      <c r="B9356" t="s">
        <v>12241</v>
      </c>
      <c r="C9356" t="s">
        <v>107</v>
      </c>
      <c r="D9356">
        <v>2.0848501050312499E-2</v>
      </c>
    </row>
    <row r="9357" spans="1:4" hidden="1" x14ac:dyDescent="0.3">
      <c r="A9357">
        <v>9355</v>
      </c>
      <c r="B9357" s="1" t="s">
        <v>12242</v>
      </c>
      <c r="C9357" t="s">
        <v>109</v>
      </c>
      <c r="D9357" s="1" t="s">
        <v>12243</v>
      </c>
    </row>
    <row r="9358" spans="1:4" hidden="1" x14ac:dyDescent="0.3">
      <c r="A9358">
        <v>9356</v>
      </c>
      <c r="B9358" t="s">
        <v>12244</v>
      </c>
      <c r="C9358" t="s">
        <v>208</v>
      </c>
      <c r="D9358">
        <v>154875289.32330799</v>
      </c>
    </row>
    <row r="9359" spans="1:4" hidden="1" x14ac:dyDescent="0.3">
      <c r="A9359">
        <v>9357</v>
      </c>
      <c r="B9359" t="s">
        <v>12245</v>
      </c>
      <c r="C9359" t="s">
        <v>210</v>
      </c>
      <c r="D9359">
        <v>-196.973110587793</v>
      </c>
    </row>
    <row r="9360" spans="1:4" hidden="1" x14ac:dyDescent="0.3">
      <c r="A9360">
        <v>9358</v>
      </c>
      <c r="B9360" t="s">
        <v>12246</v>
      </c>
      <c r="C9360" t="s">
        <v>212</v>
      </c>
      <c r="D9360">
        <v>-82.218362741243496</v>
      </c>
    </row>
    <row r="9361" spans="1:4" hidden="1" x14ac:dyDescent="0.3">
      <c r="A9361">
        <v>9359</v>
      </c>
      <c r="B9361" s="1" t="s">
        <v>12247</v>
      </c>
      <c r="C9361" t="s">
        <v>214</v>
      </c>
      <c r="D9361" s="1" t="s">
        <v>12248</v>
      </c>
    </row>
    <row r="9362" spans="1:4" hidden="1" x14ac:dyDescent="0.3">
      <c r="A9362">
        <v>9360</v>
      </c>
      <c r="B9362" t="s">
        <v>12249</v>
      </c>
      <c r="C9362" t="s">
        <v>217</v>
      </c>
      <c r="D9362">
        <v>82821361.153139696</v>
      </c>
    </row>
    <row r="9363" spans="1:4" hidden="1" x14ac:dyDescent="0.3">
      <c r="A9363">
        <v>9361</v>
      </c>
      <c r="B9363" t="s">
        <v>12250</v>
      </c>
      <c r="C9363" t="s">
        <v>219</v>
      </c>
      <c r="D9363">
        <v>34570387.266018704</v>
      </c>
    </row>
    <row r="9364" spans="1:4" hidden="1" x14ac:dyDescent="0.3">
      <c r="A9364">
        <v>9362</v>
      </c>
      <c r="B9364" t="s">
        <v>12251</v>
      </c>
      <c r="C9364" t="s">
        <v>221</v>
      </c>
      <c r="D9364">
        <v>37483909.2431826</v>
      </c>
    </row>
    <row r="9365" spans="1:4" hidden="1" x14ac:dyDescent="0.3">
      <c r="A9365">
        <v>9363</v>
      </c>
      <c r="B9365" s="1" t="s">
        <v>12252</v>
      </c>
      <c r="C9365" t="s">
        <v>223</v>
      </c>
      <c r="D9365" s="1" t="s">
        <v>12253</v>
      </c>
    </row>
    <row r="9366" spans="1:4" hidden="1" x14ac:dyDescent="0.3">
      <c r="A9366">
        <v>9364</v>
      </c>
      <c r="B9366" t="s">
        <v>12254</v>
      </c>
      <c r="C9366" t="s">
        <v>226</v>
      </c>
      <c r="D9366">
        <v>103700489.754829</v>
      </c>
    </row>
    <row r="9367" spans="1:4" hidden="1" x14ac:dyDescent="0.3">
      <c r="A9367">
        <v>9365</v>
      </c>
      <c r="B9367" t="s">
        <v>12255</v>
      </c>
      <c r="C9367" t="s">
        <v>228</v>
      </c>
      <c r="D9367">
        <v>-246.629707023501</v>
      </c>
    </row>
    <row r="9368" spans="1:4" hidden="1" x14ac:dyDescent="0.3">
      <c r="A9368">
        <v>9366</v>
      </c>
      <c r="B9368" s="1" t="s">
        <v>12256</v>
      </c>
      <c r="C9368" t="s">
        <v>230</v>
      </c>
      <c r="D9368" s="1" t="s">
        <v>12257</v>
      </c>
    </row>
    <row r="9369" spans="1:4" hidden="1" x14ac:dyDescent="0.3">
      <c r="A9369">
        <v>9367</v>
      </c>
      <c r="B9369" t="s">
        <v>12258</v>
      </c>
      <c r="C9369" t="s">
        <v>112</v>
      </c>
      <c r="D9369">
        <v>65.934692000485995</v>
      </c>
    </row>
    <row r="9370" spans="1:4" hidden="1" x14ac:dyDescent="0.3">
      <c r="A9370">
        <v>9368</v>
      </c>
      <c r="B9370" t="s">
        <v>12259</v>
      </c>
      <c r="C9370" t="s">
        <v>114</v>
      </c>
      <c r="D9370">
        <v>9.0521052445592396</v>
      </c>
    </row>
    <row r="9371" spans="1:4" hidden="1" x14ac:dyDescent="0.3">
      <c r="A9371">
        <v>9369</v>
      </c>
      <c r="B9371" s="1" t="s">
        <v>12260</v>
      </c>
      <c r="C9371" t="s">
        <v>116</v>
      </c>
      <c r="D9371" s="1" t="s">
        <v>12261</v>
      </c>
    </row>
    <row r="9372" spans="1:4" hidden="1" x14ac:dyDescent="0.3">
      <c r="A9372">
        <v>9370</v>
      </c>
      <c r="B9372" t="s">
        <v>12262</v>
      </c>
      <c r="C9372" t="s">
        <v>119</v>
      </c>
      <c r="D9372">
        <v>82821361.153139696</v>
      </c>
    </row>
    <row r="9373" spans="1:4" hidden="1" x14ac:dyDescent="0.3">
      <c r="A9373">
        <v>9371</v>
      </c>
      <c r="B9373" t="s">
        <v>12263</v>
      </c>
      <c r="C9373" t="s">
        <v>121</v>
      </c>
      <c r="D9373">
        <v>34570387.266018704</v>
      </c>
    </row>
    <row r="9374" spans="1:4" hidden="1" x14ac:dyDescent="0.3">
      <c r="A9374">
        <v>9372</v>
      </c>
      <c r="B9374" s="1" t="s">
        <v>12264</v>
      </c>
      <c r="C9374" t="s">
        <v>123</v>
      </c>
      <c r="D9374" s="1" t="s">
        <v>12265</v>
      </c>
    </row>
    <row r="9375" spans="1:4" hidden="1" x14ac:dyDescent="0.3">
      <c r="A9375">
        <v>9373</v>
      </c>
      <c r="B9375" t="s">
        <v>12266</v>
      </c>
      <c r="C9375" t="s">
        <v>126</v>
      </c>
      <c r="D9375">
        <v>0.79876867668371299</v>
      </c>
    </row>
    <row r="9376" spans="1:4" hidden="1" x14ac:dyDescent="0.3">
      <c r="A9376">
        <v>9374</v>
      </c>
      <c r="B9376" t="s">
        <v>12267</v>
      </c>
      <c r="C9376" t="s">
        <v>128</v>
      </c>
      <c r="D9376">
        <v>0.33341328981375301</v>
      </c>
    </row>
    <row r="9377" spans="1:4" hidden="1" x14ac:dyDescent="0.3">
      <c r="A9377">
        <v>9375</v>
      </c>
      <c r="B9377" s="1" t="s">
        <v>12268</v>
      </c>
      <c r="C9377" t="s">
        <v>130</v>
      </c>
      <c r="D9377" s="1" t="s">
        <v>12269</v>
      </c>
    </row>
    <row r="9378" spans="1:4" ht="72" x14ac:dyDescent="0.3">
      <c r="A9378">
        <v>9376</v>
      </c>
      <c r="B9378" s="1" t="s">
        <v>12270</v>
      </c>
      <c r="C9378" t="s">
        <v>4</v>
      </c>
      <c r="D9378" t="s">
        <v>12271</v>
      </c>
    </row>
    <row r="9379" spans="1:4" hidden="1" x14ac:dyDescent="0.3">
      <c r="A9379">
        <v>9377</v>
      </c>
      <c r="B9379" t="s">
        <v>12272</v>
      </c>
      <c r="C9379" t="s">
        <v>7</v>
      </c>
      <c r="D9379">
        <v>1904.11</v>
      </c>
    </row>
    <row r="9380" spans="1:4" hidden="1" x14ac:dyDescent="0.3">
      <c r="A9380">
        <v>9378</v>
      </c>
      <c r="B9380" s="1" t="s">
        <v>12273</v>
      </c>
      <c r="C9380" t="s">
        <v>9</v>
      </c>
      <c r="D9380" s="1" t="s">
        <v>12274</v>
      </c>
    </row>
    <row r="9381" spans="1:4" hidden="1" x14ac:dyDescent="0.3">
      <c r="A9381">
        <v>9379</v>
      </c>
      <c r="B9381" t="s">
        <v>12275</v>
      </c>
      <c r="C9381" t="s">
        <v>14</v>
      </c>
      <c r="D9381">
        <v>90.80859375</v>
      </c>
    </row>
    <row r="9382" spans="1:4" hidden="1" x14ac:dyDescent="0.3">
      <c r="A9382">
        <v>9380</v>
      </c>
      <c r="B9382" t="s">
        <v>12276</v>
      </c>
      <c r="C9382" t="s">
        <v>16</v>
      </c>
      <c r="D9382">
        <v>4.2530390178311999</v>
      </c>
    </row>
    <row r="9383" spans="1:4" hidden="1" x14ac:dyDescent="0.3">
      <c r="A9383">
        <v>9381</v>
      </c>
      <c r="B9383" s="1" t="s">
        <v>12277</v>
      </c>
      <c r="C9383" t="s">
        <v>140</v>
      </c>
      <c r="D9383" s="1" t="s">
        <v>12278</v>
      </c>
    </row>
    <row r="9384" spans="1:4" hidden="1" x14ac:dyDescent="0.3">
      <c r="A9384">
        <v>9382</v>
      </c>
      <c r="B9384" t="s">
        <v>12279</v>
      </c>
      <c r="C9384" t="s">
        <v>22</v>
      </c>
      <c r="D9384">
        <v>62.55</v>
      </c>
    </row>
    <row r="9385" spans="1:4" hidden="1" x14ac:dyDescent="0.3">
      <c r="A9385">
        <v>9383</v>
      </c>
      <c r="B9385" t="s">
        <v>12280</v>
      </c>
      <c r="C9385" t="s">
        <v>24</v>
      </c>
      <c r="D9385">
        <v>4.1773354703240804</v>
      </c>
    </row>
    <row r="9386" spans="1:4" hidden="1" x14ac:dyDescent="0.3">
      <c r="A9386">
        <v>9384</v>
      </c>
      <c r="B9386" s="1" t="s">
        <v>12281</v>
      </c>
      <c r="C9386" t="s">
        <v>145</v>
      </c>
      <c r="D9386" s="1" t="s">
        <v>12282</v>
      </c>
    </row>
    <row r="9387" spans="1:4" hidden="1" x14ac:dyDescent="0.3">
      <c r="A9387">
        <v>9385</v>
      </c>
      <c r="B9387" t="s">
        <v>12283</v>
      </c>
      <c r="C9387" t="s">
        <v>35</v>
      </c>
      <c r="D9387">
        <v>-0.49736149273881702</v>
      </c>
    </row>
    <row r="9388" spans="1:4" hidden="1" x14ac:dyDescent="0.3">
      <c r="A9388">
        <v>9386</v>
      </c>
      <c r="B9388" t="s">
        <v>12284</v>
      </c>
      <c r="C9388" t="s">
        <v>149</v>
      </c>
      <c r="D9388">
        <v>0.54274959856708405</v>
      </c>
    </row>
    <row r="9389" spans="1:4" hidden="1" x14ac:dyDescent="0.3">
      <c r="A9389">
        <v>9387</v>
      </c>
      <c r="B9389" s="1" t="s">
        <v>12285</v>
      </c>
      <c r="C9389" t="s">
        <v>151</v>
      </c>
      <c r="D9389" s="1" t="s">
        <v>12286</v>
      </c>
    </row>
    <row r="9390" spans="1:4" hidden="1" x14ac:dyDescent="0.3">
      <c r="A9390">
        <v>9388</v>
      </c>
      <c r="B9390" t="s">
        <v>12287</v>
      </c>
      <c r="C9390" t="s">
        <v>30</v>
      </c>
      <c r="D9390">
        <v>0.72314211720977295</v>
      </c>
    </row>
    <row r="9391" spans="1:4" hidden="1" x14ac:dyDescent="0.3">
      <c r="A9391">
        <v>9389</v>
      </c>
      <c r="B9391" t="s">
        <v>12288</v>
      </c>
      <c r="C9391" t="s">
        <v>32</v>
      </c>
      <c r="D9391">
        <v>0.37428836020361</v>
      </c>
    </row>
    <row r="9392" spans="1:4" hidden="1" x14ac:dyDescent="0.3">
      <c r="A9392">
        <v>9390</v>
      </c>
      <c r="B9392" s="1" t="s">
        <v>12289</v>
      </c>
      <c r="C9392" t="s">
        <v>155</v>
      </c>
      <c r="D9392" s="1" t="s">
        <v>12290</v>
      </c>
    </row>
    <row r="9393" spans="1:4" hidden="1" x14ac:dyDescent="0.3">
      <c r="A9393">
        <v>9391</v>
      </c>
      <c r="B9393" t="s">
        <v>12291</v>
      </c>
      <c r="C9393" t="s">
        <v>40</v>
      </c>
      <c r="D9393">
        <v>0.77421937552904396</v>
      </c>
    </row>
    <row r="9394" spans="1:4" hidden="1" x14ac:dyDescent="0.3">
      <c r="A9394">
        <v>9392</v>
      </c>
      <c r="B9394" t="s">
        <v>12292</v>
      </c>
      <c r="C9394" t="s">
        <v>42</v>
      </c>
      <c r="D9394">
        <v>0.468181910875547</v>
      </c>
    </row>
    <row r="9395" spans="1:4" hidden="1" x14ac:dyDescent="0.3">
      <c r="A9395">
        <v>9393</v>
      </c>
      <c r="B9395" s="1" t="s">
        <v>12293</v>
      </c>
      <c r="C9395" t="s">
        <v>159</v>
      </c>
      <c r="D9395" s="1" t="s">
        <v>12294</v>
      </c>
    </row>
    <row r="9396" spans="1:4" hidden="1" x14ac:dyDescent="0.3">
      <c r="A9396">
        <v>9394</v>
      </c>
      <c r="B9396" t="s">
        <v>12295</v>
      </c>
      <c r="C9396" t="s">
        <v>161</v>
      </c>
      <c r="D9396">
        <v>0.99760044847513196</v>
      </c>
    </row>
    <row r="9397" spans="1:4" hidden="1" x14ac:dyDescent="0.3">
      <c r="A9397">
        <v>9395</v>
      </c>
      <c r="B9397" t="s">
        <v>12296</v>
      </c>
      <c r="C9397" t="s">
        <v>163</v>
      </c>
      <c r="D9397">
        <v>1.00444555795809</v>
      </c>
    </row>
    <row r="9398" spans="1:4" hidden="1" x14ac:dyDescent="0.3">
      <c r="A9398">
        <v>9396</v>
      </c>
      <c r="B9398" s="1" t="s">
        <v>12297</v>
      </c>
      <c r="C9398" t="s">
        <v>165</v>
      </c>
      <c r="D9398" s="1" t="s">
        <v>12298</v>
      </c>
    </row>
    <row r="9399" spans="1:4" hidden="1" x14ac:dyDescent="0.3">
      <c r="A9399">
        <v>9397</v>
      </c>
      <c r="B9399" t="s">
        <v>12299</v>
      </c>
      <c r="C9399" t="s">
        <v>168</v>
      </c>
      <c r="D9399">
        <v>0.99987020184897102</v>
      </c>
    </row>
    <row r="9400" spans="1:4" hidden="1" x14ac:dyDescent="0.3">
      <c r="A9400">
        <v>9398</v>
      </c>
      <c r="B9400" t="s">
        <v>12300</v>
      </c>
      <c r="C9400" t="s">
        <v>170</v>
      </c>
      <c r="D9400">
        <v>1.0040777913432599</v>
      </c>
    </row>
    <row r="9401" spans="1:4" hidden="1" x14ac:dyDescent="0.3">
      <c r="A9401">
        <v>9399</v>
      </c>
      <c r="B9401" s="1" t="s">
        <v>12301</v>
      </c>
      <c r="C9401" t="s">
        <v>172</v>
      </c>
      <c r="D9401" s="1" t="s">
        <v>12302</v>
      </c>
    </row>
    <row r="9402" spans="1:4" hidden="1" x14ac:dyDescent="0.3">
      <c r="A9402">
        <v>9400</v>
      </c>
      <c r="B9402" s="1" t="s">
        <v>12303</v>
      </c>
      <c r="C9402" t="s">
        <v>55</v>
      </c>
      <c r="D9402" s="1" t="s">
        <v>12304</v>
      </c>
    </row>
    <row r="9403" spans="1:4" hidden="1" x14ac:dyDescent="0.3">
      <c r="A9403">
        <v>9401</v>
      </c>
      <c r="B9403" s="1" t="s">
        <v>12305</v>
      </c>
      <c r="C9403" t="s">
        <v>52</v>
      </c>
      <c r="D9403" s="1" t="s">
        <v>12306</v>
      </c>
    </row>
    <row r="9404" spans="1:4" hidden="1" x14ac:dyDescent="0.3">
      <c r="A9404">
        <v>9402</v>
      </c>
      <c r="B9404" s="1" t="s">
        <v>12307</v>
      </c>
      <c r="C9404" t="s">
        <v>58</v>
      </c>
      <c r="D9404" s="1" t="s">
        <v>12308</v>
      </c>
    </row>
    <row r="9405" spans="1:4" hidden="1" x14ac:dyDescent="0.3">
      <c r="A9405">
        <v>9403</v>
      </c>
      <c r="B9405" t="s">
        <v>12309</v>
      </c>
      <c r="C9405" t="s">
        <v>61</v>
      </c>
      <c r="D9405">
        <v>154764723.43116999</v>
      </c>
    </row>
    <row r="9406" spans="1:4" hidden="1" x14ac:dyDescent="0.3">
      <c r="A9406">
        <v>9404</v>
      </c>
      <c r="B9406" t="s">
        <v>12310</v>
      </c>
      <c r="C9406" t="s">
        <v>63</v>
      </c>
      <c r="D9406">
        <v>82622627.029692993</v>
      </c>
    </row>
    <row r="9407" spans="1:4" hidden="1" x14ac:dyDescent="0.3">
      <c r="A9407">
        <v>9405</v>
      </c>
      <c r="B9407" t="s">
        <v>12311</v>
      </c>
      <c r="C9407" t="s">
        <v>65</v>
      </c>
      <c r="D9407">
        <v>34724071.926243603</v>
      </c>
    </row>
    <row r="9408" spans="1:4" hidden="1" x14ac:dyDescent="0.3">
      <c r="A9408">
        <v>9406</v>
      </c>
      <c r="B9408" s="1" t="s">
        <v>12312</v>
      </c>
      <c r="C9408" t="s">
        <v>67</v>
      </c>
      <c r="D9408" s="1" t="s">
        <v>12313</v>
      </c>
    </row>
    <row r="9409" spans="1:4" hidden="1" x14ac:dyDescent="0.3">
      <c r="A9409">
        <v>9407</v>
      </c>
      <c r="B9409" s="1" t="s">
        <v>12314</v>
      </c>
      <c r="C9409" t="s">
        <v>70</v>
      </c>
      <c r="D9409" s="1" t="s">
        <v>12315</v>
      </c>
    </row>
    <row r="9410" spans="1:4" hidden="1" x14ac:dyDescent="0.3">
      <c r="A9410">
        <v>9408</v>
      </c>
      <c r="B9410" t="s">
        <v>12316</v>
      </c>
      <c r="C9410" t="s">
        <v>73</v>
      </c>
      <c r="D9410">
        <v>0.999863075580398</v>
      </c>
    </row>
    <row r="9411" spans="1:4" hidden="1" x14ac:dyDescent="0.3">
      <c r="A9411">
        <v>9409</v>
      </c>
      <c r="B9411" t="s">
        <v>74</v>
      </c>
      <c r="C9411" t="s">
        <v>75</v>
      </c>
      <c r="D9411">
        <v>2.7397260273972599E-3</v>
      </c>
    </row>
    <row r="9412" spans="1:4" hidden="1" x14ac:dyDescent="0.3">
      <c r="A9412">
        <v>9410</v>
      </c>
      <c r="B9412" t="s">
        <v>76</v>
      </c>
      <c r="C9412" t="s">
        <v>77</v>
      </c>
      <c r="D9412">
        <v>0</v>
      </c>
    </row>
    <row r="9413" spans="1:4" hidden="1" x14ac:dyDescent="0.3">
      <c r="A9413">
        <v>9411</v>
      </c>
      <c r="B9413" t="s">
        <v>78</v>
      </c>
      <c r="C9413" t="s">
        <v>79</v>
      </c>
      <c r="D9413">
        <v>0</v>
      </c>
    </row>
    <row r="9414" spans="1:4" hidden="1" x14ac:dyDescent="0.3">
      <c r="A9414">
        <v>9412</v>
      </c>
      <c r="B9414" s="1" t="s">
        <v>12317</v>
      </c>
      <c r="C9414" t="s">
        <v>81</v>
      </c>
      <c r="D9414" s="1" t="s">
        <v>12318</v>
      </c>
    </row>
    <row r="9415" spans="1:4" hidden="1" x14ac:dyDescent="0.3">
      <c r="A9415">
        <v>9413</v>
      </c>
      <c r="B9415" t="s">
        <v>12319</v>
      </c>
      <c r="C9415" t="s">
        <v>84</v>
      </c>
      <c r="D9415">
        <v>0.99985046487004203</v>
      </c>
    </row>
    <row r="9416" spans="1:4" hidden="1" x14ac:dyDescent="0.3">
      <c r="A9416">
        <v>9414</v>
      </c>
      <c r="B9416" s="1" t="s">
        <v>12320</v>
      </c>
      <c r="C9416" t="s">
        <v>86</v>
      </c>
      <c r="D9416" s="1" t="s">
        <v>12321</v>
      </c>
    </row>
    <row r="9417" spans="1:4" hidden="1" x14ac:dyDescent="0.3">
      <c r="A9417">
        <v>9415</v>
      </c>
      <c r="B9417" t="s">
        <v>12322</v>
      </c>
      <c r="C9417" t="s">
        <v>89</v>
      </c>
      <c r="D9417">
        <v>103701551.054433</v>
      </c>
    </row>
    <row r="9418" spans="1:4" hidden="1" x14ac:dyDescent="0.3">
      <c r="A9418">
        <v>9416</v>
      </c>
      <c r="B9418" s="1" t="s">
        <v>12323</v>
      </c>
      <c r="C9418" t="s">
        <v>91</v>
      </c>
      <c r="D9418" s="1" t="s">
        <v>12257</v>
      </c>
    </row>
    <row r="9419" spans="1:4" hidden="1" x14ac:dyDescent="0.3">
      <c r="A9419">
        <v>9417</v>
      </c>
      <c r="B9419" t="s">
        <v>12324</v>
      </c>
      <c r="C9419" t="s">
        <v>94</v>
      </c>
      <c r="D9419">
        <v>82622627.029692993</v>
      </c>
    </row>
    <row r="9420" spans="1:4" hidden="1" x14ac:dyDescent="0.3">
      <c r="A9420">
        <v>9418</v>
      </c>
      <c r="B9420" t="s">
        <v>12325</v>
      </c>
      <c r="C9420" t="s">
        <v>96</v>
      </c>
      <c r="D9420">
        <v>34724071.926243603</v>
      </c>
    </row>
    <row r="9421" spans="1:4" hidden="1" x14ac:dyDescent="0.3">
      <c r="A9421">
        <v>9419</v>
      </c>
      <c r="B9421" t="s">
        <v>12326</v>
      </c>
      <c r="C9421" t="s">
        <v>98</v>
      </c>
      <c r="D9421">
        <v>37418024.475233398</v>
      </c>
    </row>
    <row r="9422" spans="1:4" hidden="1" x14ac:dyDescent="0.3">
      <c r="A9422">
        <v>9420</v>
      </c>
      <c r="B9422" s="1" t="s">
        <v>12327</v>
      </c>
      <c r="C9422" t="s">
        <v>100</v>
      </c>
      <c r="D9422" s="1" t="s">
        <v>12328</v>
      </c>
    </row>
    <row r="9423" spans="1:4" hidden="1" x14ac:dyDescent="0.3">
      <c r="A9423">
        <v>9421</v>
      </c>
      <c r="B9423" t="s">
        <v>12329</v>
      </c>
      <c r="C9423" t="s">
        <v>103</v>
      </c>
      <c r="D9423">
        <v>1.0084490136523201E-2</v>
      </c>
    </row>
    <row r="9424" spans="1:4" hidden="1" x14ac:dyDescent="0.3">
      <c r="A9424">
        <v>9422</v>
      </c>
      <c r="B9424" t="s">
        <v>12330</v>
      </c>
      <c r="C9424" t="s">
        <v>105</v>
      </c>
      <c r="D9424">
        <v>2.7979453325711399E-3</v>
      </c>
    </row>
    <row r="9425" spans="1:4" hidden="1" x14ac:dyDescent="0.3">
      <c r="A9425">
        <v>9423</v>
      </c>
      <c r="B9425" t="s">
        <v>12331</v>
      </c>
      <c r="C9425" t="s">
        <v>107</v>
      </c>
      <c r="D9425">
        <v>2.0811060243457601E-2</v>
      </c>
    </row>
    <row r="9426" spans="1:4" hidden="1" x14ac:dyDescent="0.3">
      <c r="A9426">
        <v>9424</v>
      </c>
      <c r="B9426" s="1" t="s">
        <v>12332</v>
      </c>
      <c r="C9426" t="s">
        <v>109</v>
      </c>
      <c r="D9426" s="1" t="s">
        <v>12333</v>
      </c>
    </row>
    <row r="9427" spans="1:4" hidden="1" x14ac:dyDescent="0.3">
      <c r="A9427">
        <v>9425</v>
      </c>
      <c r="B9427" t="s">
        <v>12334</v>
      </c>
      <c r="C9427" t="s">
        <v>208</v>
      </c>
      <c r="D9427">
        <v>154764272.752794</v>
      </c>
    </row>
    <row r="9428" spans="1:4" hidden="1" x14ac:dyDescent="0.3">
      <c r="A9428">
        <v>9426</v>
      </c>
      <c r="B9428" t="s">
        <v>12335</v>
      </c>
      <c r="C9428" t="s">
        <v>210</v>
      </c>
      <c r="D9428">
        <v>1042.06876738394</v>
      </c>
    </row>
    <row r="9429" spans="1:4" hidden="1" x14ac:dyDescent="0.3">
      <c r="A9429">
        <v>9427</v>
      </c>
      <c r="B9429" t="s">
        <v>12336</v>
      </c>
      <c r="C9429" t="s">
        <v>212</v>
      </c>
      <c r="D9429">
        <v>437.95435216182699</v>
      </c>
    </row>
    <row r="9430" spans="1:4" hidden="1" x14ac:dyDescent="0.3">
      <c r="A9430">
        <v>9428</v>
      </c>
      <c r="B9430" s="1" t="s">
        <v>12337</v>
      </c>
      <c r="C9430" t="s">
        <v>214</v>
      </c>
      <c r="D9430" s="1" t="s">
        <v>12338</v>
      </c>
    </row>
    <row r="9431" spans="1:4" hidden="1" x14ac:dyDescent="0.3">
      <c r="A9431">
        <v>9429</v>
      </c>
      <c r="B9431" t="s">
        <v>12339</v>
      </c>
      <c r="C9431" t="s">
        <v>217</v>
      </c>
      <c r="D9431">
        <v>82621272.878954202</v>
      </c>
    </row>
    <row r="9432" spans="1:4" hidden="1" x14ac:dyDescent="0.3">
      <c r="A9432">
        <v>9430</v>
      </c>
      <c r="B9432" t="s">
        <v>12340</v>
      </c>
      <c r="C9432" t="s">
        <v>219</v>
      </c>
      <c r="D9432">
        <v>34723568.320089601</v>
      </c>
    </row>
    <row r="9433" spans="1:4" hidden="1" x14ac:dyDescent="0.3">
      <c r="A9433">
        <v>9431</v>
      </c>
      <c r="B9433" t="s">
        <v>12341</v>
      </c>
      <c r="C9433" t="s">
        <v>221</v>
      </c>
      <c r="D9433">
        <v>37417479.599063598</v>
      </c>
    </row>
    <row r="9434" spans="1:4" hidden="1" x14ac:dyDescent="0.3">
      <c r="A9434">
        <v>9432</v>
      </c>
      <c r="B9434" s="1" t="s">
        <v>12342</v>
      </c>
      <c r="C9434" t="s">
        <v>223</v>
      </c>
      <c r="D9434" s="1" t="s">
        <v>12343</v>
      </c>
    </row>
    <row r="9435" spans="1:4" hidden="1" x14ac:dyDescent="0.3">
      <c r="A9435">
        <v>9433</v>
      </c>
      <c r="B9435" t="s">
        <v>12344</v>
      </c>
      <c r="C9435" t="s">
        <v>226</v>
      </c>
      <c r="D9435">
        <v>103700243.125122</v>
      </c>
    </row>
    <row r="9436" spans="1:4" hidden="1" x14ac:dyDescent="0.3">
      <c r="A9436">
        <v>9434</v>
      </c>
      <c r="B9436" t="s">
        <v>12345</v>
      </c>
      <c r="C9436" t="s">
        <v>228</v>
      </c>
      <c r="D9436">
        <v>1307.9293112456701</v>
      </c>
    </row>
    <row r="9437" spans="1:4" hidden="1" x14ac:dyDescent="0.3">
      <c r="A9437">
        <v>9435</v>
      </c>
      <c r="B9437" s="1" t="s">
        <v>12346</v>
      </c>
      <c r="C9437" t="s">
        <v>230</v>
      </c>
      <c r="D9437" s="1" t="s">
        <v>12347</v>
      </c>
    </row>
    <row r="9438" spans="1:4" hidden="1" x14ac:dyDescent="0.3">
      <c r="A9438">
        <v>9436</v>
      </c>
      <c r="B9438" t="s">
        <v>12348</v>
      </c>
      <c r="C9438" t="s">
        <v>112</v>
      </c>
      <c r="D9438">
        <v>-312.081971438305</v>
      </c>
    </row>
    <row r="9439" spans="1:4" hidden="1" x14ac:dyDescent="0.3">
      <c r="A9439">
        <v>9437</v>
      </c>
      <c r="B9439" t="s">
        <v>12349</v>
      </c>
      <c r="C9439" t="s">
        <v>114</v>
      </c>
      <c r="D9439">
        <v>-65.651801893614504</v>
      </c>
    </row>
    <row r="9440" spans="1:4" hidden="1" x14ac:dyDescent="0.3">
      <c r="A9440">
        <v>9438</v>
      </c>
      <c r="B9440" s="1" t="s">
        <v>12350</v>
      </c>
      <c r="C9440" t="s">
        <v>116</v>
      </c>
      <c r="D9440" s="1" t="s">
        <v>12351</v>
      </c>
    </row>
    <row r="9441" spans="1:4" hidden="1" x14ac:dyDescent="0.3">
      <c r="A9441">
        <v>9439</v>
      </c>
      <c r="B9441" t="s">
        <v>12352</v>
      </c>
      <c r="C9441" t="s">
        <v>119</v>
      </c>
      <c r="D9441">
        <v>82621272.878954202</v>
      </c>
    </row>
    <row r="9442" spans="1:4" hidden="1" x14ac:dyDescent="0.3">
      <c r="A9442">
        <v>9440</v>
      </c>
      <c r="B9442" t="s">
        <v>12353</v>
      </c>
      <c r="C9442" t="s">
        <v>121</v>
      </c>
      <c r="D9442">
        <v>34723568.320089601</v>
      </c>
    </row>
    <row r="9443" spans="1:4" hidden="1" x14ac:dyDescent="0.3">
      <c r="A9443">
        <v>9441</v>
      </c>
      <c r="B9443" s="1" t="s">
        <v>12354</v>
      </c>
      <c r="C9443" t="s">
        <v>123</v>
      </c>
      <c r="D9443" s="1" t="s">
        <v>12355</v>
      </c>
    </row>
    <row r="9444" spans="1:4" hidden="1" x14ac:dyDescent="0.3">
      <c r="A9444">
        <v>9442</v>
      </c>
      <c r="B9444" t="s">
        <v>12356</v>
      </c>
      <c r="C9444" t="s">
        <v>126</v>
      </c>
      <c r="D9444">
        <v>0.79685087536176302</v>
      </c>
    </row>
    <row r="9445" spans="1:4" hidden="1" x14ac:dyDescent="0.3">
      <c r="A9445">
        <v>9443</v>
      </c>
      <c r="B9445" t="s">
        <v>12357</v>
      </c>
      <c r="C9445" t="s">
        <v>128</v>
      </c>
      <c r="D9445">
        <v>0.33489566121893499</v>
      </c>
    </row>
    <row r="9446" spans="1:4" hidden="1" x14ac:dyDescent="0.3">
      <c r="A9446">
        <v>9444</v>
      </c>
      <c r="B9446" s="1" t="s">
        <v>12358</v>
      </c>
      <c r="C9446" t="s">
        <v>130</v>
      </c>
      <c r="D9446" s="1" t="s">
        <v>12359</v>
      </c>
    </row>
    <row r="9447" spans="1:4" ht="72" x14ac:dyDescent="0.3">
      <c r="A9447">
        <v>9445</v>
      </c>
      <c r="B9447" s="1" t="s">
        <v>12360</v>
      </c>
      <c r="C9447" t="s">
        <v>4</v>
      </c>
      <c r="D9447" t="s">
        <v>12361</v>
      </c>
    </row>
    <row r="9448" spans="1:4" hidden="1" x14ac:dyDescent="0.3">
      <c r="A9448">
        <v>9446</v>
      </c>
      <c r="B9448" t="s">
        <v>12362</v>
      </c>
      <c r="C9448" t="s">
        <v>7</v>
      </c>
      <c r="D9448">
        <v>1932.24</v>
      </c>
    </row>
    <row r="9449" spans="1:4" hidden="1" x14ac:dyDescent="0.3">
      <c r="A9449">
        <v>9447</v>
      </c>
      <c r="B9449" s="1" t="s">
        <v>12363</v>
      </c>
      <c r="C9449" t="s">
        <v>9</v>
      </c>
      <c r="D9449" s="1" t="s">
        <v>12364</v>
      </c>
    </row>
    <row r="9450" spans="1:4" hidden="1" x14ac:dyDescent="0.3">
      <c r="A9450">
        <v>9448</v>
      </c>
      <c r="B9450" t="s">
        <v>12365</v>
      </c>
      <c r="C9450" t="s">
        <v>14</v>
      </c>
      <c r="D9450">
        <v>90.72265625</v>
      </c>
    </row>
    <row r="9451" spans="1:4" hidden="1" x14ac:dyDescent="0.3">
      <c r="A9451">
        <v>9449</v>
      </c>
      <c r="B9451" t="s">
        <v>12366</v>
      </c>
      <c r="C9451" t="s">
        <v>16</v>
      </c>
      <c r="D9451">
        <v>4.25180606422414</v>
      </c>
    </row>
    <row r="9452" spans="1:4" hidden="1" x14ac:dyDescent="0.3">
      <c r="A9452">
        <v>9450</v>
      </c>
      <c r="B9452" s="1" t="s">
        <v>12367</v>
      </c>
      <c r="C9452" t="s">
        <v>140</v>
      </c>
      <c r="D9452" s="1" t="s">
        <v>12368</v>
      </c>
    </row>
    <row r="9453" spans="1:4" hidden="1" x14ac:dyDescent="0.3">
      <c r="A9453">
        <v>9451</v>
      </c>
      <c r="B9453" t="s">
        <v>12369</v>
      </c>
      <c r="C9453" t="s">
        <v>22</v>
      </c>
      <c r="D9453">
        <v>63.4</v>
      </c>
    </row>
    <row r="9454" spans="1:4" hidden="1" x14ac:dyDescent="0.3">
      <c r="A9454">
        <v>9452</v>
      </c>
      <c r="B9454" t="s">
        <v>12370</v>
      </c>
      <c r="C9454" t="s">
        <v>24</v>
      </c>
      <c r="D9454">
        <v>4.0987577558765098</v>
      </c>
    </row>
    <row r="9455" spans="1:4" hidden="1" x14ac:dyDescent="0.3">
      <c r="A9455">
        <v>9453</v>
      </c>
      <c r="B9455" s="1" t="s">
        <v>12371</v>
      </c>
      <c r="C9455" t="s">
        <v>145</v>
      </c>
      <c r="D9455" s="1" t="s">
        <v>12372</v>
      </c>
    </row>
    <row r="9456" spans="1:4" hidden="1" x14ac:dyDescent="0.3">
      <c r="A9456">
        <v>9454</v>
      </c>
      <c r="B9456" t="s">
        <v>12373</v>
      </c>
      <c r="C9456" t="s">
        <v>35</v>
      </c>
      <c r="D9456">
        <v>0.14080315960711301</v>
      </c>
    </row>
    <row r="9457" spans="1:4" hidden="1" x14ac:dyDescent="0.3">
      <c r="A9457">
        <v>9455</v>
      </c>
      <c r="B9457" t="s">
        <v>12374</v>
      </c>
      <c r="C9457" t="s">
        <v>149</v>
      </c>
      <c r="D9457">
        <v>0.54147139972495695</v>
      </c>
    </row>
    <row r="9458" spans="1:4" hidden="1" x14ac:dyDescent="0.3">
      <c r="A9458">
        <v>9456</v>
      </c>
      <c r="B9458" s="1" t="s">
        <v>12375</v>
      </c>
      <c r="C9458" t="s">
        <v>151</v>
      </c>
      <c r="D9458" s="1" t="s">
        <v>12376</v>
      </c>
    </row>
    <row r="9459" spans="1:4" hidden="1" x14ac:dyDescent="0.3">
      <c r="A9459">
        <v>9457</v>
      </c>
      <c r="B9459" t="s">
        <v>12377</v>
      </c>
      <c r="C9459" t="s">
        <v>30</v>
      </c>
      <c r="D9459">
        <v>0.41408634910817199</v>
      </c>
    </row>
    <row r="9460" spans="1:4" hidden="1" x14ac:dyDescent="0.3">
      <c r="A9460">
        <v>9458</v>
      </c>
      <c r="B9460" t="s">
        <v>12378</v>
      </c>
      <c r="C9460" t="s">
        <v>32</v>
      </c>
      <c r="D9460">
        <v>0.373441313337946</v>
      </c>
    </row>
    <row r="9461" spans="1:4" hidden="1" x14ac:dyDescent="0.3">
      <c r="A9461">
        <v>9459</v>
      </c>
      <c r="B9461" s="1" t="s">
        <v>12379</v>
      </c>
      <c r="C9461" t="s">
        <v>155</v>
      </c>
      <c r="D9461" s="1" t="s">
        <v>12380</v>
      </c>
    </row>
    <row r="9462" spans="1:4" hidden="1" x14ac:dyDescent="0.3">
      <c r="A9462">
        <v>9460</v>
      </c>
      <c r="B9462" t="s">
        <v>12381</v>
      </c>
      <c r="C9462" t="s">
        <v>40</v>
      </c>
      <c r="D9462">
        <v>0.44511049128471403</v>
      </c>
    </row>
    <row r="9463" spans="1:4" hidden="1" x14ac:dyDescent="0.3">
      <c r="A9463">
        <v>9461</v>
      </c>
      <c r="B9463" t="s">
        <v>12382</v>
      </c>
      <c r="C9463" t="s">
        <v>42</v>
      </c>
      <c r="D9463">
        <v>0.47337829801724901</v>
      </c>
    </row>
    <row r="9464" spans="1:4" hidden="1" x14ac:dyDescent="0.3">
      <c r="A9464">
        <v>9462</v>
      </c>
      <c r="B9464" s="1" t="s">
        <v>12383</v>
      </c>
      <c r="C9464" t="s">
        <v>159</v>
      </c>
      <c r="D9464" s="1" t="s">
        <v>12384</v>
      </c>
    </row>
    <row r="9465" spans="1:4" hidden="1" x14ac:dyDescent="0.3">
      <c r="A9465">
        <v>9463</v>
      </c>
      <c r="B9465" t="s">
        <v>12385</v>
      </c>
      <c r="C9465" t="s">
        <v>161</v>
      </c>
      <c r="D9465">
        <v>1.0147733061640301</v>
      </c>
    </row>
    <row r="9466" spans="1:4" hidden="1" x14ac:dyDescent="0.3">
      <c r="A9466">
        <v>9464</v>
      </c>
      <c r="B9466" t="s">
        <v>12386</v>
      </c>
      <c r="C9466" t="s">
        <v>163</v>
      </c>
      <c r="D9466">
        <v>0.99908301118896203</v>
      </c>
    </row>
    <row r="9467" spans="1:4" hidden="1" x14ac:dyDescent="0.3">
      <c r="A9467">
        <v>9465</v>
      </c>
      <c r="B9467" s="1" t="s">
        <v>12387</v>
      </c>
      <c r="C9467" t="s">
        <v>165</v>
      </c>
      <c r="D9467" s="1" t="s">
        <v>12388</v>
      </c>
    </row>
    <row r="9468" spans="1:4" hidden="1" x14ac:dyDescent="0.3">
      <c r="A9468">
        <v>9466</v>
      </c>
      <c r="B9468" t="s">
        <v>12389</v>
      </c>
      <c r="C9468" t="s">
        <v>168</v>
      </c>
      <c r="D9468">
        <v>0.99917148003583001</v>
      </c>
    </row>
    <row r="9469" spans="1:4" hidden="1" x14ac:dyDescent="0.3">
      <c r="A9469">
        <v>9467</v>
      </c>
      <c r="B9469" t="s">
        <v>12390</v>
      </c>
      <c r="C9469" t="s">
        <v>170</v>
      </c>
      <c r="D9469">
        <v>0.999383646918512</v>
      </c>
    </row>
    <row r="9470" spans="1:4" hidden="1" x14ac:dyDescent="0.3">
      <c r="A9470">
        <v>9468</v>
      </c>
      <c r="B9470" s="1" t="s">
        <v>12391</v>
      </c>
      <c r="C9470" t="s">
        <v>172</v>
      </c>
      <c r="D9470" s="1" t="s">
        <v>12392</v>
      </c>
    </row>
    <row r="9471" spans="1:4" hidden="1" x14ac:dyDescent="0.3">
      <c r="A9471">
        <v>9469</v>
      </c>
      <c r="B9471" s="1" t="s">
        <v>12393</v>
      </c>
      <c r="C9471" t="s">
        <v>55</v>
      </c>
      <c r="D9471" s="1" t="s">
        <v>12394</v>
      </c>
    </row>
    <row r="9472" spans="1:4" hidden="1" x14ac:dyDescent="0.3">
      <c r="A9472">
        <v>9470</v>
      </c>
      <c r="B9472" s="1" t="s">
        <v>12395</v>
      </c>
      <c r="C9472" t="s">
        <v>52</v>
      </c>
      <c r="D9472" s="1" t="s">
        <v>12396</v>
      </c>
    </row>
    <row r="9473" spans="1:4" hidden="1" x14ac:dyDescent="0.3">
      <c r="A9473">
        <v>9471</v>
      </c>
      <c r="B9473" s="1" t="s">
        <v>12397</v>
      </c>
      <c r="C9473" t="s">
        <v>58</v>
      </c>
      <c r="D9473" s="1" t="s">
        <v>12398</v>
      </c>
    </row>
    <row r="9474" spans="1:4" hidden="1" x14ac:dyDescent="0.3">
      <c r="A9474">
        <v>9472</v>
      </c>
      <c r="B9474" t="s">
        <v>12399</v>
      </c>
      <c r="C9474" t="s">
        <v>61</v>
      </c>
      <c r="D9474">
        <v>156383645.540373</v>
      </c>
    </row>
    <row r="9475" spans="1:4" hidden="1" x14ac:dyDescent="0.3">
      <c r="A9475">
        <v>9473</v>
      </c>
      <c r="B9475" t="s">
        <v>12400</v>
      </c>
      <c r="C9475" t="s">
        <v>63</v>
      </c>
      <c r="D9475">
        <v>83841862.238857195</v>
      </c>
    </row>
    <row r="9476" spans="1:4" hidden="1" x14ac:dyDescent="0.3">
      <c r="A9476">
        <v>9474</v>
      </c>
      <c r="B9476" t="s">
        <v>12401</v>
      </c>
      <c r="C9476" t="s">
        <v>65</v>
      </c>
      <c r="D9476">
        <v>34691727.196460798</v>
      </c>
    </row>
    <row r="9477" spans="1:4" hidden="1" x14ac:dyDescent="0.3">
      <c r="A9477">
        <v>9475</v>
      </c>
      <c r="B9477" s="1" t="s">
        <v>12402</v>
      </c>
      <c r="C9477" t="s">
        <v>67</v>
      </c>
      <c r="D9477" s="1" t="s">
        <v>12403</v>
      </c>
    </row>
    <row r="9478" spans="1:4" hidden="1" x14ac:dyDescent="0.3">
      <c r="A9478">
        <v>9476</v>
      </c>
      <c r="B9478" s="1" t="s">
        <v>12404</v>
      </c>
      <c r="C9478" t="s">
        <v>70</v>
      </c>
      <c r="D9478" s="1" t="s">
        <v>12405</v>
      </c>
    </row>
    <row r="9479" spans="1:4" hidden="1" x14ac:dyDescent="0.3">
      <c r="A9479">
        <v>9477</v>
      </c>
      <c r="B9479" t="s">
        <v>12406</v>
      </c>
      <c r="C9479" t="s">
        <v>73</v>
      </c>
      <c r="D9479">
        <v>0.99985046487004203</v>
      </c>
    </row>
    <row r="9480" spans="1:4" hidden="1" x14ac:dyDescent="0.3">
      <c r="A9480">
        <v>9478</v>
      </c>
      <c r="B9480" t="s">
        <v>74</v>
      </c>
      <c r="C9480" t="s">
        <v>75</v>
      </c>
      <c r="D9480">
        <v>2.7397260273972599E-3</v>
      </c>
    </row>
    <row r="9481" spans="1:4" hidden="1" x14ac:dyDescent="0.3">
      <c r="A9481">
        <v>9479</v>
      </c>
      <c r="B9481" t="s">
        <v>76</v>
      </c>
      <c r="C9481" t="s">
        <v>77</v>
      </c>
      <c r="D9481">
        <v>0</v>
      </c>
    </row>
    <row r="9482" spans="1:4" hidden="1" x14ac:dyDescent="0.3">
      <c r="A9482">
        <v>9480</v>
      </c>
      <c r="B9482" t="s">
        <v>78</v>
      </c>
      <c r="C9482" t="s">
        <v>79</v>
      </c>
      <c r="D9482">
        <v>0</v>
      </c>
    </row>
    <row r="9483" spans="1:4" hidden="1" x14ac:dyDescent="0.3">
      <c r="A9483">
        <v>9481</v>
      </c>
      <c r="B9483" s="1" t="s">
        <v>12407</v>
      </c>
      <c r="C9483" t="s">
        <v>81</v>
      </c>
      <c r="D9483" s="1" t="s">
        <v>12408</v>
      </c>
    </row>
    <row r="9484" spans="1:4" hidden="1" x14ac:dyDescent="0.3">
      <c r="A9484">
        <v>9482</v>
      </c>
      <c r="B9484" t="s">
        <v>12409</v>
      </c>
      <c r="C9484" t="s">
        <v>84</v>
      </c>
      <c r="D9484">
        <v>0.99983049308995497</v>
      </c>
    </row>
    <row r="9485" spans="1:4" hidden="1" x14ac:dyDescent="0.3">
      <c r="A9485">
        <v>9483</v>
      </c>
      <c r="B9485" s="1" t="s">
        <v>12410</v>
      </c>
      <c r="C9485" t="s">
        <v>86</v>
      </c>
      <c r="D9485" s="1" t="s">
        <v>12411</v>
      </c>
    </row>
    <row r="9486" spans="1:4" hidden="1" x14ac:dyDescent="0.3">
      <c r="A9486">
        <v>9484</v>
      </c>
      <c r="B9486" t="s">
        <v>12412</v>
      </c>
      <c r="C9486" t="s">
        <v>89</v>
      </c>
      <c r="D9486">
        <v>104273438.761986</v>
      </c>
    </row>
    <row r="9487" spans="1:4" hidden="1" x14ac:dyDescent="0.3">
      <c r="A9487">
        <v>9485</v>
      </c>
      <c r="B9487" s="1" t="s">
        <v>12413</v>
      </c>
      <c r="C9487" t="s">
        <v>91</v>
      </c>
      <c r="D9487" s="1" t="s">
        <v>12347</v>
      </c>
    </row>
    <row r="9488" spans="1:4" hidden="1" x14ac:dyDescent="0.3">
      <c r="A9488">
        <v>9486</v>
      </c>
      <c r="B9488" t="s">
        <v>12414</v>
      </c>
      <c r="C9488" t="s">
        <v>94</v>
      </c>
      <c r="D9488">
        <v>83841862.238857195</v>
      </c>
    </row>
    <row r="9489" spans="1:4" hidden="1" x14ac:dyDescent="0.3">
      <c r="A9489">
        <v>9487</v>
      </c>
      <c r="B9489" t="s">
        <v>12415</v>
      </c>
      <c r="C9489" t="s">
        <v>96</v>
      </c>
      <c r="D9489">
        <v>34691727.196460798</v>
      </c>
    </row>
    <row r="9490" spans="1:4" hidden="1" x14ac:dyDescent="0.3">
      <c r="A9490">
        <v>9488</v>
      </c>
      <c r="B9490" t="s">
        <v>12416</v>
      </c>
      <c r="C9490" t="s">
        <v>98</v>
      </c>
      <c r="D9490">
        <v>37850056.105055697</v>
      </c>
    </row>
    <row r="9491" spans="1:4" hidden="1" x14ac:dyDescent="0.3">
      <c r="A9491">
        <v>9489</v>
      </c>
      <c r="B9491" s="1" t="s">
        <v>12417</v>
      </c>
      <c r="C9491" t="s">
        <v>100</v>
      </c>
      <c r="D9491" s="1" t="s">
        <v>12418</v>
      </c>
    </row>
    <row r="9492" spans="1:4" hidden="1" x14ac:dyDescent="0.3">
      <c r="A9492">
        <v>9490</v>
      </c>
      <c r="B9492" t="s">
        <v>12419</v>
      </c>
      <c r="C9492" t="s">
        <v>103</v>
      </c>
      <c r="D9492">
        <v>1.00617254340783E-2</v>
      </c>
    </row>
    <row r="9493" spans="1:4" hidden="1" x14ac:dyDescent="0.3">
      <c r="A9493">
        <v>9491</v>
      </c>
      <c r="B9493" t="s">
        <v>12420</v>
      </c>
      <c r="C9493" t="s">
        <v>105</v>
      </c>
      <c r="D9493">
        <v>2.7967864845505198E-3</v>
      </c>
    </row>
    <row r="9494" spans="1:4" hidden="1" x14ac:dyDescent="0.3">
      <c r="A9494">
        <v>9492</v>
      </c>
      <c r="B9494" t="s">
        <v>12421</v>
      </c>
      <c r="C9494" t="s">
        <v>107</v>
      </c>
      <c r="D9494">
        <v>2.08064011154948E-2</v>
      </c>
    </row>
    <row r="9495" spans="1:4" hidden="1" x14ac:dyDescent="0.3">
      <c r="A9495">
        <v>9493</v>
      </c>
      <c r="B9495" s="1" t="s">
        <v>12422</v>
      </c>
      <c r="C9495" t="s">
        <v>109</v>
      </c>
      <c r="D9495" s="1" t="s">
        <v>12423</v>
      </c>
    </row>
    <row r="9496" spans="1:4" hidden="1" x14ac:dyDescent="0.3">
      <c r="A9496">
        <v>9494</v>
      </c>
      <c r="B9496" t="s">
        <v>12424</v>
      </c>
      <c r="C9496" t="s">
        <v>208</v>
      </c>
      <c r="D9496">
        <v>156382928.81406599</v>
      </c>
    </row>
    <row r="9497" spans="1:4" hidden="1" x14ac:dyDescent="0.3">
      <c r="A9497">
        <v>9495</v>
      </c>
      <c r="B9497" t="s">
        <v>12425</v>
      </c>
      <c r="C9497" t="s">
        <v>210</v>
      </c>
      <c r="D9497">
        <v>459827.65798014001</v>
      </c>
    </row>
    <row r="9498" spans="1:4" hidden="1" x14ac:dyDescent="0.3">
      <c r="A9498">
        <v>9496</v>
      </c>
      <c r="B9498" t="s">
        <v>12426</v>
      </c>
      <c r="C9498" t="s">
        <v>212</v>
      </c>
      <c r="D9498">
        <v>190266.403810758</v>
      </c>
    </row>
    <row r="9499" spans="1:4" hidden="1" x14ac:dyDescent="0.3">
      <c r="A9499">
        <v>9497</v>
      </c>
      <c r="B9499" s="1" t="s">
        <v>12427</v>
      </c>
      <c r="C9499" t="s">
        <v>214</v>
      </c>
      <c r="D9499" s="1" t="s">
        <v>12428</v>
      </c>
    </row>
    <row r="9500" spans="1:4" hidden="1" x14ac:dyDescent="0.3">
      <c r="A9500">
        <v>9498</v>
      </c>
      <c r="B9500" t="s">
        <v>12429</v>
      </c>
      <c r="C9500" t="s">
        <v>217</v>
      </c>
      <c r="D9500">
        <v>83381476.3291713</v>
      </c>
    </row>
    <row r="9501" spans="1:4" hidden="1" x14ac:dyDescent="0.3">
      <c r="A9501">
        <v>9499</v>
      </c>
      <c r="B9501" t="s">
        <v>12430</v>
      </c>
      <c r="C9501" t="s">
        <v>219</v>
      </c>
      <c r="D9501">
        <v>34501390.619414501</v>
      </c>
    </row>
    <row r="9502" spans="1:4" hidden="1" x14ac:dyDescent="0.3">
      <c r="A9502">
        <v>9500</v>
      </c>
      <c r="B9502" t="s">
        <v>12431</v>
      </c>
      <c r="C9502" t="s">
        <v>221</v>
      </c>
      <c r="D9502">
        <v>37642379.643414602</v>
      </c>
    </row>
    <row r="9503" spans="1:4" hidden="1" x14ac:dyDescent="0.3">
      <c r="A9503">
        <v>9501</v>
      </c>
      <c r="B9503" s="1" t="s">
        <v>12432</v>
      </c>
      <c r="C9503" t="s">
        <v>223</v>
      </c>
      <c r="D9503" s="1" t="s">
        <v>12433</v>
      </c>
    </row>
    <row r="9504" spans="1:4" hidden="1" x14ac:dyDescent="0.3">
      <c r="A9504">
        <v>9502</v>
      </c>
      <c r="B9504" t="s">
        <v>12434</v>
      </c>
      <c r="C9504" t="s">
        <v>226</v>
      </c>
      <c r="D9504">
        <v>103701551.054433</v>
      </c>
    </row>
    <row r="9505" spans="1:4" hidden="1" x14ac:dyDescent="0.3">
      <c r="A9505">
        <v>9503</v>
      </c>
      <c r="B9505" t="s">
        <v>12435</v>
      </c>
      <c r="C9505" t="s">
        <v>228</v>
      </c>
      <c r="D9505">
        <v>571887.70755292405</v>
      </c>
    </row>
    <row r="9506" spans="1:4" hidden="1" x14ac:dyDescent="0.3">
      <c r="A9506">
        <v>9504</v>
      </c>
      <c r="B9506" s="1" t="s">
        <v>12436</v>
      </c>
      <c r="C9506" t="s">
        <v>230</v>
      </c>
      <c r="D9506" s="1" t="s">
        <v>12437</v>
      </c>
    </row>
    <row r="9507" spans="1:4" hidden="1" x14ac:dyDescent="0.3">
      <c r="A9507">
        <v>9505</v>
      </c>
      <c r="B9507" t="s">
        <v>12438</v>
      </c>
      <c r="C9507" t="s">
        <v>112</v>
      </c>
      <c r="D9507">
        <v>-558.25170577537403</v>
      </c>
    </row>
    <row r="9508" spans="1:4" hidden="1" x14ac:dyDescent="0.3">
      <c r="A9508">
        <v>9506</v>
      </c>
      <c r="B9508" t="s">
        <v>12439</v>
      </c>
      <c r="C9508" t="s">
        <v>114</v>
      </c>
      <c r="D9508">
        <v>-70.173235534422304</v>
      </c>
    </row>
    <row r="9509" spans="1:4" hidden="1" x14ac:dyDescent="0.3">
      <c r="A9509">
        <v>9507</v>
      </c>
      <c r="B9509" s="1" t="s">
        <v>12440</v>
      </c>
      <c r="C9509" t="s">
        <v>116</v>
      </c>
      <c r="D9509" s="1" t="s">
        <v>12441</v>
      </c>
    </row>
    <row r="9510" spans="1:4" hidden="1" x14ac:dyDescent="0.3">
      <c r="A9510">
        <v>9508</v>
      </c>
      <c r="B9510" t="s">
        <v>12442</v>
      </c>
      <c r="C9510" t="s">
        <v>119</v>
      </c>
      <c r="D9510">
        <v>83381476.3291713</v>
      </c>
    </row>
    <row r="9511" spans="1:4" hidden="1" x14ac:dyDescent="0.3">
      <c r="A9511">
        <v>9509</v>
      </c>
      <c r="B9511" t="s">
        <v>12443</v>
      </c>
      <c r="C9511" t="s">
        <v>121</v>
      </c>
      <c r="D9511">
        <v>34501390.619414501</v>
      </c>
    </row>
    <row r="9512" spans="1:4" hidden="1" x14ac:dyDescent="0.3">
      <c r="A9512">
        <v>9510</v>
      </c>
      <c r="B9512" s="1" t="s">
        <v>12444</v>
      </c>
      <c r="C9512" t="s">
        <v>123</v>
      </c>
      <c r="D9512" s="1" t="s">
        <v>12445</v>
      </c>
    </row>
    <row r="9513" spans="1:4" hidden="1" x14ac:dyDescent="0.3">
      <c r="A9513">
        <v>9511</v>
      </c>
      <c r="B9513" t="s">
        <v>12446</v>
      </c>
      <c r="C9513" t="s">
        <v>126</v>
      </c>
      <c r="D9513">
        <v>0.80418867040837105</v>
      </c>
    </row>
    <row r="9514" spans="1:4" hidden="1" x14ac:dyDescent="0.3">
      <c r="A9514">
        <v>9512</v>
      </c>
      <c r="B9514" t="s">
        <v>12447</v>
      </c>
      <c r="C9514" t="s">
        <v>128</v>
      </c>
      <c r="D9514">
        <v>0.33275529135432003</v>
      </c>
    </row>
    <row r="9515" spans="1:4" hidden="1" x14ac:dyDescent="0.3">
      <c r="A9515">
        <v>9513</v>
      </c>
      <c r="B9515" s="1" t="s">
        <v>12448</v>
      </c>
      <c r="C9515" t="s">
        <v>130</v>
      </c>
      <c r="D9515" s="1" t="s">
        <v>12449</v>
      </c>
    </row>
    <row r="9516" spans="1:4" ht="72" x14ac:dyDescent="0.3">
      <c r="A9516">
        <v>9514</v>
      </c>
      <c r="B9516" s="1" t="s">
        <v>12450</v>
      </c>
      <c r="C9516" t="s">
        <v>4</v>
      </c>
      <c r="D9516" t="s">
        <v>12451</v>
      </c>
    </row>
    <row r="9517" spans="1:4" hidden="1" x14ac:dyDescent="0.3">
      <c r="A9517">
        <v>9515</v>
      </c>
      <c r="B9517" t="s">
        <v>12452</v>
      </c>
      <c r="C9517" t="s">
        <v>7</v>
      </c>
      <c r="D9517">
        <v>1926.08</v>
      </c>
    </row>
    <row r="9518" spans="1:4" hidden="1" x14ac:dyDescent="0.3">
      <c r="A9518">
        <v>9516</v>
      </c>
      <c r="B9518" s="1" t="s">
        <v>12453</v>
      </c>
      <c r="C9518" t="s">
        <v>9</v>
      </c>
      <c r="D9518" s="1" t="s">
        <v>12454</v>
      </c>
    </row>
    <row r="9519" spans="1:4" hidden="1" x14ac:dyDescent="0.3">
      <c r="A9519">
        <v>9517</v>
      </c>
      <c r="B9519" t="s">
        <v>12455</v>
      </c>
      <c r="C9519" t="s">
        <v>14</v>
      </c>
      <c r="D9519">
        <v>90.59765625</v>
      </c>
    </row>
    <row r="9520" spans="1:4" hidden="1" x14ac:dyDescent="0.3">
      <c r="A9520">
        <v>9518</v>
      </c>
      <c r="B9520" t="s">
        <v>12456</v>
      </c>
      <c r="C9520" t="s">
        <v>16</v>
      </c>
      <c r="D9520">
        <v>4.2455580705379097</v>
      </c>
    </row>
    <row r="9521" spans="1:4" hidden="1" x14ac:dyDescent="0.3">
      <c r="A9521">
        <v>9519</v>
      </c>
      <c r="B9521" s="1" t="s">
        <v>12457</v>
      </c>
      <c r="C9521" t="s">
        <v>140</v>
      </c>
      <c r="D9521" s="1" t="s">
        <v>12458</v>
      </c>
    </row>
    <row r="9522" spans="1:4" hidden="1" x14ac:dyDescent="0.3">
      <c r="A9522">
        <v>9520</v>
      </c>
      <c r="B9522" t="s">
        <v>12459</v>
      </c>
      <c r="C9522" t="s">
        <v>22</v>
      </c>
      <c r="D9522">
        <v>63.55</v>
      </c>
    </row>
    <row r="9523" spans="1:4" hidden="1" x14ac:dyDescent="0.3">
      <c r="A9523">
        <v>9521</v>
      </c>
      <c r="B9523" t="s">
        <v>12460</v>
      </c>
      <c r="C9523" t="s">
        <v>24</v>
      </c>
      <c r="D9523">
        <v>4.0257616806119696</v>
      </c>
    </row>
    <row r="9524" spans="1:4" hidden="1" x14ac:dyDescent="0.3">
      <c r="A9524">
        <v>9522</v>
      </c>
      <c r="B9524" s="1" t="s">
        <v>12461</v>
      </c>
      <c r="C9524" t="s">
        <v>145</v>
      </c>
      <c r="D9524" s="1" t="s">
        <v>12462</v>
      </c>
    </row>
    <row r="9525" spans="1:4" hidden="1" x14ac:dyDescent="0.3">
      <c r="A9525">
        <v>9523</v>
      </c>
      <c r="B9525" t="s">
        <v>12463</v>
      </c>
      <c r="C9525" t="s">
        <v>35</v>
      </c>
      <c r="D9525">
        <v>-2.0610595304745201</v>
      </c>
    </row>
    <row r="9526" spans="1:4" hidden="1" x14ac:dyDescent="0.3">
      <c r="A9526">
        <v>9524</v>
      </c>
      <c r="B9526" t="s">
        <v>12464</v>
      </c>
      <c r="C9526" t="s">
        <v>149</v>
      </c>
      <c r="D9526">
        <v>0.54185719784002995</v>
      </c>
    </row>
    <row r="9527" spans="1:4" hidden="1" x14ac:dyDescent="0.3">
      <c r="A9527">
        <v>9525</v>
      </c>
      <c r="B9527" s="1" t="s">
        <v>12465</v>
      </c>
      <c r="C9527" t="s">
        <v>151</v>
      </c>
      <c r="D9527" s="1" t="s">
        <v>12466</v>
      </c>
    </row>
    <row r="9528" spans="1:4" hidden="1" x14ac:dyDescent="0.3">
      <c r="A9528">
        <v>9526</v>
      </c>
      <c r="B9528" t="s">
        <v>12467</v>
      </c>
      <c r="C9528" t="s">
        <v>30</v>
      </c>
      <c r="D9528">
        <v>1.5021516227344001</v>
      </c>
    </row>
    <row r="9529" spans="1:4" hidden="1" x14ac:dyDescent="0.3">
      <c r="A9529">
        <v>9527</v>
      </c>
      <c r="B9529" t="s">
        <v>12468</v>
      </c>
      <c r="C9529" t="s">
        <v>32</v>
      </c>
      <c r="D9529">
        <v>0.36939914374731903</v>
      </c>
    </row>
    <row r="9530" spans="1:4" hidden="1" x14ac:dyDescent="0.3">
      <c r="A9530">
        <v>9528</v>
      </c>
      <c r="B9530" s="1" t="s">
        <v>12469</v>
      </c>
      <c r="C9530" t="s">
        <v>155</v>
      </c>
      <c r="D9530" s="1" t="s">
        <v>12470</v>
      </c>
    </row>
    <row r="9531" spans="1:4" hidden="1" x14ac:dyDescent="0.3">
      <c r="A9531">
        <v>9529</v>
      </c>
      <c r="B9531" t="s">
        <v>12471</v>
      </c>
      <c r="C9531" t="s">
        <v>40</v>
      </c>
      <c r="D9531">
        <v>1.55890790774012</v>
      </c>
    </row>
    <row r="9532" spans="1:4" hidden="1" x14ac:dyDescent="0.3">
      <c r="A9532">
        <v>9530</v>
      </c>
      <c r="B9532" t="s">
        <v>12472</v>
      </c>
      <c r="C9532" t="s">
        <v>42</v>
      </c>
      <c r="D9532">
        <v>0.476105546392877</v>
      </c>
    </row>
    <row r="9533" spans="1:4" hidden="1" x14ac:dyDescent="0.3">
      <c r="A9533">
        <v>9531</v>
      </c>
      <c r="B9533" s="1" t="s">
        <v>12473</v>
      </c>
      <c r="C9533" t="s">
        <v>159</v>
      </c>
      <c r="D9533" s="1" t="s">
        <v>12474</v>
      </c>
    </row>
    <row r="9534" spans="1:4" hidden="1" x14ac:dyDescent="0.3">
      <c r="A9534">
        <v>9532</v>
      </c>
      <c r="B9534" t="s">
        <v>12475</v>
      </c>
      <c r="C9534" t="s">
        <v>161</v>
      </c>
      <c r="D9534">
        <v>0.99681199022895695</v>
      </c>
    </row>
    <row r="9535" spans="1:4" hidden="1" x14ac:dyDescent="0.3">
      <c r="A9535">
        <v>9533</v>
      </c>
      <c r="B9535" t="s">
        <v>12476</v>
      </c>
      <c r="C9535" t="s">
        <v>163</v>
      </c>
      <c r="D9535">
        <v>0.99861807068460096</v>
      </c>
    </row>
    <row r="9536" spans="1:4" hidden="1" x14ac:dyDescent="0.3">
      <c r="A9536">
        <v>9534</v>
      </c>
      <c r="B9536" s="1" t="s">
        <v>12477</v>
      </c>
      <c r="C9536" t="s">
        <v>165</v>
      </c>
      <c r="D9536" s="1" t="s">
        <v>12478</v>
      </c>
    </row>
    <row r="9537" spans="1:4" hidden="1" x14ac:dyDescent="0.3">
      <c r="A9537">
        <v>9535</v>
      </c>
      <c r="B9537" t="s">
        <v>12479</v>
      </c>
      <c r="C9537" t="s">
        <v>168</v>
      </c>
      <c r="D9537">
        <v>1.00025027912625</v>
      </c>
    </row>
    <row r="9538" spans="1:4" hidden="1" x14ac:dyDescent="0.3">
      <c r="A9538">
        <v>9536</v>
      </c>
      <c r="B9538" t="s">
        <v>12480</v>
      </c>
      <c r="C9538" t="s">
        <v>170</v>
      </c>
      <c r="D9538">
        <v>0.99705690403268599</v>
      </c>
    </row>
    <row r="9539" spans="1:4" hidden="1" x14ac:dyDescent="0.3">
      <c r="A9539">
        <v>9537</v>
      </c>
      <c r="B9539" s="1" t="s">
        <v>12481</v>
      </c>
      <c r="C9539" t="s">
        <v>172</v>
      </c>
      <c r="D9539" s="1" t="s">
        <v>12482</v>
      </c>
    </row>
    <row r="9540" spans="1:4" hidden="1" x14ac:dyDescent="0.3">
      <c r="A9540">
        <v>9538</v>
      </c>
      <c r="B9540" s="1" t="s">
        <v>12483</v>
      </c>
      <c r="C9540" t="s">
        <v>55</v>
      </c>
      <c r="D9540" s="1" t="s">
        <v>12484</v>
      </c>
    </row>
    <row r="9541" spans="1:4" hidden="1" x14ac:dyDescent="0.3">
      <c r="A9541">
        <v>9539</v>
      </c>
      <c r="B9541" s="1" t="s">
        <v>12485</v>
      </c>
      <c r="C9541" t="s">
        <v>52</v>
      </c>
      <c r="D9541" s="1" t="s">
        <v>12486</v>
      </c>
    </row>
    <row r="9542" spans="1:4" hidden="1" x14ac:dyDescent="0.3">
      <c r="A9542">
        <v>9540</v>
      </c>
      <c r="B9542" s="1" t="s">
        <v>12487</v>
      </c>
      <c r="C9542" t="s">
        <v>58</v>
      </c>
      <c r="D9542" s="1" t="s">
        <v>12488</v>
      </c>
    </row>
    <row r="9543" spans="1:4" hidden="1" x14ac:dyDescent="0.3">
      <c r="A9543">
        <v>9541</v>
      </c>
      <c r="B9543" t="s">
        <v>12489</v>
      </c>
      <c r="C9543" t="s">
        <v>61</v>
      </c>
      <c r="D9543">
        <v>155254690.32265401</v>
      </c>
    </row>
    <row r="9544" spans="1:4" hidden="1" x14ac:dyDescent="0.3">
      <c r="A9544">
        <v>9542</v>
      </c>
      <c r="B9544" t="s">
        <v>12490</v>
      </c>
      <c r="C9544" t="s">
        <v>63</v>
      </c>
      <c r="D9544">
        <v>83115655.367909893</v>
      </c>
    </row>
    <row r="9545" spans="1:4" hidden="1" x14ac:dyDescent="0.3">
      <c r="A9545">
        <v>9543</v>
      </c>
      <c r="B9545" t="s">
        <v>12491</v>
      </c>
      <c r="C9545" t="s">
        <v>65</v>
      </c>
      <c r="D9545">
        <v>34453712.136295497</v>
      </c>
    </row>
    <row r="9546" spans="1:4" hidden="1" x14ac:dyDescent="0.3">
      <c r="A9546">
        <v>9544</v>
      </c>
      <c r="B9546" s="1" t="s">
        <v>12492</v>
      </c>
      <c r="C9546" t="s">
        <v>67</v>
      </c>
      <c r="D9546" s="1" t="s">
        <v>12493</v>
      </c>
    </row>
    <row r="9547" spans="1:4" hidden="1" x14ac:dyDescent="0.3">
      <c r="A9547">
        <v>9545</v>
      </c>
      <c r="B9547" s="1" t="s">
        <v>12494</v>
      </c>
      <c r="C9547" t="s">
        <v>70</v>
      </c>
      <c r="D9547" s="1" t="s">
        <v>12495</v>
      </c>
    </row>
    <row r="9548" spans="1:4" hidden="1" x14ac:dyDescent="0.3">
      <c r="A9548">
        <v>9546</v>
      </c>
      <c r="B9548" t="s">
        <v>12496</v>
      </c>
      <c r="C9548" t="s">
        <v>73</v>
      </c>
      <c r="D9548">
        <v>0.99983049308995497</v>
      </c>
    </row>
    <row r="9549" spans="1:4" hidden="1" x14ac:dyDescent="0.3">
      <c r="A9549">
        <v>9547</v>
      </c>
      <c r="B9549" t="s">
        <v>74</v>
      </c>
      <c r="C9549" t="s">
        <v>75</v>
      </c>
      <c r="D9549">
        <v>2.7397260273972599E-3</v>
      </c>
    </row>
    <row r="9550" spans="1:4" hidden="1" x14ac:dyDescent="0.3">
      <c r="A9550">
        <v>9548</v>
      </c>
      <c r="B9550" t="s">
        <v>76</v>
      </c>
      <c r="C9550" t="s">
        <v>77</v>
      </c>
      <c r="D9550">
        <v>0</v>
      </c>
    </row>
    <row r="9551" spans="1:4" hidden="1" x14ac:dyDescent="0.3">
      <c r="A9551">
        <v>9549</v>
      </c>
      <c r="B9551" t="s">
        <v>78</v>
      </c>
      <c r="C9551" t="s">
        <v>79</v>
      </c>
      <c r="D9551">
        <v>0</v>
      </c>
    </row>
    <row r="9552" spans="1:4" hidden="1" x14ac:dyDescent="0.3">
      <c r="A9552">
        <v>9550</v>
      </c>
      <c r="B9552" s="1" t="s">
        <v>12497</v>
      </c>
      <c r="C9552" t="s">
        <v>81</v>
      </c>
      <c r="D9552" s="1" t="s">
        <v>12498</v>
      </c>
    </row>
    <row r="9553" spans="1:4" hidden="1" x14ac:dyDescent="0.3">
      <c r="A9553">
        <v>9551</v>
      </c>
      <c r="B9553" t="s">
        <v>12499</v>
      </c>
      <c r="C9553" t="s">
        <v>84</v>
      </c>
      <c r="D9553">
        <v>0.99986259311860104</v>
      </c>
    </row>
    <row r="9554" spans="1:4" hidden="1" x14ac:dyDescent="0.3">
      <c r="A9554">
        <v>9552</v>
      </c>
      <c r="B9554" s="1" t="s">
        <v>12500</v>
      </c>
      <c r="C9554" t="s">
        <v>86</v>
      </c>
      <c r="D9554" s="1" t="s">
        <v>12501</v>
      </c>
    </row>
    <row r="9555" spans="1:4" hidden="1" x14ac:dyDescent="0.3">
      <c r="A9555">
        <v>9553</v>
      </c>
      <c r="B9555" t="s">
        <v>12502</v>
      </c>
      <c r="C9555" t="s">
        <v>89</v>
      </c>
      <c r="D9555">
        <v>104270091.121626</v>
      </c>
    </row>
    <row r="9556" spans="1:4" hidden="1" x14ac:dyDescent="0.3">
      <c r="A9556">
        <v>9554</v>
      </c>
      <c r="B9556" s="1" t="s">
        <v>12503</v>
      </c>
      <c r="C9556" t="s">
        <v>91</v>
      </c>
      <c r="D9556" s="1" t="s">
        <v>12437</v>
      </c>
    </row>
    <row r="9557" spans="1:4" hidden="1" x14ac:dyDescent="0.3">
      <c r="A9557">
        <v>9555</v>
      </c>
      <c r="B9557" t="s">
        <v>12504</v>
      </c>
      <c r="C9557" t="s">
        <v>94</v>
      </c>
      <c r="D9557">
        <v>83115655.367909893</v>
      </c>
    </row>
    <row r="9558" spans="1:4" hidden="1" x14ac:dyDescent="0.3">
      <c r="A9558">
        <v>9556</v>
      </c>
      <c r="B9558" t="s">
        <v>12505</v>
      </c>
      <c r="C9558" t="s">
        <v>96</v>
      </c>
      <c r="D9558">
        <v>34453712.136295497</v>
      </c>
    </row>
    <row r="9559" spans="1:4" hidden="1" x14ac:dyDescent="0.3">
      <c r="A9559">
        <v>9557</v>
      </c>
      <c r="B9559" t="s">
        <v>12506</v>
      </c>
      <c r="C9559" t="s">
        <v>98</v>
      </c>
      <c r="D9559">
        <v>37685322.818449102</v>
      </c>
    </row>
    <row r="9560" spans="1:4" hidden="1" x14ac:dyDescent="0.3">
      <c r="A9560">
        <v>9558</v>
      </c>
      <c r="B9560" s="1" t="s">
        <v>12507</v>
      </c>
      <c r="C9560" t="s">
        <v>100</v>
      </c>
      <c r="D9560" s="1" t="s">
        <v>12508</v>
      </c>
    </row>
    <row r="9561" spans="1:4" hidden="1" x14ac:dyDescent="0.3">
      <c r="A9561">
        <v>9559</v>
      </c>
      <c r="B9561" t="s">
        <v>12509</v>
      </c>
      <c r="C9561" t="s">
        <v>103</v>
      </c>
      <c r="D9561">
        <v>1.01309307463696E-2</v>
      </c>
    </row>
    <row r="9562" spans="1:4" hidden="1" x14ac:dyDescent="0.3">
      <c r="A9562">
        <v>9560</v>
      </c>
      <c r="B9562" t="s">
        <v>12510</v>
      </c>
      <c r="C9562" t="s">
        <v>105</v>
      </c>
      <c r="D9562">
        <v>2.7886462522978702E-3</v>
      </c>
    </row>
    <row r="9563" spans="1:4" hidden="1" x14ac:dyDescent="0.3">
      <c r="A9563">
        <v>9561</v>
      </c>
      <c r="B9563" t="s">
        <v>12511</v>
      </c>
      <c r="C9563" t="s">
        <v>107</v>
      </c>
      <c r="D9563">
        <v>2.0804563290910402E-2</v>
      </c>
    </row>
    <row r="9564" spans="1:4" hidden="1" x14ac:dyDescent="0.3">
      <c r="A9564">
        <v>9562</v>
      </c>
      <c r="B9564" s="1" t="s">
        <v>12512</v>
      </c>
      <c r="C9564" t="s">
        <v>109</v>
      </c>
      <c r="D9564" s="1" t="s">
        <v>12513</v>
      </c>
    </row>
    <row r="9565" spans="1:4" hidden="1" x14ac:dyDescent="0.3">
      <c r="A9565">
        <v>9563</v>
      </c>
      <c r="B9565" t="s">
        <v>12514</v>
      </c>
      <c r="C9565" t="s">
        <v>208</v>
      </c>
      <c r="D9565">
        <v>155255844.76227301</v>
      </c>
    </row>
    <row r="9566" spans="1:4" hidden="1" x14ac:dyDescent="0.3">
      <c r="A9566">
        <v>9564</v>
      </c>
      <c r="B9566" t="s">
        <v>12515</v>
      </c>
      <c r="C9566" t="s">
        <v>210</v>
      </c>
      <c r="D9566">
        <v>-2668.4960060939002</v>
      </c>
    </row>
    <row r="9567" spans="1:4" hidden="1" x14ac:dyDescent="0.3">
      <c r="A9567">
        <v>9565</v>
      </c>
      <c r="B9567" t="s">
        <v>12516</v>
      </c>
      <c r="C9567" t="s">
        <v>212</v>
      </c>
      <c r="D9567">
        <v>-1106.15654038451</v>
      </c>
    </row>
    <row r="9568" spans="1:4" hidden="1" x14ac:dyDescent="0.3">
      <c r="A9568">
        <v>9566</v>
      </c>
      <c r="B9568" s="1" t="s">
        <v>12517</v>
      </c>
      <c r="C9568" t="s">
        <v>214</v>
      </c>
      <c r="D9568" s="1" t="s">
        <v>12518</v>
      </c>
    </row>
    <row r="9569" spans="1:4" hidden="1" x14ac:dyDescent="0.3">
      <c r="A9569">
        <v>9567</v>
      </c>
      <c r="B9569" t="s">
        <v>12519</v>
      </c>
      <c r="C9569" t="s">
        <v>217</v>
      </c>
      <c r="D9569">
        <v>83119219.792271107</v>
      </c>
    </row>
    <row r="9570" spans="1:4" hidden="1" x14ac:dyDescent="0.3">
      <c r="A9570">
        <v>9568</v>
      </c>
      <c r="B9570" t="s">
        <v>12520</v>
      </c>
      <c r="C9570" t="s">
        <v>219</v>
      </c>
      <c r="D9570">
        <v>34454939.5595548</v>
      </c>
    </row>
    <row r="9571" spans="1:4" hidden="1" x14ac:dyDescent="0.3">
      <c r="A9571">
        <v>9569</v>
      </c>
      <c r="B9571" t="s">
        <v>12521</v>
      </c>
      <c r="C9571" t="s">
        <v>221</v>
      </c>
      <c r="D9571">
        <v>37686669.972429998</v>
      </c>
    </row>
    <row r="9572" spans="1:4" hidden="1" x14ac:dyDescent="0.3">
      <c r="A9572">
        <v>9570</v>
      </c>
      <c r="B9572" s="1" t="s">
        <v>12522</v>
      </c>
      <c r="C9572" t="s">
        <v>223</v>
      </c>
      <c r="D9572" s="1" t="s">
        <v>12523</v>
      </c>
    </row>
    <row r="9573" spans="1:4" hidden="1" x14ac:dyDescent="0.3">
      <c r="A9573">
        <v>9571</v>
      </c>
      <c r="B9573" t="s">
        <v>12524</v>
      </c>
      <c r="C9573" t="s">
        <v>226</v>
      </c>
      <c r="D9573">
        <v>104273438.761986</v>
      </c>
    </row>
    <row r="9574" spans="1:4" hidden="1" x14ac:dyDescent="0.3">
      <c r="A9574">
        <v>9572</v>
      </c>
      <c r="B9574" t="s">
        <v>12525</v>
      </c>
      <c r="C9574" t="s">
        <v>228</v>
      </c>
      <c r="D9574">
        <v>-3347.64036011695</v>
      </c>
    </row>
    <row r="9575" spans="1:4" hidden="1" x14ac:dyDescent="0.3">
      <c r="A9575">
        <v>9573</v>
      </c>
      <c r="B9575" s="1" t="s">
        <v>12526</v>
      </c>
      <c r="C9575" t="s">
        <v>230</v>
      </c>
      <c r="D9575" s="1" t="s">
        <v>12527</v>
      </c>
    </row>
    <row r="9576" spans="1:4" hidden="1" x14ac:dyDescent="0.3">
      <c r="A9576">
        <v>9574</v>
      </c>
      <c r="B9576" t="s">
        <v>12528</v>
      </c>
      <c r="C9576" t="s">
        <v>112</v>
      </c>
      <c r="D9576">
        <v>895.92835508614598</v>
      </c>
    </row>
    <row r="9577" spans="1:4" hidden="1" x14ac:dyDescent="0.3">
      <c r="A9577">
        <v>9575</v>
      </c>
      <c r="B9577" t="s">
        <v>12529</v>
      </c>
      <c r="C9577" t="s">
        <v>114</v>
      </c>
      <c r="D9577">
        <v>121.26671891377801</v>
      </c>
    </row>
    <row r="9578" spans="1:4" hidden="1" x14ac:dyDescent="0.3">
      <c r="A9578">
        <v>9576</v>
      </c>
      <c r="B9578" s="1" t="s">
        <v>12530</v>
      </c>
      <c r="C9578" t="s">
        <v>116</v>
      </c>
      <c r="D9578" s="1" t="s">
        <v>12531</v>
      </c>
    </row>
    <row r="9579" spans="1:4" hidden="1" x14ac:dyDescent="0.3">
      <c r="A9579">
        <v>9577</v>
      </c>
      <c r="B9579" t="s">
        <v>12532</v>
      </c>
      <c r="C9579" t="s">
        <v>119</v>
      </c>
      <c r="D9579">
        <v>83119219.792271107</v>
      </c>
    </row>
    <row r="9580" spans="1:4" hidden="1" x14ac:dyDescent="0.3">
      <c r="A9580">
        <v>9578</v>
      </c>
      <c r="B9580" t="s">
        <v>12533</v>
      </c>
      <c r="C9580" t="s">
        <v>121</v>
      </c>
      <c r="D9580">
        <v>34454939.5595548</v>
      </c>
    </row>
    <row r="9581" spans="1:4" hidden="1" x14ac:dyDescent="0.3">
      <c r="A9581">
        <v>9579</v>
      </c>
      <c r="B9581" s="1" t="s">
        <v>12534</v>
      </c>
      <c r="C9581" t="s">
        <v>123</v>
      </c>
      <c r="D9581" s="1" t="s">
        <v>12535</v>
      </c>
    </row>
    <row r="9582" spans="1:4" hidden="1" x14ac:dyDescent="0.3">
      <c r="A9582">
        <v>9580</v>
      </c>
      <c r="B9582" t="s">
        <v>12536</v>
      </c>
      <c r="C9582" t="s">
        <v>126</v>
      </c>
      <c r="D9582">
        <v>0.79723699056631803</v>
      </c>
    </row>
    <row r="9583" spans="1:4" hidden="1" x14ac:dyDescent="0.3">
      <c r="A9583">
        <v>9581</v>
      </c>
      <c r="B9583" t="s">
        <v>12537</v>
      </c>
      <c r="C9583" t="s">
        <v>128</v>
      </c>
      <c r="D9583">
        <v>0.330474135744451</v>
      </c>
    </row>
    <row r="9584" spans="1:4" hidden="1" x14ac:dyDescent="0.3">
      <c r="A9584">
        <v>9582</v>
      </c>
      <c r="B9584" s="1" t="s">
        <v>12538</v>
      </c>
      <c r="C9584" t="s">
        <v>130</v>
      </c>
      <c r="D9584" s="1" t="s">
        <v>12539</v>
      </c>
    </row>
    <row r="9585" spans="1:4" ht="72" x14ac:dyDescent="0.3">
      <c r="A9585">
        <v>9583</v>
      </c>
      <c r="B9585" s="1" t="s">
        <v>12540</v>
      </c>
      <c r="C9585" t="s">
        <v>4</v>
      </c>
      <c r="D9585" t="s">
        <v>12541</v>
      </c>
    </row>
    <row r="9586" spans="1:4" hidden="1" x14ac:dyDescent="0.3">
      <c r="A9586">
        <v>9584</v>
      </c>
      <c r="B9586" t="s">
        <v>12542</v>
      </c>
      <c r="C9586" t="s">
        <v>7</v>
      </c>
      <c r="D9586">
        <v>1929.21</v>
      </c>
    </row>
    <row r="9587" spans="1:4" hidden="1" x14ac:dyDescent="0.3">
      <c r="A9587">
        <v>9585</v>
      </c>
      <c r="B9587" s="1" t="s">
        <v>12543</v>
      </c>
      <c r="C9587" t="s">
        <v>9</v>
      </c>
      <c r="D9587" s="1" t="s">
        <v>12544</v>
      </c>
    </row>
    <row r="9588" spans="1:4" hidden="1" x14ac:dyDescent="0.3">
      <c r="A9588">
        <v>9586</v>
      </c>
      <c r="B9588" t="s">
        <v>12545</v>
      </c>
      <c r="C9588" t="s">
        <v>14</v>
      </c>
      <c r="D9588">
        <v>90.48828125</v>
      </c>
    </row>
    <row r="9589" spans="1:4" hidden="1" x14ac:dyDescent="0.3">
      <c r="A9589">
        <v>9587</v>
      </c>
      <c r="B9589" t="s">
        <v>12546</v>
      </c>
      <c r="C9589" t="s">
        <v>16</v>
      </c>
      <c r="D9589">
        <v>4.2451334051437799</v>
      </c>
    </row>
    <row r="9590" spans="1:4" hidden="1" x14ac:dyDescent="0.3">
      <c r="A9590">
        <v>9588</v>
      </c>
      <c r="B9590" s="1" t="s">
        <v>12547</v>
      </c>
      <c r="C9590" t="s">
        <v>140</v>
      </c>
      <c r="D9590" s="1" t="s">
        <v>12548</v>
      </c>
    </row>
    <row r="9591" spans="1:4" hidden="1" x14ac:dyDescent="0.3">
      <c r="A9591">
        <v>9589</v>
      </c>
      <c r="B9591" t="s">
        <v>12549</v>
      </c>
      <c r="C9591" t="s">
        <v>22</v>
      </c>
      <c r="D9591">
        <v>63.8</v>
      </c>
    </row>
    <row r="9592" spans="1:4" hidden="1" x14ac:dyDescent="0.3">
      <c r="A9592">
        <v>9590</v>
      </c>
      <c r="B9592" t="s">
        <v>12550</v>
      </c>
      <c r="C9592" t="s">
        <v>24</v>
      </c>
      <c r="D9592">
        <v>4.0122780134092801</v>
      </c>
    </row>
    <row r="9593" spans="1:4" hidden="1" x14ac:dyDescent="0.3">
      <c r="A9593">
        <v>9591</v>
      </c>
      <c r="B9593" s="1" t="s">
        <v>12551</v>
      </c>
      <c r="C9593" t="s">
        <v>145</v>
      </c>
      <c r="D9593" s="1" t="s">
        <v>12552</v>
      </c>
    </row>
    <row r="9594" spans="1:4" hidden="1" x14ac:dyDescent="0.3">
      <c r="A9594">
        <v>9592</v>
      </c>
      <c r="B9594" t="s">
        <v>12553</v>
      </c>
      <c r="C9594" t="s">
        <v>35</v>
      </c>
      <c r="D9594">
        <v>-0.55449205372237398</v>
      </c>
    </row>
    <row r="9595" spans="1:4" hidden="1" x14ac:dyDescent="0.3">
      <c r="A9595">
        <v>9593</v>
      </c>
      <c r="B9595" t="s">
        <v>12554</v>
      </c>
      <c r="C9595" t="s">
        <v>149</v>
      </c>
      <c r="D9595">
        <v>0.54073808755683495</v>
      </c>
    </row>
    <row r="9596" spans="1:4" hidden="1" x14ac:dyDescent="0.3">
      <c r="A9596">
        <v>9594</v>
      </c>
      <c r="B9596" s="1" t="s">
        <v>12555</v>
      </c>
      <c r="C9596" t="s">
        <v>151</v>
      </c>
      <c r="D9596" s="1" t="s">
        <v>12556</v>
      </c>
    </row>
    <row r="9597" spans="1:4" hidden="1" x14ac:dyDescent="0.3">
      <c r="A9597">
        <v>9595</v>
      </c>
      <c r="B9597" t="s">
        <v>12557</v>
      </c>
      <c r="C9597" t="s">
        <v>30</v>
      </c>
      <c r="D9597">
        <v>0.75551289297049296</v>
      </c>
    </row>
    <row r="9598" spans="1:4" hidden="1" x14ac:dyDescent="0.3">
      <c r="A9598">
        <v>9596</v>
      </c>
      <c r="B9598" t="s">
        <v>12558</v>
      </c>
      <c r="C9598" t="s">
        <v>32</v>
      </c>
      <c r="D9598">
        <v>0.37036335051691999</v>
      </c>
    </row>
    <row r="9599" spans="1:4" hidden="1" x14ac:dyDescent="0.3">
      <c r="A9599">
        <v>9597</v>
      </c>
      <c r="B9599" s="1" t="s">
        <v>12559</v>
      </c>
      <c r="C9599" t="s">
        <v>155</v>
      </c>
      <c r="D9599" s="1" t="s">
        <v>12560</v>
      </c>
    </row>
    <row r="9600" spans="1:4" hidden="1" x14ac:dyDescent="0.3">
      <c r="A9600">
        <v>9598</v>
      </c>
      <c r="B9600" t="s">
        <v>12561</v>
      </c>
      <c r="C9600" t="s">
        <v>40</v>
      </c>
      <c r="D9600">
        <v>0.79897916075188002</v>
      </c>
    </row>
    <row r="9601" spans="1:4" hidden="1" x14ac:dyDescent="0.3">
      <c r="A9601">
        <v>9599</v>
      </c>
      <c r="B9601" t="s">
        <v>12562</v>
      </c>
      <c r="C9601" t="s">
        <v>42</v>
      </c>
      <c r="D9601">
        <v>0.47896079182008999</v>
      </c>
    </row>
    <row r="9602" spans="1:4" hidden="1" x14ac:dyDescent="0.3">
      <c r="A9602">
        <v>9600</v>
      </c>
      <c r="B9602" s="1" t="s">
        <v>12563</v>
      </c>
      <c r="C9602" t="s">
        <v>159</v>
      </c>
      <c r="D9602" s="1" t="s">
        <v>12564</v>
      </c>
    </row>
    <row r="9603" spans="1:4" hidden="1" x14ac:dyDescent="0.3">
      <c r="A9603">
        <v>9601</v>
      </c>
      <c r="B9603" t="s">
        <v>12565</v>
      </c>
      <c r="C9603" t="s">
        <v>161</v>
      </c>
      <c r="D9603">
        <v>1.0016250623027001</v>
      </c>
    </row>
    <row r="9604" spans="1:4" hidden="1" x14ac:dyDescent="0.3">
      <c r="A9604">
        <v>9602</v>
      </c>
      <c r="B9604" t="s">
        <v>12566</v>
      </c>
      <c r="C9604" t="s">
        <v>163</v>
      </c>
      <c r="D9604">
        <v>0.99884230341431601</v>
      </c>
    </row>
    <row r="9605" spans="1:4" hidden="1" x14ac:dyDescent="0.3">
      <c r="A9605">
        <v>9603</v>
      </c>
      <c r="B9605" s="1" t="s">
        <v>12567</v>
      </c>
      <c r="C9605" t="s">
        <v>165</v>
      </c>
      <c r="D9605" s="1" t="s">
        <v>12568</v>
      </c>
    </row>
    <row r="9606" spans="1:4" hidden="1" x14ac:dyDescent="0.3">
      <c r="A9606">
        <v>9604</v>
      </c>
      <c r="B9606" t="s">
        <v>12569</v>
      </c>
      <c r="C9606" t="s">
        <v>168</v>
      </c>
      <c r="D9606">
        <v>0.99927418032956405</v>
      </c>
    </row>
    <row r="9607" spans="1:4" hidden="1" x14ac:dyDescent="0.3">
      <c r="A9607">
        <v>9605</v>
      </c>
      <c r="B9607" t="s">
        <v>12570</v>
      </c>
      <c r="C9607" t="s">
        <v>170</v>
      </c>
      <c r="D9607">
        <v>1.0007041093708799</v>
      </c>
    </row>
    <row r="9608" spans="1:4" hidden="1" x14ac:dyDescent="0.3">
      <c r="A9608">
        <v>9606</v>
      </c>
      <c r="B9608" s="1" t="s">
        <v>12571</v>
      </c>
      <c r="C9608" t="s">
        <v>172</v>
      </c>
      <c r="D9608" s="1" t="s">
        <v>12572</v>
      </c>
    </row>
    <row r="9609" spans="1:4" hidden="1" x14ac:dyDescent="0.3">
      <c r="A9609">
        <v>9607</v>
      </c>
      <c r="B9609" s="1" t="s">
        <v>12573</v>
      </c>
      <c r="C9609" t="s">
        <v>55</v>
      </c>
      <c r="D9609" s="1" t="s">
        <v>12574</v>
      </c>
    </row>
    <row r="9610" spans="1:4" hidden="1" x14ac:dyDescent="0.3">
      <c r="A9610">
        <v>9608</v>
      </c>
      <c r="B9610" s="1" t="s">
        <v>12575</v>
      </c>
      <c r="C9610" t="s">
        <v>52</v>
      </c>
      <c r="D9610" s="1" t="s">
        <v>12576</v>
      </c>
    </row>
    <row r="9611" spans="1:4" hidden="1" x14ac:dyDescent="0.3">
      <c r="A9611">
        <v>9609</v>
      </c>
      <c r="B9611" s="1" t="s">
        <v>12577</v>
      </c>
      <c r="C9611" t="s">
        <v>58</v>
      </c>
      <c r="D9611" s="1" t="s">
        <v>12578</v>
      </c>
    </row>
    <row r="9612" spans="1:4" hidden="1" x14ac:dyDescent="0.3">
      <c r="A9612">
        <v>9610</v>
      </c>
      <c r="B9612" t="s">
        <v>12579</v>
      </c>
      <c r="C9612" t="s">
        <v>61</v>
      </c>
      <c r="D9612">
        <v>155487918.86476901</v>
      </c>
    </row>
    <row r="9613" spans="1:4" hidden="1" x14ac:dyDescent="0.3">
      <c r="A9613">
        <v>9611</v>
      </c>
      <c r="B9613" t="s">
        <v>12580</v>
      </c>
      <c r="C9613" t="s">
        <v>63</v>
      </c>
      <c r="D9613">
        <v>83254293.702986002</v>
      </c>
    </row>
    <row r="9614" spans="1:4" hidden="1" x14ac:dyDescent="0.3">
      <c r="A9614">
        <v>9612</v>
      </c>
      <c r="B9614" t="s">
        <v>12581</v>
      </c>
      <c r="C9614" t="s">
        <v>65</v>
      </c>
      <c r="D9614">
        <v>34415051.193666801</v>
      </c>
    </row>
    <row r="9615" spans="1:4" hidden="1" x14ac:dyDescent="0.3">
      <c r="A9615">
        <v>9613</v>
      </c>
      <c r="B9615" s="1" t="s">
        <v>12582</v>
      </c>
      <c r="C9615" t="s">
        <v>67</v>
      </c>
      <c r="D9615" s="1" t="s">
        <v>12583</v>
      </c>
    </row>
    <row r="9616" spans="1:4" hidden="1" x14ac:dyDescent="0.3">
      <c r="A9616">
        <v>9614</v>
      </c>
      <c r="B9616" s="1" t="s">
        <v>12584</v>
      </c>
      <c r="C9616" t="s">
        <v>70</v>
      </c>
      <c r="D9616" s="1" t="s">
        <v>12585</v>
      </c>
    </row>
    <row r="9617" spans="1:4" hidden="1" x14ac:dyDescent="0.3">
      <c r="A9617">
        <v>9615</v>
      </c>
      <c r="B9617" t="s">
        <v>12586</v>
      </c>
      <c r="C9617" t="s">
        <v>73</v>
      </c>
      <c r="D9617">
        <v>0.99986259311860104</v>
      </c>
    </row>
    <row r="9618" spans="1:4" hidden="1" x14ac:dyDescent="0.3">
      <c r="A9618">
        <v>9616</v>
      </c>
      <c r="B9618" t="s">
        <v>74</v>
      </c>
      <c r="C9618" t="s">
        <v>75</v>
      </c>
      <c r="D9618">
        <v>2.7397260273972599E-3</v>
      </c>
    </row>
    <row r="9619" spans="1:4" hidden="1" x14ac:dyDescent="0.3">
      <c r="A9619">
        <v>9617</v>
      </c>
      <c r="B9619" t="s">
        <v>76</v>
      </c>
      <c r="C9619" t="s">
        <v>77</v>
      </c>
      <c r="D9619">
        <v>0</v>
      </c>
    </row>
    <row r="9620" spans="1:4" hidden="1" x14ac:dyDescent="0.3">
      <c r="A9620">
        <v>9618</v>
      </c>
      <c r="B9620" t="s">
        <v>831</v>
      </c>
      <c r="C9620" t="s">
        <v>79</v>
      </c>
      <c r="D9620" s="2">
        <v>2.2204460492503101E-16</v>
      </c>
    </row>
    <row r="9621" spans="1:4" hidden="1" x14ac:dyDescent="0.3">
      <c r="A9621">
        <v>9619</v>
      </c>
      <c r="B9621" s="1" t="s">
        <v>12587</v>
      </c>
      <c r="C9621" t="s">
        <v>81</v>
      </c>
      <c r="D9621" s="1" t="s">
        <v>12588</v>
      </c>
    </row>
    <row r="9622" spans="1:4" hidden="1" x14ac:dyDescent="0.3">
      <c r="A9622">
        <v>9620</v>
      </c>
      <c r="B9622" t="s">
        <v>12589</v>
      </c>
      <c r="C9622" t="s">
        <v>84</v>
      </c>
      <c r="D9622">
        <v>0.99985141550122603</v>
      </c>
    </row>
    <row r="9623" spans="1:4" hidden="1" x14ac:dyDescent="0.3">
      <c r="A9623">
        <v>9621</v>
      </c>
      <c r="B9623" s="1" t="s">
        <v>12590</v>
      </c>
      <c r="C9623" t="s">
        <v>86</v>
      </c>
      <c r="D9623" s="1" t="s">
        <v>12591</v>
      </c>
    </row>
    <row r="9624" spans="1:4" hidden="1" x14ac:dyDescent="0.3">
      <c r="A9624">
        <v>9622</v>
      </c>
      <c r="B9624" t="s">
        <v>12592</v>
      </c>
      <c r="C9624" t="s">
        <v>89</v>
      </c>
      <c r="D9624">
        <v>104271256.786008</v>
      </c>
    </row>
    <row r="9625" spans="1:4" hidden="1" x14ac:dyDescent="0.3">
      <c r="A9625">
        <v>9623</v>
      </c>
      <c r="B9625" s="1" t="s">
        <v>12593</v>
      </c>
      <c r="C9625" t="s">
        <v>91</v>
      </c>
      <c r="D9625" s="1" t="s">
        <v>12527</v>
      </c>
    </row>
    <row r="9626" spans="1:4" hidden="1" x14ac:dyDescent="0.3">
      <c r="A9626">
        <v>9624</v>
      </c>
      <c r="B9626" t="s">
        <v>12594</v>
      </c>
      <c r="C9626" t="s">
        <v>94</v>
      </c>
      <c r="D9626">
        <v>83254293.702986002</v>
      </c>
    </row>
    <row r="9627" spans="1:4" hidden="1" x14ac:dyDescent="0.3">
      <c r="A9627">
        <v>9625</v>
      </c>
      <c r="B9627" t="s">
        <v>12595</v>
      </c>
      <c r="C9627" t="s">
        <v>96</v>
      </c>
      <c r="D9627">
        <v>34415051.193666801</v>
      </c>
    </row>
    <row r="9628" spans="1:4" hidden="1" x14ac:dyDescent="0.3">
      <c r="A9628">
        <v>9626</v>
      </c>
      <c r="B9628" t="s">
        <v>12596</v>
      </c>
      <c r="C9628" t="s">
        <v>98</v>
      </c>
      <c r="D9628">
        <v>37818573.968116298</v>
      </c>
    </row>
    <row r="9629" spans="1:4" hidden="1" x14ac:dyDescent="0.3">
      <c r="A9629">
        <v>9627</v>
      </c>
      <c r="B9629" s="1" t="s">
        <v>12597</v>
      </c>
      <c r="C9629" t="s">
        <v>100</v>
      </c>
      <c r="D9629" s="1" t="s">
        <v>12598</v>
      </c>
    </row>
    <row r="9630" spans="1:4" hidden="1" x14ac:dyDescent="0.3">
      <c r="A9630">
        <v>9628</v>
      </c>
      <c r="B9630" t="s">
        <v>12599</v>
      </c>
      <c r="C9630" t="s">
        <v>103</v>
      </c>
      <c r="D9630">
        <v>1.01235985196891E-2</v>
      </c>
    </row>
    <row r="9631" spans="1:4" hidden="1" x14ac:dyDescent="0.3">
      <c r="A9631">
        <v>9629</v>
      </c>
      <c r="B9631" t="s">
        <v>12600</v>
      </c>
      <c r="C9631" t="s">
        <v>105</v>
      </c>
      <c r="D9631">
        <v>2.7911677047342E-3</v>
      </c>
    </row>
    <row r="9632" spans="1:4" hidden="1" x14ac:dyDescent="0.3">
      <c r="A9632">
        <v>9630</v>
      </c>
      <c r="B9632" t="s">
        <v>12601</v>
      </c>
      <c r="C9632" t="s">
        <v>107</v>
      </c>
      <c r="D9632">
        <v>2.0707386269691899E-2</v>
      </c>
    </row>
    <row r="9633" spans="1:4" hidden="1" x14ac:dyDescent="0.3">
      <c r="A9633">
        <v>9631</v>
      </c>
      <c r="B9633" s="1" t="s">
        <v>12602</v>
      </c>
      <c r="C9633" t="s">
        <v>109</v>
      </c>
      <c r="D9633" s="1" t="s">
        <v>12603</v>
      </c>
    </row>
    <row r="9634" spans="1:4" hidden="1" x14ac:dyDescent="0.3">
      <c r="A9634">
        <v>9632</v>
      </c>
      <c r="B9634" t="s">
        <v>12604</v>
      </c>
      <c r="C9634" t="s">
        <v>208</v>
      </c>
      <c r="D9634">
        <v>155487517.18400601</v>
      </c>
    </row>
    <row r="9635" spans="1:4" hidden="1" x14ac:dyDescent="0.3">
      <c r="A9635">
        <v>9633</v>
      </c>
      <c r="B9635" t="s">
        <v>12605</v>
      </c>
      <c r="C9635" t="s">
        <v>210</v>
      </c>
      <c r="D9635">
        <v>930.70924381212296</v>
      </c>
    </row>
    <row r="9636" spans="1:4" hidden="1" x14ac:dyDescent="0.3">
      <c r="A9636">
        <v>9634</v>
      </c>
      <c r="B9636" t="s">
        <v>12606</v>
      </c>
      <c r="C9636" t="s">
        <v>212</v>
      </c>
      <c r="D9636">
        <v>384.73069966370701</v>
      </c>
    </row>
    <row r="9637" spans="1:4" hidden="1" x14ac:dyDescent="0.3">
      <c r="A9637">
        <v>9635</v>
      </c>
      <c r="B9637" s="1" t="s">
        <v>12607</v>
      </c>
      <c r="C9637" t="s">
        <v>214</v>
      </c>
      <c r="D9637" s="1" t="s">
        <v>12608</v>
      </c>
    </row>
    <row r="9638" spans="1:4" hidden="1" x14ac:dyDescent="0.3">
      <c r="A9638">
        <v>9636</v>
      </c>
      <c r="B9638" t="s">
        <v>12609</v>
      </c>
      <c r="C9638" t="s">
        <v>217</v>
      </c>
      <c r="D9638">
        <v>83253069.377342105</v>
      </c>
    </row>
    <row r="9639" spans="1:4" hidden="1" x14ac:dyDescent="0.3">
      <c r="A9639">
        <v>9637</v>
      </c>
      <c r="B9639" t="s">
        <v>12610</v>
      </c>
      <c r="C9639" t="s">
        <v>219</v>
      </c>
      <c r="D9639">
        <v>34414627.171320602</v>
      </c>
    </row>
    <row r="9640" spans="1:4" hidden="1" x14ac:dyDescent="0.3">
      <c r="A9640">
        <v>9638</v>
      </c>
      <c r="B9640" t="s">
        <v>12611</v>
      </c>
      <c r="C9640" t="s">
        <v>221</v>
      </c>
      <c r="D9640">
        <v>37818082.416526303</v>
      </c>
    </row>
    <row r="9641" spans="1:4" hidden="1" x14ac:dyDescent="0.3">
      <c r="A9641">
        <v>9639</v>
      </c>
      <c r="B9641" s="1" t="s">
        <v>12612</v>
      </c>
      <c r="C9641" t="s">
        <v>223</v>
      </c>
      <c r="D9641" s="1" t="s">
        <v>12613</v>
      </c>
    </row>
    <row r="9642" spans="1:4" hidden="1" x14ac:dyDescent="0.3">
      <c r="A9642">
        <v>9640</v>
      </c>
      <c r="B9642" t="s">
        <v>12614</v>
      </c>
      <c r="C9642" t="s">
        <v>226</v>
      </c>
      <c r="D9642">
        <v>104270091.121626</v>
      </c>
    </row>
    <row r="9643" spans="1:4" hidden="1" x14ac:dyDescent="0.3">
      <c r="A9643">
        <v>9641</v>
      </c>
      <c r="B9643" t="s">
        <v>12615</v>
      </c>
      <c r="C9643" t="s">
        <v>228</v>
      </c>
      <c r="D9643">
        <v>1165.66438193619</v>
      </c>
    </row>
    <row r="9644" spans="1:4" hidden="1" x14ac:dyDescent="0.3">
      <c r="A9644">
        <v>9642</v>
      </c>
      <c r="B9644" s="1" t="s">
        <v>12616</v>
      </c>
      <c r="C9644" t="s">
        <v>230</v>
      </c>
      <c r="D9644" s="1" t="s">
        <v>12617</v>
      </c>
    </row>
    <row r="9645" spans="1:4" hidden="1" x14ac:dyDescent="0.3">
      <c r="A9645">
        <v>9643</v>
      </c>
      <c r="B9645" t="s">
        <v>12618</v>
      </c>
      <c r="C9645" t="s">
        <v>112</v>
      </c>
      <c r="D9645">
        <v>-293.61640014577603</v>
      </c>
    </row>
    <row r="9646" spans="1:4" hidden="1" x14ac:dyDescent="0.3">
      <c r="A9646">
        <v>9644</v>
      </c>
      <c r="B9646" t="s">
        <v>12619</v>
      </c>
      <c r="C9646" t="s">
        <v>114</v>
      </c>
      <c r="D9646">
        <v>-39.291646527209203</v>
      </c>
    </row>
    <row r="9647" spans="1:4" hidden="1" x14ac:dyDescent="0.3">
      <c r="A9647">
        <v>9645</v>
      </c>
      <c r="B9647" s="1" t="s">
        <v>12620</v>
      </c>
      <c r="C9647" t="s">
        <v>116</v>
      </c>
      <c r="D9647" s="1" t="s">
        <v>12621</v>
      </c>
    </row>
    <row r="9648" spans="1:4" hidden="1" x14ac:dyDescent="0.3">
      <c r="A9648">
        <v>9646</v>
      </c>
      <c r="B9648" t="s">
        <v>12622</v>
      </c>
      <c r="C9648" t="s">
        <v>119</v>
      </c>
      <c r="D9648">
        <v>83253069.377342105</v>
      </c>
    </row>
    <row r="9649" spans="1:4" hidden="1" x14ac:dyDescent="0.3">
      <c r="A9649">
        <v>9647</v>
      </c>
      <c r="B9649" t="s">
        <v>12623</v>
      </c>
      <c r="C9649" t="s">
        <v>121</v>
      </c>
      <c r="D9649">
        <v>34414627.171320602</v>
      </c>
    </row>
    <row r="9650" spans="1:4" hidden="1" x14ac:dyDescent="0.3">
      <c r="A9650">
        <v>9648</v>
      </c>
      <c r="B9650" s="1" t="s">
        <v>12624</v>
      </c>
      <c r="C9650" t="s">
        <v>123</v>
      </c>
      <c r="D9650" s="1" t="s">
        <v>12625</v>
      </c>
    </row>
    <row r="9651" spans="1:4" hidden="1" x14ac:dyDescent="0.3">
      <c r="A9651">
        <v>9649</v>
      </c>
      <c r="B9651" t="s">
        <v>12626</v>
      </c>
      <c r="C9651" t="s">
        <v>126</v>
      </c>
      <c r="D9651">
        <v>0.79855537130088206</v>
      </c>
    </row>
    <row r="9652" spans="1:4" hidden="1" x14ac:dyDescent="0.3">
      <c r="A9652">
        <v>9650</v>
      </c>
      <c r="B9652" t="s">
        <v>12627</v>
      </c>
      <c r="C9652" t="s">
        <v>128</v>
      </c>
      <c r="D9652">
        <v>0.33010176783289602</v>
      </c>
    </row>
    <row r="9653" spans="1:4" hidden="1" x14ac:dyDescent="0.3">
      <c r="A9653">
        <v>9651</v>
      </c>
      <c r="B9653" s="1" t="s">
        <v>12628</v>
      </c>
      <c r="C9653" t="s">
        <v>130</v>
      </c>
      <c r="D9653" s="1" t="s">
        <v>12629</v>
      </c>
    </row>
    <row r="9654" spans="1:4" ht="72" x14ac:dyDescent="0.3">
      <c r="A9654">
        <v>9652</v>
      </c>
      <c r="B9654" s="1" t="s">
        <v>12630</v>
      </c>
      <c r="C9654" t="s">
        <v>4</v>
      </c>
      <c r="D9654" t="s">
        <v>12631</v>
      </c>
    </row>
    <row r="9655" spans="1:4" hidden="1" x14ac:dyDescent="0.3">
      <c r="A9655">
        <v>9653</v>
      </c>
      <c r="B9655" t="s">
        <v>12632</v>
      </c>
      <c r="C9655" t="s">
        <v>7</v>
      </c>
      <c r="D9655">
        <v>1928.04</v>
      </c>
    </row>
    <row r="9656" spans="1:4" hidden="1" x14ac:dyDescent="0.3">
      <c r="A9656">
        <v>9654</v>
      </c>
      <c r="B9656" s="1" t="s">
        <v>12633</v>
      </c>
      <c r="C9656" t="s">
        <v>9</v>
      </c>
      <c r="D9656" s="1" t="s">
        <v>12634</v>
      </c>
    </row>
    <row r="9657" spans="1:4" hidden="1" x14ac:dyDescent="0.3">
      <c r="A9657">
        <v>9655</v>
      </c>
      <c r="B9657" t="s">
        <v>12635</v>
      </c>
      <c r="C9657" t="s">
        <v>14</v>
      </c>
      <c r="D9657">
        <v>90.4921875</v>
      </c>
    </row>
    <row r="9658" spans="1:4" hidden="1" x14ac:dyDescent="0.3">
      <c r="A9658">
        <v>9656</v>
      </c>
      <c r="B9658" t="s">
        <v>12636</v>
      </c>
      <c r="C9658" t="s">
        <v>16</v>
      </c>
      <c r="D9658">
        <v>4.2429283999086396</v>
      </c>
    </row>
    <row r="9659" spans="1:4" hidden="1" x14ac:dyDescent="0.3">
      <c r="A9659">
        <v>9657</v>
      </c>
      <c r="B9659" s="1" t="s">
        <v>12637</v>
      </c>
      <c r="C9659" t="s">
        <v>140</v>
      </c>
      <c r="D9659" s="1" t="s">
        <v>12638</v>
      </c>
    </row>
    <row r="9660" spans="1:4" hidden="1" x14ac:dyDescent="0.3">
      <c r="A9660">
        <v>9658</v>
      </c>
      <c r="B9660" t="s">
        <v>12639</v>
      </c>
      <c r="C9660" t="s">
        <v>22</v>
      </c>
      <c r="D9660">
        <v>63.95</v>
      </c>
    </row>
    <row r="9661" spans="1:4" hidden="1" x14ac:dyDescent="0.3">
      <c r="A9661">
        <v>9659</v>
      </c>
      <c r="B9661" t="s">
        <v>12640</v>
      </c>
      <c r="C9661" t="s">
        <v>24</v>
      </c>
      <c r="D9661">
        <v>3.9844406953283502</v>
      </c>
    </row>
    <row r="9662" spans="1:4" hidden="1" x14ac:dyDescent="0.3">
      <c r="A9662">
        <v>9660</v>
      </c>
      <c r="B9662" s="1" t="s">
        <v>12641</v>
      </c>
      <c r="C9662" t="s">
        <v>145</v>
      </c>
      <c r="D9662" s="1" t="s">
        <v>12642</v>
      </c>
    </row>
    <row r="9663" spans="1:4" hidden="1" x14ac:dyDescent="0.3">
      <c r="A9663">
        <v>9661</v>
      </c>
      <c r="B9663" t="s">
        <v>12643</v>
      </c>
      <c r="C9663" t="s">
        <v>35</v>
      </c>
      <c r="D9663">
        <v>0.29265776408941702</v>
      </c>
    </row>
    <row r="9664" spans="1:4" hidden="1" x14ac:dyDescent="0.3">
      <c r="A9664">
        <v>9662</v>
      </c>
      <c r="B9664" t="s">
        <v>12644</v>
      </c>
      <c r="C9664" t="s">
        <v>149</v>
      </c>
      <c r="D9664">
        <v>0.54041206894704996</v>
      </c>
    </row>
    <row r="9665" spans="1:4" hidden="1" x14ac:dyDescent="0.3">
      <c r="A9665">
        <v>9663</v>
      </c>
      <c r="B9665" s="1" t="s">
        <v>12645</v>
      </c>
      <c r="C9665" t="s">
        <v>151</v>
      </c>
      <c r="D9665" s="1" t="s">
        <v>12646</v>
      </c>
    </row>
    <row r="9666" spans="1:4" hidden="1" x14ac:dyDescent="0.3">
      <c r="A9666">
        <v>9664</v>
      </c>
      <c r="B9666" t="s">
        <v>12647</v>
      </c>
      <c r="C9666" t="s">
        <v>30</v>
      </c>
      <c r="D9666">
        <v>0.34562259871277301</v>
      </c>
    </row>
    <row r="9667" spans="1:4" hidden="1" x14ac:dyDescent="0.3">
      <c r="A9667">
        <v>9665</v>
      </c>
      <c r="B9667" t="s">
        <v>12648</v>
      </c>
      <c r="C9667" t="s">
        <v>32</v>
      </c>
      <c r="D9667">
        <v>0.36955040578100001</v>
      </c>
    </row>
    <row r="9668" spans="1:4" hidden="1" x14ac:dyDescent="0.3">
      <c r="A9668">
        <v>9666</v>
      </c>
      <c r="B9668" s="1" t="s">
        <v>12649</v>
      </c>
      <c r="C9668" t="s">
        <v>155</v>
      </c>
      <c r="D9668" s="1" t="s">
        <v>12650</v>
      </c>
    </row>
    <row r="9669" spans="1:4" hidden="1" x14ac:dyDescent="0.3">
      <c r="A9669">
        <v>9667</v>
      </c>
      <c r="B9669" t="s">
        <v>12651</v>
      </c>
      <c r="C9669" t="s">
        <v>40</v>
      </c>
      <c r="D9669">
        <v>0.36171963719780897</v>
      </c>
    </row>
    <row r="9670" spans="1:4" hidden="1" x14ac:dyDescent="0.3">
      <c r="A9670">
        <v>9668</v>
      </c>
      <c r="B9670" t="s">
        <v>12652</v>
      </c>
      <c r="C9670" t="s">
        <v>42</v>
      </c>
      <c r="D9670">
        <v>0.48088939277572001</v>
      </c>
    </row>
    <row r="9671" spans="1:4" hidden="1" x14ac:dyDescent="0.3">
      <c r="A9671">
        <v>9669</v>
      </c>
      <c r="B9671" s="1" t="s">
        <v>12653</v>
      </c>
      <c r="C9671" t="s">
        <v>159</v>
      </c>
      <c r="D9671" s="1" t="s">
        <v>12654</v>
      </c>
    </row>
    <row r="9672" spans="1:4" hidden="1" x14ac:dyDescent="0.3">
      <c r="A9672">
        <v>9670</v>
      </c>
      <c r="B9672" t="s">
        <v>12655</v>
      </c>
      <c r="C9672" t="s">
        <v>161</v>
      </c>
      <c r="D9672">
        <v>0.99939353414091703</v>
      </c>
    </row>
    <row r="9673" spans="1:4" hidden="1" x14ac:dyDescent="0.3">
      <c r="A9673">
        <v>9671</v>
      </c>
      <c r="B9673" t="s">
        <v>12656</v>
      </c>
      <c r="C9673" t="s">
        <v>163</v>
      </c>
      <c r="D9673">
        <v>1.00001795823333</v>
      </c>
    </row>
    <row r="9674" spans="1:4" hidden="1" x14ac:dyDescent="0.3">
      <c r="A9674">
        <v>9672</v>
      </c>
      <c r="B9674" s="1" t="s">
        <v>12657</v>
      </c>
      <c r="C9674" t="s">
        <v>165</v>
      </c>
      <c r="D9674" s="1" t="s">
        <v>12658</v>
      </c>
    </row>
    <row r="9675" spans="1:4" hidden="1" x14ac:dyDescent="0.3">
      <c r="A9675">
        <v>9673</v>
      </c>
      <c r="B9675" t="s">
        <v>12659</v>
      </c>
      <c r="C9675" t="s">
        <v>168</v>
      </c>
      <c r="D9675">
        <v>0.99978840101869404</v>
      </c>
    </row>
    <row r="9676" spans="1:4" hidden="1" x14ac:dyDescent="0.3">
      <c r="A9676">
        <v>9674</v>
      </c>
      <c r="B9676" t="s">
        <v>12660</v>
      </c>
      <c r="C9676" t="s">
        <v>170</v>
      </c>
      <c r="D9676">
        <v>0.99940676701867903</v>
      </c>
    </row>
    <row r="9677" spans="1:4" hidden="1" x14ac:dyDescent="0.3">
      <c r="A9677">
        <v>9675</v>
      </c>
      <c r="B9677" s="1" t="s">
        <v>12661</v>
      </c>
      <c r="C9677" t="s">
        <v>172</v>
      </c>
      <c r="D9677" s="1" t="s">
        <v>12662</v>
      </c>
    </row>
    <row r="9678" spans="1:4" hidden="1" x14ac:dyDescent="0.3">
      <c r="A9678">
        <v>9676</v>
      </c>
      <c r="B9678" s="1" t="s">
        <v>12663</v>
      </c>
      <c r="C9678" t="s">
        <v>55</v>
      </c>
      <c r="D9678" s="1" t="s">
        <v>12664</v>
      </c>
    </row>
    <row r="9679" spans="1:4" hidden="1" x14ac:dyDescent="0.3">
      <c r="A9679">
        <v>9677</v>
      </c>
      <c r="B9679" s="1" t="s">
        <v>12665</v>
      </c>
      <c r="C9679" t="s">
        <v>52</v>
      </c>
      <c r="D9679" s="1" t="s">
        <v>12666</v>
      </c>
    </row>
    <row r="9680" spans="1:4" hidden="1" x14ac:dyDescent="0.3">
      <c r="A9680">
        <v>9678</v>
      </c>
      <c r="B9680" s="1" t="s">
        <v>12667</v>
      </c>
      <c r="C9680" t="s">
        <v>58</v>
      </c>
      <c r="D9680" s="1" t="s">
        <v>12668</v>
      </c>
    </row>
    <row r="9681" spans="1:4" hidden="1" x14ac:dyDescent="0.3">
      <c r="A9681">
        <v>9679</v>
      </c>
      <c r="B9681" t="s">
        <v>12669</v>
      </c>
      <c r="C9681" t="s">
        <v>61</v>
      </c>
      <c r="D9681">
        <v>155504035.488278</v>
      </c>
    </row>
    <row r="9682" spans="1:4" hidden="1" x14ac:dyDescent="0.3">
      <c r="A9682">
        <v>9680</v>
      </c>
      <c r="B9682" t="s">
        <v>12670</v>
      </c>
      <c r="C9682" t="s">
        <v>63</v>
      </c>
      <c r="D9682">
        <v>83202579.233100906</v>
      </c>
    </row>
    <row r="9683" spans="1:4" hidden="1" x14ac:dyDescent="0.3">
      <c r="A9683">
        <v>9681</v>
      </c>
      <c r="B9683" t="s">
        <v>12671</v>
      </c>
      <c r="C9683" t="s">
        <v>65</v>
      </c>
      <c r="D9683">
        <v>34415245.197225399</v>
      </c>
    </row>
    <row r="9684" spans="1:4" hidden="1" x14ac:dyDescent="0.3">
      <c r="A9684">
        <v>9682</v>
      </c>
      <c r="B9684" s="1" t="s">
        <v>12672</v>
      </c>
      <c r="C9684" t="s">
        <v>67</v>
      </c>
      <c r="D9684" s="1" t="s">
        <v>12673</v>
      </c>
    </row>
    <row r="9685" spans="1:4" hidden="1" x14ac:dyDescent="0.3">
      <c r="A9685">
        <v>9683</v>
      </c>
      <c r="B9685" s="1" t="s">
        <v>12674</v>
      </c>
      <c r="C9685" t="s">
        <v>70</v>
      </c>
      <c r="D9685" s="1" t="s">
        <v>12675</v>
      </c>
    </row>
    <row r="9686" spans="1:4" hidden="1" x14ac:dyDescent="0.3">
      <c r="A9686">
        <v>9684</v>
      </c>
      <c r="B9686" t="s">
        <v>12676</v>
      </c>
      <c r="C9686" t="s">
        <v>73</v>
      </c>
      <c r="D9686">
        <v>0.99985141550122603</v>
      </c>
    </row>
    <row r="9687" spans="1:4" hidden="1" x14ac:dyDescent="0.3">
      <c r="A9687">
        <v>9685</v>
      </c>
      <c r="B9687" t="s">
        <v>74</v>
      </c>
      <c r="C9687" t="s">
        <v>75</v>
      </c>
      <c r="D9687">
        <v>2.7397260273972599E-3</v>
      </c>
    </row>
    <row r="9688" spans="1:4" hidden="1" x14ac:dyDescent="0.3">
      <c r="A9688">
        <v>9686</v>
      </c>
      <c r="B9688" t="s">
        <v>76</v>
      </c>
      <c r="C9688" t="s">
        <v>77</v>
      </c>
      <c r="D9688">
        <v>0</v>
      </c>
    </row>
    <row r="9689" spans="1:4" hidden="1" x14ac:dyDescent="0.3">
      <c r="A9689">
        <v>9687</v>
      </c>
      <c r="B9689" t="s">
        <v>78</v>
      </c>
      <c r="C9689" t="s">
        <v>79</v>
      </c>
      <c r="D9689">
        <v>0</v>
      </c>
    </row>
    <row r="9690" spans="1:4" hidden="1" x14ac:dyDescent="0.3">
      <c r="A9690">
        <v>9688</v>
      </c>
      <c r="B9690" s="1" t="s">
        <v>12677</v>
      </c>
      <c r="C9690" t="s">
        <v>81</v>
      </c>
      <c r="D9690" s="1" t="s">
        <v>12678</v>
      </c>
    </row>
    <row r="9691" spans="1:4" hidden="1" x14ac:dyDescent="0.3">
      <c r="A9691">
        <v>9689</v>
      </c>
      <c r="B9691" t="s">
        <v>12679</v>
      </c>
      <c r="C9691" t="s">
        <v>84</v>
      </c>
      <c r="D9691">
        <v>0.99985837852575599</v>
      </c>
    </row>
    <row r="9692" spans="1:4" hidden="1" x14ac:dyDescent="0.3">
      <c r="A9692">
        <v>9690</v>
      </c>
      <c r="B9692" s="1" t="s">
        <v>12680</v>
      </c>
      <c r="C9692" t="s">
        <v>86</v>
      </c>
      <c r="D9692" s="1" t="s">
        <v>12681</v>
      </c>
    </row>
    <row r="9693" spans="1:4" hidden="1" x14ac:dyDescent="0.3">
      <c r="A9693">
        <v>9691</v>
      </c>
      <c r="B9693" t="s">
        <v>12682</v>
      </c>
      <c r="C9693" t="s">
        <v>89</v>
      </c>
      <c r="D9693">
        <v>104270530.639851</v>
      </c>
    </row>
    <row r="9694" spans="1:4" hidden="1" x14ac:dyDescent="0.3">
      <c r="A9694">
        <v>9692</v>
      </c>
      <c r="B9694" s="1" t="s">
        <v>12683</v>
      </c>
      <c r="C9694" t="s">
        <v>91</v>
      </c>
      <c r="D9694" s="1" t="s">
        <v>12617</v>
      </c>
    </row>
    <row r="9695" spans="1:4" hidden="1" x14ac:dyDescent="0.3">
      <c r="A9695">
        <v>9693</v>
      </c>
      <c r="B9695" t="s">
        <v>12684</v>
      </c>
      <c r="C9695" t="s">
        <v>94</v>
      </c>
      <c r="D9695">
        <v>83202579.233100906</v>
      </c>
    </row>
    <row r="9696" spans="1:4" hidden="1" x14ac:dyDescent="0.3">
      <c r="A9696">
        <v>9694</v>
      </c>
      <c r="B9696" t="s">
        <v>12685</v>
      </c>
      <c r="C9696" t="s">
        <v>96</v>
      </c>
      <c r="D9696">
        <v>34415245.197225399</v>
      </c>
    </row>
    <row r="9697" spans="1:4" hidden="1" x14ac:dyDescent="0.3">
      <c r="A9697">
        <v>9695</v>
      </c>
      <c r="B9697" t="s">
        <v>12686</v>
      </c>
      <c r="C9697" t="s">
        <v>98</v>
      </c>
      <c r="D9697">
        <v>37886211.057952099</v>
      </c>
    </row>
    <row r="9698" spans="1:4" hidden="1" x14ac:dyDescent="0.3">
      <c r="A9698">
        <v>9696</v>
      </c>
      <c r="B9698" s="1" t="s">
        <v>12687</v>
      </c>
      <c r="C9698" t="s">
        <v>100</v>
      </c>
      <c r="D9698" s="1" t="s">
        <v>12688</v>
      </c>
    </row>
    <row r="9699" spans="1:4" hidden="1" x14ac:dyDescent="0.3">
      <c r="A9699">
        <v>9697</v>
      </c>
      <c r="B9699" t="s">
        <v>12689</v>
      </c>
      <c r="C9699" t="s">
        <v>103</v>
      </c>
      <c r="D9699">
        <v>1.0123524798264E-2</v>
      </c>
    </row>
    <row r="9700" spans="1:4" hidden="1" x14ac:dyDescent="0.3">
      <c r="A9700">
        <v>9698</v>
      </c>
      <c r="B9700" t="s">
        <v>12690</v>
      </c>
      <c r="C9700" t="s">
        <v>105</v>
      </c>
      <c r="D9700">
        <v>2.7850274909718199E-3</v>
      </c>
    </row>
    <row r="9701" spans="1:4" hidden="1" x14ac:dyDescent="0.3">
      <c r="A9701">
        <v>9699</v>
      </c>
      <c r="B9701" t="s">
        <v>12691</v>
      </c>
      <c r="C9701" t="s">
        <v>107</v>
      </c>
      <c r="D9701">
        <v>2.0673163929457401E-2</v>
      </c>
    </row>
    <row r="9702" spans="1:4" hidden="1" x14ac:dyDescent="0.3">
      <c r="A9702">
        <v>9700</v>
      </c>
      <c r="B9702" s="1" t="s">
        <v>12692</v>
      </c>
      <c r="C9702" t="s">
        <v>109</v>
      </c>
      <c r="D9702" s="1" t="s">
        <v>12693</v>
      </c>
    </row>
    <row r="9703" spans="1:4" hidden="1" x14ac:dyDescent="0.3">
      <c r="A9703">
        <v>9701</v>
      </c>
      <c r="B9703" t="s">
        <v>12694</v>
      </c>
      <c r="C9703" t="s">
        <v>208</v>
      </c>
      <c r="D9703">
        <v>155504285.78756699</v>
      </c>
    </row>
    <row r="9704" spans="1:4" hidden="1" x14ac:dyDescent="0.3">
      <c r="A9704">
        <v>9702</v>
      </c>
      <c r="B9704" t="s">
        <v>12695</v>
      </c>
      <c r="C9704" t="s">
        <v>210</v>
      </c>
      <c r="D9704">
        <v>-579.42904680354002</v>
      </c>
    </row>
    <row r="9705" spans="1:4" hidden="1" x14ac:dyDescent="0.3">
      <c r="A9705">
        <v>9703</v>
      </c>
      <c r="B9705" t="s">
        <v>12696</v>
      </c>
      <c r="C9705" t="s">
        <v>212</v>
      </c>
      <c r="D9705">
        <v>-239.66998931689</v>
      </c>
    </row>
    <row r="9706" spans="1:4" hidden="1" x14ac:dyDescent="0.3">
      <c r="A9706">
        <v>9704</v>
      </c>
      <c r="B9706" s="1" t="s">
        <v>12697</v>
      </c>
      <c r="C9706" t="s">
        <v>214</v>
      </c>
      <c r="D9706" s="1" t="s">
        <v>12698</v>
      </c>
    </row>
    <row r="9707" spans="1:4" hidden="1" x14ac:dyDescent="0.3">
      <c r="A9707">
        <v>9705</v>
      </c>
      <c r="B9707" t="s">
        <v>12699</v>
      </c>
      <c r="C9707" t="s">
        <v>217</v>
      </c>
      <c r="D9707">
        <v>83203352.895872504</v>
      </c>
    </row>
    <row r="9708" spans="1:4" hidden="1" x14ac:dyDescent="0.3">
      <c r="A9708">
        <v>9706</v>
      </c>
      <c r="B9708" t="s">
        <v>12700</v>
      </c>
      <c r="C9708" t="s">
        <v>219</v>
      </c>
      <c r="D9708">
        <v>34415510.940797701</v>
      </c>
    </row>
    <row r="9709" spans="1:4" hidden="1" x14ac:dyDescent="0.3">
      <c r="A9709">
        <v>9707</v>
      </c>
      <c r="B9709" t="s">
        <v>12701</v>
      </c>
      <c r="C9709" t="s">
        <v>221</v>
      </c>
      <c r="D9709">
        <v>37886504.8919615</v>
      </c>
    </row>
    <row r="9710" spans="1:4" hidden="1" x14ac:dyDescent="0.3">
      <c r="A9710">
        <v>9708</v>
      </c>
      <c r="B9710" s="1" t="s">
        <v>12702</v>
      </c>
      <c r="C9710" t="s">
        <v>223</v>
      </c>
      <c r="D9710" s="1" t="s">
        <v>12703</v>
      </c>
    </row>
    <row r="9711" spans="1:4" hidden="1" x14ac:dyDescent="0.3">
      <c r="A9711">
        <v>9709</v>
      </c>
      <c r="B9711" t="s">
        <v>12704</v>
      </c>
      <c r="C9711" t="s">
        <v>226</v>
      </c>
      <c r="D9711">
        <v>104271256.786008</v>
      </c>
    </row>
    <row r="9712" spans="1:4" hidden="1" x14ac:dyDescent="0.3">
      <c r="A9712">
        <v>9710</v>
      </c>
      <c r="B9712" t="s">
        <v>12705</v>
      </c>
      <c r="C9712" t="s">
        <v>228</v>
      </c>
      <c r="D9712">
        <v>-726.14615668356396</v>
      </c>
    </row>
    <row r="9713" spans="1:4" hidden="1" x14ac:dyDescent="0.3">
      <c r="A9713">
        <v>9711</v>
      </c>
      <c r="B9713" s="1" t="s">
        <v>12706</v>
      </c>
      <c r="C9713" t="s">
        <v>230</v>
      </c>
      <c r="D9713" s="1" t="s">
        <v>12707</v>
      </c>
    </row>
    <row r="9714" spans="1:4" hidden="1" x14ac:dyDescent="0.3">
      <c r="A9714">
        <v>9712</v>
      </c>
      <c r="B9714" t="s">
        <v>12708</v>
      </c>
      <c r="C9714" t="s">
        <v>112</v>
      </c>
      <c r="D9714">
        <v>194.23372481060201</v>
      </c>
    </row>
    <row r="9715" spans="1:4" hidden="1" x14ac:dyDescent="0.3">
      <c r="A9715">
        <v>9713</v>
      </c>
      <c r="B9715" t="s">
        <v>12709</v>
      </c>
      <c r="C9715" t="s">
        <v>114</v>
      </c>
      <c r="D9715">
        <v>26.073583013564399</v>
      </c>
    </row>
    <row r="9716" spans="1:4" hidden="1" x14ac:dyDescent="0.3">
      <c r="A9716">
        <v>9714</v>
      </c>
      <c r="B9716" s="1" t="s">
        <v>12710</v>
      </c>
      <c r="C9716" t="s">
        <v>116</v>
      </c>
      <c r="D9716" s="1" t="s">
        <v>12711</v>
      </c>
    </row>
    <row r="9717" spans="1:4" hidden="1" x14ac:dyDescent="0.3">
      <c r="A9717">
        <v>9715</v>
      </c>
      <c r="B9717" t="s">
        <v>12712</v>
      </c>
      <c r="C9717" t="s">
        <v>119</v>
      </c>
      <c r="D9717">
        <v>83203352.895872504</v>
      </c>
    </row>
    <row r="9718" spans="1:4" hidden="1" x14ac:dyDescent="0.3">
      <c r="A9718">
        <v>9716</v>
      </c>
      <c r="B9718" t="s">
        <v>12713</v>
      </c>
      <c r="C9718" t="s">
        <v>121</v>
      </c>
      <c r="D9718">
        <v>34415510.940797701</v>
      </c>
    </row>
    <row r="9719" spans="1:4" hidden="1" x14ac:dyDescent="0.3">
      <c r="A9719">
        <v>9717</v>
      </c>
      <c r="B9719" s="1" t="s">
        <v>12714</v>
      </c>
      <c r="C9719" t="s">
        <v>123</v>
      </c>
      <c r="D9719" s="1" t="s">
        <v>12715</v>
      </c>
    </row>
    <row r="9720" spans="1:4" hidden="1" x14ac:dyDescent="0.3">
      <c r="A9720">
        <v>9718</v>
      </c>
      <c r="B9720" t="s">
        <v>12716</v>
      </c>
      <c r="C9720" t="s">
        <v>126</v>
      </c>
      <c r="D9720">
        <v>0.79806401602281096</v>
      </c>
    </row>
    <row r="9721" spans="1:4" hidden="1" x14ac:dyDescent="0.3">
      <c r="A9721">
        <v>9719</v>
      </c>
      <c r="B9721" t="s">
        <v>12717</v>
      </c>
      <c r="C9721" t="s">
        <v>128</v>
      </c>
      <c r="D9721">
        <v>0.330104255645358</v>
      </c>
    </row>
    <row r="9722" spans="1:4" hidden="1" x14ac:dyDescent="0.3">
      <c r="A9722">
        <v>9720</v>
      </c>
      <c r="B9722" s="1" t="s">
        <v>12718</v>
      </c>
      <c r="C9722" t="s">
        <v>130</v>
      </c>
      <c r="D9722" s="1" t="s">
        <v>12719</v>
      </c>
    </row>
    <row r="9723" spans="1:4" ht="72" x14ac:dyDescent="0.3">
      <c r="A9723">
        <v>9721</v>
      </c>
      <c r="B9723" s="1" t="s">
        <v>12720</v>
      </c>
      <c r="C9723" t="s">
        <v>4</v>
      </c>
      <c r="D9723" t="s">
        <v>12721</v>
      </c>
    </row>
    <row r="9724" spans="1:4" hidden="1" x14ac:dyDescent="0.3">
      <c r="A9724">
        <v>9722</v>
      </c>
      <c r="B9724" t="s">
        <v>12722</v>
      </c>
      <c r="C9724" t="s">
        <v>7</v>
      </c>
      <c r="D9724">
        <v>1923.17</v>
      </c>
    </row>
    <row r="9725" spans="1:4" hidden="1" x14ac:dyDescent="0.3">
      <c r="A9725">
        <v>9723</v>
      </c>
      <c r="B9725" s="1" t="s">
        <v>12723</v>
      </c>
      <c r="C9725" t="s">
        <v>9</v>
      </c>
      <c r="D9725" s="1" t="s">
        <v>12724</v>
      </c>
    </row>
    <row r="9726" spans="1:4" hidden="1" x14ac:dyDescent="0.3">
      <c r="A9726">
        <v>9724</v>
      </c>
      <c r="B9726" t="s">
        <v>12725</v>
      </c>
      <c r="C9726" t="s">
        <v>14</v>
      </c>
      <c r="D9726">
        <v>90.37890625</v>
      </c>
    </row>
    <row r="9727" spans="1:4" hidden="1" x14ac:dyDescent="0.3">
      <c r="A9727">
        <v>9725</v>
      </c>
      <c r="B9727" t="s">
        <v>12726</v>
      </c>
      <c r="C9727" t="s">
        <v>16</v>
      </c>
      <c r="D9727">
        <v>4.2410583051348096</v>
      </c>
    </row>
    <row r="9728" spans="1:4" hidden="1" x14ac:dyDescent="0.3">
      <c r="A9728">
        <v>9726</v>
      </c>
      <c r="B9728" s="1" t="s">
        <v>12727</v>
      </c>
      <c r="C9728" t="s">
        <v>140</v>
      </c>
      <c r="D9728" s="1" t="s">
        <v>12728</v>
      </c>
    </row>
    <row r="9729" spans="1:4" hidden="1" x14ac:dyDescent="0.3">
      <c r="A9729">
        <v>9727</v>
      </c>
      <c r="B9729" t="s">
        <v>1153</v>
      </c>
      <c r="C9729" t="s">
        <v>22</v>
      </c>
      <c r="D9729">
        <v>64.3</v>
      </c>
    </row>
    <row r="9730" spans="1:4" hidden="1" x14ac:dyDescent="0.3">
      <c r="A9730">
        <v>9728</v>
      </c>
      <c r="B9730" t="s">
        <v>12729</v>
      </c>
      <c r="C9730" t="s">
        <v>24</v>
      </c>
      <c r="D9730">
        <v>3.9377154690695799</v>
      </c>
    </row>
    <row r="9731" spans="1:4" hidden="1" x14ac:dyDescent="0.3">
      <c r="A9731">
        <v>9729</v>
      </c>
      <c r="B9731" s="1" t="s">
        <v>12730</v>
      </c>
      <c r="C9731" t="s">
        <v>145</v>
      </c>
      <c r="D9731" s="1" t="s">
        <v>12731</v>
      </c>
    </row>
    <row r="9732" spans="1:4" hidden="1" x14ac:dyDescent="0.3">
      <c r="A9732">
        <v>9730</v>
      </c>
      <c r="B9732" t="s">
        <v>12732</v>
      </c>
      <c r="C9732" t="s">
        <v>35</v>
      </c>
      <c r="D9732">
        <v>1.0843485455771301E-2</v>
      </c>
    </row>
    <row r="9733" spans="1:4" hidden="1" x14ac:dyDescent="0.3">
      <c r="A9733">
        <v>9731</v>
      </c>
      <c r="B9733" t="s">
        <v>12733</v>
      </c>
      <c r="C9733" t="s">
        <v>149</v>
      </c>
      <c r="D9733">
        <v>0.53901033036949597</v>
      </c>
    </row>
    <row r="9734" spans="1:4" hidden="1" x14ac:dyDescent="0.3">
      <c r="A9734">
        <v>9732</v>
      </c>
      <c r="B9734" s="1" t="s">
        <v>12734</v>
      </c>
      <c r="C9734" t="s">
        <v>151</v>
      </c>
      <c r="D9734" s="1" t="s">
        <v>12735</v>
      </c>
    </row>
    <row r="9735" spans="1:4" hidden="1" x14ac:dyDescent="0.3">
      <c r="A9735">
        <v>9733</v>
      </c>
      <c r="B9735" t="s">
        <v>12736</v>
      </c>
      <c r="C9735" t="s">
        <v>30</v>
      </c>
      <c r="D9735">
        <v>0.500956212680435</v>
      </c>
    </row>
    <row r="9736" spans="1:4" hidden="1" x14ac:dyDescent="0.3">
      <c r="A9736">
        <v>9734</v>
      </c>
      <c r="B9736" t="s">
        <v>12737</v>
      </c>
      <c r="C9736" t="s">
        <v>32</v>
      </c>
      <c r="D9736">
        <v>0.36862127457451199</v>
      </c>
    </row>
    <row r="9737" spans="1:4" hidden="1" x14ac:dyDescent="0.3">
      <c r="A9737">
        <v>9735</v>
      </c>
      <c r="B9737" s="1" t="s">
        <v>12738</v>
      </c>
      <c r="C9737" t="s">
        <v>155</v>
      </c>
      <c r="D9737" s="1" t="s">
        <v>12739</v>
      </c>
    </row>
    <row r="9738" spans="1:4" hidden="1" x14ac:dyDescent="0.3">
      <c r="A9738">
        <v>9736</v>
      </c>
      <c r="B9738" t="s">
        <v>12740</v>
      </c>
      <c r="C9738" t="s">
        <v>40</v>
      </c>
      <c r="D9738">
        <v>0.48820030186379298</v>
      </c>
    </row>
    <row r="9739" spans="1:4" hidden="1" x14ac:dyDescent="0.3">
      <c r="A9739">
        <v>9737</v>
      </c>
      <c r="B9739" t="s">
        <v>12741</v>
      </c>
      <c r="C9739" t="s">
        <v>42</v>
      </c>
      <c r="D9739">
        <v>0.48663073759841102</v>
      </c>
    </row>
    <row r="9740" spans="1:4" hidden="1" x14ac:dyDescent="0.3">
      <c r="A9740">
        <v>9738</v>
      </c>
      <c r="B9740" s="1" t="s">
        <v>12742</v>
      </c>
      <c r="C9740" t="s">
        <v>159</v>
      </c>
      <c r="D9740" s="1" t="s">
        <v>12743</v>
      </c>
    </row>
    <row r="9741" spans="1:4" hidden="1" x14ac:dyDescent="0.3">
      <c r="A9741">
        <v>9739</v>
      </c>
      <c r="B9741" t="s">
        <v>12744</v>
      </c>
      <c r="C9741" t="s">
        <v>161</v>
      </c>
      <c r="D9741">
        <v>0.99747411879421599</v>
      </c>
    </row>
    <row r="9742" spans="1:4" hidden="1" x14ac:dyDescent="0.3">
      <c r="A9742">
        <v>9740</v>
      </c>
      <c r="B9742" t="s">
        <v>12745</v>
      </c>
      <c r="C9742" t="s">
        <v>163</v>
      </c>
      <c r="D9742">
        <v>0.99878449143509196</v>
      </c>
    </row>
    <row r="9743" spans="1:4" hidden="1" x14ac:dyDescent="0.3">
      <c r="A9743">
        <v>9741</v>
      </c>
      <c r="B9743" s="1" t="s">
        <v>12746</v>
      </c>
      <c r="C9743" t="s">
        <v>165</v>
      </c>
      <c r="D9743" s="1" t="s">
        <v>12747</v>
      </c>
    </row>
    <row r="9744" spans="1:4" hidden="1" x14ac:dyDescent="0.3">
      <c r="A9744">
        <v>9742</v>
      </c>
      <c r="B9744" t="s">
        <v>12748</v>
      </c>
      <c r="C9744" t="s">
        <v>168</v>
      </c>
      <c r="D9744">
        <v>0.99909002363340804</v>
      </c>
    </row>
    <row r="9745" spans="1:4" hidden="1" x14ac:dyDescent="0.3">
      <c r="A9745">
        <v>9743</v>
      </c>
      <c r="B9745" t="s">
        <v>12749</v>
      </c>
      <c r="C9745" t="s">
        <v>170</v>
      </c>
      <c r="D9745">
        <v>0.99932157940111799</v>
      </c>
    </row>
    <row r="9746" spans="1:4" hidden="1" x14ac:dyDescent="0.3">
      <c r="A9746">
        <v>9744</v>
      </c>
      <c r="B9746" s="1" t="s">
        <v>12750</v>
      </c>
      <c r="C9746" t="s">
        <v>172</v>
      </c>
      <c r="D9746" s="1" t="s">
        <v>12751</v>
      </c>
    </row>
    <row r="9747" spans="1:4" hidden="1" x14ac:dyDescent="0.3">
      <c r="A9747">
        <v>9745</v>
      </c>
      <c r="B9747" s="1" t="s">
        <v>12752</v>
      </c>
      <c r="C9747" t="s">
        <v>55</v>
      </c>
      <c r="D9747" s="1" t="s">
        <v>12753</v>
      </c>
    </row>
    <row r="9748" spans="1:4" hidden="1" x14ac:dyDescent="0.3">
      <c r="A9748">
        <v>9746</v>
      </c>
      <c r="B9748" s="1" t="s">
        <v>12754</v>
      </c>
      <c r="C9748" t="s">
        <v>52</v>
      </c>
      <c r="D9748" s="1" t="s">
        <v>12755</v>
      </c>
    </row>
    <row r="9749" spans="1:4" hidden="1" x14ac:dyDescent="0.3">
      <c r="A9749">
        <v>9747</v>
      </c>
      <c r="B9749" s="1" t="s">
        <v>12756</v>
      </c>
      <c r="C9749" t="s">
        <v>58</v>
      </c>
      <c r="D9749" s="1" t="s">
        <v>12757</v>
      </c>
    </row>
    <row r="9750" spans="1:4" hidden="1" x14ac:dyDescent="0.3">
      <c r="A9750">
        <v>9748</v>
      </c>
      <c r="B9750" t="s">
        <v>12758</v>
      </c>
      <c r="C9750" t="s">
        <v>61</v>
      </c>
      <c r="D9750">
        <v>155422508.55827299</v>
      </c>
    </row>
    <row r="9751" spans="1:4" hidden="1" x14ac:dyDescent="0.3">
      <c r="A9751">
        <v>9749</v>
      </c>
      <c r="B9751" t="s">
        <v>12759</v>
      </c>
      <c r="C9751" t="s">
        <v>63</v>
      </c>
      <c r="D9751">
        <v>82993191.110534593</v>
      </c>
    </row>
    <row r="9752" spans="1:4" hidden="1" x14ac:dyDescent="0.3">
      <c r="A9752">
        <v>9750</v>
      </c>
      <c r="B9752" t="s">
        <v>12760</v>
      </c>
      <c r="C9752" t="s">
        <v>65</v>
      </c>
      <c r="D9752">
        <v>34373678.592483498</v>
      </c>
    </row>
    <row r="9753" spans="1:4" hidden="1" x14ac:dyDescent="0.3">
      <c r="A9753">
        <v>9751</v>
      </c>
      <c r="B9753" s="1" t="s">
        <v>12761</v>
      </c>
      <c r="C9753" t="s">
        <v>67</v>
      </c>
      <c r="D9753" s="1" t="s">
        <v>12762</v>
      </c>
    </row>
    <row r="9754" spans="1:4" hidden="1" x14ac:dyDescent="0.3">
      <c r="A9754">
        <v>9752</v>
      </c>
      <c r="B9754" s="1" t="s">
        <v>12763</v>
      </c>
      <c r="C9754" t="s">
        <v>70</v>
      </c>
      <c r="D9754" s="1" t="s">
        <v>12764</v>
      </c>
    </row>
    <row r="9755" spans="1:4" hidden="1" x14ac:dyDescent="0.3">
      <c r="A9755">
        <v>9753</v>
      </c>
      <c r="B9755" t="s">
        <v>12765</v>
      </c>
      <c r="C9755" t="s">
        <v>73</v>
      </c>
      <c r="D9755">
        <v>0.99985837852575599</v>
      </c>
    </row>
    <row r="9756" spans="1:4" hidden="1" x14ac:dyDescent="0.3">
      <c r="A9756">
        <v>9754</v>
      </c>
      <c r="B9756" t="s">
        <v>74</v>
      </c>
      <c r="C9756" t="s">
        <v>75</v>
      </c>
      <c r="D9756">
        <v>2.7397260273972599E-3</v>
      </c>
    </row>
    <row r="9757" spans="1:4" hidden="1" x14ac:dyDescent="0.3">
      <c r="A9757">
        <v>9755</v>
      </c>
      <c r="B9757" t="s">
        <v>76</v>
      </c>
      <c r="C9757" t="s">
        <v>77</v>
      </c>
      <c r="D9757">
        <v>0</v>
      </c>
    </row>
    <row r="9758" spans="1:4" hidden="1" x14ac:dyDescent="0.3">
      <c r="A9758">
        <v>9756</v>
      </c>
      <c r="B9758" t="s">
        <v>78</v>
      </c>
      <c r="C9758" t="s">
        <v>79</v>
      </c>
      <c r="D9758">
        <v>0</v>
      </c>
    </row>
    <row r="9759" spans="1:4" hidden="1" x14ac:dyDescent="0.3">
      <c r="A9759">
        <v>9757</v>
      </c>
      <c r="B9759" s="1" t="s">
        <v>12766</v>
      </c>
      <c r="C9759" t="s">
        <v>81</v>
      </c>
      <c r="D9759" s="1" t="s">
        <v>12767</v>
      </c>
    </row>
    <row r="9760" spans="1:4" hidden="1" x14ac:dyDescent="0.3">
      <c r="A9760">
        <v>9758</v>
      </c>
      <c r="B9760" t="s">
        <v>12768</v>
      </c>
      <c r="C9760" t="s">
        <v>84</v>
      </c>
      <c r="D9760">
        <v>0.99987951047934298</v>
      </c>
    </row>
    <row r="9761" spans="1:4" hidden="1" x14ac:dyDescent="0.3">
      <c r="A9761">
        <v>9759</v>
      </c>
      <c r="B9761" s="1" t="s">
        <v>12769</v>
      </c>
      <c r="C9761" t="s">
        <v>86</v>
      </c>
      <c r="D9761" s="1" t="s">
        <v>12770</v>
      </c>
    </row>
    <row r="9762" spans="1:4" hidden="1" x14ac:dyDescent="0.3">
      <c r="A9762">
        <v>9760</v>
      </c>
      <c r="B9762" t="s">
        <v>12771</v>
      </c>
      <c r="C9762" t="s">
        <v>89</v>
      </c>
      <c r="D9762">
        <v>104268326.934314</v>
      </c>
    </row>
    <row r="9763" spans="1:4" hidden="1" x14ac:dyDescent="0.3">
      <c r="A9763">
        <v>9761</v>
      </c>
      <c r="B9763" s="1" t="s">
        <v>12772</v>
      </c>
      <c r="C9763" t="s">
        <v>91</v>
      </c>
      <c r="D9763" s="1" t="s">
        <v>12707</v>
      </c>
    </row>
    <row r="9764" spans="1:4" hidden="1" x14ac:dyDescent="0.3">
      <c r="A9764">
        <v>9762</v>
      </c>
      <c r="B9764" t="s">
        <v>12773</v>
      </c>
      <c r="C9764" t="s">
        <v>94</v>
      </c>
      <c r="D9764">
        <v>82993191.110534593</v>
      </c>
    </row>
    <row r="9765" spans="1:4" hidden="1" x14ac:dyDescent="0.3">
      <c r="A9765">
        <v>9763</v>
      </c>
      <c r="B9765" t="s">
        <v>12774</v>
      </c>
      <c r="C9765" t="s">
        <v>96</v>
      </c>
      <c r="D9765">
        <v>34373678.592483498</v>
      </c>
    </row>
    <row r="9766" spans="1:4" hidden="1" x14ac:dyDescent="0.3">
      <c r="A9766">
        <v>9764</v>
      </c>
      <c r="B9766" t="s">
        <v>12775</v>
      </c>
      <c r="C9766" t="s">
        <v>98</v>
      </c>
      <c r="D9766">
        <v>38055638.855255403</v>
      </c>
    </row>
    <row r="9767" spans="1:4" hidden="1" x14ac:dyDescent="0.3">
      <c r="A9767">
        <v>9765</v>
      </c>
      <c r="B9767" s="1" t="s">
        <v>12776</v>
      </c>
      <c r="C9767" t="s">
        <v>100</v>
      </c>
      <c r="D9767" s="1" t="s">
        <v>12777</v>
      </c>
    </row>
    <row r="9768" spans="1:4" hidden="1" x14ac:dyDescent="0.3">
      <c r="A9768">
        <v>9766</v>
      </c>
      <c r="B9768" t="s">
        <v>12778</v>
      </c>
      <c r="C9768" t="s">
        <v>103</v>
      </c>
      <c r="D9768">
        <v>1.0119426626227499E-2</v>
      </c>
    </row>
    <row r="9769" spans="1:4" hidden="1" x14ac:dyDescent="0.3">
      <c r="A9769">
        <v>9767</v>
      </c>
      <c r="B9769" t="s">
        <v>12779</v>
      </c>
      <c r="C9769" t="s">
        <v>105</v>
      </c>
      <c r="D9769">
        <v>2.7840566031983802E-3</v>
      </c>
    </row>
    <row r="9770" spans="1:4" hidden="1" x14ac:dyDescent="0.3">
      <c r="A9770">
        <v>9768</v>
      </c>
      <c r="B9770" t="s">
        <v>12780</v>
      </c>
      <c r="C9770" t="s">
        <v>107</v>
      </c>
      <c r="D9770">
        <v>2.0661781938716602E-2</v>
      </c>
    </row>
    <row r="9771" spans="1:4" hidden="1" x14ac:dyDescent="0.3">
      <c r="A9771">
        <v>9769</v>
      </c>
      <c r="B9771" s="1" t="s">
        <v>12781</v>
      </c>
      <c r="C9771" t="s">
        <v>109</v>
      </c>
      <c r="D9771" s="1" t="s">
        <v>12782</v>
      </c>
    </row>
    <row r="9772" spans="1:4" hidden="1" x14ac:dyDescent="0.3">
      <c r="A9772">
        <v>9770</v>
      </c>
      <c r="B9772" t="s">
        <v>12783</v>
      </c>
      <c r="C9772" t="s">
        <v>208</v>
      </c>
      <c r="D9772">
        <v>155423267.91138899</v>
      </c>
    </row>
    <row r="9773" spans="1:4" hidden="1" x14ac:dyDescent="0.3">
      <c r="A9773">
        <v>9771</v>
      </c>
      <c r="B9773" t="s">
        <v>12784</v>
      </c>
      <c r="C9773" t="s">
        <v>210</v>
      </c>
      <c r="D9773">
        <v>-1754.0691081038101</v>
      </c>
    </row>
    <row r="9774" spans="1:4" hidden="1" x14ac:dyDescent="0.3">
      <c r="A9774">
        <v>9772</v>
      </c>
      <c r="B9774" t="s">
        <v>12785</v>
      </c>
      <c r="C9774" t="s">
        <v>212</v>
      </c>
      <c r="D9774">
        <v>-726.48754018165596</v>
      </c>
    </row>
    <row r="9775" spans="1:4" hidden="1" x14ac:dyDescent="0.3">
      <c r="A9775">
        <v>9773</v>
      </c>
      <c r="B9775" s="1" t="s">
        <v>12786</v>
      </c>
      <c r="C9775" t="s">
        <v>214</v>
      </c>
      <c r="D9775" s="1" t="s">
        <v>12787</v>
      </c>
    </row>
    <row r="9776" spans="1:4" hidden="1" x14ac:dyDescent="0.3">
      <c r="A9776">
        <v>9774</v>
      </c>
      <c r="B9776" t="s">
        <v>12788</v>
      </c>
      <c r="C9776" t="s">
        <v>217</v>
      </c>
      <c r="D9776">
        <v>82995533.468478695</v>
      </c>
    </row>
    <row r="9777" spans="1:4" hidden="1" x14ac:dyDescent="0.3">
      <c r="A9777">
        <v>9775</v>
      </c>
      <c r="B9777" t="s">
        <v>12789</v>
      </c>
      <c r="C9777" t="s">
        <v>219</v>
      </c>
      <c r="D9777">
        <v>34374484.264624998</v>
      </c>
    </row>
    <row r="9778" spans="1:4" hidden="1" x14ac:dyDescent="0.3">
      <c r="A9778">
        <v>9776</v>
      </c>
      <c r="B9778" t="s">
        <v>12790</v>
      </c>
      <c r="C9778" t="s">
        <v>221</v>
      </c>
      <c r="D9778">
        <v>38056535.040776402</v>
      </c>
    </row>
    <row r="9779" spans="1:4" hidden="1" x14ac:dyDescent="0.3">
      <c r="A9779">
        <v>9777</v>
      </c>
      <c r="B9779" s="1" t="s">
        <v>12791</v>
      </c>
      <c r="C9779" t="s">
        <v>223</v>
      </c>
      <c r="D9779" s="1" t="s">
        <v>12792</v>
      </c>
    </row>
    <row r="9780" spans="1:4" hidden="1" x14ac:dyDescent="0.3">
      <c r="A9780">
        <v>9778</v>
      </c>
      <c r="B9780" t="s">
        <v>12793</v>
      </c>
      <c r="C9780" t="s">
        <v>226</v>
      </c>
      <c r="D9780">
        <v>104270530.639851</v>
      </c>
    </row>
    <row r="9781" spans="1:4" hidden="1" x14ac:dyDescent="0.3">
      <c r="A9781">
        <v>9779</v>
      </c>
      <c r="B9781" t="s">
        <v>12794</v>
      </c>
      <c r="C9781" t="s">
        <v>228</v>
      </c>
      <c r="D9781">
        <v>-2203.70553736388</v>
      </c>
    </row>
    <row r="9782" spans="1:4" hidden="1" x14ac:dyDescent="0.3">
      <c r="A9782">
        <v>9780</v>
      </c>
      <c r="B9782" s="1" t="s">
        <v>12795</v>
      </c>
      <c r="C9782" t="s">
        <v>230</v>
      </c>
      <c r="D9782" s="1" t="s">
        <v>12796</v>
      </c>
    </row>
    <row r="9783" spans="1:4" hidden="1" x14ac:dyDescent="0.3">
      <c r="A9783">
        <v>9781</v>
      </c>
      <c r="B9783" t="s">
        <v>12797</v>
      </c>
      <c r="C9783" t="s">
        <v>112</v>
      </c>
      <c r="D9783">
        <v>588.288836014401</v>
      </c>
    </row>
    <row r="9784" spans="1:4" hidden="1" x14ac:dyDescent="0.3">
      <c r="A9784">
        <v>9782</v>
      </c>
      <c r="B9784" t="s">
        <v>12798</v>
      </c>
      <c r="C9784" t="s">
        <v>114</v>
      </c>
      <c r="D9784">
        <v>79.1846013459175</v>
      </c>
    </row>
    <row r="9785" spans="1:4" hidden="1" x14ac:dyDescent="0.3">
      <c r="A9785">
        <v>9783</v>
      </c>
      <c r="B9785" s="1" t="s">
        <v>12799</v>
      </c>
      <c r="C9785" t="s">
        <v>116</v>
      </c>
      <c r="D9785" s="1" t="s">
        <v>12800</v>
      </c>
    </row>
    <row r="9786" spans="1:4" hidden="1" x14ac:dyDescent="0.3">
      <c r="A9786">
        <v>9784</v>
      </c>
      <c r="B9786" t="s">
        <v>12801</v>
      </c>
      <c r="C9786" t="s">
        <v>119</v>
      </c>
      <c r="D9786">
        <v>82995533.468478695</v>
      </c>
    </row>
    <row r="9787" spans="1:4" hidden="1" x14ac:dyDescent="0.3">
      <c r="A9787">
        <v>9785</v>
      </c>
      <c r="B9787" t="s">
        <v>12802</v>
      </c>
      <c r="C9787" t="s">
        <v>121</v>
      </c>
      <c r="D9787">
        <v>34374484.264624998</v>
      </c>
    </row>
    <row r="9788" spans="1:4" hidden="1" x14ac:dyDescent="0.3">
      <c r="A9788">
        <v>9786</v>
      </c>
      <c r="B9788" s="1" t="s">
        <v>12803</v>
      </c>
      <c r="C9788" t="s">
        <v>123</v>
      </c>
      <c r="D9788" s="1" t="s">
        <v>12804</v>
      </c>
    </row>
    <row r="9789" spans="1:4" hidden="1" x14ac:dyDescent="0.3">
      <c r="A9789">
        <v>9787</v>
      </c>
      <c r="B9789" t="s">
        <v>12805</v>
      </c>
      <c r="C9789" t="s">
        <v>126</v>
      </c>
      <c r="D9789">
        <v>0.79605938759699701</v>
      </c>
    </row>
    <row r="9790" spans="1:4" hidden="1" x14ac:dyDescent="0.3">
      <c r="A9790">
        <v>9788</v>
      </c>
      <c r="B9790" t="s">
        <v>12806</v>
      </c>
      <c r="C9790" t="s">
        <v>128</v>
      </c>
      <c r="D9790">
        <v>0.32970606668915198</v>
      </c>
    </row>
    <row r="9791" spans="1:4" hidden="1" x14ac:dyDescent="0.3">
      <c r="A9791">
        <v>9789</v>
      </c>
      <c r="B9791" s="1" t="s">
        <v>12807</v>
      </c>
      <c r="C9791" t="s">
        <v>130</v>
      </c>
      <c r="D9791" s="1" t="s">
        <v>12808</v>
      </c>
    </row>
    <row r="9792" spans="1:4" ht="72" x14ac:dyDescent="0.3">
      <c r="A9792">
        <v>9790</v>
      </c>
      <c r="B9792" s="1" t="s">
        <v>12809</v>
      </c>
      <c r="C9792" t="s">
        <v>4</v>
      </c>
      <c r="D9792" t="s">
        <v>12810</v>
      </c>
    </row>
    <row r="9793" spans="1:4" hidden="1" x14ac:dyDescent="0.3">
      <c r="A9793">
        <v>9791</v>
      </c>
      <c r="B9793" t="s">
        <v>12811</v>
      </c>
      <c r="C9793" t="s">
        <v>7</v>
      </c>
      <c r="D9793">
        <v>1928.36</v>
      </c>
    </row>
    <row r="9794" spans="1:4" hidden="1" x14ac:dyDescent="0.3">
      <c r="A9794">
        <v>9792</v>
      </c>
      <c r="B9794" s="1" t="s">
        <v>12812</v>
      </c>
      <c r="C9794" t="s">
        <v>9</v>
      </c>
      <c r="D9794" s="1" t="s">
        <v>12813</v>
      </c>
    </row>
    <row r="9795" spans="1:4" hidden="1" x14ac:dyDescent="0.3">
      <c r="A9795">
        <v>9793</v>
      </c>
      <c r="B9795" t="s">
        <v>12814</v>
      </c>
      <c r="C9795" t="s">
        <v>14</v>
      </c>
      <c r="D9795">
        <v>90.52734375</v>
      </c>
    </row>
    <row r="9796" spans="1:4" hidden="1" x14ac:dyDescent="0.3">
      <c r="A9796">
        <v>9794</v>
      </c>
      <c r="B9796" t="s">
        <v>12815</v>
      </c>
      <c r="C9796" t="s">
        <v>16</v>
      </c>
      <c r="D9796">
        <v>4.2428287050746496</v>
      </c>
    </row>
    <row r="9797" spans="1:4" hidden="1" x14ac:dyDescent="0.3">
      <c r="A9797">
        <v>9795</v>
      </c>
      <c r="B9797" s="1" t="s">
        <v>12816</v>
      </c>
      <c r="C9797" t="s">
        <v>140</v>
      </c>
      <c r="D9797" s="1" t="s">
        <v>12817</v>
      </c>
    </row>
    <row r="9798" spans="1:4" hidden="1" x14ac:dyDescent="0.3">
      <c r="A9798">
        <v>9796</v>
      </c>
      <c r="B9798" t="s">
        <v>12818</v>
      </c>
      <c r="C9798" t="s">
        <v>22</v>
      </c>
      <c r="D9798">
        <v>62.7</v>
      </c>
    </row>
    <row r="9799" spans="1:4" hidden="1" x14ac:dyDescent="0.3">
      <c r="A9799">
        <v>9797</v>
      </c>
      <c r="B9799" t="s">
        <v>12819</v>
      </c>
      <c r="C9799" t="s">
        <v>24</v>
      </c>
      <c r="D9799">
        <v>4.0636119569459899</v>
      </c>
    </row>
    <row r="9800" spans="1:4" hidden="1" x14ac:dyDescent="0.3">
      <c r="A9800">
        <v>9798</v>
      </c>
      <c r="B9800" s="1" t="s">
        <v>12820</v>
      </c>
      <c r="C9800" t="s">
        <v>145</v>
      </c>
      <c r="D9800" s="1" t="s">
        <v>12821</v>
      </c>
    </row>
    <row r="9801" spans="1:4" hidden="1" x14ac:dyDescent="0.3">
      <c r="A9801">
        <v>9799</v>
      </c>
      <c r="B9801" t="s">
        <v>12822</v>
      </c>
      <c r="C9801" t="s">
        <v>35</v>
      </c>
      <c r="D9801">
        <v>0.359008852269523</v>
      </c>
    </row>
    <row r="9802" spans="1:4" hidden="1" x14ac:dyDescent="0.3">
      <c r="A9802">
        <v>9800</v>
      </c>
      <c r="B9802" t="s">
        <v>12823</v>
      </c>
      <c r="C9802" t="s">
        <v>149</v>
      </c>
      <c r="D9802">
        <v>0.54077471281112399</v>
      </c>
    </row>
    <row r="9803" spans="1:4" hidden="1" x14ac:dyDescent="0.3">
      <c r="A9803">
        <v>9801</v>
      </c>
      <c r="B9803" s="1" t="s">
        <v>12824</v>
      </c>
      <c r="C9803" t="s">
        <v>151</v>
      </c>
      <c r="D9803" s="1" t="s">
        <v>12825</v>
      </c>
    </row>
    <row r="9804" spans="1:4" hidden="1" x14ac:dyDescent="0.3">
      <c r="A9804">
        <v>9802</v>
      </c>
      <c r="B9804" t="s">
        <v>12826</v>
      </c>
      <c r="C9804" t="s">
        <v>30</v>
      </c>
      <c r="D9804">
        <v>0.32843751222214401</v>
      </c>
    </row>
    <row r="9805" spans="1:4" hidden="1" x14ac:dyDescent="0.3">
      <c r="A9805">
        <v>9803</v>
      </c>
      <c r="B9805" t="s">
        <v>12827</v>
      </c>
      <c r="C9805" t="s">
        <v>32</v>
      </c>
      <c r="D9805">
        <v>0.37085934371041901</v>
      </c>
    </row>
    <row r="9806" spans="1:4" hidden="1" x14ac:dyDescent="0.3">
      <c r="A9806">
        <v>9804</v>
      </c>
      <c r="B9806" s="1" t="s">
        <v>12828</v>
      </c>
      <c r="C9806" t="s">
        <v>155</v>
      </c>
      <c r="D9806" s="1" t="s">
        <v>12829</v>
      </c>
    </row>
    <row r="9807" spans="1:4" hidden="1" x14ac:dyDescent="0.3">
      <c r="A9807">
        <v>9805</v>
      </c>
      <c r="B9807" t="s">
        <v>12830</v>
      </c>
      <c r="C9807" t="s">
        <v>40</v>
      </c>
      <c r="D9807">
        <v>0.31255363550833098</v>
      </c>
    </row>
    <row r="9808" spans="1:4" hidden="1" x14ac:dyDescent="0.3">
      <c r="A9808">
        <v>9806</v>
      </c>
      <c r="B9808" t="s">
        <v>12831</v>
      </c>
      <c r="C9808" t="s">
        <v>42</v>
      </c>
      <c r="D9808">
        <v>0.478339548748276</v>
      </c>
    </row>
    <row r="9809" spans="1:4" hidden="1" x14ac:dyDescent="0.3">
      <c r="A9809">
        <v>9807</v>
      </c>
      <c r="B9809" s="1" t="s">
        <v>12832</v>
      </c>
      <c r="C9809" t="s">
        <v>159</v>
      </c>
      <c r="D9809" s="1" t="s">
        <v>12833</v>
      </c>
    </row>
    <row r="9810" spans="1:4" hidden="1" x14ac:dyDescent="0.3">
      <c r="A9810">
        <v>9808</v>
      </c>
      <c r="B9810" t="s">
        <v>12834</v>
      </c>
      <c r="C9810" t="s">
        <v>161</v>
      </c>
      <c r="D9810">
        <v>1.0026986693844</v>
      </c>
    </row>
    <row r="9811" spans="1:4" hidden="1" x14ac:dyDescent="0.3">
      <c r="A9811">
        <v>9809</v>
      </c>
      <c r="B9811" t="s">
        <v>12835</v>
      </c>
      <c r="C9811" t="s">
        <v>163</v>
      </c>
      <c r="D9811">
        <v>1.00158748632644</v>
      </c>
    </row>
    <row r="9812" spans="1:4" hidden="1" x14ac:dyDescent="0.3">
      <c r="A9812">
        <v>9810</v>
      </c>
      <c r="B9812" s="1" t="s">
        <v>12836</v>
      </c>
      <c r="C9812" t="s">
        <v>165</v>
      </c>
      <c r="D9812" s="1" t="s">
        <v>12837</v>
      </c>
    </row>
    <row r="9813" spans="1:4" hidden="1" x14ac:dyDescent="0.3">
      <c r="A9813">
        <v>9811</v>
      </c>
      <c r="B9813" t="s">
        <v>12838</v>
      </c>
      <c r="C9813" t="s">
        <v>168</v>
      </c>
      <c r="D9813">
        <v>1.0011464396351399</v>
      </c>
    </row>
    <row r="9814" spans="1:4" hidden="1" x14ac:dyDescent="0.3">
      <c r="A9814">
        <v>9812</v>
      </c>
      <c r="B9814" t="s">
        <v>12839</v>
      </c>
      <c r="C9814" t="s">
        <v>170</v>
      </c>
      <c r="D9814">
        <v>1.0016352727942199</v>
      </c>
    </row>
    <row r="9815" spans="1:4" hidden="1" x14ac:dyDescent="0.3">
      <c r="A9815">
        <v>9813</v>
      </c>
      <c r="B9815" s="1" t="s">
        <v>12840</v>
      </c>
      <c r="C9815" t="s">
        <v>172</v>
      </c>
      <c r="D9815" s="1" t="s">
        <v>12841</v>
      </c>
    </row>
    <row r="9816" spans="1:4" hidden="1" x14ac:dyDescent="0.3">
      <c r="A9816">
        <v>9814</v>
      </c>
      <c r="B9816" s="1" t="s">
        <v>12842</v>
      </c>
      <c r="C9816" t="s">
        <v>55</v>
      </c>
      <c r="D9816" s="1" t="s">
        <v>12843</v>
      </c>
    </row>
    <row r="9817" spans="1:4" hidden="1" x14ac:dyDescent="0.3">
      <c r="A9817">
        <v>9815</v>
      </c>
      <c r="B9817" s="1" t="s">
        <v>12844</v>
      </c>
      <c r="C9817" t="s">
        <v>52</v>
      </c>
      <c r="D9817" s="1" t="s">
        <v>12845</v>
      </c>
    </row>
    <row r="9818" spans="1:4" hidden="1" x14ac:dyDescent="0.3">
      <c r="A9818">
        <v>9816</v>
      </c>
      <c r="B9818" s="1" t="s">
        <v>12846</v>
      </c>
      <c r="C9818" t="s">
        <v>58</v>
      </c>
      <c r="D9818" s="1" t="s">
        <v>12847</v>
      </c>
    </row>
    <row r="9819" spans="1:4" hidden="1" x14ac:dyDescent="0.3">
      <c r="A9819">
        <v>9817</v>
      </c>
      <c r="B9819" t="s">
        <v>12848</v>
      </c>
      <c r="C9819" t="s">
        <v>61</v>
      </c>
      <c r="D9819">
        <v>154882983.97296599</v>
      </c>
    </row>
    <row r="9820" spans="1:4" hidden="1" x14ac:dyDescent="0.3">
      <c r="A9820">
        <v>9818</v>
      </c>
      <c r="B9820" t="s">
        <v>12849</v>
      </c>
      <c r="C9820" t="s">
        <v>63</v>
      </c>
      <c r="D9820">
        <v>83219510.973692194</v>
      </c>
    </row>
    <row r="9821" spans="1:4" hidden="1" x14ac:dyDescent="0.3">
      <c r="A9821">
        <v>9819</v>
      </c>
      <c r="B9821" t="s">
        <v>12850</v>
      </c>
      <c r="C9821" t="s">
        <v>65</v>
      </c>
      <c r="D9821">
        <v>34429053.288373701</v>
      </c>
    </row>
    <row r="9822" spans="1:4" hidden="1" x14ac:dyDescent="0.3">
      <c r="A9822">
        <v>9820</v>
      </c>
      <c r="B9822" s="1" t="s">
        <v>12851</v>
      </c>
      <c r="C9822" t="s">
        <v>67</v>
      </c>
      <c r="D9822" s="1" t="s">
        <v>12852</v>
      </c>
    </row>
    <row r="9823" spans="1:4" hidden="1" x14ac:dyDescent="0.3">
      <c r="A9823">
        <v>9821</v>
      </c>
      <c r="B9823" s="1" t="s">
        <v>12853</v>
      </c>
      <c r="C9823" t="s">
        <v>70</v>
      </c>
      <c r="D9823" s="1" t="s">
        <v>12854</v>
      </c>
    </row>
    <row r="9824" spans="1:4" hidden="1" x14ac:dyDescent="0.3">
      <c r="A9824">
        <v>9822</v>
      </c>
      <c r="B9824" t="s">
        <v>12855</v>
      </c>
      <c r="C9824" t="s">
        <v>73</v>
      </c>
      <c r="D9824">
        <v>0.99987951047934298</v>
      </c>
    </row>
    <row r="9825" spans="1:4" hidden="1" x14ac:dyDescent="0.3">
      <c r="A9825">
        <v>9823</v>
      </c>
      <c r="B9825" t="s">
        <v>74</v>
      </c>
      <c r="C9825" t="s">
        <v>75</v>
      </c>
      <c r="D9825">
        <v>2.7397260273972599E-3</v>
      </c>
    </row>
    <row r="9826" spans="1:4" hidden="1" x14ac:dyDescent="0.3">
      <c r="A9826">
        <v>9824</v>
      </c>
      <c r="B9826" t="s">
        <v>76</v>
      </c>
      <c r="C9826" t="s">
        <v>77</v>
      </c>
      <c r="D9826">
        <v>0</v>
      </c>
    </row>
    <row r="9827" spans="1:4" hidden="1" x14ac:dyDescent="0.3">
      <c r="A9827">
        <v>9825</v>
      </c>
      <c r="B9827" t="s">
        <v>78</v>
      </c>
      <c r="C9827" t="s">
        <v>79</v>
      </c>
      <c r="D9827">
        <v>0</v>
      </c>
    </row>
    <row r="9828" spans="1:4" hidden="1" x14ac:dyDescent="0.3">
      <c r="A9828">
        <v>9826</v>
      </c>
      <c r="B9828" s="1" t="s">
        <v>12856</v>
      </c>
      <c r="C9828" t="s">
        <v>81</v>
      </c>
      <c r="D9828" s="1" t="s">
        <v>12857</v>
      </c>
    </row>
    <row r="9829" spans="1:4" hidden="1" x14ac:dyDescent="0.3">
      <c r="A9829">
        <v>9827</v>
      </c>
      <c r="B9829" t="s">
        <v>12858</v>
      </c>
      <c r="C9829" t="s">
        <v>84</v>
      </c>
      <c r="D9829">
        <v>0.99980879639475595</v>
      </c>
    </row>
    <row r="9830" spans="1:4" hidden="1" x14ac:dyDescent="0.3">
      <c r="A9830">
        <v>9828</v>
      </c>
      <c r="B9830" s="1" t="s">
        <v>12859</v>
      </c>
      <c r="C9830" t="s">
        <v>86</v>
      </c>
      <c r="D9830" s="1" t="s">
        <v>12860</v>
      </c>
    </row>
    <row r="9831" spans="1:4" hidden="1" x14ac:dyDescent="0.3">
      <c r="A9831">
        <v>9829</v>
      </c>
      <c r="B9831" t="s">
        <v>12861</v>
      </c>
      <c r="C9831" t="s">
        <v>89</v>
      </c>
      <c r="D9831">
        <v>104275701.583664</v>
      </c>
    </row>
    <row r="9832" spans="1:4" hidden="1" x14ac:dyDescent="0.3">
      <c r="A9832">
        <v>9830</v>
      </c>
      <c r="B9832" s="1" t="s">
        <v>12862</v>
      </c>
      <c r="C9832" t="s">
        <v>91</v>
      </c>
      <c r="D9832" s="1" t="s">
        <v>12796</v>
      </c>
    </row>
    <row r="9833" spans="1:4" hidden="1" x14ac:dyDescent="0.3">
      <c r="A9833">
        <v>9831</v>
      </c>
      <c r="B9833" t="s">
        <v>12863</v>
      </c>
      <c r="C9833" t="s">
        <v>94</v>
      </c>
      <c r="D9833">
        <v>83219510.973692194</v>
      </c>
    </row>
    <row r="9834" spans="1:4" hidden="1" x14ac:dyDescent="0.3">
      <c r="A9834">
        <v>9832</v>
      </c>
      <c r="B9834" t="s">
        <v>12864</v>
      </c>
      <c r="C9834" t="s">
        <v>96</v>
      </c>
      <c r="D9834">
        <v>34429053.288373701</v>
      </c>
    </row>
    <row r="9835" spans="1:4" hidden="1" x14ac:dyDescent="0.3">
      <c r="A9835">
        <v>9833</v>
      </c>
      <c r="B9835" t="s">
        <v>12865</v>
      </c>
      <c r="C9835" t="s">
        <v>98</v>
      </c>
      <c r="D9835">
        <v>37234419.710900001</v>
      </c>
    </row>
    <row r="9836" spans="1:4" hidden="1" x14ac:dyDescent="0.3">
      <c r="A9836">
        <v>9834</v>
      </c>
      <c r="B9836" s="1" t="s">
        <v>12866</v>
      </c>
      <c r="C9836" t="s">
        <v>100</v>
      </c>
      <c r="D9836" s="1" t="s">
        <v>12867</v>
      </c>
    </row>
    <row r="9837" spans="1:4" hidden="1" x14ac:dyDescent="0.3">
      <c r="A9837">
        <v>9835</v>
      </c>
      <c r="B9837" t="s">
        <v>12868</v>
      </c>
      <c r="C9837" t="s">
        <v>103</v>
      </c>
      <c r="D9837">
        <v>1.0043808033910299E-2</v>
      </c>
    </row>
    <row r="9838" spans="1:4" hidden="1" x14ac:dyDescent="0.3">
      <c r="A9838">
        <v>9836</v>
      </c>
      <c r="B9838" t="s">
        <v>12869</v>
      </c>
      <c r="C9838" t="s">
        <v>105</v>
      </c>
      <c r="D9838">
        <v>2.7856352813905999E-3</v>
      </c>
    </row>
    <row r="9839" spans="1:4" hidden="1" x14ac:dyDescent="0.3">
      <c r="A9839">
        <v>9837</v>
      </c>
      <c r="B9839" t="s">
        <v>12870</v>
      </c>
      <c r="C9839" t="s">
        <v>107</v>
      </c>
      <c r="D9839">
        <v>2.0817014950567501E-2</v>
      </c>
    </row>
    <row r="9840" spans="1:4" hidden="1" x14ac:dyDescent="0.3">
      <c r="A9840">
        <v>9838</v>
      </c>
      <c r="B9840" s="1" t="s">
        <v>12871</v>
      </c>
      <c r="C9840" t="s">
        <v>109</v>
      </c>
      <c r="D9840" s="1" t="s">
        <v>12872</v>
      </c>
    </row>
    <row r="9841" spans="1:4" hidden="1" x14ac:dyDescent="0.3">
      <c r="A9841">
        <v>9839</v>
      </c>
      <c r="B9841" t="s">
        <v>12873</v>
      </c>
      <c r="C9841" t="s">
        <v>208</v>
      </c>
      <c r="D9841">
        <v>154880439.99167401</v>
      </c>
    </row>
    <row r="9842" spans="1:4" hidden="1" x14ac:dyDescent="0.3">
      <c r="A9842">
        <v>9840</v>
      </c>
      <c r="B9842" t="s">
        <v>12874</v>
      </c>
      <c r="C9842" t="s">
        <v>210</v>
      </c>
      <c r="D9842">
        <v>5885.3605791907703</v>
      </c>
    </row>
    <row r="9843" spans="1:4" hidden="1" x14ac:dyDescent="0.3">
      <c r="A9843">
        <v>9841</v>
      </c>
      <c r="B9843" t="s">
        <v>12875</v>
      </c>
      <c r="C9843" t="s">
        <v>212</v>
      </c>
      <c r="D9843">
        <v>2434.89358705009</v>
      </c>
    </row>
    <row r="9844" spans="1:4" hidden="1" x14ac:dyDescent="0.3">
      <c r="A9844">
        <v>9842</v>
      </c>
      <c r="B9844" s="1" t="s">
        <v>12876</v>
      </c>
      <c r="C9844" t="s">
        <v>214</v>
      </c>
      <c r="D9844" s="1" t="s">
        <v>12877</v>
      </c>
    </row>
    <row r="9845" spans="1:4" hidden="1" x14ac:dyDescent="0.3">
      <c r="A9845">
        <v>9843</v>
      </c>
      <c r="B9845" t="s">
        <v>12878</v>
      </c>
      <c r="C9845" t="s">
        <v>217</v>
      </c>
      <c r="D9845">
        <v>83211644.631243393</v>
      </c>
    </row>
    <row r="9846" spans="1:4" hidden="1" x14ac:dyDescent="0.3">
      <c r="A9846">
        <v>9844</v>
      </c>
      <c r="B9846" t="s">
        <v>12879</v>
      </c>
      <c r="C9846" t="s">
        <v>219</v>
      </c>
      <c r="D9846">
        <v>34426352.838412598</v>
      </c>
    </row>
    <row r="9847" spans="1:4" hidden="1" x14ac:dyDescent="0.3">
      <c r="A9847">
        <v>9845</v>
      </c>
      <c r="B9847" t="s">
        <v>12880</v>
      </c>
      <c r="C9847" t="s">
        <v>221</v>
      </c>
      <c r="D9847">
        <v>37231488.973696403</v>
      </c>
    </row>
    <row r="9848" spans="1:4" hidden="1" x14ac:dyDescent="0.3">
      <c r="A9848">
        <v>9846</v>
      </c>
      <c r="B9848" s="1" t="s">
        <v>12881</v>
      </c>
      <c r="C9848" t="s">
        <v>223</v>
      </c>
      <c r="D9848" s="1" t="s">
        <v>12882</v>
      </c>
    </row>
    <row r="9849" spans="1:4" hidden="1" x14ac:dyDescent="0.3">
      <c r="A9849">
        <v>9847</v>
      </c>
      <c r="B9849" t="s">
        <v>12883</v>
      </c>
      <c r="C9849" t="s">
        <v>226</v>
      </c>
      <c r="D9849">
        <v>104268326.934314</v>
      </c>
    </row>
    <row r="9850" spans="1:4" hidden="1" x14ac:dyDescent="0.3">
      <c r="A9850">
        <v>9848</v>
      </c>
      <c r="B9850" t="s">
        <v>12884</v>
      </c>
      <c r="C9850" t="s">
        <v>228</v>
      </c>
      <c r="D9850">
        <v>7374.6493500620099</v>
      </c>
    </row>
    <row r="9851" spans="1:4" hidden="1" x14ac:dyDescent="0.3">
      <c r="A9851">
        <v>9849</v>
      </c>
      <c r="B9851" s="1" t="s">
        <v>12885</v>
      </c>
      <c r="C9851" t="s">
        <v>230</v>
      </c>
      <c r="D9851" s="1" t="s">
        <v>12886</v>
      </c>
    </row>
    <row r="9852" spans="1:4" hidden="1" x14ac:dyDescent="0.3">
      <c r="A9852">
        <v>9850</v>
      </c>
      <c r="B9852" t="s">
        <v>12887</v>
      </c>
      <c r="C9852" t="s">
        <v>112</v>
      </c>
      <c r="D9852">
        <v>-1980.98186961124</v>
      </c>
    </row>
    <row r="9853" spans="1:4" hidden="1" x14ac:dyDescent="0.3">
      <c r="A9853">
        <v>9851</v>
      </c>
      <c r="B9853" t="s">
        <v>12888</v>
      </c>
      <c r="C9853" t="s">
        <v>114</v>
      </c>
      <c r="D9853">
        <v>-265.55637402198602</v>
      </c>
    </row>
    <row r="9854" spans="1:4" hidden="1" x14ac:dyDescent="0.3">
      <c r="A9854">
        <v>9852</v>
      </c>
      <c r="B9854" s="1" t="s">
        <v>12889</v>
      </c>
      <c r="C9854" t="s">
        <v>116</v>
      </c>
      <c r="D9854" s="1" t="s">
        <v>12890</v>
      </c>
    </row>
    <row r="9855" spans="1:4" hidden="1" x14ac:dyDescent="0.3">
      <c r="A9855">
        <v>9853</v>
      </c>
      <c r="B9855" t="s">
        <v>12891</v>
      </c>
      <c r="C9855" t="s">
        <v>119</v>
      </c>
      <c r="D9855">
        <v>83211644.631243393</v>
      </c>
    </row>
    <row r="9856" spans="1:4" hidden="1" x14ac:dyDescent="0.3">
      <c r="A9856">
        <v>9854</v>
      </c>
      <c r="B9856" t="s">
        <v>12892</v>
      </c>
      <c r="C9856" t="s">
        <v>121</v>
      </c>
      <c r="D9856">
        <v>34426352.838412598</v>
      </c>
    </row>
    <row r="9857" spans="1:4" hidden="1" x14ac:dyDescent="0.3">
      <c r="A9857">
        <v>9855</v>
      </c>
      <c r="B9857" s="1" t="s">
        <v>12893</v>
      </c>
      <c r="C9857" t="s">
        <v>123</v>
      </c>
      <c r="D9857" s="1" t="s">
        <v>12894</v>
      </c>
    </row>
    <row r="9858" spans="1:4" hidden="1" x14ac:dyDescent="0.3">
      <c r="A9858">
        <v>9856</v>
      </c>
      <c r="B9858" t="s">
        <v>12895</v>
      </c>
      <c r="C9858" t="s">
        <v>126</v>
      </c>
      <c r="D9858">
        <v>0.79820555759781897</v>
      </c>
    </row>
    <row r="9859" spans="1:4" hidden="1" x14ac:dyDescent="0.3">
      <c r="A9859">
        <v>9857</v>
      </c>
      <c r="B9859" t="s">
        <v>12896</v>
      </c>
      <c r="C9859" t="s">
        <v>128</v>
      </c>
      <c r="D9859">
        <v>0.33023390278151998</v>
      </c>
    </row>
    <row r="9860" spans="1:4" hidden="1" x14ac:dyDescent="0.3">
      <c r="A9860">
        <v>9858</v>
      </c>
      <c r="B9860" s="1" t="s">
        <v>12897</v>
      </c>
      <c r="C9860" t="s">
        <v>130</v>
      </c>
      <c r="D9860" s="1" t="s">
        <v>12898</v>
      </c>
    </row>
    <row r="9861" spans="1:4" ht="72" x14ac:dyDescent="0.3">
      <c r="A9861">
        <v>9859</v>
      </c>
      <c r="B9861" s="1" t="s">
        <v>12899</v>
      </c>
      <c r="C9861" t="s">
        <v>4</v>
      </c>
      <c r="D9861" t="s">
        <v>12900</v>
      </c>
    </row>
    <row r="9862" spans="1:4" hidden="1" x14ac:dyDescent="0.3">
      <c r="A9862">
        <v>9860</v>
      </c>
      <c r="B9862" t="s">
        <v>12901</v>
      </c>
      <c r="C9862" t="s">
        <v>7</v>
      </c>
      <c r="D9862">
        <v>1950.52</v>
      </c>
    </row>
    <row r="9863" spans="1:4" hidden="1" x14ac:dyDescent="0.3">
      <c r="A9863">
        <v>9861</v>
      </c>
      <c r="B9863" s="1" t="s">
        <v>12902</v>
      </c>
      <c r="C9863" t="s">
        <v>9</v>
      </c>
      <c r="D9863" s="1" t="s">
        <v>12903</v>
      </c>
    </row>
    <row r="9864" spans="1:4" hidden="1" x14ac:dyDescent="0.3">
      <c r="A9864">
        <v>9862</v>
      </c>
      <c r="B9864" t="s">
        <v>339</v>
      </c>
      <c r="C9864" t="s">
        <v>14</v>
      </c>
      <c r="D9864">
        <v>90.82421875</v>
      </c>
    </row>
    <row r="9865" spans="1:4" hidden="1" x14ac:dyDescent="0.3">
      <c r="A9865">
        <v>9863</v>
      </c>
      <c r="B9865" t="s">
        <v>12904</v>
      </c>
      <c r="C9865" t="s">
        <v>16</v>
      </c>
      <c r="D9865">
        <v>4.2515287080694097</v>
      </c>
    </row>
    <row r="9866" spans="1:4" hidden="1" x14ac:dyDescent="0.3">
      <c r="A9866">
        <v>9864</v>
      </c>
      <c r="B9866" s="1" t="s">
        <v>12905</v>
      </c>
      <c r="C9866" t="s">
        <v>140</v>
      </c>
      <c r="D9866" s="1" t="s">
        <v>12906</v>
      </c>
    </row>
    <row r="9867" spans="1:4" hidden="1" x14ac:dyDescent="0.3">
      <c r="A9867">
        <v>9865</v>
      </c>
      <c r="B9867" t="s">
        <v>12907</v>
      </c>
      <c r="C9867" t="s">
        <v>22</v>
      </c>
      <c r="D9867">
        <v>62.9</v>
      </c>
    </row>
    <row r="9868" spans="1:4" hidden="1" x14ac:dyDescent="0.3">
      <c r="A9868">
        <v>9866</v>
      </c>
      <c r="B9868" t="s">
        <v>12908</v>
      </c>
      <c r="C9868" t="s">
        <v>24</v>
      </c>
      <c r="D9868">
        <v>4.1360229205293901</v>
      </c>
    </row>
    <row r="9869" spans="1:4" hidden="1" x14ac:dyDescent="0.3">
      <c r="A9869">
        <v>9867</v>
      </c>
      <c r="B9869" s="1" t="s">
        <v>12909</v>
      </c>
      <c r="C9869" t="s">
        <v>145</v>
      </c>
      <c r="D9869" s="1" t="s">
        <v>12910</v>
      </c>
    </row>
    <row r="9870" spans="1:4" hidden="1" x14ac:dyDescent="0.3">
      <c r="A9870">
        <v>9868</v>
      </c>
      <c r="B9870" t="s">
        <v>12911</v>
      </c>
      <c r="C9870" t="s">
        <v>35</v>
      </c>
      <c r="D9870">
        <v>-1.1506750644947901</v>
      </c>
    </row>
    <row r="9871" spans="1:4" hidden="1" x14ac:dyDescent="0.3">
      <c r="A9871">
        <v>9869</v>
      </c>
      <c r="B9871" t="s">
        <v>12912</v>
      </c>
      <c r="C9871" t="s">
        <v>149</v>
      </c>
      <c r="D9871">
        <v>0.541122379075196</v>
      </c>
    </row>
    <row r="9872" spans="1:4" hidden="1" x14ac:dyDescent="0.3">
      <c r="A9872">
        <v>9870</v>
      </c>
      <c r="B9872" s="1" t="s">
        <v>12913</v>
      </c>
      <c r="C9872" t="s">
        <v>151</v>
      </c>
      <c r="D9872" s="1" t="s">
        <v>12914</v>
      </c>
    </row>
    <row r="9873" spans="1:4" hidden="1" x14ac:dyDescent="0.3">
      <c r="A9873">
        <v>9871</v>
      </c>
      <c r="B9873" t="s">
        <v>12915</v>
      </c>
      <c r="C9873" t="s">
        <v>30</v>
      </c>
      <c r="D9873">
        <v>1.0499365597057599</v>
      </c>
    </row>
    <row r="9874" spans="1:4" hidden="1" x14ac:dyDescent="0.3">
      <c r="A9874">
        <v>9872</v>
      </c>
      <c r="B9874" t="s">
        <v>12916</v>
      </c>
      <c r="C9874" t="s">
        <v>32</v>
      </c>
      <c r="D9874">
        <v>0.37356481684667098</v>
      </c>
    </row>
    <row r="9875" spans="1:4" hidden="1" x14ac:dyDescent="0.3">
      <c r="A9875">
        <v>9873</v>
      </c>
      <c r="B9875" s="1" t="s">
        <v>12917</v>
      </c>
      <c r="C9875" t="s">
        <v>155</v>
      </c>
      <c r="D9875" s="1" t="s">
        <v>12918</v>
      </c>
    </row>
    <row r="9876" spans="1:4" hidden="1" x14ac:dyDescent="0.3">
      <c r="A9876">
        <v>9874</v>
      </c>
      <c r="B9876" t="s">
        <v>12919</v>
      </c>
      <c r="C9876" t="s">
        <v>40</v>
      </c>
      <c r="D9876">
        <v>1.1007385047890199</v>
      </c>
    </row>
    <row r="9877" spans="1:4" hidden="1" x14ac:dyDescent="0.3">
      <c r="A9877">
        <v>9875</v>
      </c>
      <c r="B9877" t="s">
        <v>12920</v>
      </c>
      <c r="C9877" t="s">
        <v>42</v>
      </c>
      <c r="D9877">
        <v>0.47444598194721099</v>
      </c>
    </row>
    <row r="9878" spans="1:4" hidden="1" x14ac:dyDescent="0.3">
      <c r="A9878">
        <v>9876</v>
      </c>
      <c r="B9878" s="1" t="s">
        <v>12921</v>
      </c>
      <c r="C9878" t="s">
        <v>159</v>
      </c>
      <c r="D9878" s="1" t="s">
        <v>12922</v>
      </c>
    </row>
    <row r="9879" spans="1:4" hidden="1" x14ac:dyDescent="0.3">
      <c r="A9879">
        <v>9877</v>
      </c>
      <c r="B9879" t="s">
        <v>12923</v>
      </c>
      <c r="C9879" t="s">
        <v>161</v>
      </c>
      <c r="D9879">
        <v>1.0114916301935299</v>
      </c>
    </row>
    <row r="9880" spans="1:4" hidden="1" x14ac:dyDescent="0.3">
      <c r="A9880">
        <v>9878</v>
      </c>
      <c r="B9880" t="s">
        <v>12924</v>
      </c>
      <c r="C9880" t="s">
        <v>163</v>
      </c>
      <c r="D9880">
        <v>1.0032243795181399</v>
      </c>
    </row>
    <row r="9881" spans="1:4" hidden="1" x14ac:dyDescent="0.3">
      <c r="A9881">
        <v>9879</v>
      </c>
      <c r="B9881" s="1" t="s">
        <v>12925</v>
      </c>
      <c r="C9881" t="s">
        <v>165</v>
      </c>
      <c r="D9881" s="1" t="s">
        <v>12926</v>
      </c>
    </row>
    <row r="9882" spans="1:4" hidden="1" x14ac:dyDescent="0.3">
      <c r="A9882">
        <v>9880</v>
      </c>
      <c r="B9882" t="s">
        <v>12927</v>
      </c>
      <c r="C9882" t="s">
        <v>168</v>
      </c>
      <c r="D9882">
        <v>1.0002256438018999</v>
      </c>
    </row>
    <row r="9883" spans="1:4" hidden="1" x14ac:dyDescent="0.3">
      <c r="A9883">
        <v>9881</v>
      </c>
      <c r="B9883" t="s">
        <v>12928</v>
      </c>
      <c r="C9883" t="s">
        <v>170</v>
      </c>
      <c r="D9883">
        <v>1.00197355997802</v>
      </c>
    </row>
    <row r="9884" spans="1:4" hidden="1" x14ac:dyDescent="0.3">
      <c r="A9884">
        <v>9882</v>
      </c>
      <c r="B9884" s="1" t="s">
        <v>12929</v>
      </c>
      <c r="C9884" t="s">
        <v>172</v>
      </c>
      <c r="D9884" s="1" t="s">
        <v>12930</v>
      </c>
    </row>
    <row r="9885" spans="1:4" hidden="1" x14ac:dyDescent="0.3">
      <c r="A9885">
        <v>9883</v>
      </c>
      <c r="B9885" s="1" t="s">
        <v>12931</v>
      </c>
      <c r="C9885" t="s">
        <v>55</v>
      </c>
      <c r="D9885" s="1" t="s">
        <v>12932</v>
      </c>
    </row>
    <row r="9886" spans="1:4" hidden="1" x14ac:dyDescent="0.3">
      <c r="A9886">
        <v>9884</v>
      </c>
      <c r="B9886" s="1" t="s">
        <v>12933</v>
      </c>
      <c r="C9886" t="s">
        <v>52</v>
      </c>
      <c r="D9886" s="1" t="s">
        <v>12934</v>
      </c>
    </row>
    <row r="9887" spans="1:4" hidden="1" x14ac:dyDescent="0.3">
      <c r="A9887">
        <v>9885</v>
      </c>
      <c r="B9887" s="1" t="s">
        <v>12935</v>
      </c>
      <c r="C9887" t="s">
        <v>58</v>
      </c>
      <c r="D9887" s="1" t="s">
        <v>12936</v>
      </c>
    </row>
    <row r="9888" spans="1:4" hidden="1" x14ac:dyDescent="0.3">
      <c r="A9888">
        <v>9886</v>
      </c>
      <c r="B9888" t="s">
        <v>12937</v>
      </c>
      <c r="C9888" t="s">
        <v>61</v>
      </c>
      <c r="D9888">
        <v>156088640.59616899</v>
      </c>
    </row>
    <row r="9889" spans="1:4" hidden="1" x14ac:dyDescent="0.3">
      <c r="A9889">
        <v>9887</v>
      </c>
      <c r="B9889" t="s">
        <v>12938</v>
      </c>
      <c r="C9889" t="s">
        <v>63</v>
      </c>
      <c r="D9889">
        <v>84167882.079141304</v>
      </c>
    </row>
    <row r="9890" spans="1:4" hidden="1" x14ac:dyDescent="0.3">
      <c r="A9890">
        <v>9888</v>
      </c>
      <c r="B9890" t="s">
        <v>12939</v>
      </c>
      <c r="C9890" t="s">
        <v>65</v>
      </c>
      <c r="D9890">
        <v>34537356.465389103</v>
      </c>
    </row>
    <row r="9891" spans="1:4" hidden="1" x14ac:dyDescent="0.3">
      <c r="A9891">
        <v>9889</v>
      </c>
      <c r="B9891" s="1" t="s">
        <v>12940</v>
      </c>
      <c r="C9891" t="s">
        <v>67</v>
      </c>
      <c r="D9891" s="1" t="s">
        <v>12941</v>
      </c>
    </row>
    <row r="9892" spans="1:4" hidden="1" x14ac:dyDescent="0.3">
      <c r="A9892">
        <v>9890</v>
      </c>
      <c r="B9892" s="1" t="s">
        <v>12942</v>
      </c>
      <c r="C9892" t="s">
        <v>70</v>
      </c>
      <c r="D9892" s="1" t="s">
        <v>12943</v>
      </c>
    </row>
    <row r="9893" spans="1:4" hidden="1" x14ac:dyDescent="0.3">
      <c r="A9893">
        <v>9891</v>
      </c>
      <c r="B9893" t="s">
        <v>12944</v>
      </c>
      <c r="C9893" t="s">
        <v>73</v>
      </c>
      <c r="D9893">
        <v>0.99980879639475595</v>
      </c>
    </row>
    <row r="9894" spans="1:4" hidden="1" x14ac:dyDescent="0.3">
      <c r="A9894">
        <v>9892</v>
      </c>
      <c r="B9894" t="s">
        <v>74</v>
      </c>
      <c r="C9894" t="s">
        <v>75</v>
      </c>
      <c r="D9894">
        <v>2.7397260273972599E-3</v>
      </c>
    </row>
    <row r="9895" spans="1:4" hidden="1" x14ac:dyDescent="0.3">
      <c r="A9895">
        <v>9893</v>
      </c>
      <c r="B9895" t="s">
        <v>76</v>
      </c>
      <c r="C9895" t="s">
        <v>77</v>
      </c>
      <c r="D9895">
        <v>0</v>
      </c>
    </row>
    <row r="9896" spans="1:4" hidden="1" x14ac:dyDescent="0.3">
      <c r="A9896">
        <v>9894</v>
      </c>
      <c r="B9896" t="s">
        <v>78</v>
      </c>
      <c r="C9896" t="s">
        <v>79</v>
      </c>
      <c r="D9896">
        <v>0</v>
      </c>
    </row>
    <row r="9897" spans="1:4" hidden="1" x14ac:dyDescent="0.3">
      <c r="A9897">
        <v>9895</v>
      </c>
      <c r="B9897" s="1" t="s">
        <v>12945</v>
      </c>
      <c r="C9897" t="s">
        <v>81</v>
      </c>
      <c r="D9897" s="1" t="s">
        <v>12946</v>
      </c>
    </row>
    <row r="9898" spans="1:4" hidden="1" x14ac:dyDescent="0.3">
      <c r="A9898">
        <v>9896</v>
      </c>
      <c r="B9898" t="s">
        <v>12947</v>
      </c>
      <c r="C9898" t="s">
        <v>84</v>
      </c>
      <c r="D9898">
        <v>0.99974635490854202</v>
      </c>
    </row>
    <row r="9899" spans="1:4" hidden="1" x14ac:dyDescent="0.3">
      <c r="A9899">
        <v>9897</v>
      </c>
      <c r="B9899" s="1" t="s">
        <v>12948</v>
      </c>
      <c r="C9899" t="s">
        <v>86</v>
      </c>
      <c r="D9899" s="1" t="s">
        <v>12949</v>
      </c>
    </row>
    <row r="9900" spans="1:4" hidden="1" x14ac:dyDescent="0.3">
      <c r="A9900">
        <v>9898</v>
      </c>
      <c r="B9900" t="s">
        <v>12950</v>
      </c>
      <c r="C9900" t="s">
        <v>89</v>
      </c>
      <c r="D9900">
        <v>104282214.365382</v>
      </c>
    </row>
    <row r="9901" spans="1:4" hidden="1" x14ac:dyDescent="0.3">
      <c r="A9901">
        <v>9899</v>
      </c>
      <c r="B9901" s="1" t="s">
        <v>12951</v>
      </c>
      <c r="C9901" t="s">
        <v>91</v>
      </c>
      <c r="D9901" s="1" t="s">
        <v>12886</v>
      </c>
    </row>
    <row r="9902" spans="1:4" hidden="1" x14ac:dyDescent="0.3">
      <c r="A9902">
        <v>9900</v>
      </c>
      <c r="B9902" t="s">
        <v>12952</v>
      </c>
      <c r="C9902" t="s">
        <v>94</v>
      </c>
      <c r="D9902">
        <v>84167882.079141304</v>
      </c>
    </row>
    <row r="9903" spans="1:4" hidden="1" x14ac:dyDescent="0.3">
      <c r="A9903">
        <v>9901</v>
      </c>
      <c r="B9903" t="s">
        <v>12953</v>
      </c>
      <c r="C9903" t="s">
        <v>96</v>
      </c>
      <c r="D9903">
        <v>34537356.465389103</v>
      </c>
    </row>
    <row r="9904" spans="1:4" hidden="1" x14ac:dyDescent="0.3">
      <c r="A9904">
        <v>9902</v>
      </c>
      <c r="B9904" t="s">
        <v>12954</v>
      </c>
      <c r="C9904" t="s">
        <v>98</v>
      </c>
      <c r="D9904">
        <v>37383402.0516394</v>
      </c>
    </row>
    <row r="9905" spans="1:4" hidden="1" x14ac:dyDescent="0.3">
      <c r="A9905">
        <v>9903</v>
      </c>
      <c r="B9905" s="1" t="s">
        <v>12955</v>
      </c>
      <c r="C9905" t="s">
        <v>100</v>
      </c>
      <c r="D9905" s="1" t="s">
        <v>12956</v>
      </c>
    </row>
    <row r="9906" spans="1:4" hidden="1" x14ac:dyDescent="0.3">
      <c r="A9906">
        <v>9904</v>
      </c>
      <c r="B9906" t="s">
        <v>12957</v>
      </c>
      <c r="C9906" t="s">
        <v>103</v>
      </c>
      <c r="D9906">
        <v>1.0043631745888799E-2</v>
      </c>
    </row>
    <row r="9907" spans="1:4" hidden="1" x14ac:dyDescent="0.3">
      <c r="A9907">
        <v>9905</v>
      </c>
      <c r="B9907" t="s">
        <v>12958</v>
      </c>
      <c r="C9907" t="s">
        <v>105</v>
      </c>
      <c r="D9907">
        <v>2.79998760344501E-3</v>
      </c>
    </row>
    <row r="9908" spans="1:4" hidden="1" x14ac:dyDescent="0.3">
      <c r="A9908">
        <v>9906</v>
      </c>
      <c r="B9908" t="s">
        <v>12959</v>
      </c>
      <c r="C9908" t="s">
        <v>107</v>
      </c>
      <c r="D9908">
        <v>2.0816965076141E-2</v>
      </c>
    </row>
    <row r="9909" spans="1:4" hidden="1" x14ac:dyDescent="0.3">
      <c r="A9909">
        <v>9907</v>
      </c>
      <c r="B9909" s="1" t="s">
        <v>12960</v>
      </c>
      <c r="C9909" t="s">
        <v>109</v>
      </c>
      <c r="D9909" s="1" t="s">
        <v>12961</v>
      </c>
    </row>
    <row r="9910" spans="1:4" hidden="1" x14ac:dyDescent="0.3">
      <c r="A9910">
        <v>9908</v>
      </c>
      <c r="B9910" t="s">
        <v>12962</v>
      </c>
      <c r="C9910" t="s">
        <v>208</v>
      </c>
      <c r="D9910">
        <v>156086395.423338</v>
      </c>
    </row>
    <row r="9911" spans="1:4" hidden="1" x14ac:dyDescent="0.3">
      <c r="A9911">
        <v>9909</v>
      </c>
      <c r="B9911" t="s">
        <v>12963</v>
      </c>
      <c r="C9911" t="s">
        <v>210</v>
      </c>
      <c r="D9911">
        <v>5256.4630802091197</v>
      </c>
    </row>
    <row r="9912" spans="1:4" hidden="1" x14ac:dyDescent="0.3">
      <c r="A9912">
        <v>9910</v>
      </c>
      <c r="B9912" t="s">
        <v>12964</v>
      </c>
      <c r="C9912" t="s">
        <v>212</v>
      </c>
      <c r="D9912">
        <v>2156.9626905832301</v>
      </c>
    </row>
    <row r="9913" spans="1:4" hidden="1" x14ac:dyDescent="0.3">
      <c r="A9913">
        <v>9911</v>
      </c>
      <c r="B9913" s="1" t="s">
        <v>12965</v>
      </c>
      <c r="C9913" t="s">
        <v>214</v>
      </c>
      <c r="D9913" s="1" t="s">
        <v>12966</v>
      </c>
    </row>
    <row r="9914" spans="1:4" hidden="1" x14ac:dyDescent="0.3">
      <c r="A9914">
        <v>9912</v>
      </c>
      <c r="B9914" t="s">
        <v>12967</v>
      </c>
      <c r="C9914" t="s">
        <v>217</v>
      </c>
      <c r="D9914">
        <v>84160870.003897205</v>
      </c>
    </row>
    <row r="9915" spans="1:4" hidden="1" x14ac:dyDescent="0.3">
      <c r="A9915">
        <v>9913</v>
      </c>
      <c r="B9915" t="s">
        <v>12968</v>
      </c>
      <c r="C9915" t="s">
        <v>219</v>
      </c>
      <c r="D9915">
        <v>34534981.761578299</v>
      </c>
    </row>
    <row r="9916" spans="1:4" hidden="1" x14ac:dyDescent="0.3">
      <c r="A9916">
        <v>9914</v>
      </c>
      <c r="B9916" t="s">
        <v>12969</v>
      </c>
      <c r="C9916" t="s">
        <v>221</v>
      </c>
      <c r="D9916">
        <v>37380795.527477503</v>
      </c>
    </row>
    <row r="9917" spans="1:4" hidden="1" x14ac:dyDescent="0.3">
      <c r="A9917">
        <v>9915</v>
      </c>
      <c r="B9917" s="1" t="s">
        <v>12970</v>
      </c>
      <c r="C9917" t="s">
        <v>223</v>
      </c>
      <c r="D9917" s="1" t="s">
        <v>12971</v>
      </c>
    </row>
    <row r="9918" spans="1:4" hidden="1" x14ac:dyDescent="0.3">
      <c r="A9918">
        <v>9916</v>
      </c>
      <c r="B9918" t="s">
        <v>12972</v>
      </c>
      <c r="C9918" t="s">
        <v>226</v>
      </c>
      <c r="D9918">
        <v>104275701.583664</v>
      </c>
    </row>
    <row r="9919" spans="1:4" hidden="1" x14ac:dyDescent="0.3">
      <c r="A9919">
        <v>9917</v>
      </c>
      <c r="B9919" t="s">
        <v>12973</v>
      </c>
      <c r="C9919" t="s">
        <v>228</v>
      </c>
      <c r="D9919">
        <v>6512.7817180603697</v>
      </c>
    </row>
    <row r="9920" spans="1:4" hidden="1" x14ac:dyDescent="0.3">
      <c r="A9920">
        <v>9918</v>
      </c>
      <c r="B9920" s="1" t="s">
        <v>12974</v>
      </c>
      <c r="C9920" t="s">
        <v>230</v>
      </c>
      <c r="D9920" s="1" t="s">
        <v>12975</v>
      </c>
    </row>
    <row r="9921" spans="1:4" hidden="1" x14ac:dyDescent="0.3">
      <c r="A9921">
        <v>9919</v>
      </c>
      <c r="B9921" t="s">
        <v>12976</v>
      </c>
      <c r="C9921" t="s">
        <v>112</v>
      </c>
      <c r="D9921">
        <v>-1755.61216384563</v>
      </c>
    </row>
    <row r="9922" spans="1:4" hidden="1" x14ac:dyDescent="0.3">
      <c r="A9922">
        <v>9920</v>
      </c>
      <c r="B9922" t="s">
        <v>12977</v>
      </c>
      <c r="C9922" t="s">
        <v>114</v>
      </c>
      <c r="D9922">
        <v>-217.74112017875001</v>
      </c>
    </row>
    <row r="9923" spans="1:4" hidden="1" x14ac:dyDescent="0.3">
      <c r="A9923">
        <v>9921</v>
      </c>
      <c r="B9923" s="1" t="s">
        <v>12978</v>
      </c>
      <c r="C9923" t="s">
        <v>116</v>
      </c>
      <c r="D9923" s="1" t="s">
        <v>12979</v>
      </c>
    </row>
    <row r="9924" spans="1:4" hidden="1" x14ac:dyDescent="0.3">
      <c r="A9924">
        <v>9922</v>
      </c>
      <c r="B9924" t="s">
        <v>12980</v>
      </c>
      <c r="C9924" t="s">
        <v>119</v>
      </c>
      <c r="D9924">
        <v>84160870.003897205</v>
      </c>
    </row>
    <row r="9925" spans="1:4" hidden="1" x14ac:dyDescent="0.3">
      <c r="A9925">
        <v>9923</v>
      </c>
      <c r="B9925" t="s">
        <v>12981</v>
      </c>
      <c r="C9925" t="s">
        <v>121</v>
      </c>
      <c r="D9925">
        <v>34534981.761578299</v>
      </c>
    </row>
    <row r="9926" spans="1:4" hidden="1" x14ac:dyDescent="0.3">
      <c r="A9926">
        <v>9924</v>
      </c>
      <c r="B9926" s="1" t="s">
        <v>12982</v>
      </c>
      <c r="C9926" t="s">
        <v>123</v>
      </c>
      <c r="D9926" s="1" t="s">
        <v>12983</v>
      </c>
    </row>
    <row r="9927" spans="1:4" hidden="1" x14ac:dyDescent="0.3">
      <c r="A9927">
        <v>9925</v>
      </c>
      <c r="B9927" t="s">
        <v>12984</v>
      </c>
      <c r="C9927" t="s">
        <v>126</v>
      </c>
      <c r="D9927">
        <v>0.80730430131757103</v>
      </c>
    </row>
    <row r="9928" spans="1:4" hidden="1" x14ac:dyDescent="0.3">
      <c r="A9928">
        <v>9926</v>
      </c>
      <c r="B9928" t="s">
        <v>12985</v>
      </c>
      <c r="C9928" t="s">
        <v>128</v>
      </c>
      <c r="D9928">
        <v>0.331273183377916</v>
      </c>
    </row>
    <row r="9929" spans="1:4" hidden="1" x14ac:dyDescent="0.3">
      <c r="A9929">
        <v>9927</v>
      </c>
      <c r="B9929" s="1" t="s">
        <v>12986</v>
      </c>
      <c r="C9929" t="s">
        <v>130</v>
      </c>
      <c r="D9929" s="1" t="s">
        <v>12987</v>
      </c>
    </row>
    <row r="9930" spans="1:4" ht="72" x14ac:dyDescent="0.3">
      <c r="A9930">
        <v>9928</v>
      </c>
      <c r="B9930" s="1" t="s">
        <v>12988</v>
      </c>
      <c r="C9930" t="s">
        <v>4</v>
      </c>
      <c r="D9930" t="s">
        <v>12989</v>
      </c>
    </row>
    <row r="9931" spans="1:4" hidden="1" x14ac:dyDescent="0.3">
      <c r="A9931">
        <v>9929</v>
      </c>
      <c r="B9931" t="s">
        <v>12990</v>
      </c>
      <c r="C9931" t="s">
        <v>7</v>
      </c>
      <c r="D9931">
        <v>1912.72</v>
      </c>
    </row>
    <row r="9932" spans="1:4" hidden="1" x14ac:dyDescent="0.3">
      <c r="A9932">
        <v>9930</v>
      </c>
      <c r="B9932" s="1" t="s">
        <v>12991</v>
      </c>
      <c r="C9932" t="s">
        <v>9</v>
      </c>
      <c r="D9932" s="1" t="s">
        <v>12992</v>
      </c>
    </row>
    <row r="9933" spans="1:4" hidden="1" x14ac:dyDescent="0.3">
      <c r="A9933">
        <v>9931</v>
      </c>
      <c r="B9933" t="s">
        <v>12993</v>
      </c>
      <c r="C9933" t="s">
        <v>14</v>
      </c>
      <c r="D9933">
        <v>90.86328125</v>
      </c>
    </row>
    <row r="9934" spans="1:4" hidden="1" x14ac:dyDescent="0.3">
      <c r="A9934">
        <v>9932</v>
      </c>
      <c r="B9934" t="s">
        <v>12994</v>
      </c>
      <c r="C9934" t="s">
        <v>16</v>
      </c>
      <c r="D9934">
        <v>4.2506877628440103</v>
      </c>
    </row>
    <row r="9935" spans="1:4" hidden="1" x14ac:dyDescent="0.3">
      <c r="A9935">
        <v>9933</v>
      </c>
      <c r="B9935" s="1" t="s">
        <v>12995</v>
      </c>
      <c r="C9935" t="s">
        <v>140</v>
      </c>
      <c r="D9935" s="1" t="s">
        <v>12996</v>
      </c>
    </row>
    <row r="9936" spans="1:4" hidden="1" x14ac:dyDescent="0.3">
      <c r="A9936">
        <v>9934</v>
      </c>
      <c r="B9936" t="s">
        <v>1153</v>
      </c>
      <c r="C9936" t="s">
        <v>22</v>
      </c>
      <c r="D9936">
        <v>64.3</v>
      </c>
    </row>
    <row r="9937" spans="1:4" hidden="1" x14ac:dyDescent="0.3">
      <c r="A9937">
        <v>9935</v>
      </c>
      <c r="B9937" t="s">
        <v>12997</v>
      </c>
      <c r="C9937" t="s">
        <v>24</v>
      </c>
      <c r="D9937">
        <v>4.0059939223161498</v>
      </c>
    </row>
    <row r="9938" spans="1:4" hidden="1" x14ac:dyDescent="0.3">
      <c r="A9938">
        <v>9936</v>
      </c>
      <c r="B9938" s="1" t="s">
        <v>12998</v>
      </c>
      <c r="C9938" t="s">
        <v>145</v>
      </c>
      <c r="D9938" s="1" t="s">
        <v>12999</v>
      </c>
    </row>
    <row r="9939" spans="1:4" hidden="1" x14ac:dyDescent="0.3">
      <c r="A9939">
        <v>9937</v>
      </c>
      <c r="B9939" t="s">
        <v>13000</v>
      </c>
      <c r="C9939" t="s">
        <v>35</v>
      </c>
      <c r="D9939">
        <v>-9.7096298956557803E-2</v>
      </c>
    </row>
    <row r="9940" spans="1:4" hidden="1" x14ac:dyDescent="0.3">
      <c r="A9940">
        <v>9938</v>
      </c>
      <c r="B9940" t="s">
        <v>13001</v>
      </c>
      <c r="C9940" t="s">
        <v>149</v>
      </c>
      <c r="D9940">
        <v>0.53960339823154402</v>
      </c>
    </row>
    <row r="9941" spans="1:4" hidden="1" x14ac:dyDescent="0.3">
      <c r="A9941">
        <v>9939</v>
      </c>
      <c r="B9941" s="1" t="s">
        <v>13002</v>
      </c>
      <c r="C9941" t="s">
        <v>151</v>
      </c>
      <c r="D9941" s="1" t="s">
        <v>13003</v>
      </c>
    </row>
    <row r="9942" spans="1:4" hidden="1" x14ac:dyDescent="0.3">
      <c r="A9942">
        <v>9940</v>
      </c>
      <c r="B9942" t="s">
        <v>13004</v>
      </c>
      <c r="C9942" t="s">
        <v>30</v>
      </c>
      <c r="D9942">
        <v>0.54650171574652395</v>
      </c>
    </row>
    <row r="9943" spans="1:4" hidden="1" x14ac:dyDescent="0.3">
      <c r="A9943">
        <v>9941</v>
      </c>
      <c r="B9943" t="s">
        <v>13005</v>
      </c>
      <c r="C9943" t="s">
        <v>32</v>
      </c>
      <c r="D9943">
        <v>0.37184040703245003</v>
      </c>
    </row>
    <row r="9944" spans="1:4" hidden="1" x14ac:dyDescent="0.3">
      <c r="A9944">
        <v>9942</v>
      </c>
      <c r="B9944" s="1" t="s">
        <v>13006</v>
      </c>
      <c r="C9944" t="s">
        <v>155</v>
      </c>
      <c r="D9944" s="1" t="s">
        <v>13007</v>
      </c>
    </row>
    <row r="9945" spans="1:4" hidden="1" x14ac:dyDescent="0.3">
      <c r="A9945">
        <v>9943</v>
      </c>
      <c r="B9945" t="s">
        <v>13008</v>
      </c>
      <c r="C9945" t="s">
        <v>40</v>
      </c>
      <c r="D9945">
        <v>0.55059458321003296</v>
      </c>
    </row>
    <row r="9946" spans="1:4" hidden="1" x14ac:dyDescent="0.3">
      <c r="A9946">
        <v>9944</v>
      </c>
      <c r="B9946" t="s">
        <v>13009</v>
      </c>
      <c r="C9946" t="s">
        <v>42</v>
      </c>
      <c r="D9946">
        <v>0.48137253283657999</v>
      </c>
    </row>
    <row r="9947" spans="1:4" hidden="1" x14ac:dyDescent="0.3">
      <c r="A9947">
        <v>9945</v>
      </c>
      <c r="B9947" s="1" t="s">
        <v>13010</v>
      </c>
      <c r="C9947" t="s">
        <v>159</v>
      </c>
      <c r="D9947" s="1" t="s">
        <v>13011</v>
      </c>
    </row>
    <row r="9948" spans="1:4" hidden="1" x14ac:dyDescent="0.3">
      <c r="A9948">
        <v>9946</v>
      </c>
      <c r="B9948" t="s">
        <v>13012</v>
      </c>
      <c r="C9948" t="s">
        <v>161</v>
      </c>
      <c r="D9948">
        <v>0.98062055246805901</v>
      </c>
    </row>
    <row r="9949" spans="1:4" hidden="1" x14ac:dyDescent="0.3">
      <c r="A9949">
        <v>9947</v>
      </c>
      <c r="B9949" t="s">
        <v>13013</v>
      </c>
      <c r="C9949" t="s">
        <v>163</v>
      </c>
      <c r="D9949">
        <v>1.0004020116149099</v>
      </c>
    </row>
    <row r="9950" spans="1:4" hidden="1" x14ac:dyDescent="0.3">
      <c r="A9950">
        <v>9948</v>
      </c>
      <c r="B9950" s="1" t="s">
        <v>13014</v>
      </c>
      <c r="C9950" t="s">
        <v>165</v>
      </c>
      <c r="D9950" s="1" t="s">
        <v>13015</v>
      </c>
    </row>
    <row r="9951" spans="1:4" hidden="1" x14ac:dyDescent="0.3">
      <c r="A9951">
        <v>9949</v>
      </c>
      <c r="B9951" t="s">
        <v>13016</v>
      </c>
      <c r="C9951" t="s">
        <v>168</v>
      </c>
      <c r="D9951">
        <v>0.99901436714937297</v>
      </c>
    </row>
    <row r="9952" spans="1:4" hidden="1" x14ac:dyDescent="0.3">
      <c r="A9952">
        <v>9950</v>
      </c>
      <c r="B9952" t="s">
        <v>13017</v>
      </c>
      <c r="C9952" t="s">
        <v>170</v>
      </c>
      <c r="D9952">
        <v>0.99874457339539302</v>
      </c>
    </row>
    <row r="9953" spans="1:4" hidden="1" x14ac:dyDescent="0.3">
      <c r="A9953">
        <v>9951</v>
      </c>
      <c r="B9953" s="1" t="s">
        <v>13018</v>
      </c>
      <c r="C9953" t="s">
        <v>172</v>
      </c>
      <c r="D9953" s="1" t="s">
        <v>13019</v>
      </c>
    </row>
    <row r="9954" spans="1:4" hidden="1" x14ac:dyDescent="0.3">
      <c r="A9954">
        <v>9952</v>
      </c>
      <c r="B9954" s="1" t="s">
        <v>13020</v>
      </c>
      <c r="C9954" t="s">
        <v>55</v>
      </c>
      <c r="D9954" s="1" t="s">
        <v>13021</v>
      </c>
    </row>
    <row r="9955" spans="1:4" hidden="1" x14ac:dyDescent="0.3">
      <c r="A9955">
        <v>9953</v>
      </c>
      <c r="B9955" s="1" t="s">
        <v>13022</v>
      </c>
      <c r="C9955" t="s">
        <v>52</v>
      </c>
      <c r="D9955" s="1" t="s">
        <v>13023</v>
      </c>
    </row>
    <row r="9956" spans="1:4" hidden="1" x14ac:dyDescent="0.3">
      <c r="A9956">
        <v>9954</v>
      </c>
      <c r="B9956" s="1" t="s">
        <v>13024</v>
      </c>
      <c r="C9956" t="s">
        <v>58</v>
      </c>
      <c r="D9956" s="1" t="s">
        <v>13025</v>
      </c>
    </row>
    <row r="9957" spans="1:4" hidden="1" x14ac:dyDescent="0.3">
      <c r="A9957">
        <v>9955</v>
      </c>
      <c r="B9957" t="s">
        <v>13026</v>
      </c>
      <c r="C9957" t="s">
        <v>61</v>
      </c>
      <c r="D9957">
        <v>155167704.01304901</v>
      </c>
    </row>
    <row r="9958" spans="1:4" hidden="1" x14ac:dyDescent="0.3">
      <c r="A9958">
        <v>9956</v>
      </c>
      <c r="B9958" t="s">
        <v>13027</v>
      </c>
      <c r="C9958" t="s">
        <v>63</v>
      </c>
      <c r="D9958">
        <v>82529878.839414299</v>
      </c>
    </row>
    <row r="9959" spans="1:4" hidden="1" x14ac:dyDescent="0.3">
      <c r="A9959">
        <v>9957</v>
      </c>
      <c r="B9959" t="s">
        <v>13028</v>
      </c>
      <c r="C9959" t="s">
        <v>65</v>
      </c>
      <c r="D9959">
        <v>34548865.225367203</v>
      </c>
    </row>
    <row r="9960" spans="1:4" hidden="1" x14ac:dyDescent="0.3">
      <c r="A9960">
        <v>9958</v>
      </c>
      <c r="B9960" s="1" t="s">
        <v>13029</v>
      </c>
      <c r="C9960" t="s">
        <v>67</v>
      </c>
      <c r="D9960" s="1" t="s">
        <v>13030</v>
      </c>
    </row>
    <row r="9961" spans="1:4" hidden="1" x14ac:dyDescent="0.3">
      <c r="A9961">
        <v>9959</v>
      </c>
      <c r="B9961" s="1" t="s">
        <v>13031</v>
      </c>
      <c r="C9961" t="s">
        <v>70</v>
      </c>
      <c r="D9961" s="1" t="s">
        <v>13032</v>
      </c>
    </row>
    <row r="9962" spans="1:4" hidden="1" x14ac:dyDescent="0.3">
      <c r="A9962">
        <v>9960</v>
      </c>
      <c r="B9962" t="s">
        <v>13033</v>
      </c>
      <c r="C9962" t="s">
        <v>73</v>
      </c>
      <c r="D9962">
        <v>0.99974635490854202</v>
      </c>
    </row>
    <row r="9963" spans="1:4" hidden="1" x14ac:dyDescent="0.3">
      <c r="A9963">
        <v>9961</v>
      </c>
      <c r="B9963" t="s">
        <v>74</v>
      </c>
      <c r="C9963" t="s">
        <v>75</v>
      </c>
      <c r="D9963">
        <v>2.7397260273972599E-3</v>
      </c>
    </row>
    <row r="9964" spans="1:4" hidden="1" x14ac:dyDescent="0.3">
      <c r="A9964">
        <v>9962</v>
      </c>
      <c r="B9964" t="s">
        <v>76</v>
      </c>
      <c r="C9964" t="s">
        <v>77</v>
      </c>
      <c r="D9964">
        <v>0</v>
      </c>
    </row>
    <row r="9965" spans="1:4" hidden="1" x14ac:dyDescent="0.3">
      <c r="A9965">
        <v>9963</v>
      </c>
      <c r="B9965" t="s">
        <v>78</v>
      </c>
      <c r="C9965" t="s">
        <v>79</v>
      </c>
      <c r="D9965">
        <v>0</v>
      </c>
    </row>
    <row r="9966" spans="1:4" hidden="1" x14ac:dyDescent="0.3">
      <c r="A9966">
        <v>9964</v>
      </c>
      <c r="B9966" s="1" t="s">
        <v>13034</v>
      </c>
      <c r="C9966" t="s">
        <v>81</v>
      </c>
      <c r="D9966" s="1" t="s">
        <v>13035</v>
      </c>
    </row>
    <row r="9967" spans="1:4" hidden="1" x14ac:dyDescent="0.3">
      <c r="A9967">
        <v>9965</v>
      </c>
      <c r="B9967" t="s">
        <v>13036</v>
      </c>
      <c r="C9967" t="s">
        <v>84</v>
      </c>
      <c r="D9967">
        <v>0.99971689490096405</v>
      </c>
    </row>
    <row r="9968" spans="1:4" hidden="1" x14ac:dyDescent="0.3">
      <c r="A9968">
        <v>9966</v>
      </c>
      <c r="B9968" s="1" t="s">
        <v>13037</v>
      </c>
      <c r="C9968" t="s">
        <v>86</v>
      </c>
      <c r="D9968" s="1" t="s">
        <v>13038</v>
      </c>
    </row>
    <row r="9969" spans="1:4" hidden="1" x14ac:dyDescent="0.3">
      <c r="A9969">
        <v>9967</v>
      </c>
      <c r="B9969" t="s">
        <v>13039</v>
      </c>
      <c r="C9969" t="s">
        <v>89</v>
      </c>
      <c r="D9969">
        <v>104285287.39019699</v>
      </c>
    </row>
    <row r="9970" spans="1:4" hidden="1" x14ac:dyDescent="0.3">
      <c r="A9970">
        <v>9968</v>
      </c>
      <c r="B9970" s="1" t="s">
        <v>13040</v>
      </c>
      <c r="C9970" t="s">
        <v>91</v>
      </c>
      <c r="D9970" s="1" t="s">
        <v>12975</v>
      </c>
    </row>
    <row r="9971" spans="1:4" hidden="1" x14ac:dyDescent="0.3">
      <c r="A9971">
        <v>9969</v>
      </c>
      <c r="B9971" t="s">
        <v>13041</v>
      </c>
      <c r="C9971" t="s">
        <v>94</v>
      </c>
      <c r="D9971">
        <v>82529878.839414299</v>
      </c>
    </row>
    <row r="9972" spans="1:4" hidden="1" x14ac:dyDescent="0.3">
      <c r="A9972">
        <v>9970</v>
      </c>
      <c r="B9972" t="s">
        <v>13042</v>
      </c>
      <c r="C9972" t="s">
        <v>96</v>
      </c>
      <c r="D9972">
        <v>34548865.225367203</v>
      </c>
    </row>
    <row r="9973" spans="1:4" hidden="1" x14ac:dyDescent="0.3">
      <c r="A9973">
        <v>9971</v>
      </c>
      <c r="B9973" t="s">
        <v>13043</v>
      </c>
      <c r="C9973" t="s">
        <v>98</v>
      </c>
      <c r="D9973">
        <v>38088959.948267996</v>
      </c>
    </row>
    <row r="9974" spans="1:4" hidden="1" x14ac:dyDescent="0.3">
      <c r="A9974">
        <v>9972</v>
      </c>
      <c r="B9974" s="1" t="s">
        <v>13044</v>
      </c>
      <c r="C9974" t="s">
        <v>100</v>
      </c>
      <c r="D9974" s="1" t="s">
        <v>13045</v>
      </c>
    </row>
    <row r="9975" spans="1:4" hidden="1" x14ac:dyDescent="0.3">
      <c r="A9975">
        <v>9973</v>
      </c>
      <c r="B9975" t="s">
        <v>13046</v>
      </c>
      <c r="C9975" t="s">
        <v>103</v>
      </c>
      <c r="D9975">
        <v>1.0058498329517799E-2</v>
      </c>
    </row>
    <row r="9976" spans="1:4" hidden="1" x14ac:dyDescent="0.3">
      <c r="A9976">
        <v>9974</v>
      </c>
      <c r="B9976" t="s">
        <v>13047</v>
      </c>
      <c r="C9976" t="s">
        <v>105</v>
      </c>
      <c r="D9976">
        <v>2.7996409292592702E-3</v>
      </c>
    </row>
    <row r="9977" spans="1:4" hidden="1" x14ac:dyDescent="0.3">
      <c r="A9977">
        <v>9975</v>
      </c>
      <c r="B9977" t="s">
        <v>13048</v>
      </c>
      <c r="C9977" t="s">
        <v>107</v>
      </c>
      <c r="D9977">
        <v>2.09274272612111E-2</v>
      </c>
    </row>
    <row r="9978" spans="1:4" hidden="1" x14ac:dyDescent="0.3">
      <c r="A9978">
        <v>9976</v>
      </c>
      <c r="B9978" s="1" t="s">
        <v>13049</v>
      </c>
      <c r="C9978" t="s">
        <v>109</v>
      </c>
      <c r="D9978" s="1" t="s">
        <v>13050</v>
      </c>
    </row>
    <row r="9979" spans="1:4" hidden="1" x14ac:dyDescent="0.3">
      <c r="A9979">
        <v>9977</v>
      </c>
      <c r="B9979" t="s">
        <v>13051</v>
      </c>
      <c r="C9979" t="s">
        <v>208</v>
      </c>
      <c r="D9979">
        <v>155166643.98541701</v>
      </c>
    </row>
    <row r="9980" spans="1:4" hidden="1" x14ac:dyDescent="0.3">
      <c r="A9980">
        <v>9978</v>
      </c>
      <c r="B9980" t="s">
        <v>13052</v>
      </c>
      <c r="C9980" t="s">
        <v>210</v>
      </c>
      <c r="D9980">
        <v>2431.9262260495202</v>
      </c>
    </row>
    <row r="9981" spans="1:4" hidden="1" x14ac:dyDescent="0.3">
      <c r="A9981">
        <v>9979</v>
      </c>
      <c r="B9981" t="s">
        <v>13053</v>
      </c>
      <c r="C9981" t="s">
        <v>212</v>
      </c>
      <c r="D9981">
        <v>1018.0637924625401</v>
      </c>
    </row>
    <row r="9982" spans="1:4" hidden="1" x14ac:dyDescent="0.3">
      <c r="A9982">
        <v>9980</v>
      </c>
      <c r="B9982" s="1" t="s">
        <v>13054</v>
      </c>
      <c r="C9982" t="s">
        <v>214</v>
      </c>
      <c r="D9982" s="1" t="s">
        <v>13055</v>
      </c>
    </row>
    <row r="9983" spans="1:4" hidden="1" x14ac:dyDescent="0.3">
      <c r="A9983">
        <v>9981</v>
      </c>
      <c r="B9983" t="s">
        <v>13056</v>
      </c>
      <c r="C9983" t="s">
        <v>217</v>
      </c>
      <c r="D9983">
        <v>82526717.922607601</v>
      </c>
    </row>
    <row r="9984" spans="1:4" hidden="1" x14ac:dyDescent="0.3">
      <c r="A9984">
        <v>9982</v>
      </c>
      <c r="B9984" t="s">
        <v>13057</v>
      </c>
      <c r="C9984" t="s">
        <v>219</v>
      </c>
      <c r="D9984">
        <v>34547702.363593496</v>
      </c>
    </row>
    <row r="9985" spans="1:4" hidden="1" x14ac:dyDescent="0.3">
      <c r="A9985">
        <v>9983</v>
      </c>
      <c r="B9985" t="s">
        <v>13058</v>
      </c>
      <c r="C9985" t="s">
        <v>221</v>
      </c>
      <c r="D9985">
        <v>38087651.328949198</v>
      </c>
    </row>
    <row r="9986" spans="1:4" hidden="1" x14ac:dyDescent="0.3">
      <c r="A9986">
        <v>9984</v>
      </c>
      <c r="B9986" s="1" t="s">
        <v>13059</v>
      </c>
      <c r="C9986" t="s">
        <v>223</v>
      </c>
      <c r="D9986" s="1" t="s">
        <v>13060</v>
      </c>
    </row>
    <row r="9987" spans="1:4" hidden="1" x14ac:dyDescent="0.3">
      <c r="A9987">
        <v>9985</v>
      </c>
      <c r="B9987" t="s">
        <v>13061</v>
      </c>
      <c r="C9987" t="s">
        <v>226</v>
      </c>
      <c r="D9987">
        <v>104282214.365382</v>
      </c>
    </row>
    <row r="9988" spans="1:4" hidden="1" x14ac:dyDescent="0.3">
      <c r="A9988">
        <v>9986</v>
      </c>
      <c r="B9988" t="s">
        <v>13062</v>
      </c>
      <c r="C9988" t="s">
        <v>228</v>
      </c>
      <c r="D9988">
        <v>3073.02481438219</v>
      </c>
    </row>
    <row r="9989" spans="1:4" hidden="1" x14ac:dyDescent="0.3">
      <c r="A9989">
        <v>9987</v>
      </c>
      <c r="B9989" s="1" t="s">
        <v>13063</v>
      </c>
      <c r="C9989" t="s">
        <v>230</v>
      </c>
      <c r="D9989" s="1" t="s">
        <v>13064</v>
      </c>
    </row>
    <row r="9990" spans="1:4" hidden="1" x14ac:dyDescent="0.3">
      <c r="A9990">
        <v>9988</v>
      </c>
      <c r="B9990" t="s">
        <v>13065</v>
      </c>
      <c r="C9990" t="s">
        <v>112</v>
      </c>
      <c r="D9990">
        <v>-728.99058059344202</v>
      </c>
    </row>
    <row r="9991" spans="1:4" hidden="1" x14ac:dyDescent="0.3">
      <c r="A9991">
        <v>9989</v>
      </c>
      <c r="B9991" t="s">
        <v>13066</v>
      </c>
      <c r="C9991" t="s">
        <v>114</v>
      </c>
      <c r="D9991">
        <v>-144.79798130729199</v>
      </c>
    </row>
    <row r="9992" spans="1:4" hidden="1" x14ac:dyDescent="0.3">
      <c r="A9992">
        <v>9990</v>
      </c>
      <c r="B9992" s="1" t="s">
        <v>13067</v>
      </c>
      <c r="C9992" t="s">
        <v>116</v>
      </c>
      <c r="D9992" s="1" t="s">
        <v>13068</v>
      </c>
    </row>
    <row r="9993" spans="1:4" hidden="1" x14ac:dyDescent="0.3">
      <c r="A9993">
        <v>9991</v>
      </c>
      <c r="B9993" t="s">
        <v>13069</v>
      </c>
      <c r="C9993" t="s">
        <v>119</v>
      </c>
      <c r="D9993">
        <v>82526717.922607601</v>
      </c>
    </row>
    <row r="9994" spans="1:4" hidden="1" x14ac:dyDescent="0.3">
      <c r="A9994">
        <v>9992</v>
      </c>
      <c r="B9994" t="s">
        <v>13070</v>
      </c>
      <c r="C9994" t="s">
        <v>121</v>
      </c>
      <c r="D9994">
        <v>34547702.363593496</v>
      </c>
    </row>
    <row r="9995" spans="1:4" hidden="1" x14ac:dyDescent="0.3">
      <c r="A9995">
        <v>9993</v>
      </c>
      <c r="B9995" s="1" t="s">
        <v>13071</v>
      </c>
      <c r="C9995" t="s">
        <v>123</v>
      </c>
      <c r="D9995" s="1" t="s">
        <v>13072</v>
      </c>
    </row>
    <row r="9996" spans="1:4" hidden="1" x14ac:dyDescent="0.3">
      <c r="A9996">
        <v>9994</v>
      </c>
      <c r="B9996" t="s">
        <v>13073</v>
      </c>
      <c r="C9996" t="s">
        <v>126</v>
      </c>
      <c r="D9996">
        <v>0.79160275580920902</v>
      </c>
    </row>
    <row r="9997" spans="1:4" hidden="1" x14ac:dyDescent="0.3">
      <c r="A9997">
        <v>9995</v>
      </c>
      <c r="B9997" t="s">
        <v>13074</v>
      </c>
      <c r="C9997" t="s">
        <v>128</v>
      </c>
      <c r="D9997">
        <v>0.33138427270963999</v>
      </c>
    </row>
    <row r="9998" spans="1:4" hidden="1" x14ac:dyDescent="0.3">
      <c r="A9998">
        <v>9996</v>
      </c>
      <c r="B9998" s="1" t="s">
        <v>13075</v>
      </c>
      <c r="C9998" t="s">
        <v>130</v>
      </c>
      <c r="D9998" s="1" t="s">
        <v>13076</v>
      </c>
    </row>
    <row r="9999" spans="1:4" ht="72" x14ac:dyDescent="0.3">
      <c r="A9999">
        <v>9997</v>
      </c>
      <c r="B9999" s="1" t="s">
        <v>13077</v>
      </c>
      <c r="C9999" t="s">
        <v>4</v>
      </c>
      <c r="D9999" t="s">
        <v>13078</v>
      </c>
    </row>
    <row r="10000" spans="1:4" hidden="1" x14ac:dyDescent="0.3">
      <c r="A10000">
        <v>9998</v>
      </c>
      <c r="B10000" t="s">
        <v>13079</v>
      </c>
      <c r="C10000" t="s">
        <v>7</v>
      </c>
      <c r="D10000">
        <v>1864.97</v>
      </c>
    </row>
    <row r="10001" spans="1:4" hidden="1" x14ac:dyDescent="0.3">
      <c r="A10001">
        <v>9999</v>
      </c>
      <c r="B10001" s="1" t="s">
        <v>13080</v>
      </c>
      <c r="C10001" t="s">
        <v>9</v>
      </c>
      <c r="D10001" s="1" t="s">
        <v>13081</v>
      </c>
    </row>
    <row r="10002" spans="1:4" hidden="1" x14ac:dyDescent="0.3">
      <c r="A10002">
        <v>10000</v>
      </c>
      <c r="B10002" t="s">
        <v>13082</v>
      </c>
      <c r="C10002" t="s">
        <v>14</v>
      </c>
      <c r="D10002">
        <v>90.43359375</v>
      </c>
    </row>
    <row r="10003" spans="1:4" hidden="1" x14ac:dyDescent="0.3">
      <c r="A10003">
        <v>10001</v>
      </c>
      <c r="B10003" t="s">
        <v>13083</v>
      </c>
      <c r="C10003" t="s">
        <v>16</v>
      </c>
      <c r="D10003">
        <v>4.2423636780731098</v>
      </c>
    </row>
    <row r="10004" spans="1:4" hidden="1" x14ac:dyDescent="0.3">
      <c r="A10004">
        <v>10002</v>
      </c>
      <c r="B10004" s="1" t="s">
        <v>13084</v>
      </c>
      <c r="C10004" t="s">
        <v>140</v>
      </c>
      <c r="D10004" s="1" t="s">
        <v>13085</v>
      </c>
    </row>
    <row r="10005" spans="1:4" hidden="1" x14ac:dyDescent="0.3">
      <c r="A10005">
        <v>10003</v>
      </c>
      <c r="B10005" t="s">
        <v>13086</v>
      </c>
      <c r="C10005" t="s">
        <v>22</v>
      </c>
      <c r="D10005">
        <v>64.650000000000006</v>
      </c>
    </row>
    <row r="10006" spans="1:4" hidden="1" x14ac:dyDescent="0.3">
      <c r="A10006">
        <v>10004</v>
      </c>
      <c r="B10006" t="s">
        <v>13087</v>
      </c>
      <c r="C10006" t="s">
        <v>24</v>
      </c>
      <c r="D10006">
        <v>3.8905442350457999</v>
      </c>
    </row>
    <row r="10007" spans="1:4" hidden="1" x14ac:dyDescent="0.3">
      <c r="A10007">
        <v>10005</v>
      </c>
      <c r="B10007" s="1" t="s">
        <v>13088</v>
      </c>
      <c r="C10007" t="s">
        <v>145</v>
      </c>
      <c r="D10007" s="1" t="s">
        <v>13089</v>
      </c>
    </row>
    <row r="10008" spans="1:4" hidden="1" x14ac:dyDescent="0.3">
      <c r="A10008">
        <v>10006</v>
      </c>
      <c r="B10008" t="s">
        <v>13090</v>
      </c>
      <c r="C10008" t="s">
        <v>35</v>
      </c>
      <c r="D10008">
        <v>0.68721680599762802</v>
      </c>
    </row>
    <row r="10009" spans="1:4" hidden="1" x14ac:dyDescent="0.3">
      <c r="A10009">
        <v>10007</v>
      </c>
      <c r="B10009" t="s">
        <v>13091</v>
      </c>
      <c r="C10009" t="s">
        <v>149</v>
      </c>
      <c r="D10009">
        <v>0.54085670477553804</v>
      </c>
    </row>
    <row r="10010" spans="1:4" hidden="1" x14ac:dyDescent="0.3">
      <c r="A10010">
        <v>10008</v>
      </c>
      <c r="B10010" s="1" t="s">
        <v>13092</v>
      </c>
      <c r="C10010" t="s">
        <v>151</v>
      </c>
      <c r="D10010" s="1" t="s">
        <v>13093</v>
      </c>
    </row>
    <row r="10011" spans="1:4" hidden="1" x14ac:dyDescent="0.3">
      <c r="A10011">
        <v>10009</v>
      </c>
      <c r="B10011" t="s">
        <v>13094</v>
      </c>
      <c r="C10011" t="s">
        <v>30</v>
      </c>
      <c r="D10011">
        <v>0.16218989145769699</v>
      </c>
    </row>
    <row r="10012" spans="1:4" hidden="1" x14ac:dyDescent="0.3">
      <c r="A10012">
        <v>10010</v>
      </c>
      <c r="B10012" t="s">
        <v>13095</v>
      </c>
      <c r="C10012" t="s">
        <v>32</v>
      </c>
      <c r="D10012">
        <v>0.36457185956524202</v>
      </c>
    </row>
    <row r="10013" spans="1:4" hidden="1" x14ac:dyDescent="0.3">
      <c r="A10013">
        <v>10011</v>
      </c>
      <c r="B10013" s="1" t="s">
        <v>13096</v>
      </c>
      <c r="C10013" t="s">
        <v>155</v>
      </c>
      <c r="D10013" s="1" t="s">
        <v>13097</v>
      </c>
    </row>
    <row r="10014" spans="1:4" hidden="1" x14ac:dyDescent="0.3">
      <c r="A10014">
        <v>10012</v>
      </c>
      <c r="B10014" t="s">
        <v>13098</v>
      </c>
      <c r="C10014" t="s">
        <v>40</v>
      </c>
      <c r="D10014">
        <v>0.15059330254467401</v>
      </c>
    </row>
    <row r="10015" spans="1:4" hidden="1" x14ac:dyDescent="0.3">
      <c r="A10015">
        <v>10013</v>
      </c>
      <c r="B10015" t="s">
        <v>13099</v>
      </c>
      <c r="C10015" t="s">
        <v>42</v>
      </c>
      <c r="D10015">
        <v>0.48434670087861997</v>
      </c>
    </row>
    <row r="10016" spans="1:4" hidden="1" x14ac:dyDescent="0.3">
      <c r="A10016">
        <v>10014</v>
      </c>
      <c r="B10016" s="1" t="s">
        <v>13100</v>
      </c>
      <c r="C10016" t="s">
        <v>159</v>
      </c>
      <c r="D10016" s="1" t="s">
        <v>13101</v>
      </c>
    </row>
    <row r="10017" spans="1:4" hidden="1" x14ac:dyDescent="0.3">
      <c r="A10017">
        <v>10015</v>
      </c>
      <c r="B10017" t="s">
        <v>13102</v>
      </c>
      <c r="C10017" t="s">
        <v>161</v>
      </c>
      <c r="D10017">
        <v>0.97503555146597498</v>
      </c>
    </row>
    <row r="10018" spans="1:4" hidden="1" x14ac:dyDescent="0.3">
      <c r="A10018">
        <v>10016</v>
      </c>
      <c r="B10018" t="s">
        <v>13103</v>
      </c>
      <c r="C10018" t="s">
        <v>163</v>
      </c>
      <c r="D10018">
        <v>0.99539487638548896</v>
      </c>
    </row>
    <row r="10019" spans="1:4" hidden="1" x14ac:dyDescent="0.3">
      <c r="A10019">
        <v>10017</v>
      </c>
      <c r="B10019" s="1" t="s">
        <v>13104</v>
      </c>
      <c r="C10019" t="s">
        <v>165</v>
      </c>
      <c r="D10019" s="1" t="s">
        <v>13105</v>
      </c>
    </row>
    <row r="10020" spans="1:4" hidden="1" x14ac:dyDescent="0.3">
      <c r="A10020">
        <v>10018</v>
      </c>
      <c r="B10020" t="s">
        <v>13106</v>
      </c>
      <c r="C10020" t="s">
        <v>168</v>
      </c>
      <c r="D10020">
        <v>1.0008140450621399</v>
      </c>
    </row>
    <row r="10021" spans="1:4" hidden="1" x14ac:dyDescent="0.3">
      <c r="A10021">
        <v>10019</v>
      </c>
      <c r="B10021" t="s">
        <v>13107</v>
      </c>
      <c r="C10021" t="s">
        <v>170</v>
      </c>
      <c r="D10021">
        <v>0.99470160856179202</v>
      </c>
    </row>
    <row r="10022" spans="1:4" hidden="1" x14ac:dyDescent="0.3">
      <c r="A10022">
        <v>10020</v>
      </c>
      <c r="B10022" s="1" t="s">
        <v>13108</v>
      </c>
      <c r="C10022" t="s">
        <v>172</v>
      </c>
      <c r="D10022" s="1" t="s">
        <v>13109</v>
      </c>
    </row>
    <row r="10023" spans="1:4" hidden="1" x14ac:dyDescent="0.3">
      <c r="A10023">
        <v>10021</v>
      </c>
      <c r="B10023" s="1" t="s">
        <v>13110</v>
      </c>
      <c r="C10023" t="s">
        <v>55</v>
      </c>
      <c r="D10023" s="1" t="s">
        <v>13111</v>
      </c>
    </row>
    <row r="10024" spans="1:4" hidden="1" x14ac:dyDescent="0.3">
      <c r="A10024">
        <v>10022</v>
      </c>
      <c r="B10024" s="1" t="s">
        <v>13112</v>
      </c>
      <c r="C10024" t="s">
        <v>52</v>
      </c>
      <c r="D10024" s="1" t="s">
        <v>13113</v>
      </c>
    </row>
    <row r="10025" spans="1:4" hidden="1" x14ac:dyDescent="0.3">
      <c r="A10025">
        <v>10023</v>
      </c>
      <c r="B10025" s="1" t="s">
        <v>13114</v>
      </c>
      <c r="C10025" t="s">
        <v>58</v>
      </c>
      <c r="D10025" s="1" t="s">
        <v>13115</v>
      </c>
    </row>
    <row r="10026" spans="1:4" hidden="1" x14ac:dyDescent="0.3">
      <c r="A10026">
        <v>10024</v>
      </c>
      <c r="B10026" t="s">
        <v>13116</v>
      </c>
      <c r="C10026" t="s">
        <v>61</v>
      </c>
      <c r="D10026">
        <v>153073527.21403399</v>
      </c>
    </row>
    <row r="10027" spans="1:4" hidden="1" x14ac:dyDescent="0.3">
      <c r="A10027">
        <v>10025</v>
      </c>
      <c r="B10027" t="s">
        <v>13117</v>
      </c>
      <c r="C10027" t="s">
        <v>63</v>
      </c>
      <c r="D10027">
        <v>80466483.920346707</v>
      </c>
    </row>
    <row r="10028" spans="1:4" hidden="1" x14ac:dyDescent="0.3">
      <c r="A10028">
        <v>10026</v>
      </c>
      <c r="B10028" t="s">
        <v>13118</v>
      </c>
      <c r="C10028" t="s">
        <v>65</v>
      </c>
      <c r="D10028">
        <v>34388605.923611797</v>
      </c>
    </row>
    <row r="10029" spans="1:4" hidden="1" x14ac:dyDescent="0.3">
      <c r="A10029">
        <v>10027</v>
      </c>
      <c r="B10029" s="1" t="s">
        <v>13119</v>
      </c>
      <c r="C10029" t="s">
        <v>67</v>
      </c>
      <c r="D10029" s="1" t="s">
        <v>13120</v>
      </c>
    </row>
    <row r="10030" spans="1:4" hidden="1" x14ac:dyDescent="0.3">
      <c r="A10030">
        <v>10028</v>
      </c>
      <c r="B10030" s="1" t="s">
        <v>13121</v>
      </c>
      <c r="C10030" t="s">
        <v>70</v>
      </c>
      <c r="D10030" s="1" t="s">
        <v>13122</v>
      </c>
    </row>
    <row r="10031" spans="1:4" hidden="1" x14ac:dyDescent="0.3">
      <c r="A10031">
        <v>10029</v>
      </c>
      <c r="B10031" t="s">
        <v>13123</v>
      </c>
      <c r="C10031" t="s">
        <v>73</v>
      </c>
      <c r="D10031">
        <v>0.99971689490096405</v>
      </c>
    </row>
    <row r="10032" spans="1:4" hidden="1" x14ac:dyDescent="0.3">
      <c r="A10032">
        <v>10030</v>
      </c>
      <c r="B10032" t="s">
        <v>74</v>
      </c>
      <c r="C10032" t="s">
        <v>75</v>
      </c>
      <c r="D10032">
        <v>2.7397260273972599E-3</v>
      </c>
    </row>
    <row r="10033" spans="1:4" hidden="1" x14ac:dyDescent="0.3">
      <c r="A10033">
        <v>10031</v>
      </c>
      <c r="B10033" t="s">
        <v>76</v>
      </c>
      <c r="C10033" t="s">
        <v>77</v>
      </c>
      <c r="D10033">
        <v>0</v>
      </c>
    </row>
    <row r="10034" spans="1:4" hidden="1" x14ac:dyDescent="0.3">
      <c r="A10034">
        <v>10032</v>
      </c>
      <c r="B10034" t="s">
        <v>188</v>
      </c>
      <c r="C10034" t="s">
        <v>79</v>
      </c>
      <c r="D10034" s="2">
        <v>-2.2204460492503101E-16</v>
      </c>
    </row>
    <row r="10035" spans="1:4" hidden="1" x14ac:dyDescent="0.3">
      <c r="A10035">
        <v>10033</v>
      </c>
      <c r="B10035" s="1" t="s">
        <v>13124</v>
      </c>
      <c r="C10035" t="s">
        <v>81</v>
      </c>
      <c r="D10035" s="1" t="s">
        <v>13125</v>
      </c>
    </row>
    <row r="10036" spans="1:4" hidden="1" x14ac:dyDescent="0.3">
      <c r="A10036">
        <v>10034</v>
      </c>
      <c r="B10036" t="s">
        <v>13126</v>
      </c>
      <c r="C10036" t="s">
        <v>84</v>
      </c>
      <c r="D10036">
        <v>0.99970300710936499</v>
      </c>
    </row>
    <row r="10037" spans="1:4" hidden="1" x14ac:dyDescent="0.3">
      <c r="A10037">
        <v>10035</v>
      </c>
      <c r="B10037" s="1" t="s">
        <v>13127</v>
      </c>
      <c r="C10037" t="s">
        <v>86</v>
      </c>
      <c r="D10037" s="1" t="s">
        <v>13128</v>
      </c>
    </row>
    <row r="10038" spans="1:4" hidden="1" x14ac:dyDescent="0.3">
      <c r="A10038">
        <v>10036</v>
      </c>
      <c r="B10038" t="s">
        <v>13129</v>
      </c>
      <c r="C10038" t="s">
        <v>89</v>
      </c>
      <c r="D10038">
        <v>104286736.112795</v>
      </c>
    </row>
    <row r="10039" spans="1:4" hidden="1" x14ac:dyDescent="0.3">
      <c r="A10039">
        <v>10037</v>
      </c>
      <c r="B10039" s="1" t="s">
        <v>13130</v>
      </c>
      <c r="C10039" t="s">
        <v>91</v>
      </c>
      <c r="D10039" s="1" t="s">
        <v>13064</v>
      </c>
    </row>
    <row r="10040" spans="1:4" hidden="1" x14ac:dyDescent="0.3">
      <c r="A10040">
        <v>10038</v>
      </c>
      <c r="B10040" t="s">
        <v>13131</v>
      </c>
      <c r="C10040" t="s">
        <v>94</v>
      </c>
      <c r="D10040">
        <v>80466483.920346707</v>
      </c>
    </row>
    <row r="10041" spans="1:4" hidden="1" x14ac:dyDescent="0.3">
      <c r="A10041">
        <v>10039</v>
      </c>
      <c r="B10041" t="s">
        <v>13132</v>
      </c>
      <c r="C10041" t="s">
        <v>96</v>
      </c>
      <c r="D10041">
        <v>34388605.923611797</v>
      </c>
    </row>
    <row r="10042" spans="1:4" hidden="1" x14ac:dyDescent="0.3">
      <c r="A10042">
        <v>10040</v>
      </c>
      <c r="B10042" t="s">
        <v>13133</v>
      </c>
      <c r="C10042" t="s">
        <v>98</v>
      </c>
      <c r="D10042">
        <v>38218437.370076098</v>
      </c>
    </row>
    <row r="10043" spans="1:4" hidden="1" x14ac:dyDescent="0.3">
      <c r="A10043">
        <v>10041</v>
      </c>
      <c r="B10043" s="1" t="s">
        <v>13134</v>
      </c>
      <c r="C10043" t="s">
        <v>100</v>
      </c>
      <c r="D10043" s="1" t="s">
        <v>13135</v>
      </c>
    </row>
    <row r="10044" spans="1:4" hidden="1" x14ac:dyDescent="0.3">
      <c r="A10044">
        <v>10042</v>
      </c>
      <c r="B10044" t="s">
        <v>13136</v>
      </c>
      <c r="C10044" t="s">
        <v>103</v>
      </c>
      <c r="D10044">
        <v>1.0233749091626399E-2</v>
      </c>
    </row>
    <row r="10045" spans="1:4" hidden="1" x14ac:dyDescent="0.3">
      <c r="A10045">
        <v>10043</v>
      </c>
      <c r="B10045" t="s">
        <v>13137</v>
      </c>
      <c r="C10045" t="s">
        <v>105</v>
      </c>
      <c r="D10045">
        <v>2.8348707908878602E-3</v>
      </c>
    </row>
    <row r="10046" spans="1:4" hidden="1" x14ac:dyDescent="0.3">
      <c r="A10046">
        <v>10044</v>
      </c>
      <c r="B10046" t="s">
        <v>13138</v>
      </c>
      <c r="C10046" t="s">
        <v>107</v>
      </c>
      <c r="D10046">
        <v>2.09099416571383E-2</v>
      </c>
    </row>
    <row r="10047" spans="1:4" hidden="1" x14ac:dyDescent="0.3">
      <c r="A10047">
        <v>10045</v>
      </c>
      <c r="B10047" s="1" t="s">
        <v>13139</v>
      </c>
      <c r="C10047" t="s">
        <v>109</v>
      </c>
      <c r="D10047" s="1" t="s">
        <v>13140</v>
      </c>
    </row>
    <row r="10048" spans="1:4" hidden="1" x14ac:dyDescent="0.3">
      <c r="A10048">
        <v>10046</v>
      </c>
      <c r="B10048" t="s">
        <v>13141</v>
      </c>
      <c r="C10048" t="s">
        <v>208</v>
      </c>
      <c r="D10048">
        <v>153073027.843871</v>
      </c>
    </row>
    <row r="10049" spans="1:4" hidden="1" x14ac:dyDescent="0.3">
      <c r="A10049">
        <v>10047</v>
      </c>
      <c r="B10049" t="s">
        <v>13142</v>
      </c>
      <c r="C10049" t="s">
        <v>210</v>
      </c>
      <c r="D10049">
        <v>1117.81351923747</v>
      </c>
    </row>
    <row r="10050" spans="1:4" hidden="1" x14ac:dyDescent="0.3">
      <c r="A10050">
        <v>10048</v>
      </c>
      <c r="B10050" t="s">
        <v>13143</v>
      </c>
      <c r="C10050" t="s">
        <v>212</v>
      </c>
      <c r="D10050">
        <v>477.71606763952599</v>
      </c>
    </row>
    <row r="10051" spans="1:4" hidden="1" x14ac:dyDescent="0.3">
      <c r="A10051">
        <v>10049</v>
      </c>
      <c r="B10051" s="1" t="s">
        <v>13144</v>
      </c>
      <c r="C10051" t="s">
        <v>214</v>
      </c>
      <c r="D10051" s="1" t="s">
        <v>13145</v>
      </c>
    </row>
    <row r="10052" spans="1:4" hidden="1" x14ac:dyDescent="0.3">
      <c r="A10052">
        <v>10050</v>
      </c>
      <c r="B10052" t="s">
        <v>13146</v>
      </c>
      <c r="C10052" t="s">
        <v>217</v>
      </c>
      <c r="D10052">
        <v>80465027.761130705</v>
      </c>
    </row>
    <row r="10053" spans="1:4" hidden="1" x14ac:dyDescent="0.3">
      <c r="A10053">
        <v>10051</v>
      </c>
      <c r="B10053" t="s">
        <v>13147</v>
      </c>
      <c r="C10053" t="s">
        <v>219</v>
      </c>
      <c r="D10053">
        <v>34388058.457885198</v>
      </c>
    </row>
    <row r="10054" spans="1:4" hidden="1" x14ac:dyDescent="0.3">
      <c r="A10054">
        <v>10052</v>
      </c>
      <c r="B10054" t="s">
        <v>13148</v>
      </c>
      <c r="C10054" t="s">
        <v>221</v>
      </c>
      <c r="D10054">
        <v>38217815.176537</v>
      </c>
    </row>
    <row r="10055" spans="1:4" hidden="1" x14ac:dyDescent="0.3">
      <c r="A10055">
        <v>10053</v>
      </c>
      <c r="B10055" s="1" t="s">
        <v>13149</v>
      </c>
      <c r="C10055" t="s">
        <v>223</v>
      </c>
      <c r="D10055" s="1" t="s">
        <v>13150</v>
      </c>
    </row>
    <row r="10056" spans="1:4" hidden="1" x14ac:dyDescent="0.3">
      <c r="A10056">
        <v>10054</v>
      </c>
      <c r="B10056" t="s">
        <v>13151</v>
      </c>
      <c r="C10056" t="s">
        <v>226</v>
      </c>
      <c r="D10056">
        <v>104285287.39019699</v>
      </c>
    </row>
    <row r="10057" spans="1:4" hidden="1" x14ac:dyDescent="0.3">
      <c r="A10057">
        <v>10055</v>
      </c>
      <c r="B10057" t="s">
        <v>13152</v>
      </c>
      <c r="C10057" t="s">
        <v>228</v>
      </c>
      <c r="D10057">
        <v>1448.72259844839</v>
      </c>
    </row>
    <row r="10058" spans="1:4" hidden="1" x14ac:dyDescent="0.3">
      <c r="A10058">
        <v>10056</v>
      </c>
      <c r="B10058" s="1" t="s">
        <v>13153</v>
      </c>
      <c r="C10058" t="s">
        <v>230</v>
      </c>
      <c r="D10058" s="1" t="s">
        <v>13154</v>
      </c>
    </row>
    <row r="10059" spans="1:4" hidden="1" x14ac:dyDescent="0.3">
      <c r="A10059">
        <v>10057</v>
      </c>
      <c r="B10059" t="s">
        <v>13155</v>
      </c>
      <c r="C10059" t="s">
        <v>112</v>
      </c>
      <c r="D10059">
        <v>-338.34569679074002</v>
      </c>
    </row>
    <row r="10060" spans="1:4" hidden="1" x14ac:dyDescent="0.3">
      <c r="A10060">
        <v>10058</v>
      </c>
      <c r="B10060" t="s">
        <v>13156</v>
      </c>
      <c r="C10060" t="s">
        <v>114</v>
      </c>
      <c r="D10060">
        <v>-69.749658935064303</v>
      </c>
    </row>
    <row r="10061" spans="1:4" hidden="1" x14ac:dyDescent="0.3">
      <c r="A10061">
        <v>10059</v>
      </c>
      <c r="B10061" s="1" t="s">
        <v>13157</v>
      </c>
      <c r="C10061" t="s">
        <v>116</v>
      </c>
      <c r="D10061" s="1" t="s">
        <v>13158</v>
      </c>
    </row>
    <row r="10062" spans="1:4" hidden="1" x14ac:dyDescent="0.3">
      <c r="A10062">
        <v>10060</v>
      </c>
      <c r="B10062" t="s">
        <v>13159</v>
      </c>
      <c r="C10062" t="s">
        <v>119</v>
      </c>
      <c r="D10062">
        <v>80465027.761130705</v>
      </c>
    </row>
    <row r="10063" spans="1:4" hidden="1" x14ac:dyDescent="0.3">
      <c r="A10063">
        <v>10061</v>
      </c>
      <c r="B10063" t="s">
        <v>13160</v>
      </c>
      <c r="C10063" t="s">
        <v>121</v>
      </c>
      <c r="D10063">
        <v>34388058.457885198</v>
      </c>
    </row>
    <row r="10064" spans="1:4" hidden="1" x14ac:dyDescent="0.3">
      <c r="A10064">
        <v>10062</v>
      </c>
      <c r="B10064" s="1" t="s">
        <v>13161</v>
      </c>
      <c r="C10064" t="s">
        <v>123</v>
      </c>
      <c r="D10064" s="1" t="s">
        <v>13162</v>
      </c>
    </row>
    <row r="10065" spans="1:4" hidden="1" x14ac:dyDescent="0.3">
      <c r="A10065">
        <v>10063</v>
      </c>
      <c r="B10065" t="s">
        <v>13163</v>
      </c>
      <c r="C10065" t="s">
        <v>126</v>
      </c>
      <c r="D10065">
        <v>0.77181484000392897</v>
      </c>
    </row>
    <row r="10066" spans="1:4" hidden="1" x14ac:dyDescent="0.3">
      <c r="A10066">
        <v>10064</v>
      </c>
      <c r="B10066" t="s">
        <v>13164</v>
      </c>
      <c r="C10066" t="s">
        <v>128</v>
      </c>
      <c r="D10066">
        <v>0.329847818054683</v>
      </c>
    </row>
    <row r="10067" spans="1:4" hidden="1" x14ac:dyDescent="0.3">
      <c r="A10067">
        <v>10065</v>
      </c>
      <c r="B10067" s="1" t="s">
        <v>13165</v>
      </c>
      <c r="C10067" t="s">
        <v>130</v>
      </c>
      <c r="D10067" s="1" t="s">
        <v>13166</v>
      </c>
    </row>
    <row r="10068" spans="1:4" ht="72" x14ac:dyDescent="0.3">
      <c r="A10068">
        <v>10066</v>
      </c>
      <c r="B10068" s="1" t="s">
        <v>13167</v>
      </c>
      <c r="C10068" t="s">
        <v>4</v>
      </c>
      <c r="D10068" t="s">
        <v>13168</v>
      </c>
    </row>
    <row r="10069" spans="1:4" hidden="1" x14ac:dyDescent="0.3">
      <c r="A10069">
        <v>10067</v>
      </c>
      <c r="B10069" t="s">
        <v>13169</v>
      </c>
      <c r="C10069" t="s">
        <v>7</v>
      </c>
      <c r="D10069">
        <v>1867.48</v>
      </c>
    </row>
    <row r="10070" spans="1:4" hidden="1" x14ac:dyDescent="0.3">
      <c r="A10070">
        <v>10068</v>
      </c>
      <c r="B10070" s="1" t="s">
        <v>13170</v>
      </c>
      <c r="C10070" t="s">
        <v>9</v>
      </c>
      <c r="D10070" s="1" t="s">
        <v>13171</v>
      </c>
    </row>
    <row r="10071" spans="1:4" hidden="1" x14ac:dyDescent="0.3">
      <c r="A10071">
        <v>10069</v>
      </c>
      <c r="B10071" t="s">
        <v>13172</v>
      </c>
      <c r="C10071" t="s">
        <v>14</v>
      </c>
      <c r="D10071">
        <v>89.96484375</v>
      </c>
    </row>
    <row r="10072" spans="1:4" hidden="1" x14ac:dyDescent="0.3">
      <c r="A10072">
        <v>10070</v>
      </c>
      <c r="B10072" t="s">
        <v>13173</v>
      </c>
      <c r="C10072" t="s">
        <v>16</v>
      </c>
      <c r="D10072">
        <v>4.2364254210021599</v>
      </c>
    </row>
    <row r="10073" spans="1:4" hidden="1" x14ac:dyDescent="0.3">
      <c r="A10073">
        <v>10071</v>
      </c>
      <c r="B10073" s="1" t="s">
        <v>13174</v>
      </c>
      <c r="C10073" t="s">
        <v>140</v>
      </c>
      <c r="D10073" s="1" t="s">
        <v>13175</v>
      </c>
    </row>
    <row r="10074" spans="1:4" hidden="1" x14ac:dyDescent="0.3">
      <c r="A10074">
        <v>10072</v>
      </c>
      <c r="B10074" t="s">
        <v>12907</v>
      </c>
      <c r="C10074" t="s">
        <v>22</v>
      </c>
      <c r="D10074">
        <v>62.9</v>
      </c>
    </row>
    <row r="10075" spans="1:4" hidden="1" x14ac:dyDescent="0.3">
      <c r="A10075">
        <v>10073</v>
      </c>
      <c r="B10075" t="s">
        <v>13176</v>
      </c>
      <c r="C10075" t="s">
        <v>24</v>
      </c>
      <c r="D10075">
        <v>3.93659178332685</v>
      </c>
    </row>
    <row r="10076" spans="1:4" hidden="1" x14ac:dyDescent="0.3">
      <c r="A10076">
        <v>10074</v>
      </c>
      <c r="B10076" s="1" t="s">
        <v>13177</v>
      </c>
      <c r="C10076" t="s">
        <v>145</v>
      </c>
      <c r="D10076" s="1" t="s">
        <v>13178</v>
      </c>
    </row>
    <row r="10077" spans="1:4" hidden="1" x14ac:dyDescent="0.3">
      <c r="A10077">
        <v>10075</v>
      </c>
      <c r="B10077" t="s">
        <v>13179</v>
      </c>
      <c r="C10077" t="s">
        <v>35</v>
      </c>
      <c r="D10077">
        <v>0.47756195846069899</v>
      </c>
    </row>
    <row r="10078" spans="1:4" hidden="1" x14ac:dyDescent="0.3">
      <c r="A10078">
        <v>10076</v>
      </c>
      <c r="B10078" t="s">
        <v>13180</v>
      </c>
      <c r="C10078" t="s">
        <v>149</v>
      </c>
      <c r="D10078">
        <v>0.55136763492292495</v>
      </c>
    </row>
    <row r="10079" spans="1:4" hidden="1" x14ac:dyDescent="0.3">
      <c r="A10079">
        <v>10077</v>
      </c>
      <c r="B10079" s="1" t="s">
        <v>13181</v>
      </c>
      <c r="C10079" t="s">
        <v>151</v>
      </c>
      <c r="D10079" s="1" t="s">
        <v>13182</v>
      </c>
    </row>
    <row r="10080" spans="1:4" hidden="1" x14ac:dyDescent="0.3">
      <c r="A10080">
        <v>10078</v>
      </c>
      <c r="B10080" t="s">
        <v>13183</v>
      </c>
      <c r="C10080" t="s">
        <v>30</v>
      </c>
      <c r="D10080">
        <v>0.25903762186953</v>
      </c>
    </row>
    <row r="10081" spans="1:4" hidden="1" x14ac:dyDescent="0.3">
      <c r="A10081">
        <v>10079</v>
      </c>
      <c r="B10081" t="s">
        <v>13184</v>
      </c>
      <c r="C10081" t="s">
        <v>32</v>
      </c>
      <c r="D10081">
        <v>0.35051749531658799</v>
      </c>
    </row>
    <row r="10082" spans="1:4" hidden="1" x14ac:dyDescent="0.3">
      <c r="A10082">
        <v>10080</v>
      </c>
      <c r="B10082" s="1" t="s">
        <v>13185</v>
      </c>
      <c r="C10082" t="s">
        <v>155</v>
      </c>
      <c r="D10082" s="1" t="s">
        <v>13186</v>
      </c>
    </row>
    <row r="10083" spans="1:4" hidden="1" x14ac:dyDescent="0.3">
      <c r="A10083">
        <v>10081</v>
      </c>
      <c r="B10083" t="s">
        <v>13187</v>
      </c>
      <c r="C10083" t="s">
        <v>40</v>
      </c>
      <c r="D10083">
        <v>0.26340041966977001</v>
      </c>
    </row>
    <row r="10084" spans="1:4" hidden="1" x14ac:dyDescent="0.3">
      <c r="A10084">
        <v>10082</v>
      </c>
      <c r="B10084" t="s">
        <v>13188</v>
      </c>
      <c r="C10084" t="s">
        <v>42</v>
      </c>
      <c r="D10084">
        <v>0.46315443002191697</v>
      </c>
    </row>
    <row r="10085" spans="1:4" hidden="1" x14ac:dyDescent="0.3">
      <c r="A10085">
        <v>10083</v>
      </c>
      <c r="B10085" s="1" t="s">
        <v>13189</v>
      </c>
      <c r="C10085" t="s">
        <v>159</v>
      </c>
      <c r="D10085" s="1" t="s">
        <v>13190</v>
      </c>
    </row>
    <row r="10086" spans="1:4" hidden="1" x14ac:dyDescent="0.3">
      <c r="A10086">
        <v>10084</v>
      </c>
      <c r="B10086" t="s">
        <v>13191</v>
      </c>
      <c r="C10086" t="s">
        <v>161</v>
      </c>
      <c r="D10086">
        <v>1.0013458661533401</v>
      </c>
    </row>
    <row r="10087" spans="1:4" hidden="1" x14ac:dyDescent="0.3">
      <c r="A10087">
        <v>10085</v>
      </c>
      <c r="B10087" t="s">
        <v>13192</v>
      </c>
      <c r="C10087" t="s">
        <v>163</v>
      </c>
      <c r="D10087">
        <v>0.99498617949090595</v>
      </c>
    </row>
    <row r="10088" spans="1:4" hidden="1" x14ac:dyDescent="0.3">
      <c r="A10088">
        <v>10086</v>
      </c>
      <c r="B10088" s="1" t="s">
        <v>13193</v>
      </c>
      <c r="C10088" t="s">
        <v>165</v>
      </c>
      <c r="D10088" s="1" t="s">
        <v>13194</v>
      </c>
    </row>
    <row r="10089" spans="1:4" hidden="1" x14ac:dyDescent="0.3">
      <c r="A10089">
        <v>10087</v>
      </c>
      <c r="B10089" t="s">
        <v>13195</v>
      </c>
      <c r="C10089" t="s">
        <v>168</v>
      </c>
      <c r="D10089">
        <v>1.00682148451235</v>
      </c>
    </row>
    <row r="10090" spans="1:4" hidden="1" x14ac:dyDescent="0.3">
      <c r="A10090">
        <v>10088</v>
      </c>
      <c r="B10090" t="s">
        <v>13196</v>
      </c>
      <c r="C10090" t="s">
        <v>170</v>
      </c>
      <c r="D10090">
        <v>0.98970053196529195</v>
      </c>
    </row>
    <row r="10091" spans="1:4" hidden="1" x14ac:dyDescent="0.3">
      <c r="A10091">
        <v>10089</v>
      </c>
      <c r="B10091" s="1" t="s">
        <v>13197</v>
      </c>
      <c r="C10091" t="s">
        <v>172</v>
      </c>
      <c r="D10091" s="1" t="s">
        <v>13198</v>
      </c>
    </row>
    <row r="10092" spans="1:4" hidden="1" x14ac:dyDescent="0.3">
      <c r="A10092">
        <v>10090</v>
      </c>
      <c r="B10092" s="1" t="s">
        <v>13199</v>
      </c>
      <c r="C10092" t="s">
        <v>55</v>
      </c>
      <c r="D10092" s="1" t="s">
        <v>13200</v>
      </c>
    </row>
    <row r="10093" spans="1:4" hidden="1" x14ac:dyDescent="0.3">
      <c r="A10093">
        <v>10091</v>
      </c>
      <c r="B10093" s="1" t="s">
        <v>13201</v>
      </c>
      <c r="C10093" t="s">
        <v>52</v>
      </c>
      <c r="D10093" s="1" t="s">
        <v>13202</v>
      </c>
    </row>
    <row r="10094" spans="1:4" hidden="1" x14ac:dyDescent="0.3">
      <c r="A10094">
        <v>10092</v>
      </c>
      <c r="B10094" s="1" t="s">
        <v>13203</v>
      </c>
      <c r="C10094" t="s">
        <v>58</v>
      </c>
      <c r="D10094" s="1" t="s">
        <v>13204</v>
      </c>
    </row>
    <row r="10095" spans="1:4" hidden="1" x14ac:dyDescent="0.3">
      <c r="A10095">
        <v>10093</v>
      </c>
      <c r="B10095" t="s">
        <v>13205</v>
      </c>
      <c r="C10095" t="s">
        <v>61</v>
      </c>
      <c r="D10095">
        <v>152056666.86560199</v>
      </c>
    </row>
    <row r="10096" spans="1:4" hidden="1" x14ac:dyDescent="0.3">
      <c r="A10096">
        <v>10094</v>
      </c>
      <c r="B10096" t="s">
        <v>13206</v>
      </c>
      <c r="C10096" t="s">
        <v>63</v>
      </c>
      <c r="D10096">
        <v>80573322.918522194</v>
      </c>
    </row>
    <row r="10097" spans="1:4" hidden="1" x14ac:dyDescent="0.3">
      <c r="A10097">
        <v>10095</v>
      </c>
      <c r="B10097" t="s">
        <v>13207</v>
      </c>
      <c r="C10097" t="s">
        <v>65</v>
      </c>
      <c r="D10097">
        <v>34215642.9051212</v>
      </c>
    </row>
    <row r="10098" spans="1:4" hidden="1" x14ac:dyDescent="0.3">
      <c r="A10098">
        <v>10096</v>
      </c>
      <c r="B10098" s="1" t="s">
        <v>13208</v>
      </c>
      <c r="C10098" t="s">
        <v>67</v>
      </c>
      <c r="D10098" s="1" t="s">
        <v>13209</v>
      </c>
    </row>
    <row r="10099" spans="1:4" hidden="1" x14ac:dyDescent="0.3">
      <c r="A10099">
        <v>10097</v>
      </c>
      <c r="B10099" s="1" t="s">
        <v>13210</v>
      </c>
      <c r="C10099" t="s">
        <v>70</v>
      </c>
      <c r="D10099" s="1" t="s">
        <v>13211</v>
      </c>
    </row>
    <row r="10100" spans="1:4" hidden="1" x14ac:dyDescent="0.3">
      <c r="A10100">
        <v>10098</v>
      </c>
      <c r="B10100" t="s">
        <v>13212</v>
      </c>
      <c r="C10100" t="s">
        <v>73</v>
      </c>
      <c r="D10100">
        <v>0.99970300710936499</v>
      </c>
    </row>
    <row r="10101" spans="1:4" hidden="1" x14ac:dyDescent="0.3">
      <c r="A10101">
        <v>10099</v>
      </c>
      <c r="B10101" t="s">
        <v>74</v>
      </c>
      <c r="C10101" t="s">
        <v>75</v>
      </c>
      <c r="D10101">
        <v>2.7397260273972599E-3</v>
      </c>
    </row>
    <row r="10102" spans="1:4" hidden="1" x14ac:dyDescent="0.3">
      <c r="A10102">
        <v>10100</v>
      </c>
      <c r="B10102" t="s">
        <v>76</v>
      </c>
      <c r="C10102" t="s">
        <v>77</v>
      </c>
      <c r="D10102">
        <v>0</v>
      </c>
    </row>
    <row r="10103" spans="1:4" hidden="1" x14ac:dyDescent="0.3">
      <c r="A10103">
        <v>10101</v>
      </c>
      <c r="B10103" t="s">
        <v>78</v>
      </c>
      <c r="C10103" t="s">
        <v>79</v>
      </c>
      <c r="D10103">
        <v>0</v>
      </c>
    </row>
    <row r="10104" spans="1:4" hidden="1" x14ac:dyDescent="0.3">
      <c r="A10104">
        <v>10102</v>
      </c>
      <c r="B10104" s="1" t="s">
        <v>13213</v>
      </c>
      <c r="C10104" t="s">
        <v>81</v>
      </c>
      <c r="D10104" s="1" t="s">
        <v>13214</v>
      </c>
    </row>
    <row r="10105" spans="1:4" hidden="1" x14ac:dyDescent="0.3">
      <c r="A10105">
        <v>10103</v>
      </c>
      <c r="B10105" t="s">
        <v>13215</v>
      </c>
      <c r="C10105" t="s">
        <v>84</v>
      </c>
      <c r="D10105">
        <v>0.99970052204867099</v>
      </c>
    </row>
    <row r="10106" spans="1:4" hidden="1" x14ac:dyDescent="0.3">
      <c r="A10106">
        <v>10104</v>
      </c>
      <c r="B10106" s="1" t="s">
        <v>13216</v>
      </c>
      <c r="C10106" t="s">
        <v>86</v>
      </c>
      <c r="D10106" s="1" t="s">
        <v>13217</v>
      </c>
    </row>
    <row r="10107" spans="1:4" hidden="1" x14ac:dyDescent="0.3">
      <c r="A10107">
        <v>10105</v>
      </c>
      <c r="B10107" t="s">
        <v>13218</v>
      </c>
      <c r="C10107" t="s">
        <v>89</v>
      </c>
      <c r="D10107">
        <v>104286995.3493</v>
      </c>
    </row>
    <row r="10108" spans="1:4" hidden="1" x14ac:dyDescent="0.3">
      <c r="A10108">
        <v>10106</v>
      </c>
      <c r="B10108" s="1" t="s">
        <v>13219</v>
      </c>
      <c r="C10108" t="s">
        <v>91</v>
      </c>
      <c r="D10108" s="1" t="s">
        <v>13154</v>
      </c>
    </row>
    <row r="10109" spans="1:4" hidden="1" x14ac:dyDescent="0.3">
      <c r="A10109">
        <v>10107</v>
      </c>
      <c r="B10109" t="s">
        <v>13220</v>
      </c>
      <c r="C10109" t="s">
        <v>94</v>
      </c>
      <c r="D10109">
        <v>80573322.918522194</v>
      </c>
    </row>
    <row r="10110" spans="1:4" hidden="1" x14ac:dyDescent="0.3">
      <c r="A10110">
        <v>10108</v>
      </c>
      <c r="B10110" t="s">
        <v>13221</v>
      </c>
      <c r="C10110" t="s">
        <v>96</v>
      </c>
      <c r="D10110">
        <v>34215642.9051212</v>
      </c>
    </row>
    <row r="10111" spans="1:4" hidden="1" x14ac:dyDescent="0.3">
      <c r="A10111">
        <v>10109</v>
      </c>
      <c r="B10111" t="s">
        <v>13222</v>
      </c>
      <c r="C10111" t="s">
        <v>98</v>
      </c>
      <c r="D10111">
        <v>37267701.041958801</v>
      </c>
    </row>
    <row r="10112" spans="1:4" hidden="1" x14ac:dyDescent="0.3">
      <c r="A10112">
        <v>10110</v>
      </c>
      <c r="B10112" s="1" t="s">
        <v>13223</v>
      </c>
      <c r="C10112" t="s">
        <v>100</v>
      </c>
      <c r="D10112" s="1" t="s">
        <v>13224</v>
      </c>
    </row>
    <row r="10113" spans="1:4" hidden="1" x14ac:dyDescent="0.3">
      <c r="A10113">
        <v>10111</v>
      </c>
      <c r="B10113" t="s">
        <v>13225</v>
      </c>
      <c r="C10113" t="s">
        <v>103</v>
      </c>
      <c r="D10113">
        <v>1.0527865021493599E-2</v>
      </c>
    </row>
    <row r="10114" spans="1:4" hidden="1" x14ac:dyDescent="0.3">
      <c r="A10114">
        <v>10112</v>
      </c>
      <c r="B10114" t="s">
        <v>13226</v>
      </c>
      <c r="C10114" t="s">
        <v>105</v>
      </c>
      <c r="D10114">
        <v>2.8817367026237801E-3</v>
      </c>
    </row>
    <row r="10115" spans="1:4" hidden="1" x14ac:dyDescent="0.3">
      <c r="A10115">
        <v>10113</v>
      </c>
      <c r="B10115" t="s">
        <v>13227</v>
      </c>
      <c r="C10115" t="s">
        <v>107</v>
      </c>
      <c r="D10115">
        <v>2.10947842524511E-2</v>
      </c>
    </row>
    <row r="10116" spans="1:4" hidden="1" x14ac:dyDescent="0.3">
      <c r="A10116">
        <v>10114</v>
      </c>
      <c r="B10116" s="1" t="s">
        <v>13228</v>
      </c>
      <c r="C10116" t="s">
        <v>109</v>
      </c>
      <c r="D10116" s="1" t="s">
        <v>13229</v>
      </c>
    </row>
    <row r="10117" spans="1:4" hidden="1" x14ac:dyDescent="0.3">
      <c r="A10117">
        <v>10115</v>
      </c>
      <c r="B10117" t="s">
        <v>13230</v>
      </c>
      <c r="C10117" t="s">
        <v>208</v>
      </c>
      <c r="D10117">
        <v>152056577.502334</v>
      </c>
    </row>
    <row r="10118" spans="1:4" hidden="1" x14ac:dyDescent="0.3">
      <c r="A10118">
        <v>10116</v>
      </c>
      <c r="B10118" t="s">
        <v>13231</v>
      </c>
      <c r="C10118" t="s">
        <v>210</v>
      </c>
      <c r="D10118">
        <v>200.2889115429</v>
      </c>
    </row>
    <row r="10119" spans="1:4" hidden="1" x14ac:dyDescent="0.3">
      <c r="A10119">
        <v>10117</v>
      </c>
      <c r="B10119" t="s">
        <v>13232</v>
      </c>
      <c r="C10119" t="s">
        <v>212</v>
      </c>
      <c r="D10119">
        <v>85.053185357762203</v>
      </c>
    </row>
    <row r="10120" spans="1:4" hidden="1" x14ac:dyDescent="0.3">
      <c r="A10120">
        <v>10118</v>
      </c>
      <c r="B10120" s="1" t="s">
        <v>13233</v>
      </c>
      <c r="C10120" t="s">
        <v>214</v>
      </c>
      <c r="D10120" s="1" t="s">
        <v>13234</v>
      </c>
    </row>
    <row r="10121" spans="1:4" hidden="1" x14ac:dyDescent="0.3">
      <c r="A10121">
        <v>10119</v>
      </c>
      <c r="B10121" t="s">
        <v>13235</v>
      </c>
      <c r="C10121" t="s">
        <v>217</v>
      </c>
      <c r="D10121">
        <v>80573053.966580093</v>
      </c>
    </row>
    <row r="10122" spans="1:4" hidden="1" x14ac:dyDescent="0.3">
      <c r="A10122">
        <v>10120</v>
      </c>
      <c r="B10122" t="s">
        <v>13236</v>
      </c>
      <c r="C10122" t="s">
        <v>219</v>
      </c>
      <c r="D10122">
        <v>34215548.135287702</v>
      </c>
    </row>
    <row r="10123" spans="1:4" hidden="1" x14ac:dyDescent="0.3">
      <c r="A10123">
        <v>10121</v>
      </c>
      <c r="B10123" t="s">
        <v>13237</v>
      </c>
      <c r="C10123" t="s">
        <v>221</v>
      </c>
      <c r="D10123">
        <v>37267597.418384403</v>
      </c>
    </row>
    <row r="10124" spans="1:4" hidden="1" x14ac:dyDescent="0.3">
      <c r="A10124">
        <v>10122</v>
      </c>
      <c r="B10124" s="1" t="s">
        <v>13238</v>
      </c>
      <c r="C10124" t="s">
        <v>223</v>
      </c>
      <c r="D10124" s="1" t="s">
        <v>13239</v>
      </c>
    </row>
    <row r="10125" spans="1:4" hidden="1" x14ac:dyDescent="0.3">
      <c r="A10125">
        <v>10123</v>
      </c>
      <c r="B10125" t="s">
        <v>13240</v>
      </c>
      <c r="C10125" t="s">
        <v>226</v>
      </c>
      <c r="D10125">
        <v>104286736.112795</v>
      </c>
    </row>
    <row r="10126" spans="1:4" hidden="1" x14ac:dyDescent="0.3">
      <c r="A10126">
        <v>10124</v>
      </c>
      <c r="B10126" t="s">
        <v>13241</v>
      </c>
      <c r="C10126" t="s">
        <v>228</v>
      </c>
      <c r="D10126">
        <v>259.236504465341</v>
      </c>
    </row>
    <row r="10127" spans="1:4" hidden="1" x14ac:dyDescent="0.3">
      <c r="A10127">
        <v>10125</v>
      </c>
      <c r="B10127" s="1" t="s">
        <v>13242</v>
      </c>
      <c r="C10127" t="s">
        <v>230</v>
      </c>
      <c r="D10127" s="1" t="s">
        <v>13243</v>
      </c>
    </row>
    <row r="10128" spans="1:4" hidden="1" x14ac:dyDescent="0.3">
      <c r="A10128">
        <v>10126</v>
      </c>
      <c r="B10128" t="s">
        <v>13244</v>
      </c>
      <c r="C10128" t="s">
        <v>112</v>
      </c>
      <c r="D10128">
        <v>-68.663030575355506</v>
      </c>
    </row>
    <row r="10129" spans="1:4" hidden="1" x14ac:dyDescent="0.3">
      <c r="A10129">
        <v>10127</v>
      </c>
      <c r="B10129" t="s">
        <v>13245</v>
      </c>
      <c r="C10129" t="s">
        <v>114</v>
      </c>
      <c r="D10129">
        <v>-9.71664807422626</v>
      </c>
    </row>
    <row r="10130" spans="1:4" hidden="1" x14ac:dyDescent="0.3">
      <c r="A10130">
        <v>10128</v>
      </c>
      <c r="B10130" s="1" t="s">
        <v>13246</v>
      </c>
      <c r="C10130" t="s">
        <v>116</v>
      </c>
      <c r="D10130" s="1" t="s">
        <v>13247</v>
      </c>
    </row>
    <row r="10131" spans="1:4" hidden="1" x14ac:dyDescent="0.3">
      <c r="A10131">
        <v>10129</v>
      </c>
      <c r="B10131" t="s">
        <v>13248</v>
      </c>
      <c r="C10131" t="s">
        <v>119</v>
      </c>
      <c r="D10131">
        <v>80573053.966580093</v>
      </c>
    </row>
    <row r="10132" spans="1:4" hidden="1" x14ac:dyDescent="0.3">
      <c r="A10132">
        <v>10130</v>
      </c>
      <c r="B10132" t="s">
        <v>13249</v>
      </c>
      <c r="C10132" t="s">
        <v>121</v>
      </c>
      <c r="D10132">
        <v>34215548.135287702</v>
      </c>
    </row>
    <row r="10133" spans="1:4" hidden="1" x14ac:dyDescent="0.3">
      <c r="A10133">
        <v>10131</v>
      </c>
      <c r="B10133" s="1" t="s">
        <v>13250</v>
      </c>
      <c r="C10133" t="s">
        <v>123</v>
      </c>
      <c r="D10133" s="1" t="s">
        <v>13251</v>
      </c>
    </row>
    <row r="10134" spans="1:4" hidden="1" x14ac:dyDescent="0.3">
      <c r="A10134">
        <v>10132</v>
      </c>
      <c r="B10134" t="s">
        <v>13252</v>
      </c>
      <c r="C10134" t="s">
        <v>126</v>
      </c>
      <c r="D10134">
        <v>0.77284220460274899</v>
      </c>
    </row>
    <row r="10135" spans="1:4" hidden="1" x14ac:dyDescent="0.3">
      <c r="A10135">
        <v>10133</v>
      </c>
      <c r="B10135" t="s">
        <v>13253</v>
      </c>
      <c r="C10135" t="s">
        <v>128</v>
      </c>
      <c r="D10135">
        <v>0.328189367918651</v>
      </c>
    </row>
    <row r="10136" spans="1:4" hidden="1" x14ac:dyDescent="0.3">
      <c r="A10136">
        <v>10134</v>
      </c>
      <c r="B10136" s="1" t="s">
        <v>13254</v>
      </c>
      <c r="C10136" t="s">
        <v>130</v>
      </c>
      <c r="D10136" s="1" t="s">
        <v>13255</v>
      </c>
    </row>
    <row r="10137" spans="1:4" ht="72" x14ac:dyDescent="0.3">
      <c r="A10137">
        <v>10135</v>
      </c>
      <c r="B10137" s="1" t="s">
        <v>13256</v>
      </c>
      <c r="C10137" t="s">
        <v>4</v>
      </c>
      <c r="D10137" t="s">
        <v>13257</v>
      </c>
    </row>
    <row r="10138" spans="1:4" hidden="1" x14ac:dyDescent="0.3">
      <c r="A10138">
        <v>10136</v>
      </c>
      <c r="B10138" t="s">
        <v>13258</v>
      </c>
      <c r="C10138" t="s">
        <v>7</v>
      </c>
      <c r="D10138">
        <v>1873.1</v>
      </c>
    </row>
    <row r="10139" spans="1:4" hidden="1" x14ac:dyDescent="0.3">
      <c r="A10139">
        <v>10137</v>
      </c>
      <c r="B10139" s="1" t="s">
        <v>13259</v>
      </c>
      <c r="C10139" t="s">
        <v>9</v>
      </c>
      <c r="D10139" s="1" t="s">
        <v>13260</v>
      </c>
    </row>
    <row r="10140" spans="1:4" hidden="1" x14ac:dyDescent="0.3">
      <c r="A10140">
        <v>10138</v>
      </c>
      <c r="B10140" t="s">
        <v>10480</v>
      </c>
      <c r="C10140" t="s">
        <v>14</v>
      </c>
      <c r="D10140">
        <v>90.0078125</v>
      </c>
    </row>
    <row r="10141" spans="1:4" hidden="1" x14ac:dyDescent="0.3">
      <c r="A10141">
        <v>10139</v>
      </c>
      <c r="B10141" t="s">
        <v>13261</v>
      </c>
      <c r="C10141" t="s">
        <v>16</v>
      </c>
      <c r="D10141">
        <v>4.2333896868798702</v>
      </c>
    </row>
    <row r="10142" spans="1:4" hidden="1" x14ac:dyDescent="0.3">
      <c r="A10142">
        <v>10140</v>
      </c>
      <c r="B10142" s="1" t="s">
        <v>13262</v>
      </c>
      <c r="C10142" t="s">
        <v>140</v>
      </c>
      <c r="D10142" s="1" t="s">
        <v>13263</v>
      </c>
    </row>
    <row r="10143" spans="1:4" hidden="1" x14ac:dyDescent="0.3">
      <c r="A10143">
        <v>10141</v>
      </c>
      <c r="B10143" t="s">
        <v>13264</v>
      </c>
      <c r="C10143" t="s">
        <v>22</v>
      </c>
      <c r="D10143">
        <v>62.6</v>
      </c>
    </row>
    <row r="10144" spans="1:4" hidden="1" x14ac:dyDescent="0.3">
      <c r="A10144">
        <v>10142</v>
      </c>
      <c r="B10144" t="s">
        <v>13265</v>
      </c>
      <c r="C10144" t="s">
        <v>24</v>
      </c>
      <c r="D10144">
        <v>3.9426160940138302</v>
      </c>
    </row>
    <row r="10145" spans="1:4" hidden="1" x14ac:dyDescent="0.3">
      <c r="A10145">
        <v>10143</v>
      </c>
      <c r="B10145" s="1" t="s">
        <v>13266</v>
      </c>
      <c r="C10145" t="s">
        <v>145</v>
      </c>
      <c r="D10145" s="1" t="s">
        <v>13267</v>
      </c>
    </row>
    <row r="10146" spans="1:4" hidden="1" x14ac:dyDescent="0.3">
      <c r="A10146">
        <v>10144</v>
      </c>
      <c r="B10146" t="s">
        <v>13268</v>
      </c>
      <c r="C10146" t="s">
        <v>35</v>
      </c>
      <c r="D10146">
        <v>5.1827869032932398E-2</v>
      </c>
    </row>
    <row r="10147" spans="1:4" hidden="1" x14ac:dyDescent="0.3">
      <c r="A10147">
        <v>10145</v>
      </c>
      <c r="B10147" t="s">
        <v>13269</v>
      </c>
      <c r="C10147" t="s">
        <v>149</v>
      </c>
      <c r="D10147">
        <v>0.55266334047799104</v>
      </c>
    </row>
    <row r="10148" spans="1:4" hidden="1" x14ac:dyDescent="0.3">
      <c r="A10148">
        <v>10146</v>
      </c>
      <c r="B10148" s="1" t="s">
        <v>13270</v>
      </c>
      <c r="C10148" t="s">
        <v>151</v>
      </c>
      <c r="D10148" s="1" t="s">
        <v>13271</v>
      </c>
    </row>
    <row r="10149" spans="1:4" hidden="1" x14ac:dyDescent="0.3">
      <c r="A10149">
        <v>10147</v>
      </c>
      <c r="B10149" t="s">
        <v>13272</v>
      </c>
      <c r="C10149" t="s">
        <v>30</v>
      </c>
      <c r="D10149">
        <v>0.47824259987804102</v>
      </c>
    </row>
    <row r="10150" spans="1:4" hidden="1" x14ac:dyDescent="0.3">
      <c r="A10150">
        <v>10148</v>
      </c>
      <c r="B10150" t="s">
        <v>13273</v>
      </c>
      <c r="C10150" t="s">
        <v>32</v>
      </c>
      <c r="D10150">
        <v>0.34815154727562098</v>
      </c>
    </row>
    <row r="10151" spans="1:4" hidden="1" x14ac:dyDescent="0.3">
      <c r="A10151">
        <v>10149</v>
      </c>
      <c r="B10151" s="1" t="s">
        <v>13274</v>
      </c>
      <c r="C10151" t="s">
        <v>155</v>
      </c>
      <c r="D10151" s="1" t="s">
        <v>13275</v>
      </c>
    </row>
    <row r="10152" spans="1:4" hidden="1" x14ac:dyDescent="0.3">
      <c r="A10152">
        <v>10150</v>
      </c>
      <c r="B10152" t="s">
        <v>13276</v>
      </c>
      <c r="C10152" t="s">
        <v>40</v>
      </c>
      <c r="D10152">
        <v>0.46992953108902602</v>
      </c>
    </row>
    <row r="10153" spans="1:4" hidden="1" x14ac:dyDescent="0.3">
      <c r="A10153">
        <v>10151</v>
      </c>
      <c r="B10153" t="s">
        <v>13277</v>
      </c>
      <c r="C10153" t="s">
        <v>42</v>
      </c>
      <c r="D10153">
        <v>0.46126826901816997</v>
      </c>
    </row>
    <row r="10154" spans="1:4" hidden="1" x14ac:dyDescent="0.3">
      <c r="A10154">
        <v>10152</v>
      </c>
      <c r="B10154" s="1" t="s">
        <v>13278</v>
      </c>
      <c r="C10154" t="s">
        <v>159</v>
      </c>
      <c r="D10154" s="1" t="s">
        <v>13279</v>
      </c>
    </row>
    <row r="10155" spans="1:4" hidden="1" x14ac:dyDescent="0.3">
      <c r="A10155">
        <v>10153</v>
      </c>
      <c r="B10155" t="s">
        <v>13280</v>
      </c>
      <c r="C10155" t="s">
        <v>161</v>
      </c>
      <c r="D10155">
        <v>1.0030094030458101</v>
      </c>
    </row>
    <row r="10156" spans="1:4" hidden="1" x14ac:dyDescent="0.3">
      <c r="A10156">
        <v>10154</v>
      </c>
      <c r="B10156" t="s">
        <v>13281</v>
      </c>
      <c r="C10156" t="s">
        <v>163</v>
      </c>
      <c r="D10156">
        <v>1.0004239116545699</v>
      </c>
    </row>
    <row r="10157" spans="1:4" hidden="1" x14ac:dyDescent="0.3">
      <c r="A10157">
        <v>10155</v>
      </c>
      <c r="B10157" s="1" t="s">
        <v>13282</v>
      </c>
      <c r="C10157" t="s">
        <v>165</v>
      </c>
      <c r="D10157" s="1" t="s">
        <v>13283</v>
      </c>
    </row>
    <row r="10158" spans="1:4" hidden="1" x14ac:dyDescent="0.3">
      <c r="A10158">
        <v>10156</v>
      </c>
      <c r="B10158" t="s">
        <v>13284</v>
      </c>
      <c r="C10158" t="s">
        <v>168</v>
      </c>
      <c r="D10158">
        <v>1.0008352021312601</v>
      </c>
    </row>
    <row r="10159" spans="1:4" hidden="1" x14ac:dyDescent="0.3">
      <c r="A10159">
        <v>10157</v>
      </c>
      <c r="B10159" t="s">
        <v>13285</v>
      </c>
      <c r="C10159" t="s">
        <v>170</v>
      </c>
      <c r="D10159">
        <v>0.99824811744448105</v>
      </c>
    </row>
    <row r="10160" spans="1:4" hidden="1" x14ac:dyDescent="0.3">
      <c r="A10160">
        <v>10158</v>
      </c>
      <c r="B10160" s="1" t="s">
        <v>13286</v>
      </c>
      <c r="C10160" t="s">
        <v>172</v>
      </c>
      <c r="D10160" s="1" t="s">
        <v>13287</v>
      </c>
    </row>
    <row r="10161" spans="1:4" hidden="1" x14ac:dyDescent="0.3">
      <c r="A10161">
        <v>10159</v>
      </c>
      <c r="B10161" s="1" t="s">
        <v>13288</v>
      </c>
      <c r="C10161" t="s">
        <v>55</v>
      </c>
      <c r="D10161" s="1" t="s">
        <v>13289</v>
      </c>
    </row>
    <row r="10162" spans="1:4" hidden="1" x14ac:dyDescent="0.3">
      <c r="A10162">
        <v>10160</v>
      </c>
      <c r="B10162" s="1" t="s">
        <v>13290</v>
      </c>
      <c r="C10162" t="s">
        <v>52</v>
      </c>
      <c r="D10162" s="1" t="s">
        <v>13291</v>
      </c>
    </row>
    <row r="10163" spans="1:4" hidden="1" x14ac:dyDescent="0.3">
      <c r="A10163">
        <v>10161</v>
      </c>
      <c r="B10163" s="1" t="s">
        <v>13292</v>
      </c>
      <c r="C10163" t="s">
        <v>58</v>
      </c>
      <c r="D10163" s="1" t="s">
        <v>13293</v>
      </c>
    </row>
    <row r="10164" spans="1:4" hidden="1" x14ac:dyDescent="0.3">
      <c r="A10164">
        <v>10162</v>
      </c>
      <c r="B10164" t="s">
        <v>13294</v>
      </c>
      <c r="C10164" t="s">
        <v>61</v>
      </c>
      <c r="D10164">
        <v>152149261.977869</v>
      </c>
    </row>
    <row r="10165" spans="1:4" hidden="1" x14ac:dyDescent="0.3">
      <c r="A10165">
        <v>10163</v>
      </c>
      <c r="B10165" t="s">
        <v>13295</v>
      </c>
      <c r="C10165" t="s">
        <v>63</v>
      </c>
      <c r="D10165">
        <v>80815530.760597795</v>
      </c>
    </row>
    <row r="10166" spans="1:4" hidden="1" x14ac:dyDescent="0.3">
      <c r="A10166">
        <v>10164</v>
      </c>
      <c r="B10166" t="s">
        <v>13296</v>
      </c>
      <c r="C10166" t="s">
        <v>65</v>
      </c>
      <c r="D10166">
        <v>34230052.504910097</v>
      </c>
    </row>
    <row r="10167" spans="1:4" hidden="1" x14ac:dyDescent="0.3">
      <c r="A10167">
        <v>10165</v>
      </c>
      <c r="B10167" s="1" t="s">
        <v>13297</v>
      </c>
      <c r="C10167" t="s">
        <v>67</v>
      </c>
      <c r="D10167" s="1" t="s">
        <v>13298</v>
      </c>
    </row>
    <row r="10168" spans="1:4" hidden="1" x14ac:dyDescent="0.3">
      <c r="A10168">
        <v>10166</v>
      </c>
      <c r="B10168" s="1" t="s">
        <v>13299</v>
      </c>
      <c r="C10168" t="s">
        <v>70</v>
      </c>
      <c r="D10168" s="1" t="s">
        <v>13300</v>
      </c>
    </row>
    <row r="10169" spans="1:4" hidden="1" x14ac:dyDescent="0.3">
      <c r="A10169">
        <v>10167</v>
      </c>
      <c r="B10169" t="s">
        <v>13301</v>
      </c>
      <c r="C10169" t="s">
        <v>73</v>
      </c>
      <c r="D10169">
        <v>0.99970052204867099</v>
      </c>
    </row>
    <row r="10170" spans="1:4" hidden="1" x14ac:dyDescent="0.3">
      <c r="A10170">
        <v>10168</v>
      </c>
      <c r="B10170" t="s">
        <v>74</v>
      </c>
      <c r="C10170" t="s">
        <v>75</v>
      </c>
      <c r="D10170">
        <v>2.7397260273972599E-3</v>
      </c>
    </row>
    <row r="10171" spans="1:4" hidden="1" x14ac:dyDescent="0.3">
      <c r="A10171">
        <v>10169</v>
      </c>
      <c r="B10171" t="s">
        <v>76</v>
      </c>
      <c r="C10171" t="s">
        <v>77</v>
      </c>
      <c r="D10171">
        <v>0</v>
      </c>
    </row>
    <row r="10172" spans="1:4" hidden="1" x14ac:dyDescent="0.3">
      <c r="A10172">
        <v>10170</v>
      </c>
      <c r="B10172" t="s">
        <v>78</v>
      </c>
      <c r="C10172" t="s">
        <v>79</v>
      </c>
      <c r="D10172">
        <v>0</v>
      </c>
    </row>
    <row r="10173" spans="1:4" hidden="1" x14ac:dyDescent="0.3">
      <c r="A10173">
        <v>10171</v>
      </c>
      <c r="B10173" s="1" t="s">
        <v>13302</v>
      </c>
      <c r="C10173" t="s">
        <v>81</v>
      </c>
      <c r="D10173" s="1" t="s">
        <v>13303</v>
      </c>
    </row>
    <row r="10174" spans="1:4" hidden="1" x14ac:dyDescent="0.3">
      <c r="A10174">
        <v>10172</v>
      </c>
      <c r="B10174" t="s">
        <v>13304</v>
      </c>
      <c r="C10174" t="s">
        <v>84</v>
      </c>
      <c r="D10174">
        <v>0.999716511662462</v>
      </c>
    </row>
    <row r="10175" spans="1:4" hidden="1" x14ac:dyDescent="0.3">
      <c r="A10175">
        <v>10173</v>
      </c>
      <c r="B10175" s="1" t="s">
        <v>13305</v>
      </c>
      <c r="C10175" t="s">
        <v>86</v>
      </c>
      <c r="D10175" s="1" t="s">
        <v>13306</v>
      </c>
    </row>
    <row r="10176" spans="1:4" hidden="1" x14ac:dyDescent="0.3">
      <c r="A10176">
        <v>10174</v>
      </c>
      <c r="B10176" t="s">
        <v>13307</v>
      </c>
      <c r="C10176" t="s">
        <v>89</v>
      </c>
      <c r="D10176">
        <v>104285327.367667</v>
      </c>
    </row>
    <row r="10177" spans="1:4" hidden="1" x14ac:dyDescent="0.3">
      <c r="A10177">
        <v>10175</v>
      </c>
      <c r="B10177" s="1" t="s">
        <v>13308</v>
      </c>
      <c r="C10177" t="s">
        <v>91</v>
      </c>
      <c r="D10177" s="1" t="s">
        <v>13243</v>
      </c>
    </row>
    <row r="10178" spans="1:4" hidden="1" x14ac:dyDescent="0.3">
      <c r="A10178">
        <v>10176</v>
      </c>
      <c r="B10178" t="s">
        <v>13309</v>
      </c>
      <c r="C10178" t="s">
        <v>94</v>
      </c>
      <c r="D10178">
        <v>80815530.760597795</v>
      </c>
    </row>
    <row r="10179" spans="1:4" hidden="1" x14ac:dyDescent="0.3">
      <c r="A10179">
        <v>10177</v>
      </c>
      <c r="B10179" t="s">
        <v>13310</v>
      </c>
      <c r="C10179" t="s">
        <v>96</v>
      </c>
      <c r="D10179">
        <v>34230052.504910097</v>
      </c>
    </row>
    <row r="10180" spans="1:4" hidden="1" x14ac:dyDescent="0.3">
      <c r="A10180">
        <v>10178</v>
      </c>
      <c r="B10180" t="s">
        <v>13311</v>
      </c>
      <c r="C10180" t="s">
        <v>98</v>
      </c>
      <c r="D10180">
        <v>37103678.712361403</v>
      </c>
    </row>
    <row r="10181" spans="1:4" hidden="1" x14ac:dyDescent="0.3">
      <c r="A10181">
        <v>10179</v>
      </c>
      <c r="B10181" s="1" t="s">
        <v>13312</v>
      </c>
      <c r="C10181" t="s">
        <v>100</v>
      </c>
      <c r="D10181" s="1" t="s">
        <v>13313</v>
      </c>
    </row>
    <row r="10182" spans="1:4" hidden="1" x14ac:dyDescent="0.3">
      <c r="A10182">
        <v>10180</v>
      </c>
      <c r="B10182" t="s">
        <v>13314</v>
      </c>
      <c r="C10182" t="s">
        <v>103</v>
      </c>
      <c r="D10182">
        <v>1.0499430047896E-2</v>
      </c>
    </row>
    <row r="10183" spans="1:4" hidden="1" x14ac:dyDescent="0.3">
      <c r="A10183">
        <v>10181</v>
      </c>
      <c r="B10183" t="s">
        <v>13315</v>
      </c>
      <c r="C10183" t="s">
        <v>105</v>
      </c>
      <c r="D10183">
        <v>2.85733551024665E-3</v>
      </c>
    </row>
    <row r="10184" spans="1:4" hidden="1" x14ac:dyDescent="0.3">
      <c r="A10184">
        <v>10182</v>
      </c>
      <c r="B10184" t="s">
        <v>13316</v>
      </c>
      <c r="C10184" t="s">
        <v>107</v>
      </c>
      <c r="D10184">
        <v>2.1026673314823399E-2</v>
      </c>
    </row>
    <row r="10185" spans="1:4" hidden="1" x14ac:dyDescent="0.3">
      <c r="A10185">
        <v>10183</v>
      </c>
      <c r="B10185" s="1" t="s">
        <v>13317</v>
      </c>
      <c r="C10185" t="s">
        <v>109</v>
      </c>
      <c r="D10185" s="1" t="s">
        <v>13318</v>
      </c>
    </row>
    <row r="10186" spans="1:4" hidden="1" x14ac:dyDescent="0.3">
      <c r="A10186">
        <v>10184</v>
      </c>
      <c r="B10186" t="s">
        <v>13319</v>
      </c>
      <c r="C10186" t="s">
        <v>208</v>
      </c>
      <c r="D10186">
        <v>152149835.907882</v>
      </c>
    </row>
    <row r="10187" spans="1:4" hidden="1" x14ac:dyDescent="0.3">
      <c r="A10187">
        <v>10185</v>
      </c>
      <c r="B10187" t="s">
        <v>13320</v>
      </c>
      <c r="C10187" t="s">
        <v>210</v>
      </c>
      <c r="D10187">
        <v>-1292.60255420673</v>
      </c>
    </row>
    <row r="10188" spans="1:4" hidden="1" x14ac:dyDescent="0.3">
      <c r="A10188">
        <v>10186</v>
      </c>
      <c r="B10188" t="s">
        <v>13321</v>
      </c>
      <c r="C10188" t="s">
        <v>212</v>
      </c>
      <c r="D10188">
        <v>-547.49055010591098</v>
      </c>
    </row>
    <row r="10189" spans="1:4" hidden="1" x14ac:dyDescent="0.3">
      <c r="A10189">
        <v>10187</v>
      </c>
      <c r="B10189" s="1" t="s">
        <v>13322</v>
      </c>
      <c r="C10189" t="s">
        <v>214</v>
      </c>
      <c r="D10189" s="1" t="s">
        <v>13323</v>
      </c>
    </row>
    <row r="10190" spans="1:4" hidden="1" x14ac:dyDescent="0.3">
      <c r="A10190">
        <v>10188</v>
      </c>
      <c r="B10190" t="s">
        <v>13324</v>
      </c>
      <c r="C10190" t="s">
        <v>217</v>
      </c>
      <c r="D10190">
        <v>80817218.811556205</v>
      </c>
    </row>
    <row r="10191" spans="1:4" hidden="1" x14ac:dyDescent="0.3">
      <c r="A10191">
        <v>10189</v>
      </c>
      <c r="B10191" t="s">
        <v>13325</v>
      </c>
      <c r="C10191" t="s">
        <v>219</v>
      </c>
      <c r="D10191">
        <v>34230679.369438998</v>
      </c>
    </row>
    <row r="10192" spans="1:4" hidden="1" x14ac:dyDescent="0.3">
      <c r="A10192">
        <v>10190</v>
      </c>
      <c r="B10192" t="s">
        <v>13326</v>
      </c>
      <c r="C10192" t="s">
        <v>221</v>
      </c>
      <c r="D10192">
        <v>37104371.272794902</v>
      </c>
    </row>
    <row r="10193" spans="1:4" hidden="1" x14ac:dyDescent="0.3">
      <c r="A10193">
        <v>10191</v>
      </c>
      <c r="B10193" s="1" t="s">
        <v>13327</v>
      </c>
      <c r="C10193" t="s">
        <v>223</v>
      </c>
      <c r="D10193" s="1" t="s">
        <v>13328</v>
      </c>
    </row>
    <row r="10194" spans="1:4" hidden="1" x14ac:dyDescent="0.3">
      <c r="A10194">
        <v>10192</v>
      </c>
      <c r="B10194" t="s">
        <v>13329</v>
      </c>
      <c r="C10194" t="s">
        <v>226</v>
      </c>
      <c r="D10194">
        <v>104286995.3493</v>
      </c>
    </row>
    <row r="10195" spans="1:4" hidden="1" x14ac:dyDescent="0.3">
      <c r="A10195">
        <v>10193</v>
      </c>
      <c r="B10195" t="s">
        <v>13330</v>
      </c>
      <c r="C10195" t="s">
        <v>228</v>
      </c>
      <c r="D10195">
        <v>-1667.9816323965699</v>
      </c>
    </row>
    <row r="10196" spans="1:4" hidden="1" x14ac:dyDescent="0.3">
      <c r="A10196">
        <v>10194</v>
      </c>
      <c r="B10196" s="1" t="s">
        <v>13331</v>
      </c>
      <c r="C10196" t="s">
        <v>230</v>
      </c>
      <c r="D10196" s="1" t="s">
        <v>13332</v>
      </c>
    </row>
    <row r="10197" spans="1:4" hidden="1" x14ac:dyDescent="0.3">
      <c r="A10197">
        <v>10195</v>
      </c>
      <c r="B10197" t="s">
        <v>13333</v>
      </c>
      <c r="C10197" t="s">
        <v>112</v>
      </c>
      <c r="D10197">
        <v>395.44840420128997</v>
      </c>
    </row>
    <row r="10198" spans="1:4" hidden="1" x14ac:dyDescent="0.3">
      <c r="A10198">
        <v>10196</v>
      </c>
      <c r="B10198" t="s">
        <v>13334</v>
      </c>
      <c r="C10198" t="s">
        <v>114</v>
      </c>
      <c r="D10198">
        <v>79.373978851660596</v>
      </c>
    </row>
    <row r="10199" spans="1:4" hidden="1" x14ac:dyDescent="0.3">
      <c r="A10199">
        <v>10197</v>
      </c>
      <c r="B10199" s="1" t="s">
        <v>13335</v>
      </c>
      <c r="C10199" t="s">
        <v>116</v>
      </c>
      <c r="D10199" s="1" t="s">
        <v>13336</v>
      </c>
    </row>
    <row r="10200" spans="1:4" hidden="1" x14ac:dyDescent="0.3">
      <c r="A10200">
        <v>10198</v>
      </c>
      <c r="B10200" t="s">
        <v>13337</v>
      </c>
      <c r="C10200" t="s">
        <v>119</v>
      </c>
      <c r="D10200">
        <v>80817218.811556205</v>
      </c>
    </row>
    <row r="10201" spans="1:4" hidden="1" x14ac:dyDescent="0.3">
      <c r="A10201">
        <v>10199</v>
      </c>
      <c r="B10201" t="s">
        <v>13338</v>
      </c>
      <c r="C10201" t="s">
        <v>121</v>
      </c>
      <c r="D10201">
        <v>34230679.369438998</v>
      </c>
    </row>
    <row r="10202" spans="1:4" hidden="1" x14ac:dyDescent="0.3">
      <c r="A10202">
        <v>10200</v>
      </c>
      <c r="B10202" s="1" t="s">
        <v>13339</v>
      </c>
      <c r="C10202" t="s">
        <v>123</v>
      </c>
      <c r="D10202" s="1" t="s">
        <v>13340</v>
      </c>
    </row>
    <row r="10203" spans="1:4" hidden="1" x14ac:dyDescent="0.3">
      <c r="A10203">
        <v>10201</v>
      </c>
      <c r="B10203" t="s">
        <v>13341</v>
      </c>
      <c r="C10203" t="s">
        <v>126</v>
      </c>
      <c r="D10203">
        <v>0.77516986443576896</v>
      </c>
    </row>
    <row r="10204" spans="1:4" hidden="1" x14ac:dyDescent="0.3">
      <c r="A10204">
        <v>10202</v>
      </c>
      <c r="B10204" t="s">
        <v>13342</v>
      </c>
      <c r="C10204" t="s">
        <v>128</v>
      </c>
      <c r="D10204">
        <v>0.32832843639699799</v>
      </c>
    </row>
    <row r="10205" spans="1:4" hidden="1" x14ac:dyDescent="0.3">
      <c r="A10205">
        <v>10203</v>
      </c>
      <c r="B10205" s="1" t="s">
        <v>13343</v>
      </c>
      <c r="C10205" t="s">
        <v>130</v>
      </c>
      <c r="D10205" s="1" t="s">
        <v>13344</v>
      </c>
    </row>
    <row r="10206" spans="1:4" ht="72" x14ac:dyDescent="0.3">
      <c r="A10206">
        <v>10204</v>
      </c>
      <c r="B10206" s="1" t="s">
        <v>13345</v>
      </c>
      <c r="C10206" t="s">
        <v>4</v>
      </c>
      <c r="D10206" t="s">
        <v>13346</v>
      </c>
    </row>
    <row r="10207" spans="1:4" hidden="1" x14ac:dyDescent="0.3">
      <c r="A10207">
        <v>10205</v>
      </c>
      <c r="B10207" t="s">
        <v>13347</v>
      </c>
      <c r="C10207" t="s">
        <v>7</v>
      </c>
      <c r="D10207">
        <v>1875.49</v>
      </c>
    </row>
    <row r="10208" spans="1:4" hidden="1" x14ac:dyDescent="0.3">
      <c r="A10208">
        <v>10206</v>
      </c>
      <c r="B10208" s="1" t="s">
        <v>13348</v>
      </c>
      <c r="C10208" t="s">
        <v>9</v>
      </c>
      <c r="D10208" s="1" t="s">
        <v>13349</v>
      </c>
    </row>
    <row r="10209" spans="1:4" hidden="1" x14ac:dyDescent="0.3">
      <c r="A10209">
        <v>10207</v>
      </c>
      <c r="B10209" t="s">
        <v>10569</v>
      </c>
      <c r="C10209" t="s">
        <v>14</v>
      </c>
      <c r="D10209">
        <v>90.12109375</v>
      </c>
    </row>
    <row r="10210" spans="1:4" hidden="1" x14ac:dyDescent="0.3">
      <c r="A10210">
        <v>10208</v>
      </c>
      <c r="B10210" t="s">
        <v>13350</v>
      </c>
      <c r="C10210" t="s">
        <v>16</v>
      </c>
      <c r="D10210">
        <v>4.2359684661186598</v>
      </c>
    </row>
    <row r="10211" spans="1:4" hidden="1" x14ac:dyDescent="0.3">
      <c r="A10211">
        <v>10209</v>
      </c>
      <c r="B10211" s="1" t="s">
        <v>13351</v>
      </c>
      <c r="C10211" t="s">
        <v>140</v>
      </c>
      <c r="D10211" s="1" t="s">
        <v>13352</v>
      </c>
    </row>
    <row r="10212" spans="1:4" hidden="1" x14ac:dyDescent="0.3">
      <c r="A10212">
        <v>10210</v>
      </c>
      <c r="B10212" t="s">
        <v>13353</v>
      </c>
      <c r="C10212" t="s">
        <v>22</v>
      </c>
      <c r="D10212">
        <v>63.5</v>
      </c>
    </row>
    <row r="10213" spans="1:4" hidden="1" x14ac:dyDescent="0.3">
      <c r="A10213">
        <v>10211</v>
      </c>
      <c r="B10213" t="s">
        <v>13354</v>
      </c>
      <c r="C10213" t="s">
        <v>24</v>
      </c>
      <c r="D10213">
        <v>3.8915638093152798</v>
      </c>
    </row>
    <row r="10214" spans="1:4" hidden="1" x14ac:dyDescent="0.3">
      <c r="A10214">
        <v>10212</v>
      </c>
      <c r="B10214" s="1" t="s">
        <v>13355</v>
      </c>
      <c r="C10214" t="s">
        <v>145</v>
      </c>
      <c r="D10214" s="1" t="s">
        <v>13356</v>
      </c>
    </row>
    <row r="10215" spans="1:4" hidden="1" x14ac:dyDescent="0.3">
      <c r="A10215">
        <v>10213</v>
      </c>
      <c r="B10215" t="s">
        <v>13357</v>
      </c>
      <c r="C10215" t="s">
        <v>35</v>
      </c>
      <c r="D10215">
        <v>-0.28196833943683303</v>
      </c>
    </row>
    <row r="10216" spans="1:4" hidden="1" x14ac:dyDescent="0.3">
      <c r="A10216">
        <v>10214</v>
      </c>
      <c r="B10216" t="s">
        <v>13358</v>
      </c>
      <c r="C10216" t="s">
        <v>149</v>
      </c>
      <c r="D10216">
        <v>0.55549268000124996</v>
      </c>
    </row>
    <row r="10217" spans="1:4" hidden="1" x14ac:dyDescent="0.3">
      <c r="A10217">
        <v>10215</v>
      </c>
      <c r="B10217" s="1" t="s">
        <v>13359</v>
      </c>
      <c r="C10217" t="s">
        <v>151</v>
      </c>
      <c r="D10217" s="1" t="s">
        <v>13360</v>
      </c>
    </row>
    <row r="10218" spans="1:4" hidden="1" x14ac:dyDescent="0.3">
      <c r="A10218">
        <v>10216</v>
      </c>
      <c r="B10218" t="s">
        <v>13361</v>
      </c>
      <c r="C10218" t="s">
        <v>30</v>
      </c>
      <c r="D10218">
        <v>0.65750750881264697</v>
      </c>
    </row>
    <row r="10219" spans="1:4" hidden="1" x14ac:dyDescent="0.3">
      <c r="A10219">
        <v>10217</v>
      </c>
      <c r="B10219" t="s">
        <v>13362</v>
      </c>
      <c r="C10219" t="s">
        <v>32</v>
      </c>
      <c r="D10219">
        <v>0.34318666033597001</v>
      </c>
    </row>
    <row r="10220" spans="1:4" hidden="1" x14ac:dyDescent="0.3">
      <c r="A10220">
        <v>10218</v>
      </c>
      <c r="B10220" s="1" t="s">
        <v>13363</v>
      </c>
      <c r="C10220" t="s">
        <v>155</v>
      </c>
      <c r="D10220" s="1" t="s">
        <v>13364</v>
      </c>
    </row>
    <row r="10221" spans="1:4" hidden="1" x14ac:dyDescent="0.3">
      <c r="A10221">
        <v>10219</v>
      </c>
      <c r="B10221" t="s">
        <v>13365</v>
      </c>
      <c r="C10221" t="s">
        <v>40</v>
      </c>
      <c r="D10221">
        <v>0.624460830624186</v>
      </c>
    </row>
    <row r="10222" spans="1:4" hidden="1" x14ac:dyDescent="0.3">
      <c r="A10222">
        <v>10220</v>
      </c>
      <c r="B10222" t="s">
        <v>13366</v>
      </c>
      <c r="C10222" t="s">
        <v>42</v>
      </c>
      <c r="D10222">
        <v>0.45701707951843801</v>
      </c>
    </row>
    <row r="10223" spans="1:4" hidden="1" x14ac:dyDescent="0.3">
      <c r="A10223">
        <v>10221</v>
      </c>
      <c r="B10223" s="1" t="s">
        <v>13367</v>
      </c>
      <c r="C10223" t="s">
        <v>159</v>
      </c>
      <c r="D10223" s="1" t="s">
        <v>13368</v>
      </c>
    </row>
    <row r="10224" spans="1:4" hidden="1" x14ac:dyDescent="0.3">
      <c r="A10224">
        <v>10222</v>
      </c>
      <c r="B10224" t="s">
        <v>13369</v>
      </c>
      <c r="C10224" t="s">
        <v>161</v>
      </c>
      <c r="D10224">
        <v>1.0012759596391001</v>
      </c>
    </row>
    <row r="10225" spans="1:4" hidden="1" x14ac:dyDescent="0.3">
      <c r="A10225">
        <v>10223</v>
      </c>
      <c r="B10225" t="s">
        <v>13370</v>
      </c>
      <c r="C10225" t="s">
        <v>163</v>
      </c>
      <c r="D10225">
        <v>1.0012293988887</v>
      </c>
    </row>
    <row r="10226" spans="1:4" hidden="1" x14ac:dyDescent="0.3">
      <c r="A10226">
        <v>10224</v>
      </c>
      <c r="B10226" s="1" t="s">
        <v>13371</v>
      </c>
      <c r="C10226" t="s">
        <v>165</v>
      </c>
      <c r="D10226" s="1" t="s">
        <v>13372</v>
      </c>
    </row>
    <row r="10227" spans="1:4" hidden="1" x14ac:dyDescent="0.3">
      <c r="A10227">
        <v>10225</v>
      </c>
      <c r="B10227" t="s">
        <v>13373</v>
      </c>
      <c r="C10227" t="s">
        <v>168</v>
      </c>
      <c r="D10227">
        <v>1.0018222491956199</v>
      </c>
    </row>
    <row r="10228" spans="1:4" hidden="1" x14ac:dyDescent="0.3">
      <c r="A10228">
        <v>10226</v>
      </c>
      <c r="B10228" t="s">
        <v>13374</v>
      </c>
      <c r="C10228" t="s">
        <v>170</v>
      </c>
      <c r="D10228">
        <v>0.99631726347851302</v>
      </c>
    </row>
    <row r="10229" spans="1:4" hidden="1" x14ac:dyDescent="0.3">
      <c r="A10229">
        <v>10227</v>
      </c>
      <c r="B10229" s="1" t="s">
        <v>13375</v>
      </c>
      <c r="C10229" t="s">
        <v>172</v>
      </c>
      <c r="D10229" s="1" t="s">
        <v>13376</v>
      </c>
    </row>
    <row r="10230" spans="1:4" hidden="1" x14ac:dyDescent="0.3">
      <c r="A10230">
        <v>10228</v>
      </c>
      <c r="B10230" s="1" t="s">
        <v>13377</v>
      </c>
      <c r="C10230" t="s">
        <v>55</v>
      </c>
      <c r="D10230" s="1" t="s">
        <v>13378</v>
      </c>
    </row>
    <row r="10231" spans="1:4" hidden="1" x14ac:dyDescent="0.3">
      <c r="A10231">
        <v>10229</v>
      </c>
      <c r="B10231" s="1" t="s">
        <v>13379</v>
      </c>
      <c r="C10231" t="s">
        <v>52</v>
      </c>
      <c r="D10231" s="1" t="s">
        <v>13380</v>
      </c>
    </row>
    <row r="10232" spans="1:4" hidden="1" x14ac:dyDescent="0.3">
      <c r="A10232">
        <v>10230</v>
      </c>
      <c r="B10232" s="1" t="s">
        <v>13381</v>
      </c>
      <c r="C10232" t="s">
        <v>58</v>
      </c>
      <c r="D10232" s="1" t="s">
        <v>13382</v>
      </c>
    </row>
    <row r="10233" spans="1:4" hidden="1" x14ac:dyDescent="0.3">
      <c r="A10233">
        <v>10231</v>
      </c>
      <c r="B10233" t="s">
        <v>13383</v>
      </c>
      <c r="C10233" t="s">
        <v>61</v>
      </c>
      <c r="D10233">
        <v>152770848.02889499</v>
      </c>
    </row>
    <row r="10234" spans="1:4" hidden="1" x14ac:dyDescent="0.3">
      <c r="A10234">
        <v>10232</v>
      </c>
      <c r="B10234" t="s">
        <v>13384</v>
      </c>
      <c r="C10234" t="s">
        <v>63</v>
      </c>
      <c r="D10234">
        <v>80920338.320904106</v>
      </c>
    </row>
    <row r="10235" spans="1:4" hidden="1" x14ac:dyDescent="0.3">
      <c r="A10235">
        <v>10233</v>
      </c>
      <c r="B10235" t="s">
        <v>13385</v>
      </c>
      <c r="C10235" t="s">
        <v>65</v>
      </c>
      <c r="D10235">
        <v>34272762.528615497</v>
      </c>
    </row>
    <row r="10236" spans="1:4" hidden="1" x14ac:dyDescent="0.3">
      <c r="A10236">
        <v>10234</v>
      </c>
      <c r="B10236" s="1" t="s">
        <v>13386</v>
      </c>
      <c r="C10236" t="s">
        <v>67</v>
      </c>
      <c r="D10236" s="1" t="s">
        <v>13387</v>
      </c>
    </row>
    <row r="10237" spans="1:4" hidden="1" x14ac:dyDescent="0.3">
      <c r="A10237">
        <v>10235</v>
      </c>
      <c r="B10237" s="1" t="s">
        <v>13388</v>
      </c>
      <c r="C10237" t="s">
        <v>70</v>
      </c>
      <c r="D10237" s="1" t="s">
        <v>13389</v>
      </c>
    </row>
    <row r="10238" spans="1:4" hidden="1" x14ac:dyDescent="0.3">
      <c r="A10238">
        <v>10236</v>
      </c>
      <c r="B10238" t="s">
        <v>13390</v>
      </c>
      <c r="C10238" t="s">
        <v>73</v>
      </c>
      <c r="D10238">
        <v>0.999716511662462</v>
      </c>
    </row>
    <row r="10239" spans="1:4" hidden="1" x14ac:dyDescent="0.3">
      <c r="A10239">
        <v>10237</v>
      </c>
      <c r="B10239" t="s">
        <v>74</v>
      </c>
      <c r="C10239" t="s">
        <v>75</v>
      </c>
      <c r="D10239">
        <v>2.7397260273972599E-3</v>
      </c>
    </row>
    <row r="10240" spans="1:4" hidden="1" x14ac:dyDescent="0.3">
      <c r="A10240">
        <v>10238</v>
      </c>
      <c r="B10240" t="s">
        <v>76</v>
      </c>
      <c r="C10240" t="s">
        <v>77</v>
      </c>
      <c r="D10240">
        <v>0</v>
      </c>
    </row>
    <row r="10241" spans="1:4" hidden="1" x14ac:dyDescent="0.3">
      <c r="A10241">
        <v>10239</v>
      </c>
      <c r="B10241" t="s">
        <v>78</v>
      </c>
      <c r="C10241" t="s">
        <v>79</v>
      </c>
      <c r="D10241">
        <v>0</v>
      </c>
    </row>
    <row r="10242" spans="1:4" hidden="1" x14ac:dyDescent="0.3">
      <c r="A10242">
        <v>10240</v>
      </c>
      <c r="B10242" s="1" t="s">
        <v>13391</v>
      </c>
      <c r="C10242" t="s">
        <v>81</v>
      </c>
      <c r="D10242" s="1" t="s">
        <v>13392</v>
      </c>
    </row>
    <row r="10243" spans="1:4" hidden="1" x14ac:dyDescent="0.3">
      <c r="A10243">
        <v>10241</v>
      </c>
      <c r="B10243" t="s">
        <v>13393</v>
      </c>
      <c r="C10243" t="s">
        <v>84</v>
      </c>
      <c r="D10243">
        <v>0.99976954924046502</v>
      </c>
    </row>
    <row r="10244" spans="1:4" hidden="1" x14ac:dyDescent="0.3">
      <c r="A10244">
        <v>10242</v>
      </c>
      <c r="B10244" s="1" t="s">
        <v>13394</v>
      </c>
      <c r="C10244" t="s">
        <v>86</v>
      </c>
      <c r="D10244" s="1" t="s">
        <v>13395</v>
      </c>
    </row>
    <row r="10245" spans="1:4" hidden="1" x14ac:dyDescent="0.3">
      <c r="A10245">
        <v>10243</v>
      </c>
      <c r="B10245" t="s">
        <v>13396</v>
      </c>
      <c r="C10245" t="s">
        <v>89</v>
      </c>
      <c r="D10245">
        <v>104279795.05155601</v>
      </c>
    </row>
    <row r="10246" spans="1:4" hidden="1" x14ac:dyDescent="0.3">
      <c r="A10246">
        <v>10244</v>
      </c>
      <c r="B10246" s="1" t="s">
        <v>13397</v>
      </c>
      <c r="C10246" t="s">
        <v>91</v>
      </c>
      <c r="D10246" s="1" t="s">
        <v>13332</v>
      </c>
    </row>
    <row r="10247" spans="1:4" hidden="1" x14ac:dyDescent="0.3">
      <c r="A10247">
        <v>10245</v>
      </c>
      <c r="B10247" t="s">
        <v>13398</v>
      </c>
      <c r="C10247" t="s">
        <v>94</v>
      </c>
      <c r="D10247">
        <v>80920338.320904106</v>
      </c>
    </row>
    <row r="10248" spans="1:4" hidden="1" x14ac:dyDescent="0.3">
      <c r="A10248">
        <v>10246</v>
      </c>
      <c r="B10248" t="s">
        <v>13399</v>
      </c>
      <c r="C10248" t="s">
        <v>96</v>
      </c>
      <c r="D10248">
        <v>34272762.528615497</v>
      </c>
    </row>
    <row r="10249" spans="1:4" hidden="1" x14ac:dyDescent="0.3">
      <c r="A10249">
        <v>10247</v>
      </c>
      <c r="B10249" t="s">
        <v>13400</v>
      </c>
      <c r="C10249" t="s">
        <v>98</v>
      </c>
      <c r="D10249">
        <v>37577747.179375298</v>
      </c>
    </row>
    <row r="10250" spans="1:4" hidden="1" x14ac:dyDescent="0.3">
      <c r="A10250">
        <v>10248</v>
      </c>
      <c r="B10250" s="1" t="s">
        <v>13401</v>
      </c>
      <c r="C10250" t="s">
        <v>100</v>
      </c>
      <c r="D10250" s="1" t="s">
        <v>13402</v>
      </c>
    </row>
    <row r="10251" spans="1:4" hidden="1" x14ac:dyDescent="0.3">
      <c r="A10251">
        <v>10249</v>
      </c>
      <c r="B10251" t="s">
        <v>13403</v>
      </c>
      <c r="C10251" t="s">
        <v>103</v>
      </c>
      <c r="D10251">
        <v>1.04785551308704E-2</v>
      </c>
    </row>
    <row r="10252" spans="1:4" hidden="1" x14ac:dyDescent="0.3">
      <c r="A10252">
        <v>10250</v>
      </c>
      <c r="B10252" t="s">
        <v>13404</v>
      </c>
      <c r="C10252" t="s">
        <v>105</v>
      </c>
      <c r="D10252">
        <v>2.8232661614832101E-3</v>
      </c>
    </row>
    <row r="10253" spans="1:4" hidden="1" x14ac:dyDescent="0.3">
      <c r="A10253">
        <v>10251</v>
      </c>
      <c r="B10253" t="s">
        <v>13405</v>
      </c>
      <c r="C10253" t="s">
        <v>107</v>
      </c>
      <c r="D10253">
        <v>2.1070190962443398E-2</v>
      </c>
    </row>
    <row r="10254" spans="1:4" hidden="1" x14ac:dyDescent="0.3">
      <c r="A10254">
        <v>10252</v>
      </c>
      <c r="B10254" s="1" t="s">
        <v>13406</v>
      </c>
      <c r="C10254" t="s">
        <v>109</v>
      </c>
      <c r="D10254" s="1" t="s">
        <v>13407</v>
      </c>
    </row>
    <row r="10255" spans="1:4" hidden="1" x14ac:dyDescent="0.3">
      <c r="A10255">
        <v>10253</v>
      </c>
      <c r="B10255" t="s">
        <v>13408</v>
      </c>
      <c r="C10255" t="s">
        <v>208</v>
      </c>
      <c r="D10255">
        <v>152772751.919927</v>
      </c>
    </row>
    <row r="10256" spans="1:4" hidden="1" x14ac:dyDescent="0.3">
      <c r="A10256">
        <v>10254</v>
      </c>
      <c r="B10256" t="s">
        <v>13409</v>
      </c>
      <c r="C10256" t="s">
        <v>210</v>
      </c>
      <c r="D10256">
        <v>-4293.1095708842104</v>
      </c>
    </row>
    <row r="10257" spans="1:4" hidden="1" x14ac:dyDescent="0.3">
      <c r="A10257">
        <v>10255</v>
      </c>
      <c r="B10257" t="s">
        <v>13410</v>
      </c>
      <c r="C10257" t="s">
        <v>212</v>
      </c>
      <c r="D10257">
        <v>-1818.27457492331</v>
      </c>
    </row>
    <row r="10258" spans="1:4" hidden="1" x14ac:dyDescent="0.3">
      <c r="A10258">
        <v>10256</v>
      </c>
      <c r="B10258" s="1" t="s">
        <v>13411</v>
      </c>
      <c r="C10258" t="s">
        <v>214</v>
      </c>
      <c r="D10258" s="1" t="s">
        <v>13412</v>
      </c>
    </row>
    <row r="10259" spans="1:4" hidden="1" x14ac:dyDescent="0.3">
      <c r="A10259">
        <v>10257</v>
      </c>
      <c r="B10259" t="s">
        <v>13413</v>
      </c>
      <c r="C10259" t="s">
        <v>217</v>
      </c>
      <c r="D10259">
        <v>80926022.305912599</v>
      </c>
    </row>
    <row r="10260" spans="1:4" hidden="1" x14ac:dyDescent="0.3">
      <c r="A10260">
        <v>10258</v>
      </c>
      <c r="B10260" t="s">
        <v>13414</v>
      </c>
      <c r="C10260" t="s">
        <v>219</v>
      </c>
      <c r="D10260">
        <v>34274859.837367699</v>
      </c>
    </row>
    <row r="10261" spans="1:4" hidden="1" x14ac:dyDescent="0.3">
      <c r="A10261">
        <v>10259</v>
      </c>
      <c r="B10261" t="s">
        <v>13415</v>
      </c>
      <c r="C10261" t="s">
        <v>221</v>
      </c>
      <c r="D10261">
        <v>37579974.771065101</v>
      </c>
    </row>
    <row r="10262" spans="1:4" hidden="1" x14ac:dyDescent="0.3">
      <c r="A10262">
        <v>10260</v>
      </c>
      <c r="B10262" s="1" t="s">
        <v>13416</v>
      </c>
      <c r="C10262" t="s">
        <v>223</v>
      </c>
      <c r="D10262" s="1" t="s">
        <v>13417</v>
      </c>
    </row>
    <row r="10263" spans="1:4" hidden="1" x14ac:dyDescent="0.3">
      <c r="A10263">
        <v>10261</v>
      </c>
      <c r="B10263" t="s">
        <v>13418</v>
      </c>
      <c r="C10263" t="s">
        <v>226</v>
      </c>
      <c r="D10263">
        <v>104285327.367667</v>
      </c>
    </row>
    <row r="10264" spans="1:4" hidden="1" x14ac:dyDescent="0.3">
      <c r="A10264">
        <v>10262</v>
      </c>
      <c r="B10264" t="s">
        <v>13419</v>
      </c>
      <c r="C10264" t="s">
        <v>228</v>
      </c>
      <c r="D10264">
        <v>-5532.3161112815096</v>
      </c>
    </row>
    <row r="10265" spans="1:4" hidden="1" x14ac:dyDescent="0.3">
      <c r="A10265">
        <v>10263</v>
      </c>
      <c r="B10265" s="1" t="s">
        <v>13420</v>
      </c>
      <c r="C10265" t="s">
        <v>230</v>
      </c>
      <c r="D10265" s="1" t="s">
        <v>13421</v>
      </c>
    </row>
    <row r="10266" spans="1:4" hidden="1" x14ac:dyDescent="0.3">
      <c r="A10266">
        <v>10264</v>
      </c>
      <c r="B10266" t="s">
        <v>13422</v>
      </c>
      <c r="C10266" t="s">
        <v>112</v>
      </c>
      <c r="D10266">
        <v>1390.8754376192501</v>
      </c>
    </row>
    <row r="10267" spans="1:4" hidden="1" x14ac:dyDescent="0.3">
      <c r="A10267">
        <v>10265</v>
      </c>
      <c r="B10267" t="s">
        <v>13423</v>
      </c>
      <c r="C10267" t="s">
        <v>114</v>
      </c>
      <c r="D10267">
        <v>279.03417728742397</v>
      </c>
    </row>
    <row r="10268" spans="1:4" hidden="1" x14ac:dyDescent="0.3">
      <c r="A10268">
        <v>10266</v>
      </c>
      <c r="B10268" s="1" t="s">
        <v>13424</v>
      </c>
      <c r="C10268" t="s">
        <v>116</v>
      </c>
      <c r="D10268" s="1" t="s">
        <v>13425</v>
      </c>
    </row>
    <row r="10269" spans="1:4" hidden="1" x14ac:dyDescent="0.3">
      <c r="A10269">
        <v>10267</v>
      </c>
      <c r="B10269" t="s">
        <v>13426</v>
      </c>
      <c r="C10269" t="s">
        <v>119</v>
      </c>
      <c r="D10269">
        <v>80926022.305912599</v>
      </c>
    </row>
    <row r="10270" spans="1:4" hidden="1" x14ac:dyDescent="0.3">
      <c r="A10270">
        <v>10268</v>
      </c>
      <c r="B10270" t="s">
        <v>13427</v>
      </c>
      <c r="C10270" t="s">
        <v>121</v>
      </c>
      <c r="D10270">
        <v>34274859.837367699</v>
      </c>
    </row>
    <row r="10271" spans="1:4" hidden="1" x14ac:dyDescent="0.3">
      <c r="A10271">
        <v>10269</v>
      </c>
      <c r="B10271" s="1" t="s">
        <v>13428</v>
      </c>
      <c r="C10271" t="s">
        <v>123</v>
      </c>
      <c r="D10271" s="1" t="s">
        <v>13429</v>
      </c>
    </row>
    <row r="10272" spans="1:4" hidden="1" x14ac:dyDescent="0.3">
      <c r="A10272">
        <v>10270</v>
      </c>
      <c r="B10272" t="s">
        <v>13430</v>
      </c>
      <c r="C10272" t="s">
        <v>126</v>
      </c>
      <c r="D10272">
        <v>0.77618470508909398</v>
      </c>
    </row>
    <row r="10273" spans="1:4" hidden="1" x14ac:dyDescent="0.3">
      <c r="A10273">
        <v>10271</v>
      </c>
      <c r="B10273" t="s">
        <v>13431</v>
      </c>
      <c r="C10273" t="s">
        <v>128</v>
      </c>
      <c r="D10273">
        <v>0.32874001732435998</v>
      </c>
    </row>
    <row r="10274" spans="1:4" hidden="1" x14ac:dyDescent="0.3">
      <c r="A10274">
        <v>10272</v>
      </c>
      <c r="B10274" s="1" t="s">
        <v>13432</v>
      </c>
      <c r="C10274" t="s">
        <v>130</v>
      </c>
      <c r="D10274" s="1" t="s">
        <v>13433</v>
      </c>
    </row>
    <row r="10275" spans="1:4" ht="72" x14ac:dyDescent="0.3">
      <c r="A10275">
        <v>10273</v>
      </c>
      <c r="B10275" s="1" t="s">
        <v>13434</v>
      </c>
      <c r="C10275" t="s">
        <v>4</v>
      </c>
      <c r="D10275" t="s">
        <v>13435</v>
      </c>
    </row>
    <row r="10276" spans="1:4" hidden="1" x14ac:dyDescent="0.3">
      <c r="A10276">
        <v>10274</v>
      </c>
      <c r="B10276" t="s">
        <v>13436</v>
      </c>
      <c r="C10276" t="s">
        <v>7</v>
      </c>
      <c r="D10276">
        <v>1861.78</v>
      </c>
    </row>
    <row r="10277" spans="1:4" hidden="1" x14ac:dyDescent="0.3">
      <c r="A10277">
        <v>10275</v>
      </c>
      <c r="B10277" s="1" t="s">
        <v>13437</v>
      </c>
      <c r="C10277" t="s">
        <v>9</v>
      </c>
      <c r="D10277" s="1" t="s">
        <v>13438</v>
      </c>
    </row>
    <row r="10278" spans="1:4" hidden="1" x14ac:dyDescent="0.3">
      <c r="A10278">
        <v>10276</v>
      </c>
      <c r="B10278" t="s">
        <v>13439</v>
      </c>
      <c r="C10278" t="s">
        <v>14</v>
      </c>
      <c r="D10278">
        <v>89.95703125</v>
      </c>
    </row>
    <row r="10279" spans="1:4" hidden="1" x14ac:dyDescent="0.3">
      <c r="A10279">
        <v>10277</v>
      </c>
      <c r="B10279" t="s">
        <v>13440</v>
      </c>
      <c r="C10279" t="s">
        <v>16</v>
      </c>
      <c r="D10279">
        <v>4.2335398361115297</v>
      </c>
    </row>
    <row r="10280" spans="1:4" hidden="1" x14ac:dyDescent="0.3">
      <c r="A10280">
        <v>10278</v>
      </c>
      <c r="B10280" s="1" t="s">
        <v>13441</v>
      </c>
      <c r="C10280" t="s">
        <v>140</v>
      </c>
      <c r="D10280" s="1" t="s">
        <v>13442</v>
      </c>
    </row>
    <row r="10281" spans="1:4" hidden="1" x14ac:dyDescent="0.3">
      <c r="A10281">
        <v>10279</v>
      </c>
      <c r="B10281" t="s">
        <v>12189</v>
      </c>
      <c r="C10281" t="s">
        <v>22</v>
      </c>
      <c r="D10281">
        <v>62.8</v>
      </c>
    </row>
    <row r="10282" spans="1:4" hidden="1" x14ac:dyDescent="0.3">
      <c r="A10282">
        <v>10280</v>
      </c>
      <c r="B10282" t="s">
        <v>13443</v>
      </c>
      <c r="C10282" t="s">
        <v>24</v>
      </c>
      <c r="D10282">
        <v>3.9174639397425701</v>
      </c>
    </row>
    <row r="10283" spans="1:4" hidden="1" x14ac:dyDescent="0.3">
      <c r="A10283">
        <v>10281</v>
      </c>
      <c r="B10283" s="1" t="s">
        <v>13444</v>
      </c>
      <c r="C10283" t="s">
        <v>145</v>
      </c>
      <c r="D10283" s="1" t="s">
        <v>13445</v>
      </c>
    </row>
    <row r="10284" spans="1:4" hidden="1" x14ac:dyDescent="0.3">
      <c r="A10284">
        <v>10282</v>
      </c>
      <c r="B10284" t="s">
        <v>13446</v>
      </c>
      <c r="C10284" t="s">
        <v>35</v>
      </c>
      <c r="D10284">
        <v>-0.23129458496143401</v>
      </c>
    </row>
    <row r="10285" spans="1:4" hidden="1" x14ac:dyDescent="0.3">
      <c r="A10285">
        <v>10283</v>
      </c>
      <c r="B10285" t="s">
        <v>13447</v>
      </c>
      <c r="C10285" t="s">
        <v>149</v>
      </c>
      <c r="D10285">
        <v>0.55583619118258298</v>
      </c>
    </row>
    <row r="10286" spans="1:4" hidden="1" x14ac:dyDescent="0.3">
      <c r="A10286">
        <v>10284</v>
      </c>
      <c r="B10286" s="1" t="s">
        <v>13448</v>
      </c>
      <c r="C10286" t="s">
        <v>151</v>
      </c>
      <c r="D10286" s="1" t="s">
        <v>13449</v>
      </c>
    </row>
    <row r="10287" spans="1:4" hidden="1" x14ac:dyDescent="0.3">
      <c r="A10287">
        <v>10285</v>
      </c>
      <c r="B10287" t="s">
        <v>13450</v>
      </c>
      <c r="C10287" t="s">
        <v>30</v>
      </c>
      <c r="D10287">
        <v>0.62132925821287799</v>
      </c>
    </row>
    <row r="10288" spans="1:4" hidden="1" x14ac:dyDescent="0.3">
      <c r="A10288">
        <v>10286</v>
      </c>
      <c r="B10288" t="s">
        <v>13451</v>
      </c>
      <c r="C10288" t="s">
        <v>32</v>
      </c>
      <c r="D10288">
        <v>0.34315525248680001</v>
      </c>
    </row>
    <row r="10289" spans="1:4" hidden="1" x14ac:dyDescent="0.3">
      <c r="A10289">
        <v>10287</v>
      </c>
      <c r="B10289" s="1" t="s">
        <v>13452</v>
      </c>
      <c r="C10289" t="s">
        <v>155</v>
      </c>
      <c r="D10289" s="1" t="s">
        <v>13453</v>
      </c>
    </row>
    <row r="10290" spans="1:4" hidden="1" x14ac:dyDescent="0.3">
      <c r="A10290">
        <v>10288</v>
      </c>
      <c r="B10290" t="s">
        <v>13454</v>
      </c>
      <c r="C10290" t="s">
        <v>40</v>
      </c>
      <c r="D10290">
        <v>0.60996532674855597</v>
      </c>
    </row>
    <row r="10291" spans="1:4" hidden="1" x14ac:dyDescent="0.3">
      <c r="A10291">
        <v>10289</v>
      </c>
      <c r="B10291" t="s">
        <v>13455</v>
      </c>
      <c r="C10291" t="s">
        <v>42</v>
      </c>
      <c r="D10291">
        <v>0.45593594715679397</v>
      </c>
    </row>
    <row r="10292" spans="1:4" hidden="1" x14ac:dyDescent="0.3">
      <c r="A10292">
        <v>10290</v>
      </c>
      <c r="B10292" s="1" t="s">
        <v>13456</v>
      </c>
      <c r="C10292" t="s">
        <v>159</v>
      </c>
      <c r="D10292" s="1" t="s">
        <v>13457</v>
      </c>
    </row>
    <row r="10293" spans="1:4" hidden="1" x14ac:dyDescent="0.3">
      <c r="A10293">
        <v>10291</v>
      </c>
      <c r="B10293" t="s">
        <v>13458</v>
      </c>
      <c r="C10293" t="s">
        <v>161</v>
      </c>
      <c r="D10293">
        <v>0.99268991037008902</v>
      </c>
    </row>
    <row r="10294" spans="1:4" hidden="1" x14ac:dyDescent="0.3">
      <c r="A10294">
        <v>10292</v>
      </c>
      <c r="B10294" t="s">
        <v>13459</v>
      </c>
      <c r="C10294" t="s">
        <v>163</v>
      </c>
      <c r="D10294">
        <v>0.99823552020276096</v>
      </c>
    </row>
    <row r="10295" spans="1:4" hidden="1" x14ac:dyDescent="0.3">
      <c r="A10295">
        <v>10293</v>
      </c>
      <c r="B10295" s="1" t="s">
        <v>13460</v>
      </c>
      <c r="C10295" t="s">
        <v>165</v>
      </c>
      <c r="D10295" s="1" t="s">
        <v>13461</v>
      </c>
    </row>
    <row r="10296" spans="1:4" hidden="1" x14ac:dyDescent="0.3">
      <c r="A10296">
        <v>10294</v>
      </c>
      <c r="B10296" t="s">
        <v>13462</v>
      </c>
      <c r="C10296" t="s">
        <v>168</v>
      </c>
      <c r="D10296">
        <v>1.0002208375428201</v>
      </c>
    </row>
    <row r="10297" spans="1:4" hidden="1" x14ac:dyDescent="0.3">
      <c r="A10297">
        <v>10295</v>
      </c>
      <c r="B10297" t="s">
        <v>13463</v>
      </c>
      <c r="C10297" t="s">
        <v>170</v>
      </c>
      <c r="D10297">
        <v>0.99997661691401596</v>
      </c>
    </row>
    <row r="10298" spans="1:4" hidden="1" x14ac:dyDescent="0.3">
      <c r="A10298">
        <v>10296</v>
      </c>
      <c r="B10298" s="1" t="s">
        <v>13464</v>
      </c>
      <c r="C10298" t="s">
        <v>172</v>
      </c>
      <c r="D10298" s="1" t="s">
        <v>13465</v>
      </c>
    </row>
    <row r="10299" spans="1:4" hidden="1" x14ac:dyDescent="0.3">
      <c r="A10299">
        <v>10297</v>
      </c>
      <c r="B10299" s="1" t="s">
        <v>13466</v>
      </c>
      <c r="C10299" t="s">
        <v>55</v>
      </c>
      <c r="D10299" s="1" t="s">
        <v>13467</v>
      </c>
    </row>
    <row r="10300" spans="1:4" hidden="1" x14ac:dyDescent="0.3">
      <c r="A10300">
        <v>10298</v>
      </c>
      <c r="B10300" s="1" t="s">
        <v>13468</v>
      </c>
      <c r="C10300" t="s">
        <v>52</v>
      </c>
      <c r="D10300" s="1" t="s">
        <v>13469</v>
      </c>
    </row>
    <row r="10301" spans="1:4" hidden="1" x14ac:dyDescent="0.3">
      <c r="A10301">
        <v>10299</v>
      </c>
      <c r="B10301" s="1" t="s">
        <v>13470</v>
      </c>
      <c r="C10301" t="s">
        <v>58</v>
      </c>
      <c r="D10301" s="1" t="s">
        <v>13471</v>
      </c>
    </row>
    <row r="10302" spans="1:4" hidden="1" x14ac:dyDescent="0.3">
      <c r="A10302">
        <v>10300</v>
      </c>
      <c r="B10302" t="s">
        <v>13472</v>
      </c>
      <c r="C10302" t="s">
        <v>61</v>
      </c>
      <c r="D10302">
        <v>151752900.65831</v>
      </c>
    </row>
    <row r="10303" spans="1:4" hidden="1" x14ac:dyDescent="0.3">
      <c r="A10303">
        <v>10301</v>
      </c>
      <c r="B10303" t="s">
        <v>13473</v>
      </c>
      <c r="C10303" t="s">
        <v>63</v>
      </c>
      <c r="D10303">
        <v>80334445.829464301</v>
      </c>
    </row>
    <row r="10304" spans="1:4" hidden="1" x14ac:dyDescent="0.3">
      <c r="A10304">
        <v>10302</v>
      </c>
      <c r="B10304" t="s">
        <v>13474</v>
      </c>
      <c r="C10304" t="s">
        <v>65</v>
      </c>
      <c r="D10304">
        <v>34214382.539631397</v>
      </c>
    </row>
    <row r="10305" spans="1:4" hidden="1" x14ac:dyDescent="0.3">
      <c r="A10305">
        <v>10303</v>
      </c>
      <c r="B10305" s="1" t="s">
        <v>13475</v>
      </c>
      <c r="C10305" t="s">
        <v>67</v>
      </c>
      <c r="D10305" s="1" t="s">
        <v>13476</v>
      </c>
    </row>
    <row r="10306" spans="1:4" hidden="1" x14ac:dyDescent="0.3">
      <c r="A10306">
        <v>10304</v>
      </c>
      <c r="B10306" s="1" t="s">
        <v>13477</v>
      </c>
      <c r="C10306" t="s">
        <v>70</v>
      </c>
      <c r="D10306" s="1" t="s">
        <v>13478</v>
      </c>
    </row>
    <row r="10307" spans="1:4" hidden="1" x14ac:dyDescent="0.3">
      <c r="A10307">
        <v>10305</v>
      </c>
      <c r="B10307" t="s">
        <v>13479</v>
      </c>
      <c r="C10307" t="s">
        <v>73</v>
      </c>
      <c r="D10307">
        <v>0.99976954924046502</v>
      </c>
    </row>
    <row r="10308" spans="1:4" hidden="1" x14ac:dyDescent="0.3">
      <c r="A10308">
        <v>10306</v>
      </c>
      <c r="B10308" t="s">
        <v>74</v>
      </c>
      <c r="C10308" t="s">
        <v>75</v>
      </c>
      <c r="D10308">
        <v>2.7397260273972599E-3</v>
      </c>
    </row>
    <row r="10309" spans="1:4" hidden="1" x14ac:dyDescent="0.3">
      <c r="A10309">
        <v>10307</v>
      </c>
      <c r="B10309" t="s">
        <v>76</v>
      </c>
      <c r="C10309" t="s">
        <v>77</v>
      </c>
      <c r="D10309">
        <v>0</v>
      </c>
    </row>
    <row r="10310" spans="1:4" hidden="1" x14ac:dyDescent="0.3">
      <c r="A10310">
        <v>10308</v>
      </c>
      <c r="B10310" t="s">
        <v>78</v>
      </c>
      <c r="C10310" t="s">
        <v>79</v>
      </c>
      <c r="D10310">
        <v>0</v>
      </c>
    </row>
    <row r="10311" spans="1:4" hidden="1" x14ac:dyDescent="0.3">
      <c r="A10311">
        <v>10309</v>
      </c>
      <c r="B10311" s="1" t="s">
        <v>13480</v>
      </c>
      <c r="C10311" t="s">
        <v>81</v>
      </c>
      <c r="D10311" s="1" t="s">
        <v>13481</v>
      </c>
    </row>
    <row r="10312" spans="1:4" hidden="1" x14ac:dyDescent="0.3">
      <c r="A10312">
        <v>10310</v>
      </c>
      <c r="B10312" t="s">
        <v>13482</v>
      </c>
      <c r="C10312" t="s">
        <v>84</v>
      </c>
      <c r="D10312">
        <v>0.99977872675104895</v>
      </c>
    </row>
    <row r="10313" spans="1:4" hidden="1" x14ac:dyDescent="0.3">
      <c r="A10313">
        <v>10311</v>
      </c>
      <c r="B10313" s="1" t="s">
        <v>13483</v>
      </c>
      <c r="C10313" t="s">
        <v>86</v>
      </c>
      <c r="D10313" s="1" t="s">
        <v>13484</v>
      </c>
    </row>
    <row r="10314" spans="1:4" hidden="1" x14ac:dyDescent="0.3">
      <c r="A10314">
        <v>10312</v>
      </c>
      <c r="B10314" t="s">
        <v>13485</v>
      </c>
      <c r="C10314" t="s">
        <v>89</v>
      </c>
      <c r="D10314">
        <v>104278837.810821</v>
      </c>
    </row>
    <row r="10315" spans="1:4" hidden="1" x14ac:dyDescent="0.3">
      <c r="A10315">
        <v>10313</v>
      </c>
      <c r="B10315" s="1" t="s">
        <v>13486</v>
      </c>
      <c r="C10315" t="s">
        <v>91</v>
      </c>
      <c r="D10315" s="1" t="s">
        <v>13421</v>
      </c>
    </row>
    <row r="10316" spans="1:4" hidden="1" x14ac:dyDescent="0.3">
      <c r="A10316">
        <v>10314</v>
      </c>
      <c r="B10316" t="s">
        <v>13487</v>
      </c>
      <c r="C10316" t="s">
        <v>94</v>
      </c>
      <c r="D10316">
        <v>80334445.829464301</v>
      </c>
    </row>
    <row r="10317" spans="1:4" hidden="1" x14ac:dyDescent="0.3">
      <c r="A10317">
        <v>10315</v>
      </c>
      <c r="B10317" t="s">
        <v>13488</v>
      </c>
      <c r="C10317" t="s">
        <v>96</v>
      </c>
      <c r="D10317">
        <v>34214382.539631397</v>
      </c>
    </row>
    <row r="10318" spans="1:4" hidden="1" x14ac:dyDescent="0.3">
      <c r="A10318">
        <v>10316</v>
      </c>
      <c r="B10318" t="s">
        <v>13489</v>
      </c>
      <c r="C10318" t="s">
        <v>98</v>
      </c>
      <c r="D10318">
        <v>37204072.289214402</v>
      </c>
    </row>
    <row r="10319" spans="1:4" hidden="1" x14ac:dyDescent="0.3">
      <c r="A10319">
        <v>10317</v>
      </c>
      <c r="B10319" s="1" t="s">
        <v>13490</v>
      </c>
      <c r="C10319" t="s">
        <v>100</v>
      </c>
      <c r="D10319" s="1" t="s">
        <v>13491</v>
      </c>
    </row>
    <row r="10320" spans="1:4" hidden="1" x14ac:dyDescent="0.3">
      <c r="A10320">
        <v>10318</v>
      </c>
      <c r="B10320" t="s">
        <v>13492</v>
      </c>
      <c r="C10320" t="s">
        <v>103</v>
      </c>
      <c r="D10320">
        <v>1.04429794082368E-2</v>
      </c>
    </row>
    <row r="10321" spans="1:4" hidden="1" x14ac:dyDescent="0.3">
      <c r="A10321">
        <v>10319</v>
      </c>
      <c r="B10321" t="s">
        <v>13493</v>
      </c>
      <c r="C10321" t="s">
        <v>105</v>
      </c>
      <c r="D10321">
        <v>2.8169037830092199E-3</v>
      </c>
    </row>
    <row r="10322" spans="1:4" hidden="1" x14ac:dyDescent="0.3">
      <c r="A10322">
        <v>10320</v>
      </c>
      <c r="B10322" t="s">
        <v>13494</v>
      </c>
      <c r="C10322" t="s">
        <v>107</v>
      </c>
      <c r="D10322">
        <v>2.1095013740393399E-2</v>
      </c>
    </row>
    <row r="10323" spans="1:4" hidden="1" x14ac:dyDescent="0.3">
      <c r="A10323">
        <v>10321</v>
      </c>
      <c r="B10323" s="1" t="s">
        <v>13495</v>
      </c>
      <c r="C10323" t="s">
        <v>109</v>
      </c>
      <c r="D10323" s="1" t="s">
        <v>13496</v>
      </c>
    </row>
    <row r="10324" spans="1:4" hidden="1" x14ac:dyDescent="0.3">
      <c r="A10324">
        <v>10322</v>
      </c>
      <c r="B10324" t="s">
        <v>13497</v>
      </c>
      <c r="C10324" t="s">
        <v>208</v>
      </c>
      <c r="D10324">
        <v>151753230.199725</v>
      </c>
    </row>
    <row r="10325" spans="1:4" hidden="1" x14ac:dyDescent="0.3">
      <c r="A10325">
        <v>10323</v>
      </c>
      <c r="B10325" t="s">
        <v>13498</v>
      </c>
      <c r="C10325" t="s">
        <v>210</v>
      </c>
      <c r="D10325">
        <v>-737.44235540468799</v>
      </c>
    </row>
    <row r="10326" spans="1:4" hidden="1" x14ac:dyDescent="0.3">
      <c r="A10326">
        <v>10324</v>
      </c>
      <c r="B10326" t="s">
        <v>13499</v>
      </c>
      <c r="C10326" t="s">
        <v>212</v>
      </c>
      <c r="D10326">
        <v>-314.07554647890299</v>
      </c>
    </row>
    <row r="10327" spans="1:4" hidden="1" x14ac:dyDescent="0.3">
      <c r="A10327">
        <v>10325</v>
      </c>
      <c r="B10327" s="1" t="s">
        <v>13500</v>
      </c>
      <c r="C10327" t="s">
        <v>214</v>
      </c>
      <c r="D10327" s="1" t="s">
        <v>13501</v>
      </c>
    </row>
    <row r="10328" spans="1:4" hidden="1" x14ac:dyDescent="0.3">
      <c r="A10328">
        <v>10326</v>
      </c>
      <c r="B10328" t="s">
        <v>13502</v>
      </c>
      <c r="C10328" t="s">
        <v>217</v>
      </c>
      <c r="D10328">
        <v>80335421.289292097</v>
      </c>
    </row>
    <row r="10329" spans="1:4" hidden="1" x14ac:dyDescent="0.3">
      <c r="A10329">
        <v>10327</v>
      </c>
      <c r="B10329" t="s">
        <v>13503</v>
      </c>
      <c r="C10329" t="s">
        <v>219</v>
      </c>
      <c r="D10329">
        <v>34214730.355704904</v>
      </c>
    </row>
    <row r="10330" spans="1:4" hidden="1" x14ac:dyDescent="0.3">
      <c r="A10330">
        <v>10328</v>
      </c>
      <c r="B10330" t="s">
        <v>13504</v>
      </c>
      <c r="C10330" t="s">
        <v>221</v>
      </c>
      <c r="D10330">
        <v>37204471.592631601</v>
      </c>
    </row>
    <row r="10331" spans="1:4" hidden="1" x14ac:dyDescent="0.3">
      <c r="A10331">
        <v>10329</v>
      </c>
      <c r="B10331" s="1" t="s">
        <v>13505</v>
      </c>
      <c r="C10331" t="s">
        <v>223</v>
      </c>
      <c r="D10331" s="1" t="s">
        <v>13506</v>
      </c>
    </row>
    <row r="10332" spans="1:4" hidden="1" x14ac:dyDescent="0.3">
      <c r="A10332">
        <v>10330</v>
      </c>
      <c r="B10332" t="s">
        <v>13507</v>
      </c>
      <c r="C10332" t="s">
        <v>226</v>
      </c>
      <c r="D10332">
        <v>104279795.05155601</v>
      </c>
    </row>
    <row r="10333" spans="1:4" hidden="1" x14ac:dyDescent="0.3">
      <c r="A10333">
        <v>10331</v>
      </c>
      <c r="B10333" t="s">
        <v>13508</v>
      </c>
      <c r="C10333" t="s">
        <v>228</v>
      </c>
      <c r="D10333">
        <v>-957.24073453247502</v>
      </c>
    </row>
    <row r="10334" spans="1:4" hidden="1" x14ac:dyDescent="0.3">
      <c r="A10334">
        <v>10332</v>
      </c>
      <c r="B10334" s="1" t="s">
        <v>13509</v>
      </c>
      <c r="C10334" t="s">
        <v>230</v>
      </c>
      <c r="D10334" s="1" t="s">
        <v>13510</v>
      </c>
    </row>
    <row r="10335" spans="1:4" hidden="1" x14ac:dyDescent="0.3">
      <c r="A10335">
        <v>10333</v>
      </c>
      <c r="B10335" t="s">
        <v>13511</v>
      </c>
      <c r="C10335" t="s">
        <v>112</v>
      </c>
      <c r="D10335">
        <v>238.017472424424</v>
      </c>
    </row>
    <row r="10336" spans="1:4" hidden="1" x14ac:dyDescent="0.3">
      <c r="A10336">
        <v>10334</v>
      </c>
      <c r="B10336" t="s">
        <v>13512</v>
      </c>
      <c r="C10336" t="s">
        <v>114</v>
      </c>
      <c r="D10336">
        <v>33.740526971335797</v>
      </c>
    </row>
    <row r="10337" spans="1:4" hidden="1" x14ac:dyDescent="0.3">
      <c r="A10337">
        <v>10335</v>
      </c>
      <c r="B10337" s="1" t="s">
        <v>13513</v>
      </c>
      <c r="C10337" t="s">
        <v>116</v>
      </c>
      <c r="D10337" s="1" t="s">
        <v>13514</v>
      </c>
    </row>
    <row r="10338" spans="1:4" hidden="1" x14ac:dyDescent="0.3">
      <c r="A10338">
        <v>10336</v>
      </c>
      <c r="B10338" t="s">
        <v>13515</v>
      </c>
      <c r="C10338" t="s">
        <v>119</v>
      </c>
      <c r="D10338">
        <v>80335421.289292097</v>
      </c>
    </row>
    <row r="10339" spans="1:4" hidden="1" x14ac:dyDescent="0.3">
      <c r="A10339">
        <v>10337</v>
      </c>
      <c r="B10339" t="s">
        <v>13516</v>
      </c>
      <c r="C10339" t="s">
        <v>121</v>
      </c>
      <c r="D10339">
        <v>34214730.355704904</v>
      </c>
    </row>
    <row r="10340" spans="1:4" hidden="1" x14ac:dyDescent="0.3">
      <c r="A10340">
        <v>10338</v>
      </c>
      <c r="B10340" s="1" t="s">
        <v>13517</v>
      </c>
      <c r="C10340" t="s">
        <v>123</v>
      </c>
      <c r="D10340" s="1" t="s">
        <v>13518</v>
      </c>
    </row>
    <row r="10341" spans="1:4" hidden="1" x14ac:dyDescent="0.3">
      <c r="A10341">
        <v>10339</v>
      </c>
      <c r="B10341" t="s">
        <v>13519</v>
      </c>
      <c r="C10341" t="s">
        <v>126</v>
      </c>
      <c r="D10341">
        <v>0.77055388595155105</v>
      </c>
    </row>
    <row r="10342" spans="1:4" hidden="1" x14ac:dyDescent="0.3">
      <c r="A10342">
        <v>10340</v>
      </c>
      <c r="B10342" t="s">
        <v>13520</v>
      </c>
      <c r="C10342" t="s">
        <v>128</v>
      </c>
      <c r="D10342">
        <v>0.328177695582546</v>
      </c>
    </row>
    <row r="10343" spans="1:4" hidden="1" x14ac:dyDescent="0.3">
      <c r="A10343">
        <v>10341</v>
      </c>
      <c r="B10343" s="1" t="s">
        <v>13521</v>
      </c>
      <c r="C10343" t="s">
        <v>130</v>
      </c>
      <c r="D10343" s="1" t="s">
        <v>13522</v>
      </c>
    </row>
    <row r="10344" spans="1:4" ht="72" x14ac:dyDescent="0.3">
      <c r="A10344">
        <v>10342</v>
      </c>
      <c r="B10344" s="1" t="s">
        <v>13523</v>
      </c>
      <c r="C10344" t="s">
        <v>4</v>
      </c>
      <c r="D10344" t="s">
        <v>13524</v>
      </c>
    </row>
    <row r="10345" spans="1:4" hidden="1" x14ac:dyDescent="0.3">
      <c r="A10345">
        <v>10343</v>
      </c>
      <c r="B10345" t="s">
        <v>13525</v>
      </c>
      <c r="C10345" t="s">
        <v>7</v>
      </c>
      <c r="D10345">
        <v>1865.57</v>
      </c>
    </row>
    <row r="10346" spans="1:4" hidden="1" x14ac:dyDescent="0.3">
      <c r="A10346">
        <v>10344</v>
      </c>
      <c r="B10346" s="1" t="s">
        <v>13526</v>
      </c>
      <c r="C10346" t="s">
        <v>9</v>
      </c>
      <c r="D10346" s="1" t="s">
        <v>13527</v>
      </c>
    </row>
    <row r="10347" spans="1:4" hidden="1" x14ac:dyDescent="0.3">
      <c r="A10347">
        <v>10345</v>
      </c>
      <c r="B10347" t="s">
        <v>13528</v>
      </c>
      <c r="C10347" t="s">
        <v>14</v>
      </c>
      <c r="D10347">
        <v>89.85546875</v>
      </c>
    </row>
    <row r="10348" spans="1:4" hidden="1" x14ac:dyDescent="0.3">
      <c r="A10348">
        <v>10346</v>
      </c>
      <c r="B10348" t="s">
        <v>13529</v>
      </c>
      <c r="C10348" t="s">
        <v>16</v>
      </c>
      <c r="D10348">
        <v>4.22875588905785</v>
      </c>
    </row>
    <row r="10349" spans="1:4" hidden="1" x14ac:dyDescent="0.3">
      <c r="A10349">
        <v>10347</v>
      </c>
      <c r="B10349" s="1" t="s">
        <v>13530</v>
      </c>
      <c r="C10349" t="s">
        <v>140</v>
      </c>
      <c r="D10349" s="1" t="s">
        <v>13531</v>
      </c>
    </row>
    <row r="10350" spans="1:4" hidden="1" x14ac:dyDescent="0.3">
      <c r="A10350">
        <v>10348</v>
      </c>
      <c r="B10350" t="s">
        <v>12189</v>
      </c>
      <c r="C10350" t="s">
        <v>22</v>
      </c>
      <c r="D10350">
        <v>62.8</v>
      </c>
    </row>
    <row r="10351" spans="1:4" hidden="1" x14ac:dyDescent="0.3">
      <c r="A10351">
        <v>10349</v>
      </c>
      <c r="B10351" t="s">
        <v>13532</v>
      </c>
      <c r="C10351" t="s">
        <v>24</v>
      </c>
      <c r="D10351">
        <v>3.8700633418483599</v>
      </c>
    </row>
    <row r="10352" spans="1:4" hidden="1" x14ac:dyDescent="0.3">
      <c r="A10352">
        <v>10350</v>
      </c>
      <c r="B10352" s="1" t="s">
        <v>13533</v>
      </c>
      <c r="C10352" t="s">
        <v>145</v>
      </c>
      <c r="D10352" s="1" t="s">
        <v>13534</v>
      </c>
    </row>
    <row r="10353" spans="1:4" hidden="1" x14ac:dyDescent="0.3">
      <c r="A10353">
        <v>10351</v>
      </c>
      <c r="B10353" t="s">
        <v>13535</v>
      </c>
      <c r="C10353" t="s">
        <v>35</v>
      </c>
      <c r="D10353">
        <v>0.46569834911686298</v>
      </c>
    </row>
    <row r="10354" spans="1:4" hidden="1" x14ac:dyDescent="0.3">
      <c r="A10354">
        <v>10352</v>
      </c>
      <c r="B10354" t="s">
        <v>13536</v>
      </c>
      <c r="C10354" t="s">
        <v>149</v>
      </c>
      <c r="D10354">
        <v>0.55561519149135397</v>
      </c>
    </row>
    <row r="10355" spans="1:4" hidden="1" x14ac:dyDescent="0.3">
      <c r="A10355">
        <v>10353</v>
      </c>
      <c r="B10355" s="1" t="s">
        <v>13537</v>
      </c>
      <c r="C10355" t="s">
        <v>151</v>
      </c>
      <c r="D10355" s="1" t="s">
        <v>13538</v>
      </c>
    </row>
    <row r="10356" spans="1:4" hidden="1" x14ac:dyDescent="0.3">
      <c r="A10356">
        <v>10354</v>
      </c>
      <c r="B10356" t="s">
        <v>13539</v>
      </c>
      <c r="C10356" t="s">
        <v>30</v>
      </c>
      <c r="D10356">
        <v>0.259357614131703</v>
      </c>
    </row>
    <row r="10357" spans="1:4" hidden="1" x14ac:dyDescent="0.3">
      <c r="A10357">
        <v>10355</v>
      </c>
      <c r="B10357" t="s">
        <v>13540</v>
      </c>
      <c r="C10357" t="s">
        <v>32</v>
      </c>
      <c r="D10357">
        <v>0.34235979006900902</v>
      </c>
    </row>
    <row r="10358" spans="1:4" hidden="1" x14ac:dyDescent="0.3">
      <c r="A10358">
        <v>10356</v>
      </c>
      <c r="B10358" s="1" t="s">
        <v>13541</v>
      </c>
      <c r="C10358" t="s">
        <v>155</v>
      </c>
      <c r="D10358" s="1" t="s">
        <v>13542</v>
      </c>
    </row>
    <row r="10359" spans="1:4" hidden="1" x14ac:dyDescent="0.3">
      <c r="A10359">
        <v>10357</v>
      </c>
      <c r="B10359" t="s">
        <v>13543</v>
      </c>
      <c r="C10359" t="s">
        <v>40</v>
      </c>
      <c r="D10359">
        <v>0.27494403675143197</v>
      </c>
    </row>
    <row r="10360" spans="1:4" hidden="1" x14ac:dyDescent="0.3">
      <c r="A10360">
        <v>10358</v>
      </c>
      <c r="B10360" t="s">
        <v>13544</v>
      </c>
      <c r="C10360" t="s">
        <v>42</v>
      </c>
      <c r="D10360">
        <v>0.45744701023796103</v>
      </c>
    </row>
    <row r="10361" spans="1:4" hidden="1" x14ac:dyDescent="0.3">
      <c r="A10361">
        <v>10359</v>
      </c>
      <c r="B10361" s="1" t="s">
        <v>13545</v>
      </c>
      <c r="C10361" t="s">
        <v>159</v>
      </c>
      <c r="D10361" s="1" t="s">
        <v>13546</v>
      </c>
    </row>
    <row r="10362" spans="1:4" hidden="1" x14ac:dyDescent="0.3">
      <c r="A10362">
        <v>10360</v>
      </c>
      <c r="B10362" t="s">
        <v>13547</v>
      </c>
      <c r="C10362" t="s">
        <v>161</v>
      </c>
      <c r="D10362">
        <v>1.0020356862787201</v>
      </c>
    </row>
    <row r="10363" spans="1:4" hidden="1" x14ac:dyDescent="0.3">
      <c r="A10363">
        <v>10361</v>
      </c>
      <c r="B10363" t="s">
        <v>13548</v>
      </c>
      <c r="C10363" t="s">
        <v>163</v>
      </c>
      <c r="D10363">
        <v>0.998870943812874</v>
      </c>
    </row>
    <row r="10364" spans="1:4" hidden="1" x14ac:dyDescent="0.3">
      <c r="A10364">
        <v>10362</v>
      </c>
      <c r="B10364" s="1" t="s">
        <v>13549</v>
      </c>
      <c r="C10364" t="s">
        <v>165</v>
      </c>
      <c r="D10364" s="1" t="s">
        <v>13550</v>
      </c>
    </row>
    <row r="10365" spans="1:4" hidden="1" x14ac:dyDescent="0.3">
      <c r="A10365">
        <v>10363</v>
      </c>
      <c r="B10365" t="s">
        <v>13551</v>
      </c>
      <c r="C10365" t="s">
        <v>168</v>
      </c>
      <c r="D10365">
        <v>0.99985795439617497</v>
      </c>
    </row>
    <row r="10366" spans="1:4" hidden="1" x14ac:dyDescent="0.3">
      <c r="A10366">
        <v>10364</v>
      </c>
      <c r="B10366" t="s">
        <v>13552</v>
      </c>
      <c r="C10366" t="s">
        <v>170</v>
      </c>
      <c r="D10366">
        <v>0.99940776584365898</v>
      </c>
    </row>
    <row r="10367" spans="1:4" hidden="1" x14ac:dyDescent="0.3">
      <c r="A10367">
        <v>10365</v>
      </c>
      <c r="B10367" s="1" t="s">
        <v>13553</v>
      </c>
      <c r="C10367" t="s">
        <v>172</v>
      </c>
      <c r="D10367" s="1" t="s">
        <v>13554</v>
      </c>
    </row>
    <row r="10368" spans="1:4" hidden="1" x14ac:dyDescent="0.3">
      <c r="A10368">
        <v>10366</v>
      </c>
      <c r="B10368" s="1" t="s">
        <v>13555</v>
      </c>
      <c r="C10368" t="s">
        <v>55</v>
      </c>
      <c r="D10368" s="1" t="s">
        <v>13556</v>
      </c>
    </row>
    <row r="10369" spans="1:4" hidden="1" x14ac:dyDescent="0.3">
      <c r="A10369">
        <v>10367</v>
      </c>
      <c r="B10369" s="1" t="s">
        <v>13557</v>
      </c>
      <c r="C10369" t="s">
        <v>52</v>
      </c>
      <c r="D10369" s="1" t="s">
        <v>13558</v>
      </c>
    </row>
    <row r="10370" spans="1:4" hidden="1" x14ac:dyDescent="0.3">
      <c r="A10370">
        <v>10368</v>
      </c>
      <c r="B10370" s="1" t="s">
        <v>13559</v>
      </c>
      <c r="C10370" t="s">
        <v>58</v>
      </c>
      <c r="D10370" s="1" t="s">
        <v>13560</v>
      </c>
    </row>
    <row r="10371" spans="1:4" hidden="1" x14ac:dyDescent="0.3">
      <c r="A10371">
        <v>10369</v>
      </c>
      <c r="B10371" t="s">
        <v>13561</v>
      </c>
      <c r="C10371" t="s">
        <v>61</v>
      </c>
      <c r="D10371">
        <v>151853098.027015</v>
      </c>
    </row>
    <row r="10372" spans="1:4" hidden="1" x14ac:dyDescent="0.3">
      <c r="A10372">
        <v>10370</v>
      </c>
      <c r="B10372" t="s">
        <v>13562</v>
      </c>
      <c r="C10372" t="s">
        <v>63</v>
      </c>
      <c r="D10372">
        <v>80498959.004106194</v>
      </c>
    </row>
    <row r="10373" spans="1:4" hidden="1" x14ac:dyDescent="0.3">
      <c r="A10373">
        <v>10371</v>
      </c>
      <c r="B10373" t="s">
        <v>13563</v>
      </c>
      <c r="C10373" t="s">
        <v>65</v>
      </c>
      <c r="D10373">
        <v>34176100.002705902</v>
      </c>
    </row>
    <row r="10374" spans="1:4" hidden="1" x14ac:dyDescent="0.3">
      <c r="A10374">
        <v>10372</v>
      </c>
      <c r="B10374" s="1" t="s">
        <v>13564</v>
      </c>
      <c r="C10374" t="s">
        <v>67</v>
      </c>
      <c r="D10374" s="1" t="s">
        <v>13565</v>
      </c>
    </row>
    <row r="10375" spans="1:4" hidden="1" x14ac:dyDescent="0.3">
      <c r="A10375">
        <v>10373</v>
      </c>
      <c r="B10375" s="1" t="s">
        <v>13566</v>
      </c>
      <c r="C10375" t="s">
        <v>70</v>
      </c>
      <c r="D10375" s="1" t="s">
        <v>13567</v>
      </c>
    </row>
    <row r="10376" spans="1:4" hidden="1" x14ac:dyDescent="0.3">
      <c r="A10376">
        <v>10374</v>
      </c>
      <c r="B10376" t="s">
        <v>13568</v>
      </c>
      <c r="C10376" t="s">
        <v>73</v>
      </c>
      <c r="D10376">
        <v>0.99977872675104895</v>
      </c>
    </row>
    <row r="10377" spans="1:4" hidden="1" x14ac:dyDescent="0.3">
      <c r="A10377">
        <v>10375</v>
      </c>
      <c r="B10377" t="s">
        <v>74</v>
      </c>
      <c r="C10377" t="s">
        <v>75</v>
      </c>
      <c r="D10377">
        <v>2.7397260273972599E-3</v>
      </c>
    </row>
    <row r="10378" spans="1:4" hidden="1" x14ac:dyDescent="0.3">
      <c r="A10378">
        <v>10376</v>
      </c>
      <c r="B10378" t="s">
        <v>76</v>
      </c>
      <c r="C10378" t="s">
        <v>77</v>
      </c>
      <c r="D10378">
        <v>0</v>
      </c>
    </row>
    <row r="10379" spans="1:4" hidden="1" x14ac:dyDescent="0.3">
      <c r="A10379">
        <v>10377</v>
      </c>
      <c r="B10379" t="s">
        <v>78</v>
      </c>
      <c r="C10379" t="s">
        <v>79</v>
      </c>
      <c r="D10379">
        <v>0</v>
      </c>
    </row>
    <row r="10380" spans="1:4" hidden="1" x14ac:dyDescent="0.3">
      <c r="A10380">
        <v>10378</v>
      </c>
      <c r="B10380" s="1" t="s">
        <v>13569</v>
      </c>
      <c r="C10380" t="s">
        <v>81</v>
      </c>
      <c r="D10380" s="1" t="s">
        <v>13570</v>
      </c>
    </row>
    <row r="10381" spans="1:4" hidden="1" x14ac:dyDescent="0.3">
      <c r="A10381">
        <v>10379</v>
      </c>
      <c r="B10381" t="s">
        <v>13571</v>
      </c>
      <c r="C10381" t="s">
        <v>84</v>
      </c>
      <c r="D10381">
        <v>0.99976009184846204</v>
      </c>
    </row>
    <row r="10382" spans="1:4" hidden="1" x14ac:dyDescent="0.3">
      <c r="A10382">
        <v>10380</v>
      </c>
      <c r="B10382" s="1" t="s">
        <v>13572</v>
      </c>
      <c r="C10382" t="s">
        <v>86</v>
      </c>
      <c r="D10382" s="1" t="s">
        <v>13573</v>
      </c>
    </row>
    <row r="10383" spans="1:4" hidden="1" x14ac:dyDescent="0.3">
      <c r="A10383">
        <v>10381</v>
      </c>
      <c r="B10383" t="s">
        <v>13574</v>
      </c>
      <c r="C10383" t="s">
        <v>89</v>
      </c>
      <c r="D10383">
        <v>104280781.503113</v>
      </c>
    </row>
    <row r="10384" spans="1:4" hidden="1" x14ac:dyDescent="0.3">
      <c r="A10384">
        <v>10382</v>
      </c>
      <c r="B10384" s="1" t="s">
        <v>13575</v>
      </c>
      <c r="C10384" t="s">
        <v>91</v>
      </c>
      <c r="D10384" s="1" t="s">
        <v>13510</v>
      </c>
    </row>
    <row r="10385" spans="1:4" hidden="1" x14ac:dyDescent="0.3">
      <c r="A10385">
        <v>10383</v>
      </c>
      <c r="B10385" t="s">
        <v>13576</v>
      </c>
      <c r="C10385" t="s">
        <v>94</v>
      </c>
      <c r="D10385">
        <v>80498959.004106194</v>
      </c>
    </row>
    <row r="10386" spans="1:4" hidden="1" x14ac:dyDescent="0.3">
      <c r="A10386">
        <v>10384</v>
      </c>
      <c r="B10386" t="s">
        <v>13577</v>
      </c>
      <c r="C10386" t="s">
        <v>96</v>
      </c>
      <c r="D10386">
        <v>34176100.002705902</v>
      </c>
    </row>
    <row r="10387" spans="1:4" hidden="1" x14ac:dyDescent="0.3">
      <c r="A10387">
        <v>10385</v>
      </c>
      <c r="B10387" t="s">
        <v>13578</v>
      </c>
      <c r="C10387" t="s">
        <v>98</v>
      </c>
      <c r="D10387">
        <v>37178039.020203099</v>
      </c>
    </row>
    <row r="10388" spans="1:4" hidden="1" x14ac:dyDescent="0.3">
      <c r="A10388">
        <v>10386</v>
      </c>
      <c r="B10388" s="1" t="s">
        <v>13579</v>
      </c>
      <c r="C10388" t="s">
        <v>100</v>
      </c>
      <c r="D10388" s="1" t="s">
        <v>13580</v>
      </c>
    </row>
    <row r="10389" spans="1:4" hidden="1" x14ac:dyDescent="0.3">
      <c r="A10389">
        <v>10387</v>
      </c>
      <c r="B10389" t="s">
        <v>13581</v>
      </c>
      <c r="C10389" t="s">
        <v>103</v>
      </c>
      <c r="D10389">
        <v>1.0454248308400501E-2</v>
      </c>
    </row>
    <row r="10390" spans="1:4" hidden="1" x14ac:dyDescent="0.3">
      <c r="A10390">
        <v>10388</v>
      </c>
      <c r="B10390" t="s">
        <v>13582</v>
      </c>
      <c r="C10390" t="s">
        <v>105</v>
      </c>
      <c r="D10390">
        <v>2.8112239862603501E-3</v>
      </c>
    </row>
    <row r="10391" spans="1:4" hidden="1" x14ac:dyDescent="0.3">
      <c r="A10391">
        <v>10389</v>
      </c>
      <c r="B10391" t="s">
        <v>13583</v>
      </c>
      <c r="C10391" t="s">
        <v>107</v>
      </c>
      <c r="D10391">
        <v>2.10939977765656E-2</v>
      </c>
    </row>
    <row r="10392" spans="1:4" hidden="1" x14ac:dyDescent="0.3">
      <c r="A10392">
        <v>10390</v>
      </c>
      <c r="B10392" s="1" t="s">
        <v>13584</v>
      </c>
      <c r="C10392" t="s">
        <v>109</v>
      </c>
      <c r="D10392" s="1" t="s">
        <v>13585</v>
      </c>
    </row>
    <row r="10393" spans="1:4" hidden="1" x14ac:dyDescent="0.3">
      <c r="A10393">
        <v>10391</v>
      </c>
      <c r="B10393" t="s">
        <v>13586</v>
      </c>
      <c r="C10393" t="s">
        <v>208</v>
      </c>
      <c r="D10393">
        <v>151852429.540921</v>
      </c>
    </row>
    <row r="10394" spans="1:4" hidden="1" x14ac:dyDescent="0.3">
      <c r="A10394">
        <v>10392</v>
      </c>
      <c r="B10394" t="s">
        <v>13587</v>
      </c>
      <c r="C10394" t="s">
        <v>210</v>
      </c>
      <c r="D10394">
        <v>1500.41266221209</v>
      </c>
    </row>
    <row r="10395" spans="1:4" hidden="1" x14ac:dyDescent="0.3">
      <c r="A10395">
        <v>10393</v>
      </c>
      <c r="B10395" t="s">
        <v>13588</v>
      </c>
      <c r="C10395" t="s">
        <v>212</v>
      </c>
      <c r="D10395">
        <v>637.00798028942302</v>
      </c>
    </row>
    <row r="10396" spans="1:4" hidden="1" x14ac:dyDescent="0.3">
      <c r="A10396">
        <v>10394</v>
      </c>
      <c r="B10396" s="1" t="s">
        <v>13589</v>
      </c>
      <c r="C10396" t="s">
        <v>214</v>
      </c>
      <c r="D10396" s="1" t="s">
        <v>13590</v>
      </c>
    </row>
    <row r="10397" spans="1:4" hidden="1" x14ac:dyDescent="0.3">
      <c r="A10397">
        <v>10395</v>
      </c>
      <c r="B10397" t="s">
        <v>13591</v>
      </c>
      <c r="C10397" t="s">
        <v>217</v>
      </c>
      <c r="D10397">
        <v>80496943.519355804</v>
      </c>
    </row>
    <row r="10398" spans="1:4" hidden="1" x14ac:dyDescent="0.3">
      <c r="A10398">
        <v>10396</v>
      </c>
      <c r="B10398" t="s">
        <v>13592</v>
      </c>
      <c r="C10398" t="s">
        <v>219</v>
      </c>
      <c r="D10398">
        <v>34175395.0110882</v>
      </c>
    </row>
    <row r="10399" spans="1:4" hidden="1" x14ac:dyDescent="0.3">
      <c r="A10399">
        <v>10397</v>
      </c>
      <c r="B10399" t="s">
        <v>13593</v>
      </c>
      <c r="C10399" t="s">
        <v>221</v>
      </c>
      <c r="D10399">
        <v>37177260.628958099</v>
      </c>
    </row>
    <row r="10400" spans="1:4" hidden="1" x14ac:dyDescent="0.3">
      <c r="A10400">
        <v>10398</v>
      </c>
      <c r="B10400" s="1" t="s">
        <v>13594</v>
      </c>
      <c r="C10400" t="s">
        <v>223</v>
      </c>
      <c r="D10400" s="1" t="s">
        <v>13595</v>
      </c>
    </row>
    <row r="10401" spans="1:4" hidden="1" x14ac:dyDescent="0.3">
      <c r="A10401">
        <v>10399</v>
      </c>
      <c r="B10401" t="s">
        <v>13596</v>
      </c>
      <c r="C10401" t="s">
        <v>226</v>
      </c>
      <c r="D10401">
        <v>104278837.810821</v>
      </c>
    </row>
    <row r="10402" spans="1:4" hidden="1" x14ac:dyDescent="0.3">
      <c r="A10402">
        <v>10400</v>
      </c>
      <c r="B10402" t="s">
        <v>13597</v>
      </c>
      <c r="C10402" t="s">
        <v>228</v>
      </c>
      <c r="D10402">
        <v>1943.6922920495199</v>
      </c>
    </row>
    <row r="10403" spans="1:4" hidden="1" x14ac:dyDescent="0.3">
      <c r="A10403">
        <v>10401</v>
      </c>
      <c r="B10403" s="1" t="s">
        <v>13598</v>
      </c>
      <c r="C10403" t="s">
        <v>230</v>
      </c>
      <c r="D10403" s="1" t="s">
        <v>13599</v>
      </c>
    </row>
    <row r="10404" spans="1:4" hidden="1" x14ac:dyDescent="0.3">
      <c r="A10404">
        <v>10402</v>
      </c>
      <c r="B10404" t="s">
        <v>13600</v>
      </c>
      <c r="C10404" t="s">
        <v>112</v>
      </c>
      <c r="D10404">
        <v>-515.07208810045904</v>
      </c>
    </row>
    <row r="10405" spans="1:4" hidden="1" x14ac:dyDescent="0.3">
      <c r="A10405">
        <v>10403</v>
      </c>
      <c r="B10405" t="s">
        <v>13601</v>
      </c>
      <c r="C10405" t="s">
        <v>114</v>
      </c>
      <c r="D10405">
        <v>-67.983637481234695</v>
      </c>
    </row>
    <row r="10406" spans="1:4" hidden="1" x14ac:dyDescent="0.3">
      <c r="A10406">
        <v>10404</v>
      </c>
      <c r="B10406" s="1" t="s">
        <v>13602</v>
      </c>
      <c r="C10406" t="s">
        <v>116</v>
      </c>
      <c r="D10406" s="1" t="s">
        <v>13603</v>
      </c>
    </row>
    <row r="10407" spans="1:4" hidden="1" x14ac:dyDescent="0.3">
      <c r="A10407">
        <v>10405</v>
      </c>
      <c r="B10407" t="s">
        <v>13604</v>
      </c>
      <c r="C10407" t="s">
        <v>119</v>
      </c>
      <c r="D10407">
        <v>80496943.519355804</v>
      </c>
    </row>
    <row r="10408" spans="1:4" hidden="1" x14ac:dyDescent="0.3">
      <c r="A10408">
        <v>10406</v>
      </c>
      <c r="B10408" t="s">
        <v>13605</v>
      </c>
      <c r="C10408" t="s">
        <v>121</v>
      </c>
      <c r="D10408">
        <v>34175395.0110882</v>
      </c>
    </row>
    <row r="10409" spans="1:4" hidden="1" x14ac:dyDescent="0.3">
      <c r="A10409">
        <v>10407</v>
      </c>
      <c r="B10409" s="1" t="s">
        <v>13606</v>
      </c>
      <c r="C10409" t="s">
        <v>123</v>
      </c>
      <c r="D10409" s="1" t="s">
        <v>13607</v>
      </c>
    </row>
    <row r="10410" spans="1:4" hidden="1" x14ac:dyDescent="0.3">
      <c r="A10410">
        <v>10408</v>
      </c>
      <c r="B10410" t="s">
        <v>13608</v>
      </c>
      <c r="C10410" t="s">
        <v>126</v>
      </c>
      <c r="D10410">
        <v>0.77212463925361896</v>
      </c>
    </row>
    <row r="10411" spans="1:4" hidden="1" x14ac:dyDescent="0.3">
      <c r="A10411">
        <v>10409</v>
      </c>
      <c r="B10411" t="s">
        <v>13609</v>
      </c>
      <c r="C10411" t="s">
        <v>128</v>
      </c>
      <c r="D10411">
        <v>0.32780952158688298</v>
      </c>
    </row>
    <row r="10412" spans="1:4" hidden="1" x14ac:dyDescent="0.3">
      <c r="A10412">
        <v>10410</v>
      </c>
      <c r="B10412" s="1" t="s">
        <v>13610</v>
      </c>
      <c r="C10412" t="s">
        <v>130</v>
      </c>
      <c r="D10412" s="1" t="s">
        <v>13611</v>
      </c>
    </row>
    <row r="10413" spans="1:4" ht="72" x14ac:dyDescent="0.3">
      <c r="A10413">
        <v>10411</v>
      </c>
      <c r="B10413" s="1" t="s">
        <v>13612</v>
      </c>
      <c r="C10413" t="s">
        <v>4</v>
      </c>
      <c r="D10413" t="s">
        <v>13613</v>
      </c>
    </row>
    <row r="10414" spans="1:4" hidden="1" x14ac:dyDescent="0.3">
      <c r="A10414">
        <v>10412</v>
      </c>
      <c r="B10414" t="s">
        <v>13614</v>
      </c>
      <c r="C10414" t="s">
        <v>7</v>
      </c>
      <c r="D10414">
        <v>1853.49</v>
      </c>
    </row>
    <row r="10415" spans="1:4" hidden="1" x14ac:dyDescent="0.3">
      <c r="A10415">
        <v>10413</v>
      </c>
      <c r="B10415" s="1" t="s">
        <v>13615</v>
      </c>
      <c r="C10415" t="s">
        <v>9</v>
      </c>
      <c r="D10415" s="1" t="s">
        <v>13616</v>
      </c>
    </row>
    <row r="10416" spans="1:4" hidden="1" x14ac:dyDescent="0.3">
      <c r="A10416">
        <v>10414</v>
      </c>
      <c r="B10416" t="s">
        <v>13617</v>
      </c>
      <c r="C10416" t="s">
        <v>14</v>
      </c>
      <c r="D10416">
        <v>89.87890625</v>
      </c>
    </row>
    <row r="10417" spans="1:4" hidden="1" x14ac:dyDescent="0.3">
      <c r="A10417">
        <v>10415</v>
      </c>
      <c r="B10417" t="s">
        <v>13618</v>
      </c>
      <c r="C10417" t="s">
        <v>16</v>
      </c>
      <c r="D10417">
        <v>4.2301383145997997</v>
      </c>
    </row>
    <row r="10418" spans="1:4" hidden="1" x14ac:dyDescent="0.3">
      <c r="A10418">
        <v>10416</v>
      </c>
      <c r="B10418" s="1" t="s">
        <v>13619</v>
      </c>
      <c r="C10418" t="s">
        <v>140</v>
      </c>
      <c r="D10418" s="1" t="s">
        <v>13620</v>
      </c>
    </row>
    <row r="10419" spans="1:4" hidden="1" x14ac:dyDescent="0.3">
      <c r="A10419">
        <v>10417</v>
      </c>
      <c r="B10419" t="s">
        <v>6088</v>
      </c>
      <c r="C10419" t="s">
        <v>22</v>
      </c>
      <c r="D10419">
        <v>54.75</v>
      </c>
    </row>
    <row r="10420" spans="1:4" hidden="1" x14ac:dyDescent="0.3">
      <c r="A10420">
        <v>10418</v>
      </c>
      <c r="B10420" t="s">
        <v>13621</v>
      </c>
      <c r="C10420" t="s">
        <v>24</v>
      </c>
      <c r="D10420">
        <v>4.1246028673169803</v>
      </c>
    </row>
    <row r="10421" spans="1:4" hidden="1" x14ac:dyDescent="0.3">
      <c r="A10421">
        <v>10419</v>
      </c>
      <c r="B10421" s="1" t="s">
        <v>13622</v>
      </c>
      <c r="C10421" t="s">
        <v>145</v>
      </c>
      <c r="D10421" s="1" t="s">
        <v>13623</v>
      </c>
    </row>
    <row r="10422" spans="1:4" hidden="1" x14ac:dyDescent="0.3">
      <c r="A10422">
        <v>10420</v>
      </c>
      <c r="B10422" t="s">
        <v>13624</v>
      </c>
      <c r="C10422" t="s">
        <v>35</v>
      </c>
      <c r="D10422">
        <v>0.17979369478702201</v>
      </c>
    </row>
    <row r="10423" spans="1:4" hidden="1" x14ac:dyDescent="0.3">
      <c r="A10423">
        <v>10421</v>
      </c>
      <c r="B10423" t="s">
        <v>13625</v>
      </c>
      <c r="C10423" t="s">
        <v>149</v>
      </c>
      <c r="D10423">
        <v>0.57057632488154197</v>
      </c>
    </row>
    <row r="10424" spans="1:4" hidden="1" x14ac:dyDescent="0.3">
      <c r="A10424">
        <v>10422</v>
      </c>
      <c r="B10424" s="1" t="s">
        <v>13626</v>
      </c>
      <c r="C10424" t="s">
        <v>151</v>
      </c>
      <c r="D10424" s="1" t="s">
        <v>13627</v>
      </c>
    </row>
    <row r="10425" spans="1:4" hidden="1" x14ac:dyDescent="0.3">
      <c r="A10425">
        <v>10423</v>
      </c>
      <c r="B10425" t="s">
        <v>13628</v>
      </c>
      <c r="C10425" t="s">
        <v>30</v>
      </c>
      <c r="D10425">
        <v>0.40495204436905002</v>
      </c>
    </row>
    <row r="10426" spans="1:4" hidden="1" x14ac:dyDescent="0.3">
      <c r="A10426">
        <v>10424</v>
      </c>
      <c r="B10426" t="s">
        <v>13629</v>
      </c>
      <c r="C10426" t="s">
        <v>32</v>
      </c>
      <c r="D10426">
        <v>0.34242555381144202</v>
      </c>
    </row>
    <row r="10427" spans="1:4" hidden="1" x14ac:dyDescent="0.3">
      <c r="A10427">
        <v>10425</v>
      </c>
      <c r="B10427" s="1" t="s">
        <v>13630</v>
      </c>
      <c r="C10427" t="s">
        <v>155</v>
      </c>
      <c r="D10427" s="1" t="s">
        <v>13631</v>
      </c>
    </row>
    <row r="10428" spans="1:4" hidden="1" x14ac:dyDescent="0.3">
      <c r="A10428">
        <v>10426</v>
      </c>
      <c r="B10428" t="s">
        <v>13632</v>
      </c>
      <c r="C10428" t="s">
        <v>40</v>
      </c>
      <c r="D10428">
        <v>0.41525426084392603</v>
      </c>
    </row>
    <row r="10429" spans="1:4" hidden="1" x14ac:dyDescent="0.3">
      <c r="A10429">
        <v>10427</v>
      </c>
      <c r="B10429" t="s">
        <v>13633</v>
      </c>
      <c r="C10429" t="s">
        <v>42</v>
      </c>
      <c r="D10429">
        <v>0.410188349696752</v>
      </c>
    </row>
    <row r="10430" spans="1:4" hidden="1" x14ac:dyDescent="0.3">
      <c r="A10430">
        <v>10428</v>
      </c>
      <c r="B10430" s="1" t="s">
        <v>13634</v>
      </c>
      <c r="C10430" t="s">
        <v>159</v>
      </c>
      <c r="D10430" s="1" t="s">
        <v>13635</v>
      </c>
    </row>
    <row r="10431" spans="1:4" hidden="1" x14ac:dyDescent="0.3">
      <c r="A10431">
        <v>10429</v>
      </c>
      <c r="B10431" t="s">
        <v>13636</v>
      </c>
      <c r="C10431" t="s">
        <v>161</v>
      </c>
      <c r="D10431">
        <v>0.99352476722931804</v>
      </c>
    </row>
    <row r="10432" spans="1:4" hidden="1" x14ac:dyDescent="0.3">
      <c r="A10432">
        <v>10430</v>
      </c>
      <c r="B10432" t="s">
        <v>13637</v>
      </c>
      <c r="C10432" t="s">
        <v>163</v>
      </c>
      <c r="D10432">
        <v>1.00026380538966</v>
      </c>
    </row>
    <row r="10433" spans="1:4" hidden="1" x14ac:dyDescent="0.3">
      <c r="A10433">
        <v>10431</v>
      </c>
      <c r="B10433" s="1" t="s">
        <v>13638</v>
      </c>
      <c r="C10433" t="s">
        <v>165</v>
      </c>
      <c r="D10433" s="1" t="s">
        <v>13639</v>
      </c>
    </row>
    <row r="10434" spans="1:4" hidden="1" x14ac:dyDescent="0.3">
      <c r="A10434">
        <v>10432</v>
      </c>
      <c r="B10434" t="s">
        <v>13640</v>
      </c>
      <c r="C10434" t="s">
        <v>168</v>
      </c>
      <c r="D10434">
        <v>1.0096175027551899</v>
      </c>
    </row>
    <row r="10435" spans="1:4" hidden="1" x14ac:dyDescent="0.3">
      <c r="A10435">
        <v>10433</v>
      </c>
      <c r="B10435" t="s">
        <v>13641</v>
      </c>
      <c r="C10435" t="s">
        <v>170</v>
      </c>
      <c r="D10435">
        <v>1.0000489911444901</v>
      </c>
    </row>
    <row r="10436" spans="1:4" hidden="1" x14ac:dyDescent="0.3">
      <c r="A10436">
        <v>10434</v>
      </c>
      <c r="B10436" s="1" t="s">
        <v>13642</v>
      </c>
      <c r="C10436" t="s">
        <v>172</v>
      </c>
      <c r="D10436" s="1" t="s">
        <v>13643</v>
      </c>
    </row>
    <row r="10437" spans="1:4" hidden="1" x14ac:dyDescent="0.3">
      <c r="A10437">
        <v>10435</v>
      </c>
      <c r="B10437" s="1" t="s">
        <v>13644</v>
      </c>
      <c r="C10437" t="s">
        <v>55</v>
      </c>
      <c r="D10437" s="1" t="s">
        <v>13645</v>
      </c>
    </row>
    <row r="10438" spans="1:4" hidden="1" x14ac:dyDescent="0.3">
      <c r="A10438">
        <v>10436</v>
      </c>
      <c r="B10438" s="1" t="s">
        <v>13646</v>
      </c>
      <c r="C10438" t="s">
        <v>52</v>
      </c>
      <c r="D10438" s="1" t="s">
        <v>13647</v>
      </c>
    </row>
    <row r="10439" spans="1:4" hidden="1" x14ac:dyDescent="0.3">
      <c r="A10439">
        <v>10437</v>
      </c>
      <c r="B10439" s="1" t="s">
        <v>13648</v>
      </c>
      <c r="C10439" t="s">
        <v>58</v>
      </c>
      <c r="D10439" s="1" t="s">
        <v>13649</v>
      </c>
    </row>
    <row r="10440" spans="1:4" hidden="1" x14ac:dyDescent="0.3">
      <c r="A10440">
        <v>10438</v>
      </c>
      <c r="B10440" t="s">
        <v>13650</v>
      </c>
      <c r="C10440" t="s">
        <v>61</v>
      </c>
      <c r="D10440">
        <v>146990391.858935</v>
      </c>
    </row>
    <row r="10441" spans="1:4" hidden="1" x14ac:dyDescent="0.3">
      <c r="A10441">
        <v>10439</v>
      </c>
      <c r="B10441" t="s">
        <v>13651</v>
      </c>
      <c r="C10441" t="s">
        <v>63</v>
      </c>
      <c r="D10441">
        <v>79975707.072739601</v>
      </c>
    </row>
    <row r="10442" spans="1:4" hidden="1" x14ac:dyDescent="0.3">
      <c r="A10442">
        <v>10440</v>
      </c>
      <c r="B10442" t="s">
        <v>13652</v>
      </c>
      <c r="C10442" t="s">
        <v>65</v>
      </c>
      <c r="D10442">
        <v>34184410.664485902</v>
      </c>
    </row>
    <row r="10443" spans="1:4" hidden="1" x14ac:dyDescent="0.3">
      <c r="A10443">
        <v>10441</v>
      </c>
      <c r="B10443" s="1" t="s">
        <v>13653</v>
      </c>
      <c r="C10443" t="s">
        <v>67</v>
      </c>
      <c r="D10443" s="1" t="s">
        <v>13654</v>
      </c>
    </row>
    <row r="10444" spans="1:4" hidden="1" x14ac:dyDescent="0.3">
      <c r="A10444">
        <v>10442</v>
      </c>
      <c r="B10444" s="1" t="s">
        <v>13655</v>
      </c>
      <c r="C10444" t="s">
        <v>70</v>
      </c>
      <c r="D10444" s="1" t="s">
        <v>13656</v>
      </c>
    </row>
    <row r="10445" spans="1:4" hidden="1" x14ac:dyDescent="0.3">
      <c r="A10445">
        <v>10443</v>
      </c>
      <c r="B10445" t="s">
        <v>13657</v>
      </c>
      <c r="C10445" t="s">
        <v>73</v>
      </c>
      <c r="D10445">
        <v>0.99976009184846204</v>
      </c>
    </row>
    <row r="10446" spans="1:4" hidden="1" x14ac:dyDescent="0.3">
      <c r="A10446">
        <v>10444</v>
      </c>
      <c r="B10446" t="s">
        <v>74</v>
      </c>
      <c r="C10446" t="s">
        <v>75</v>
      </c>
      <c r="D10446">
        <v>2.7397260273972599E-3</v>
      </c>
    </row>
    <row r="10447" spans="1:4" hidden="1" x14ac:dyDescent="0.3">
      <c r="A10447">
        <v>10445</v>
      </c>
      <c r="B10447" t="s">
        <v>76</v>
      </c>
      <c r="C10447" t="s">
        <v>77</v>
      </c>
      <c r="D10447">
        <v>0</v>
      </c>
    </row>
    <row r="10448" spans="1:4" hidden="1" x14ac:dyDescent="0.3">
      <c r="A10448">
        <v>10446</v>
      </c>
      <c r="B10448" t="s">
        <v>188</v>
      </c>
      <c r="C10448" t="s">
        <v>79</v>
      </c>
      <c r="D10448" s="2">
        <v>-2.2204460492503101E-16</v>
      </c>
    </row>
    <row r="10449" spans="1:4" hidden="1" x14ac:dyDescent="0.3">
      <c r="A10449">
        <v>10447</v>
      </c>
      <c r="B10449" s="1" t="s">
        <v>13658</v>
      </c>
      <c r="C10449" t="s">
        <v>81</v>
      </c>
      <c r="D10449" s="1" t="s">
        <v>13659</v>
      </c>
    </row>
    <row r="10450" spans="1:4" hidden="1" x14ac:dyDescent="0.3">
      <c r="A10450">
        <v>10448</v>
      </c>
      <c r="B10450" t="s">
        <v>13660</v>
      </c>
      <c r="C10450" t="s">
        <v>84</v>
      </c>
      <c r="D10450">
        <v>0.99977441706515002</v>
      </c>
    </row>
    <row r="10451" spans="1:4" hidden="1" x14ac:dyDescent="0.3">
      <c r="A10451">
        <v>10449</v>
      </c>
      <c r="B10451" s="1" t="s">
        <v>13661</v>
      </c>
      <c r="C10451" t="s">
        <v>86</v>
      </c>
      <c r="D10451" s="1" t="s">
        <v>13662</v>
      </c>
    </row>
    <row r="10452" spans="1:4" hidden="1" x14ac:dyDescent="0.3">
      <c r="A10452">
        <v>10450</v>
      </c>
      <c r="B10452" t="s">
        <v>13663</v>
      </c>
      <c r="C10452" t="s">
        <v>89</v>
      </c>
      <c r="D10452">
        <v>104279287.32126001</v>
      </c>
    </row>
    <row r="10453" spans="1:4" hidden="1" x14ac:dyDescent="0.3">
      <c r="A10453">
        <v>10451</v>
      </c>
      <c r="B10453" s="1" t="s">
        <v>13664</v>
      </c>
      <c r="C10453" t="s">
        <v>91</v>
      </c>
      <c r="D10453" s="1" t="s">
        <v>13599</v>
      </c>
    </row>
    <row r="10454" spans="1:4" hidden="1" x14ac:dyDescent="0.3">
      <c r="A10454">
        <v>10452</v>
      </c>
      <c r="B10454" t="s">
        <v>13665</v>
      </c>
      <c r="C10454" t="s">
        <v>94</v>
      </c>
      <c r="D10454">
        <v>79975707.072739601</v>
      </c>
    </row>
    <row r="10455" spans="1:4" hidden="1" x14ac:dyDescent="0.3">
      <c r="A10455">
        <v>10453</v>
      </c>
      <c r="B10455" t="s">
        <v>13666</v>
      </c>
      <c r="C10455" t="s">
        <v>96</v>
      </c>
      <c r="D10455">
        <v>34184410.664485902</v>
      </c>
    </row>
    <row r="10456" spans="1:4" hidden="1" x14ac:dyDescent="0.3">
      <c r="A10456">
        <v>10454</v>
      </c>
      <c r="B10456" t="s">
        <v>13667</v>
      </c>
      <c r="C10456" t="s">
        <v>98</v>
      </c>
      <c r="D10456">
        <v>32830274.121709902</v>
      </c>
    </row>
    <row r="10457" spans="1:4" hidden="1" x14ac:dyDescent="0.3">
      <c r="A10457">
        <v>10455</v>
      </c>
      <c r="B10457" s="1" t="s">
        <v>13668</v>
      </c>
      <c r="C10457" t="s">
        <v>100</v>
      </c>
      <c r="D10457" s="1" t="s">
        <v>13669</v>
      </c>
    </row>
    <row r="10458" spans="1:4" hidden="1" x14ac:dyDescent="0.3">
      <c r="A10458">
        <v>10456</v>
      </c>
      <c r="B10458" t="s">
        <v>13670</v>
      </c>
      <c r="C10458" t="s">
        <v>103</v>
      </c>
      <c r="D10458">
        <v>1.04471181711033E-2</v>
      </c>
    </row>
    <row r="10459" spans="1:4" hidden="1" x14ac:dyDescent="0.3">
      <c r="A10459">
        <v>10457</v>
      </c>
      <c r="B10459" t="s">
        <v>13671</v>
      </c>
      <c r="C10459" t="s">
        <v>105</v>
      </c>
      <c r="D10459">
        <v>2.8105432224407498E-3</v>
      </c>
    </row>
    <row r="10460" spans="1:4" hidden="1" x14ac:dyDescent="0.3">
      <c r="A10460">
        <v>10458</v>
      </c>
      <c r="B10460" t="s">
        <v>13672</v>
      </c>
      <c r="C10460" t="s">
        <v>107</v>
      </c>
      <c r="D10460">
        <v>2.4698597631845901E-2</v>
      </c>
    </row>
    <row r="10461" spans="1:4" hidden="1" x14ac:dyDescent="0.3">
      <c r="A10461">
        <v>10459</v>
      </c>
      <c r="B10461" s="1" t="s">
        <v>13673</v>
      </c>
      <c r="C10461" t="s">
        <v>109</v>
      </c>
      <c r="D10461" s="1" t="s">
        <v>13674</v>
      </c>
    </row>
    <row r="10462" spans="1:4" hidden="1" x14ac:dyDescent="0.3">
      <c r="A10462">
        <v>10460</v>
      </c>
      <c r="B10462" t="s">
        <v>13675</v>
      </c>
      <c r="C10462" t="s">
        <v>208</v>
      </c>
      <c r="D10462">
        <v>146990910.21939</v>
      </c>
    </row>
    <row r="10463" spans="1:4" hidden="1" x14ac:dyDescent="0.3">
      <c r="A10463">
        <v>10461</v>
      </c>
      <c r="B10463" t="s">
        <v>13676</v>
      </c>
      <c r="C10463" t="s">
        <v>210</v>
      </c>
      <c r="D10463">
        <v>-1145.9497773698399</v>
      </c>
    </row>
    <row r="10464" spans="1:4" hidden="1" x14ac:dyDescent="0.3">
      <c r="A10464">
        <v>10462</v>
      </c>
      <c r="B10464" t="s">
        <v>13677</v>
      </c>
      <c r="C10464" t="s">
        <v>212</v>
      </c>
      <c r="D10464">
        <v>-489.81740127430697</v>
      </c>
    </row>
    <row r="10465" spans="1:4" hidden="1" x14ac:dyDescent="0.3">
      <c r="A10465">
        <v>10463</v>
      </c>
      <c r="B10465" s="1" t="s">
        <v>13678</v>
      </c>
      <c r="C10465" t="s">
        <v>214</v>
      </c>
      <c r="D10465" s="1" t="s">
        <v>13679</v>
      </c>
    </row>
    <row r="10466" spans="1:4" hidden="1" x14ac:dyDescent="0.3">
      <c r="A10466">
        <v>10464</v>
      </c>
      <c r="B10466" t="s">
        <v>13680</v>
      </c>
      <c r="C10466" t="s">
        <v>217</v>
      </c>
      <c r="D10466">
        <v>79977238.431066006</v>
      </c>
    </row>
    <row r="10467" spans="1:4" hidden="1" x14ac:dyDescent="0.3">
      <c r="A10467">
        <v>10465</v>
      </c>
      <c r="B10467" t="s">
        <v>13681</v>
      </c>
      <c r="C10467" t="s">
        <v>219</v>
      </c>
      <c r="D10467">
        <v>34184956.324449196</v>
      </c>
    </row>
    <row r="10468" spans="1:4" hidden="1" x14ac:dyDescent="0.3">
      <c r="A10468">
        <v>10466</v>
      </c>
      <c r="B10468" t="s">
        <v>13682</v>
      </c>
      <c r="C10468" t="s">
        <v>221</v>
      </c>
      <c r="D10468">
        <v>32830821.645805702</v>
      </c>
    </row>
    <row r="10469" spans="1:4" hidden="1" x14ac:dyDescent="0.3">
      <c r="A10469">
        <v>10467</v>
      </c>
      <c r="B10469" s="1" t="s">
        <v>13683</v>
      </c>
      <c r="C10469" t="s">
        <v>223</v>
      </c>
      <c r="D10469" s="1" t="s">
        <v>13684</v>
      </c>
    </row>
    <row r="10470" spans="1:4" hidden="1" x14ac:dyDescent="0.3">
      <c r="A10470">
        <v>10468</v>
      </c>
      <c r="B10470" t="s">
        <v>13685</v>
      </c>
      <c r="C10470" t="s">
        <v>226</v>
      </c>
      <c r="D10470">
        <v>104280781.503113</v>
      </c>
    </row>
    <row r="10471" spans="1:4" hidden="1" x14ac:dyDescent="0.3">
      <c r="A10471">
        <v>10469</v>
      </c>
      <c r="B10471" t="s">
        <v>13686</v>
      </c>
      <c r="C10471" t="s">
        <v>228</v>
      </c>
      <c r="D10471">
        <v>-1494.18185338377</v>
      </c>
    </row>
    <row r="10472" spans="1:4" hidden="1" x14ac:dyDescent="0.3">
      <c r="A10472">
        <v>10470</v>
      </c>
      <c r="B10472" s="1" t="s">
        <v>13687</v>
      </c>
      <c r="C10472" t="s">
        <v>230</v>
      </c>
      <c r="D10472" s="1" t="s">
        <v>13688</v>
      </c>
    </row>
    <row r="10473" spans="1:4" hidden="1" x14ac:dyDescent="0.3">
      <c r="A10473">
        <v>10471</v>
      </c>
      <c r="B10473" t="s">
        <v>13689</v>
      </c>
      <c r="C10473" t="s">
        <v>112</v>
      </c>
      <c r="D10473">
        <v>385.40854903334599</v>
      </c>
    </row>
    <row r="10474" spans="1:4" hidden="1" x14ac:dyDescent="0.3">
      <c r="A10474">
        <v>10472</v>
      </c>
      <c r="B10474" t="s">
        <v>13690</v>
      </c>
      <c r="C10474" t="s">
        <v>114</v>
      </c>
      <c r="D10474">
        <v>55.842561977360603</v>
      </c>
    </row>
    <row r="10475" spans="1:4" hidden="1" x14ac:dyDescent="0.3">
      <c r="A10475">
        <v>10473</v>
      </c>
      <c r="B10475" s="1" t="s">
        <v>13691</v>
      </c>
      <c r="C10475" t="s">
        <v>116</v>
      </c>
      <c r="D10475" s="1" t="s">
        <v>13692</v>
      </c>
    </row>
    <row r="10476" spans="1:4" hidden="1" x14ac:dyDescent="0.3">
      <c r="A10476">
        <v>10474</v>
      </c>
      <c r="B10476" t="s">
        <v>13693</v>
      </c>
      <c r="C10476" t="s">
        <v>119</v>
      </c>
      <c r="D10476">
        <v>79977238.431066006</v>
      </c>
    </row>
    <row r="10477" spans="1:4" hidden="1" x14ac:dyDescent="0.3">
      <c r="A10477">
        <v>10475</v>
      </c>
      <c r="B10477" t="s">
        <v>13694</v>
      </c>
      <c r="C10477" t="s">
        <v>121</v>
      </c>
      <c r="D10477">
        <v>34184956.324449196</v>
      </c>
    </row>
    <row r="10478" spans="1:4" hidden="1" x14ac:dyDescent="0.3">
      <c r="A10478">
        <v>10476</v>
      </c>
      <c r="B10478" s="1" t="s">
        <v>13695</v>
      </c>
      <c r="C10478" t="s">
        <v>123</v>
      </c>
      <c r="D10478" s="1" t="s">
        <v>13696</v>
      </c>
    </row>
    <row r="10479" spans="1:4" hidden="1" x14ac:dyDescent="0.3">
      <c r="A10479">
        <v>10477</v>
      </c>
      <c r="B10479" t="s">
        <v>13697</v>
      </c>
      <c r="C10479" t="s">
        <v>126</v>
      </c>
      <c r="D10479">
        <v>0.76711435078396095</v>
      </c>
    </row>
    <row r="10480" spans="1:4" hidden="1" x14ac:dyDescent="0.3">
      <c r="A10480">
        <v>10478</v>
      </c>
      <c r="B10480" t="s">
        <v>13698</v>
      </c>
      <c r="C10480" t="s">
        <v>128</v>
      </c>
      <c r="D10480">
        <v>0.32789042347355701</v>
      </c>
    </row>
    <row r="10481" spans="1:4" hidden="1" x14ac:dyDescent="0.3">
      <c r="A10481">
        <v>10479</v>
      </c>
      <c r="B10481" s="1" t="s">
        <v>13699</v>
      </c>
      <c r="C10481" t="s">
        <v>130</v>
      </c>
      <c r="D10481" s="1" t="s">
        <v>13700</v>
      </c>
    </row>
    <row r="10482" spans="1:4" ht="72" x14ac:dyDescent="0.3">
      <c r="A10482">
        <v>10480</v>
      </c>
      <c r="B10482" s="1" t="s">
        <v>13701</v>
      </c>
      <c r="C10482" t="s">
        <v>4</v>
      </c>
      <c r="D10482" t="s">
        <v>13702</v>
      </c>
    </row>
    <row r="10483" spans="1:4" hidden="1" x14ac:dyDescent="0.3">
      <c r="A10483">
        <v>10481</v>
      </c>
      <c r="B10483" t="s">
        <v>13703</v>
      </c>
      <c r="C10483" t="s">
        <v>7</v>
      </c>
      <c r="D10483">
        <v>1854.31</v>
      </c>
    </row>
    <row r="10484" spans="1:4" hidden="1" x14ac:dyDescent="0.3">
      <c r="A10484">
        <v>10482</v>
      </c>
      <c r="B10484" s="1" t="s">
        <v>13704</v>
      </c>
      <c r="C10484" t="s">
        <v>9</v>
      </c>
      <c r="D10484" s="1" t="s">
        <v>13705</v>
      </c>
    </row>
    <row r="10485" spans="1:4" hidden="1" x14ac:dyDescent="0.3">
      <c r="A10485">
        <v>10483</v>
      </c>
      <c r="B10485" t="s">
        <v>4828</v>
      </c>
      <c r="C10485" t="s">
        <v>14</v>
      </c>
      <c r="D10485">
        <v>89.59375</v>
      </c>
    </row>
    <row r="10486" spans="1:4" hidden="1" x14ac:dyDescent="0.3">
      <c r="A10486">
        <v>10484</v>
      </c>
      <c r="B10486" t="s">
        <v>13706</v>
      </c>
      <c r="C10486" t="s">
        <v>16</v>
      </c>
      <c r="D10486">
        <v>4.2273718029631704</v>
      </c>
    </row>
    <row r="10487" spans="1:4" hidden="1" x14ac:dyDescent="0.3">
      <c r="A10487">
        <v>10485</v>
      </c>
      <c r="B10487" s="1" t="s">
        <v>13707</v>
      </c>
      <c r="C10487" t="s">
        <v>140</v>
      </c>
      <c r="D10487" s="1" t="s">
        <v>13708</v>
      </c>
    </row>
    <row r="10488" spans="1:4" hidden="1" x14ac:dyDescent="0.3">
      <c r="A10488">
        <v>10486</v>
      </c>
      <c r="B10488" t="s">
        <v>13709</v>
      </c>
      <c r="C10488" t="s">
        <v>22</v>
      </c>
      <c r="D10488">
        <v>54</v>
      </c>
    </row>
    <row r="10489" spans="1:4" hidden="1" x14ac:dyDescent="0.3">
      <c r="A10489">
        <v>10487</v>
      </c>
      <c r="B10489" t="s">
        <v>13710</v>
      </c>
      <c r="C10489" t="s">
        <v>24</v>
      </c>
      <c r="D10489">
        <v>4.1605833922093103</v>
      </c>
    </row>
    <row r="10490" spans="1:4" hidden="1" x14ac:dyDescent="0.3">
      <c r="A10490">
        <v>10488</v>
      </c>
      <c r="B10490" s="1" t="s">
        <v>13711</v>
      </c>
      <c r="C10490" t="s">
        <v>145</v>
      </c>
      <c r="D10490" s="1" t="s">
        <v>13712</v>
      </c>
    </row>
    <row r="10491" spans="1:4" hidden="1" x14ac:dyDescent="0.3">
      <c r="A10491">
        <v>10489</v>
      </c>
      <c r="B10491" t="s">
        <v>13713</v>
      </c>
      <c r="C10491" t="s">
        <v>35</v>
      </c>
      <c r="D10491">
        <v>-0.290725538643685</v>
      </c>
    </row>
    <row r="10492" spans="1:4" hidden="1" x14ac:dyDescent="0.3">
      <c r="A10492">
        <v>10490</v>
      </c>
      <c r="B10492" t="s">
        <v>13714</v>
      </c>
      <c r="C10492" t="s">
        <v>149</v>
      </c>
      <c r="D10492">
        <v>0.57242683092109203</v>
      </c>
    </row>
    <row r="10493" spans="1:4" hidden="1" x14ac:dyDescent="0.3">
      <c r="A10493">
        <v>10491</v>
      </c>
      <c r="B10493" s="1" t="s">
        <v>13715</v>
      </c>
      <c r="C10493" t="s">
        <v>151</v>
      </c>
      <c r="D10493" s="1" t="s">
        <v>13716</v>
      </c>
    </row>
    <row r="10494" spans="1:4" hidden="1" x14ac:dyDescent="0.3">
      <c r="A10494">
        <v>10492</v>
      </c>
      <c r="B10494" t="s">
        <v>13717</v>
      </c>
      <c r="C10494" t="s">
        <v>30</v>
      </c>
      <c r="D10494">
        <v>0.62743237965521403</v>
      </c>
    </row>
    <row r="10495" spans="1:4" hidden="1" x14ac:dyDescent="0.3">
      <c r="A10495">
        <v>10493</v>
      </c>
      <c r="B10495" t="s">
        <v>13718</v>
      </c>
      <c r="C10495" t="s">
        <v>32</v>
      </c>
      <c r="D10495">
        <v>0.33978183223576902</v>
      </c>
    </row>
    <row r="10496" spans="1:4" hidden="1" x14ac:dyDescent="0.3">
      <c r="A10496">
        <v>10494</v>
      </c>
      <c r="B10496" s="1" t="s">
        <v>13719</v>
      </c>
      <c r="C10496" t="s">
        <v>155</v>
      </c>
      <c r="D10496" s="1" t="s">
        <v>13720</v>
      </c>
    </row>
    <row r="10497" spans="1:4" hidden="1" x14ac:dyDescent="0.3">
      <c r="A10497">
        <v>10495</v>
      </c>
      <c r="B10497" t="s">
        <v>13721</v>
      </c>
      <c r="C10497" t="s">
        <v>40</v>
      </c>
      <c r="D10497">
        <v>0.66329315898846997</v>
      </c>
    </row>
    <row r="10498" spans="1:4" hidden="1" x14ac:dyDescent="0.3">
      <c r="A10498">
        <v>10496</v>
      </c>
      <c r="B10498" t="s">
        <v>13722</v>
      </c>
      <c r="C10498" t="s">
        <v>42</v>
      </c>
      <c r="D10498">
        <v>0.40716632948980702</v>
      </c>
    </row>
    <row r="10499" spans="1:4" hidden="1" x14ac:dyDescent="0.3">
      <c r="A10499">
        <v>10497</v>
      </c>
      <c r="B10499" s="1" t="s">
        <v>13723</v>
      </c>
      <c r="C10499" t="s">
        <v>159</v>
      </c>
      <c r="D10499" s="1" t="s">
        <v>13724</v>
      </c>
    </row>
    <row r="10500" spans="1:4" hidden="1" x14ac:dyDescent="0.3">
      <c r="A10500">
        <v>10498</v>
      </c>
      <c r="B10500" t="s">
        <v>13725</v>
      </c>
      <c r="C10500" t="s">
        <v>161</v>
      </c>
      <c r="D10500">
        <v>1.0004424086453101</v>
      </c>
    </row>
    <row r="10501" spans="1:4" hidden="1" x14ac:dyDescent="0.3">
      <c r="A10501">
        <v>10499</v>
      </c>
      <c r="B10501" t="s">
        <v>13726</v>
      </c>
      <c r="C10501" t="s">
        <v>163</v>
      </c>
      <c r="D10501">
        <v>0.99694054101846696</v>
      </c>
    </row>
    <row r="10502" spans="1:4" hidden="1" x14ac:dyDescent="0.3">
      <c r="A10502">
        <v>10500</v>
      </c>
      <c r="B10502" s="1" t="s">
        <v>13727</v>
      </c>
      <c r="C10502" t="s">
        <v>165</v>
      </c>
      <c r="D10502" s="1" t="s">
        <v>13728</v>
      </c>
    </row>
    <row r="10503" spans="1:4" hidden="1" x14ac:dyDescent="0.3">
      <c r="A10503">
        <v>10501</v>
      </c>
      <c r="B10503" t="s">
        <v>13729</v>
      </c>
      <c r="C10503" t="s">
        <v>168</v>
      </c>
      <c r="D10503">
        <v>1.0011782337542099</v>
      </c>
    </row>
    <row r="10504" spans="1:4" hidden="1" x14ac:dyDescent="0.3">
      <c r="A10504">
        <v>10502</v>
      </c>
      <c r="B10504" t="s">
        <v>13730</v>
      </c>
      <c r="C10504" t="s">
        <v>170</v>
      </c>
      <c r="D10504">
        <v>0.998030638221861</v>
      </c>
    </row>
    <row r="10505" spans="1:4" hidden="1" x14ac:dyDescent="0.3">
      <c r="A10505">
        <v>10503</v>
      </c>
      <c r="B10505" s="1" t="s">
        <v>13731</v>
      </c>
      <c r="C10505" t="s">
        <v>172</v>
      </c>
      <c r="D10505" s="1" t="s">
        <v>13732</v>
      </c>
    </row>
    <row r="10506" spans="1:4" hidden="1" x14ac:dyDescent="0.3">
      <c r="A10506">
        <v>10504</v>
      </c>
      <c r="B10506" s="1" t="s">
        <v>13733</v>
      </c>
      <c r="C10506" t="s">
        <v>55</v>
      </c>
      <c r="D10506" s="1" t="s">
        <v>13734</v>
      </c>
    </row>
    <row r="10507" spans="1:4" hidden="1" x14ac:dyDescent="0.3">
      <c r="A10507">
        <v>10505</v>
      </c>
      <c r="B10507" s="1" t="s">
        <v>13735</v>
      </c>
      <c r="C10507" t="s">
        <v>52</v>
      </c>
      <c r="D10507" s="1" t="s">
        <v>13736</v>
      </c>
    </row>
    <row r="10508" spans="1:4" hidden="1" x14ac:dyDescent="0.3">
      <c r="A10508">
        <v>10506</v>
      </c>
      <c r="B10508" s="1" t="s">
        <v>13737</v>
      </c>
      <c r="C10508" t="s">
        <v>58</v>
      </c>
      <c r="D10508" s="1" t="s">
        <v>13738</v>
      </c>
    </row>
    <row r="10509" spans="1:4" hidden="1" x14ac:dyDescent="0.3">
      <c r="A10509">
        <v>10507</v>
      </c>
      <c r="B10509" t="s">
        <v>13739</v>
      </c>
      <c r="C10509" t="s">
        <v>61</v>
      </c>
      <c r="D10509">
        <v>146525645.87555701</v>
      </c>
    </row>
    <row r="10510" spans="1:4" hidden="1" x14ac:dyDescent="0.3">
      <c r="A10510">
        <v>10508</v>
      </c>
      <c r="B10510" t="s">
        <v>13740</v>
      </c>
      <c r="C10510" t="s">
        <v>63</v>
      </c>
      <c r="D10510">
        <v>80012621.052776098</v>
      </c>
    </row>
    <row r="10511" spans="1:4" hidden="1" x14ac:dyDescent="0.3">
      <c r="A10511">
        <v>10509</v>
      </c>
      <c r="B10511" t="s">
        <v>13741</v>
      </c>
      <c r="C10511" t="s">
        <v>65</v>
      </c>
      <c r="D10511">
        <v>34080368.852789</v>
      </c>
    </row>
    <row r="10512" spans="1:4" hidden="1" x14ac:dyDescent="0.3">
      <c r="A10512">
        <v>10510</v>
      </c>
      <c r="B10512" s="1" t="s">
        <v>13742</v>
      </c>
      <c r="C10512" t="s">
        <v>67</v>
      </c>
      <c r="D10512" s="1" t="s">
        <v>13743</v>
      </c>
    </row>
    <row r="10513" spans="1:4" hidden="1" x14ac:dyDescent="0.3">
      <c r="A10513">
        <v>10511</v>
      </c>
      <c r="B10513" s="1" t="s">
        <v>13744</v>
      </c>
      <c r="C10513" t="s">
        <v>70</v>
      </c>
      <c r="D10513" s="1" t="s">
        <v>13745</v>
      </c>
    </row>
    <row r="10514" spans="1:4" hidden="1" x14ac:dyDescent="0.3">
      <c r="A10514">
        <v>10512</v>
      </c>
      <c r="B10514" t="s">
        <v>13746</v>
      </c>
      <c r="C10514" t="s">
        <v>73</v>
      </c>
      <c r="D10514">
        <v>0.99977441706515002</v>
      </c>
    </row>
    <row r="10515" spans="1:4" hidden="1" x14ac:dyDescent="0.3">
      <c r="A10515">
        <v>10513</v>
      </c>
      <c r="B10515" t="s">
        <v>74</v>
      </c>
      <c r="C10515" t="s">
        <v>75</v>
      </c>
      <c r="D10515">
        <v>2.7397260273972599E-3</v>
      </c>
    </row>
    <row r="10516" spans="1:4" hidden="1" x14ac:dyDescent="0.3">
      <c r="A10516">
        <v>10514</v>
      </c>
      <c r="B10516" t="s">
        <v>76</v>
      </c>
      <c r="C10516" t="s">
        <v>77</v>
      </c>
      <c r="D10516">
        <v>0</v>
      </c>
    </row>
    <row r="10517" spans="1:4" hidden="1" x14ac:dyDescent="0.3">
      <c r="A10517">
        <v>10515</v>
      </c>
      <c r="B10517" t="s">
        <v>78</v>
      </c>
      <c r="C10517" t="s">
        <v>79</v>
      </c>
      <c r="D10517">
        <v>0</v>
      </c>
    </row>
    <row r="10518" spans="1:4" hidden="1" x14ac:dyDescent="0.3">
      <c r="A10518">
        <v>10516</v>
      </c>
      <c r="B10518" s="1" t="s">
        <v>13747</v>
      </c>
      <c r="C10518" t="s">
        <v>81</v>
      </c>
      <c r="D10518" s="1" t="s">
        <v>13748</v>
      </c>
    </row>
    <row r="10519" spans="1:4" hidden="1" x14ac:dyDescent="0.3">
      <c r="A10519">
        <v>10517</v>
      </c>
      <c r="B10519" t="s">
        <v>13749</v>
      </c>
      <c r="C10519" t="s">
        <v>84</v>
      </c>
      <c r="D10519">
        <v>0.99971109897391397</v>
      </c>
    </row>
    <row r="10520" spans="1:4" hidden="1" x14ac:dyDescent="0.3">
      <c r="A10520">
        <v>10518</v>
      </c>
      <c r="B10520" s="1" t="s">
        <v>13750</v>
      </c>
      <c r="C10520" t="s">
        <v>86</v>
      </c>
      <c r="D10520" s="1" t="s">
        <v>13751</v>
      </c>
    </row>
    <row r="10521" spans="1:4" hidden="1" x14ac:dyDescent="0.3">
      <c r="A10521">
        <v>10519</v>
      </c>
      <c r="B10521" t="s">
        <v>13752</v>
      </c>
      <c r="C10521" t="s">
        <v>89</v>
      </c>
      <c r="D10521">
        <v>104285891.99478599</v>
      </c>
    </row>
    <row r="10522" spans="1:4" hidden="1" x14ac:dyDescent="0.3">
      <c r="A10522">
        <v>10520</v>
      </c>
      <c r="B10522" s="1" t="s">
        <v>13753</v>
      </c>
      <c r="C10522" t="s">
        <v>91</v>
      </c>
      <c r="D10522" s="1" t="s">
        <v>13688</v>
      </c>
    </row>
    <row r="10523" spans="1:4" hidden="1" x14ac:dyDescent="0.3">
      <c r="A10523">
        <v>10521</v>
      </c>
      <c r="B10523" t="s">
        <v>13754</v>
      </c>
      <c r="C10523" t="s">
        <v>94</v>
      </c>
      <c r="D10523">
        <v>80012621.052776098</v>
      </c>
    </row>
    <row r="10524" spans="1:4" hidden="1" x14ac:dyDescent="0.3">
      <c r="A10524">
        <v>10522</v>
      </c>
      <c r="B10524" t="s">
        <v>13755</v>
      </c>
      <c r="C10524" t="s">
        <v>96</v>
      </c>
      <c r="D10524">
        <v>34080368.852789</v>
      </c>
    </row>
    <row r="10525" spans="1:4" hidden="1" x14ac:dyDescent="0.3">
      <c r="A10525">
        <v>10523</v>
      </c>
      <c r="B10525" t="s">
        <v>13756</v>
      </c>
      <c r="C10525" t="s">
        <v>98</v>
      </c>
      <c r="D10525">
        <v>32432655.9699926</v>
      </c>
    </row>
    <row r="10526" spans="1:4" hidden="1" x14ac:dyDescent="0.3">
      <c r="A10526">
        <v>10524</v>
      </c>
      <c r="B10526" s="1" t="s">
        <v>13757</v>
      </c>
      <c r="C10526" t="s">
        <v>100</v>
      </c>
      <c r="D10526" s="1" t="s">
        <v>13758</v>
      </c>
    </row>
    <row r="10527" spans="1:4" hidden="1" x14ac:dyDescent="0.3">
      <c r="A10527">
        <v>10525</v>
      </c>
      <c r="B10527" t="s">
        <v>13759</v>
      </c>
      <c r="C10527" t="s">
        <v>103</v>
      </c>
      <c r="D10527">
        <v>1.0430131272312199E-2</v>
      </c>
    </row>
    <row r="10528" spans="1:4" hidden="1" x14ac:dyDescent="0.3">
      <c r="A10528">
        <v>10526</v>
      </c>
      <c r="B10528" t="s">
        <v>13760</v>
      </c>
      <c r="C10528" t="s">
        <v>105</v>
      </c>
      <c r="D10528">
        <v>2.78611941300949E-3</v>
      </c>
    </row>
    <row r="10529" spans="1:4" hidden="1" x14ac:dyDescent="0.3">
      <c r="A10529">
        <v>10527</v>
      </c>
      <c r="B10529" t="s">
        <v>13761</v>
      </c>
      <c r="C10529" t="s">
        <v>107</v>
      </c>
      <c r="D10529">
        <v>2.4710840328206099E-2</v>
      </c>
    </row>
    <row r="10530" spans="1:4" hidden="1" x14ac:dyDescent="0.3">
      <c r="A10530">
        <v>10528</v>
      </c>
      <c r="B10530" s="1" t="s">
        <v>13762</v>
      </c>
      <c r="C10530" t="s">
        <v>109</v>
      </c>
      <c r="D10530" s="1" t="s">
        <v>13763</v>
      </c>
    </row>
    <row r="10531" spans="1:4" hidden="1" x14ac:dyDescent="0.3">
      <c r="A10531">
        <v>10529</v>
      </c>
      <c r="B10531" t="s">
        <v>13764</v>
      </c>
      <c r="C10531" t="s">
        <v>208</v>
      </c>
      <c r="D10531">
        <v>146523360.128613</v>
      </c>
    </row>
    <row r="10532" spans="1:4" hidden="1" x14ac:dyDescent="0.3">
      <c r="A10532">
        <v>10530</v>
      </c>
      <c r="B10532" t="s">
        <v>13765</v>
      </c>
      <c r="C10532" t="s">
        <v>210</v>
      </c>
      <c r="D10532">
        <v>5067.2753754304003</v>
      </c>
    </row>
    <row r="10533" spans="1:4" hidden="1" x14ac:dyDescent="0.3">
      <c r="A10533">
        <v>10531</v>
      </c>
      <c r="B10533" t="s">
        <v>13766</v>
      </c>
      <c r="C10533" t="s">
        <v>212</v>
      </c>
      <c r="D10533">
        <v>2158.37433027527</v>
      </c>
    </row>
    <row r="10534" spans="1:4" hidden="1" x14ac:dyDescent="0.3">
      <c r="A10534">
        <v>10532</v>
      </c>
      <c r="B10534" s="1" t="s">
        <v>13767</v>
      </c>
      <c r="C10534" t="s">
        <v>214</v>
      </c>
      <c r="D10534" s="1" t="s">
        <v>13768</v>
      </c>
    </row>
    <row r="10535" spans="1:4" hidden="1" x14ac:dyDescent="0.3">
      <c r="A10535">
        <v>10533</v>
      </c>
      <c r="B10535" t="s">
        <v>13769</v>
      </c>
      <c r="C10535" t="s">
        <v>217</v>
      </c>
      <c r="D10535">
        <v>80005750.891544506</v>
      </c>
    </row>
    <row r="10536" spans="1:4" hidden="1" x14ac:dyDescent="0.3">
      <c r="A10536">
        <v>10534</v>
      </c>
      <c r="B10536" t="s">
        <v>13770</v>
      </c>
      <c r="C10536" t="s">
        <v>219</v>
      </c>
      <c r="D10536">
        <v>34077950.418086402</v>
      </c>
    </row>
    <row r="10537" spans="1:4" hidden="1" x14ac:dyDescent="0.3">
      <c r="A10537">
        <v>10535</v>
      </c>
      <c r="B10537" t="s">
        <v>13771</v>
      </c>
      <c r="C10537" t="s">
        <v>221</v>
      </c>
      <c r="D10537">
        <v>32430379.1461615</v>
      </c>
    </row>
    <row r="10538" spans="1:4" hidden="1" x14ac:dyDescent="0.3">
      <c r="A10538">
        <v>10536</v>
      </c>
      <c r="B10538" s="1" t="s">
        <v>13772</v>
      </c>
      <c r="C10538" t="s">
        <v>223</v>
      </c>
      <c r="D10538" s="1" t="s">
        <v>13773</v>
      </c>
    </row>
    <row r="10539" spans="1:4" hidden="1" x14ac:dyDescent="0.3">
      <c r="A10539">
        <v>10537</v>
      </c>
      <c r="B10539" t="s">
        <v>13774</v>
      </c>
      <c r="C10539" t="s">
        <v>226</v>
      </c>
      <c r="D10539">
        <v>104279287.32126001</v>
      </c>
    </row>
    <row r="10540" spans="1:4" hidden="1" x14ac:dyDescent="0.3">
      <c r="A10540">
        <v>10538</v>
      </c>
      <c r="B10540" t="s">
        <v>13775</v>
      </c>
      <c r="C10540" t="s">
        <v>228</v>
      </c>
      <c r="D10540">
        <v>6604.6735256165202</v>
      </c>
    </row>
    <row r="10541" spans="1:4" hidden="1" x14ac:dyDescent="0.3">
      <c r="A10541">
        <v>10539</v>
      </c>
      <c r="B10541" s="1" t="s">
        <v>13776</v>
      </c>
      <c r="C10541" t="s">
        <v>230</v>
      </c>
      <c r="D10541" s="1" t="s">
        <v>13777</v>
      </c>
    </row>
    <row r="10542" spans="1:4" hidden="1" x14ac:dyDescent="0.3">
      <c r="A10542">
        <v>10540</v>
      </c>
      <c r="B10542" t="s">
        <v>13778</v>
      </c>
      <c r="C10542" t="s">
        <v>112</v>
      </c>
      <c r="D10542">
        <v>-1802.8858562253599</v>
      </c>
    </row>
    <row r="10543" spans="1:4" hidden="1" x14ac:dyDescent="0.3">
      <c r="A10543">
        <v>10541</v>
      </c>
      <c r="B10543" t="s">
        <v>13779</v>
      </c>
      <c r="C10543" t="s">
        <v>114</v>
      </c>
      <c r="D10543">
        <v>-260.06037239087999</v>
      </c>
    </row>
    <row r="10544" spans="1:4" hidden="1" x14ac:dyDescent="0.3">
      <c r="A10544">
        <v>10542</v>
      </c>
      <c r="B10544" s="1" t="s">
        <v>13780</v>
      </c>
      <c r="C10544" t="s">
        <v>116</v>
      </c>
      <c r="D10544" s="1" t="s">
        <v>13781</v>
      </c>
    </row>
    <row r="10545" spans="1:4" hidden="1" x14ac:dyDescent="0.3">
      <c r="A10545">
        <v>10543</v>
      </c>
      <c r="B10545" t="s">
        <v>13782</v>
      </c>
      <c r="C10545" t="s">
        <v>119</v>
      </c>
      <c r="D10545">
        <v>80005750.891544506</v>
      </c>
    </row>
    <row r="10546" spans="1:4" hidden="1" x14ac:dyDescent="0.3">
      <c r="A10546">
        <v>10544</v>
      </c>
      <c r="B10546" t="s">
        <v>13783</v>
      </c>
      <c r="C10546" t="s">
        <v>121</v>
      </c>
      <c r="D10546">
        <v>34077950.418086402</v>
      </c>
    </row>
    <row r="10547" spans="1:4" hidden="1" x14ac:dyDescent="0.3">
      <c r="A10547">
        <v>10545</v>
      </c>
      <c r="B10547" s="1" t="s">
        <v>13784</v>
      </c>
      <c r="C10547" t="s">
        <v>123</v>
      </c>
      <c r="D10547" s="1" t="s">
        <v>13785</v>
      </c>
    </row>
    <row r="10548" spans="1:4" hidden="1" x14ac:dyDescent="0.3">
      <c r="A10548">
        <v>10546</v>
      </c>
      <c r="B10548" t="s">
        <v>13786</v>
      </c>
      <c r="C10548" t="s">
        <v>126</v>
      </c>
      <c r="D10548">
        <v>0.76744743247077596</v>
      </c>
    </row>
    <row r="10549" spans="1:4" hidden="1" x14ac:dyDescent="0.3">
      <c r="A10549">
        <v>10547</v>
      </c>
      <c r="B10549" t="s">
        <v>13787</v>
      </c>
      <c r="C10549" t="s">
        <v>128</v>
      </c>
      <c r="D10549">
        <v>0.32688944558097799</v>
      </c>
    </row>
    <row r="10550" spans="1:4" hidden="1" x14ac:dyDescent="0.3">
      <c r="A10550">
        <v>10548</v>
      </c>
      <c r="B10550" s="1" t="s">
        <v>13788</v>
      </c>
      <c r="C10550" t="s">
        <v>130</v>
      </c>
      <c r="D10550" s="1" t="s">
        <v>13789</v>
      </c>
    </row>
    <row r="10551" spans="1:4" ht="72" x14ac:dyDescent="0.3">
      <c r="A10551">
        <v>10549</v>
      </c>
      <c r="B10551" s="1" t="s">
        <v>13790</v>
      </c>
      <c r="C10551" t="s">
        <v>4</v>
      </c>
      <c r="D10551" t="s">
        <v>13791</v>
      </c>
    </row>
    <row r="10552" spans="1:4" hidden="1" x14ac:dyDescent="0.3">
      <c r="A10552">
        <v>10550</v>
      </c>
      <c r="B10552" t="s">
        <v>13792</v>
      </c>
      <c r="C10552" t="s">
        <v>7</v>
      </c>
      <c r="D10552">
        <v>1836.01</v>
      </c>
    </row>
    <row r="10553" spans="1:4" hidden="1" x14ac:dyDescent="0.3">
      <c r="A10553">
        <v>10551</v>
      </c>
      <c r="B10553" s="1" t="s">
        <v>13793</v>
      </c>
      <c r="C10553" t="s">
        <v>9</v>
      </c>
      <c r="D10553" s="1" t="s">
        <v>13794</v>
      </c>
    </row>
    <row r="10554" spans="1:4" hidden="1" x14ac:dyDescent="0.3">
      <c r="A10554">
        <v>10552</v>
      </c>
      <c r="B10554" t="s">
        <v>13795</v>
      </c>
      <c r="C10554" t="s">
        <v>14</v>
      </c>
      <c r="D10554">
        <v>89.515625</v>
      </c>
    </row>
    <row r="10555" spans="1:4" hidden="1" x14ac:dyDescent="0.3">
      <c r="A10555">
        <v>10553</v>
      </c>
      <c r="B10555" t="s">
        <v>13796</v>
      </c>
      <c r="C10555" t="s">
        <v>16</v>
      </c>
      <c r="D10555">
        <v>4.2247145933429904</v>
      </c>
    </row>
    <row r="10556" spans="1:4" hidden="1" x14ac:dyDescent="0.3">
      <c r="A10556">
        <v>10554</v>
      </c>
      <c r="B10556" s="1" t="s">
        <v>13797</v>
      </c>
      <c r="C10556" t="s">
        <v>140</v>
      </c>
      <c r="D10556" s="1" t="s">
        <v>13798</v>
      </c>
    </row>
    <row r="10557" spans="1:4" hidden="1" x14ac:dyDescent="0.3">
      <c r="A10557">
        <v>10555</v>
      </c>
      <c r="B10557" t="s">
        <v>13799</v>
      </c>
      <c r="C10557" t="s">
        <v>22</v>
      </c>
      <c r="D10557">
        <v>53.8</v>
      </c>
    </row>
    <row r="10558" spans="1:4" hidden="1" x14ac:dyDescent="0.3">
      <c r="A10558">
        <v>10556</v>
      </c>
      <c r="B10558" t="s">
        <v>13800</v>
      </c>
      <c r="C10558" t="s">
        <v>24</v>
      </c>
      <c r="D10558">
        <v>4.1660952309993702</v>
      </c>
    </row>
    <row r="10559" spans="1:4" hidden="1" x14ac:dyDescent="0.3">
      <c r="A10559">
        <v>10557</v>
      </c>
      <c r="B10559" s="1" t="s">
        <v>13801</v>
      </c>
      <c r="C10559" t="s">
        <v>145</v>
      </c>
      <c r="D10559" s="1" t="s">
        <v>13802</v>
      </c>
    </row>
    <row r="10560" spans="1:4" hidden="1" x14ac:dyDescent="0.3">
      <c r="A10560">
        <v>10558</v>
      </c>
      <c r="B10560" t="s">
        <v>13803</v>
      </c>
      <c r="C10560" t="s">
        <v>35</v>
      </c>
      <c r="D10560">
        <v>0.579429773488082</v>
      </c>
    </row>
    <row r="10561" spans="1:4" hidden="1" x14ac:dyDescent="0.3">
      <c r="A10561">
        <v>10559</v>
      </c>
      <c r="B10561" t="s">
        <v>13804</v>
      </c>
      <c r="C10561" t="s">
        <v>149</v>
      </c>
      <c r="D10561">
        <v>0.57215403679617605</v>
      </c>
    </row>
    <row r="10562" spans="1:4" hidden="1" x14ac:dyDescent="0.3">
      <c r="A10562">
        <v>10560</v>
      </c>
      <c r="B10562" s="1" t="s">
        <v>13805</v>
      </c>
      <c r="C10562" t="s">
        <v>151</v>
      </c>
      <c r="D10562" s="1" t="s">
        <v>13806</v>
      </c>
    </row>
    <row r="10563" spans="1:4" hidden="1" x14ac:dyDescent="0.3">
      <c r="A10563">
        <v>10561</v>
      </c>
      <c r="B10563" t="s">
        <v>13807</v>
      </c>
      <c r="C10563" t="s">
        <v>30</v>
      </c>
      <c r="D10563">
        <v>0.21041098901382799</v>
      </c>
    </row>
    <row r="10564" spans="1:4" hidden="1" x14ac:dyDescent="0.3">
      <c r="A10564">
        <v>10562</v>
      </c>
      <c r="B10564" t="s">
        <v>13808</v>
      </c>
      <c r="C10564" t="s">
        <v>32</v>
      </c>
      <c r="D10564">
        <v>0.33952006864395801</v>
      </c>
    </row>
    <row r="10565" spans="1:4" hidden="1" x14ac:dyDescent="0.3">
      <c r="A10565">
        <v>10563</v>
      </c>
      <c r="B10565" s="1" t="s">
        <v>13809</v>
      </c>
      <c r="C10565" t="s">
        <v>155</v>
      </c>
      <c r="D10565" s="1" t="s">
        <v>13810</v>
      </c>
    </row>
    <row r="10566" spans="1:4" hidden="1" x14ac:dyDescent="0.3">
      <c r="A10566">
        <v>10564</v>
      </c>
      <c r="B10566" t="s">
        <v>13811</v>
      </c>
      <c r="C10566" t="s">
        <v>40</v>
      </c>
      <c r="D10566">
        <v>0.21015923749808799</v>
      </c>
    </row>
    <row r="10567" spans="1:4" hidden="1" x14ac:dyDescent="0.3">
      <c r="A10567">
        <v>10565</v>
      </c>
      <c r="B10567" t="s">
        <v>13812</v>
      </c>
      <c r="C10567" t="s">
        <v>42</v>
      </c>
      <c r="D10567">
        <v>0.40826101073036702</v>
      </c>
    </row>
    <row r="10568" spans="1:4" hidden="1" x14ac:dyDescent="0.3">
      <c r="A10568">
        <v>10566</v>
      </c>
      <c r="B10568" s="1" t="s">
        <v>13813</v>
      </c>
      <c r="C10568" t="s">
        <v>159</v>
      </c>
      <c r="D10568" s="1" t="s">
        <v>13814</v>
      </c>
    </row>
    <row r="10569" spans="1:4" hidden="1" x14ac:dyDescent="0.3">
      <c r="A10569">
        <v>10567</v>
      </c>
      <c r="B10569" t="s">
        <v>13815</v>
      </c>
      <c r="C10569" t="s">
        <v>161</v>
      </c>
      <c r="D10569">
        <v>0.99013109997788895</v>
      </c>
    </row>
    <row r="10570" spans="1:4" hidden="1" x14ac:dyDescent="0.3">
      <c r="A10570">
        <v>10568</v>
      </c>
      <c r="B10570" t="s">
        <v>13816</v>
      </c>
      <c r="C10570" t="s">
        <v>163</v>
      </c>
      <c r="D10570">
        <v>0.99913897629800397</v>
      </c>
    </row>
    <row r="10571" spans="1:4" hidden="1" x14ac:dyDescent="0.3">
      <c r="A10571">
        <v>10569</v>
      </c>
      <c r="B10571" s="1" t="s">
        <v>13817</v>
      </c>
      <c r="C10571" t="s">
        <v>165</v>
      </c>
      <c r="D10571" s="1" t="s">
        <v>13818</v>
      </c>
    </row>
    <row r="10572" spans="1:4" hidden="1" x14ac:dyDescent="0.3">
      <c r="A10572">
        <v>10570</v>
      </c>
      <c r="B10572" t="s">
        <v>13819</v>
      </c>
      <c r="C10572" t="s">
        <v>168</v>
      </c>
      <c r="D10572">
        <v>0.99982651394675304</v>
      </c>
    </row>
    <row r="10573" spans="1:4" hidden="1" x14ac:dyDescent="0.3">
      <c r="A10573">
        <v>10571</v>
      </c>
      <c r="B10573" t="s">
        <v>13820</v>
      </c>
      <c r="C10573" t="s">
        <v>170</v>
      </c>
      <c r="D10573">
        <v>0.99980462222616096</v>
      </c>
    </row>
    <row r="10574" spans="1:4" hidden="1" x14ac:dyDescent="0.3">
      <c r="A10574">
        <v>10572</v>
      </c>
      <c r="B10574" s="1" t="s">
        <v>13821</v>
      </c>
      <c r="C10574" t="s">
        <v>172</v>
      </c>
      <c r="D10574" s="1" t="s">
        <v>13822</v>
      </c>
    </row>
    <row r="10575" spans="1:4" hidden="1" x14ac:dyDescent="0.3">
      <c r="A10575">
        <v>10573</v>
      </c>
      <c r="B10575" s="1" t="s">
        <v>13823</v>
      </c>
      <c r="C10575" t="s">
        <v>55</v>
      </c>
      <c r="D10575" s="1" t="s">
        <v>13824</v>
      </c>
    </row>
    <row r="10576" spans="1:4" hidden="1" x14ac:dyDescent="0.3">
      <c r="A10576">
        <v>10574</v>
      </c>
      <c r="B10576" s="1" t="s">
        <v>13825</v>
      </c>
      <c r="C10576" t="s">
        <v>52</v>
      </c>
      <c r="D10576" s="1" t="s">
        <v>13826</v>
      </c>
    </row>
    <row r="10577" spans="1:4" hidden="1" x14ac:dyDescent="0.3">
      <c r="A10577">
        <v>10575</v>
      </c>
      <c r="B10577" s="1" t="s">
        <v>13827</v>
      </c>
      <c r="C10577" t="s">
        <v>58</v>
      </c>
      <c r="D10577" s="1" t="s">
        <v>13828</v>
      </c>
    </row>
    <row r="10578" spans="1:4" hidden="1" x14ac:dyDescent="0.3">
      <c r="A10578">
        <v>10576</v>
      </c>
      <c r="B10578" t="s">
        <v>13829</v>
      </c>
      <c r="C10578" t="s">
        <v>61</v>
      </c>
      <c r="D10578">
        <v>145586723.05077499</v>
      </c>
    </row>
    <row r="10579" spans="1:4" hidden="1" x14ac:dyDescent="0.3">
      <c r="A10579">
        <v>10577</v>
      </c>
      <c r="B10579" t="s">
        <v>13830</v>
      </c>
      <c r="C10579" t="s">
        <v>63</v>
      </c>
      <c r="D10579">
        <v>79216182.134801894</v>
      </c>
    </row>
    <row r="10580" spans="1:4" hidden="1" x14ac:dyDescent="0.3">
      <c r="A10580">
        <v>10578</v>
      </c>
      <c r="B10580" t="s">
        <v>13831</v>
      </c>
      <c r="C10580" t="s">
        <v>65</v>
      </c>
      <c r="D10580">
        <v>34048608.495061003</v>
      </c>
    </row>
    <row r="10581" spans="1:4" hidden="1" x14ac:dyDescent="0.3">
      <c r="A10581">
        <v>10579</v>
      </c>
      <c r="B10581" s="1" t="s">
        <v>13832</v>
      </c>
      <c r="C10581" t="s">
        <v>67</v>
      </c>
      <c r="D10581" s="1" t="s">
        <v>13833</v>
      </c>
    </row>
    <row r="10582" spans="1:4" hidden="1" x14ac:dyDescent="0.3">
      <c r="A10582">
        <v>10580</v>
      </c>
      <c r="B10582" s="1" t="s">
        <v>13834</v>
      </c>
      <c r="C10582" t="s">
        <v>70</v>
      </c>
      <c r="D10582" s="1" t="s">
        <v>13835</v>
      </c>
    </row>
    <row r="10583" spans="1:4" hidden="1" x14ac:dyDescent="0.3">
      <c r="A10583">
        <v>10581</v>
      </c>
      <c r="B10583" t="s">
        <v>13836</v>
      </c>
      <c r="C10583" t="s">
        <v>73</v>
      </c>
      <c r="D10583">
        <v>0.99971109897391397</v>
      </c>
    </row>
    <row r="10584" spans="1:4" hidden="1" x14ac:dyDescent="0.3">
      <c r="A10584">
        <v>10582</v>
      </c>
      <c r="B10584" t="s">
        <v>74</v>
      </c>
      <c r="C10584" t="s">
        <v>75</v>
      </c>
      <c r="D10584">
        <v>2.7397260273972599E-3</v>
      </c>
    </row>
    <row r="10585" spans="1:4" hidden="1" x14ac:dyDescent="0.3">
      <c r="A10585">
        <v>10583</v>
      </c>
      <c r="B10585" t="s">
        <v>76</v>
      </c>
      <c r="C10585" t="s">
        <v>77</v>
      </c>
      <c r="D10585">
        <v>0</v>
      </c>
    </row>
    <row r="10586" spans="1:4" hidden="1" x14ac:dyDescent="0.3">
      <c r="A10586">
        <v>10584</v>
      </c>
      <c r="B10586" t="s">
        <v>78</v>
      </c>
      <c r="C10586" t="s">
        <v>79</v>
      </c>
      <c r="D10586">
        <v>0</v>
      </c>
    </row>
    <row r="10587" spans="1:4" hidden="1" x14ac:dyDescent="0.3">
      <c r="A10587">
        <v>10585</v>
      </c>
      <c r="B10587" s="1" t="s">
        <v>13837</v>
      </c>
      <c r="C10587" t="s">
        <v>81</v>
      </c>
      <c r="D10587" s="1" t="s">
        <v>13838</v>
      </c>
    </row>
    <row r="10588" spans="1:4" hidden="1" x14ac:dyDescent="0.3">
      <c r="A10588">
        <v>10586</v>
      </c>
      <c r="B10588" t="s">
        <v>13839</v>
      </c>
      <c r="C10588" t="s">
        <v>84</v>
      </c>
      <c r="D10588">
        <v>0.99972418983879197</v>
      </c>
    </row>
    <row r="10589" spans="1:4" hidden="1" x14ac:dyDescent="0.3">
      <c r="A10589">
        <v>10587</v>
      </c>
      <c r="B10589" s="1" t="s">
        <v>13840</v>
      </c>
      <c r="C10589" t="s">
        <v>86</v>
      </c>
      <c r="D10589" s="1" t="s">
        <v>13841</v>
      </c>
    </row>
    <row r="10590" spans="1:4" hidden="1" x14ac:dyDescent="0.3">
      <c r="A10590">
        <v>10588</v>
      </c>
      <c r="B10590" t="s">
        <v>13842</v>
      </c>
      <c r="C10590" t="s">
        <v>89</v>
      </c>
      <c r="D10590">
        <v>104284526.42562699</v>
      </c>
    </row>
    <row r="10591" spans="1:4" hidden="1" x14ac:dyDescent="0.3">
      <c r="A10591">
        <v>10589</v>
      </c>
      <c r="B10591" s="1" t="s">
        <v>13843</v>
      </c>
      <c r="C10591" t="s">
        <v>91</v>
      </c>
      <c r="D10591" s="1" t="s">
        <v>13777</v>
      </c>
    </row>
    <row r="10592" spans="1:4" hidden="1" x14ac:dyDescent="0.3">
      <c r="A10592">
        <v>10590</v>
      </c>
      <c r="B10592" t="s">
        <v>13844</v>
      </c>
      <c r="C10592" t="s">
        <v>94</v>
      </c>
      <c r="D10592">
        <v>79216182.134801894</v>
      </c>
    </row>
    <row r="10593" spans="1:4" hidden="1" x14ac:dyDescent="0.3">
      <c r="A10593">
        <v>10591</v>
      </c>
      <c r="B10593" t="s">
        <v>13845</v>
      </c>
      <c r="C10593" t="s">
        <v>96</v>
      </c>
      <c r="D10593">
        <v>34048608.495061003</v>
      </c>
    </row>
    <row r="10594" spans="1:4" hidden="1" x14ac:dyDescent="0.3">
      <c r="A10594">
        <v>10592</v>
      </c>
      <c r="B10594" t="s">
        <v>13846</v>
      </c>
      <c r="C10594" t="s">
        <v>98</v>
      </c>
      <c r="D10594">
        <v>32321932.420912098</v>
      </c>
    </row>
    <row r="10595" spans="1:4" hidden="1" x14ac:dyDescent="0.3">
      <c r="A10595">
        <v>10593</v>
      </c>
      <c r="B10595" s="1" t="s">
        <v>13847</v>
      </c>
      <c r="C10595" t="s">
        <v>100</v>
      </c>
      <c r="D10595" s="1" t="s">
        <v>13848</v>
      </c>
    </row>
    <row r="10596" spans="1:4" hidden="1" x14ac:dyDescent="0.3">
      <c r="A10596">
        <v>10594</v>
      </c>
      <c r="B10596" t="s">
        <v>13849</v>
      </c>
      <c r="C10596" t="s">
        <v>103</v>
      </c>
      <c r="D10596">
        <v>1.04232248549159E-2</v>
      </c>
    </row>
    <row r="10597" spans="1:4" hidden="1" x14ac:dyDescent="0.3">
      <c r="A10597">
        <v>10595</v>
      </c>
      <c r="B10597" t="s">
        <v>13850</v>
      </c>
      <c r="C10597" t="s">
        <v>105</v>
      </c>
      <c r="D10597">
        <v>2.78682470514105E-3</v>
      </c>
    </row>
    <row r="10598" spans="1:4" hidden="1" x14ac:dyDescent="0.3">
      <c r="A10598">
        <v>10596</v>
      </c>
      <c r="B10598" t="s">
        <v>13851</v>
      </c>
      <c r="C10598" t="s">
        <v>107</v>
      </c>
      <c r="D10598">
        <v>2.4613548553322599E-2</v>
      </c>
    </row>
    <row r="10599" spans="1:4" hidden="1" x14ac:dyDescent="0.3">
      <c r="A10599">
        <v>10597</v>
      </c>
      <c r="B10599" s="1" t="s">
        <v>13852</v>
      </c>
      <c r="C10599" t="s">
        <v>109</v>
      </c>
      <c r="D10599" s="1" t="s">
        <v>13853</v>
      </c>
    </row>
    <row r="10600" spans="1:4" hidden="1" x14ac:dyDescent="0.3">
      <c r="A10600">
        <v>10598</v>
      </c>
      <c r="B10600" t="s">
        <v>13854</v>
      </c>
      <c r="C10600" t="s">
        <v>208</v>
      </c>
      <c r="D10600">
        <v>145587195.62204501</v>
      </c>
    </row>
    <row r="10601" spans="1:4" hidden="1" x14ac:dyDescent="0.3">
      <c r="A10601">
        <v>10599</v>
      </c>
      <c r="B10601" t="s">
        <v>13855</v>
      </c>
      <c r="C10601" t="s">
        <v>210</v>
      </c>
      <c r="D10601">
        <v>-1037.3128792471</v>
      </c>
    </row>
    <row r="10602" spans="1:4" hidden="1" x14ac:dyDescent="0.3">
      <c r="A10602">
        <v>10600</v>
      </c>
      <c r="B10602" t="s">
        <v>13856</v>
      </c>
      <c r="C10602" t="s">
        <v>212</v>
      </c>
      <c r="D10602">
        <v>-445.85522123847602</v>
      </c>
    </row>
    <row r="10603" spans="1:4" hidden="1" x14ac:dyDescent="0.3">
      <c r="A10603">
        <v>10601</v>
      </c>
      <c r="B10603" s="1" t="s">
        <v>13857</v>
      </c>
      <c r="C10603" t="s">
        <v>214</v>
      </c>
      <c r="D10603" s="1" t="s">
        <v>13858</v>
      </c>
    </row>
    <row r="10604" spans="1:4" hidden="1" x14ac:dyDescent="0.3">
      <c r="A10604">
        <v>10602</v>
      </c>
      <c r="B10604" t="s">
        <v>13859</v>
      </c>
      <c r="C10604" t="s">
        <v>217</v>
      </c>
      <c r="D10604">
        <v>79217590.854911894</v>
      </c>
    </row>
    <row r="10605" spans="1:4" hidden="1" x14ac:dyDescent="0.3">
      <c r="A10605">
        <v>10603</v>
      </c>
      <c r="B10605" t="s">
        <v>13860</v>
      </c>
      <c r="C10605" t="s">
        <v>219</v>
      </c>
      <c r="D10605">
        <v>34049106.304581001</v>
      </c>
    </row>
    <row r="10606" spans="1:4" hidden="1" x14ac:dyDescent="0.3">
      <c r="A10606">
        <v>10604</v>
      </c>
      <c r="B10606" t="s">
        <v>13861</v>
      </c>
      <c r="C10606" t="s">
        <v>221</v>
      </c>
      <c r="D10606">
        <v>32322404.8756231</v>
      </c>
    </row>
    <row r="10607" spans="1:4" hidden="1" x14ac:dyDescent="0.3">
      <c r="A10607">
        <v>10605</v>
      </c>
      <c r="B10607" s="1" t="s">
        <v>13862</v>
      </c>
      <c r="C10607" t="s">
        <v>223</v>
      </c>
      <c r="D10607" s="1" t="s">
        <v>13863</v>
      </c>
    </row>
    <row r="10608" spans="1:4" hidden="1" x14ac:dyDescent="0.3">
      <c r="A10608">
        <v>10606</v>
      </c>
      <c r="B10608" t="s">
        <v>13864</v>
      </c>
      <c r="C10608" t="s">
        <v>226</v>
      </c>
      <c r="D10608">
        <v>104285891.99478599</v>
      </c>
    </row>
    <row r="10609" spans="1:4" hidden="1" x14ac:dyDescent="0.3">
      <c r="A10609">
        <v>10607</v>
      </c>
      <c r="B10609" t="s">
        <v>13865</v>
      </c>
      <c r="C10609" t="s">
        <v>228</v>
      </c>
      <c r="D10609">
        <v>-1365.5691585987799</v>
      </c>
    </row>
    <row r="10610" spans="1:4" hidden="1" x14ac:dyDescent="0.3">
      <c r="A10610">
        <v>10608</v>
      </c>
      <c r="B10610" s="1" t="s">
        <v>13866</v>
      </c>
      <c r="C10610" t="s">
        <v>230</v>
      </c>
      <c r="D10610" s="1" t="s">
        <v>13867</v>
      </c>
    </row>
    <row r="10611" spans="1:4" hidden="1" x14ac:dyDescent="0.3">
      <c r="A10611">
        <v>10609</v>
      </c>
      <c r="B10611" t="s">
        <v>13868</v>
      </c>
      <c r="C10611" t="s">
        <v>112</v>
      </c>
      <c r="D10611">
        <v>371.40723068719001</v>
      </c>
    </row>
    <row r="10612" spans="1:4" hidden="1" x14ac:dyDescent="0.3">
      <c r="A10612">
        <v>10610</v>
      </c>
      <c r="B10612" t="s">
        <v>13869</v>
      </c>
      <c r="C10612" t="s">
        <v>114</v>
      </c>
      <c r="D10612">
        <v>51.954298816443597</v>
      </c>
    </row>
    <row r="10613" spans="1:4" hidden="1" x14ac:dyDescent="0.3">
      <c r="A10613">
        <v>10611</v>
      </c>
      <c r="B10613" s="1" t="s">
        <v>13870</v>
      </c>
      <c r="C10613" t="s">
        <v>116</v>
      </c>
      <c r="D10613" s="1" t="s">
        <v>13871</v>
      </c>
    </row>
    <row r="10614" spans="1:4" hidden="1" x14ac:dyDescent="0.3">
      <c r="A10614">
        <v>10612</v>
      </c>
      <c r="B10614" t="s">
        <v>13872</v>
      </c>
      <c r="C10614" t="s">
        <v>119</v>
      </c>
      <c r="D10614">
        <v>79217590.854911894</v>
      </c>
    </row>
    <row r="10615" spans="1:4" hidden="1" x14ac:dyDescent="0.3">
      <c r="A10615">
        <v>10613</v>
      </c>
      <c r="B10615" t="s">
        <v>13873</v>
      </c>
      <c r="C10615" t="s">
        <v>121</v>
      </c>
      <c r="D10615">
        <v>34049106.304581001</v>
      </c>
    </row>
    <row r="10616" spans="1:4" hidden="1" x14ac:dyDescent="0.3">
      <c r="A10616">
        <v>10614</v>
      </c>
      <c r="B10616" s="1" t="s">
        <v>13874</v>
      </c>
      <c r="C10616" t="s">
        <v>123</v>
      </c>
      <c r="D10616" s="1" t="s">
        <v>13875</v>
      </c>
    </row>
    <row r="10617" spans="1:4" hidden="1" x14ac:dyDescent="0.3">
      <c r="A10617">
        <v>10615</v>
      </c>
      <c r="B10617" t="s">
        <v>13876</v>
      </c>
      <c r="C10617" t="s">
        <v>126</v>
      </c>
      <c r="D10617">
        <v>0.75982900834967204</v>
      </c>
    </row>
    <row r="10618" spans="1:4" hidden="1" x14ac:dyDescent="0.3">
      <c r="A10618">
        <v>10616</v>
      </c>
      <c r="B10618" t="s">
        <v>13877</v>
      </c>
      <c r="C10618" t="s">
        <v>128</v>
      </c>
      <c r="D10618">
        <v>0.32658779949501898</v>
      </c>
    </row>
    <row r="10619" spans="1:4" hidden="1" x14ac:dyDescent="0.3">
      <c r="A10619">
        <v>10617</v>
      </c>
      <c r="B10619" s="1" t="s">
        <v>13878</v>
      </c>
      <c r="C10619" t="s">
        <v>130</v>
      </c>
      <c r="D10619" s="1" t="s">
        <v>13879</v>
      </c>
    </row>
    <row r="10620" spans="1:4" ht="72" x14ac:dyDescent="0.3">
      <c r="A10620">
        <v>10618</v>
      </c>
      <c r="B10620" s="1" t="s">
        <v>13880</v>
      </c>
      <c r="C10620" t="s">
        <v>4</v>
      </c>
      <c r="D10620" t="s">
        <v>13881</v>
      </c>
    </row>
    <row r="10621" spans="1:4" hidden="1" x14ac:dyDescent="0.3">
      <c r="A10621">
        <v>10619</v>
      </c>
      <c r="B10621" t="s">
        <v>13882</v>
      </c>
      <c r="C10621" t="s">
        <v>7</v>
      </c>
      <c r="D10621">
        <v>1836.36</v>
      </c>
    </row>
    <row r="10622" spans="1:4" hidden="1" x14ac:dyDescent="0.3">
      <c r="A10622">
        <v>10620</v>
      </c>
      <c r="B10622" s="1" t="s">
        <v>13883</v>
      </c>
      <c r="C10622" t="s">
        <v>9</v>
      </c>
      <c r="D10622" s="1" t="s">
        <v>13884</v>
      </c>
    </row>
    <row r="10623" spans="1:4" hidden="1" x14ac:dyDescent="0.3">
      <c r="A10623">
        <v>10621</v>
      </c>
      <c r="B10623" t="s">
        <v>13885</v>
      </c>
      <c r="C10623" t="s">
        <v>14</v>
      </c>
      <c r="D10623">
        <v>89.46875</v>
      </c>
    </row>
    <row r="10624" spans="1:4" hidden="1" x14ac:dyDescent="0.3">
      <c r="A10624">
        <v>10622</v>
      </c>
      <c r="B10624" t="s">
        <v>13886</v>
      </c>
      <c r="C10624" t="s">
        <v>16</v>
      </c>
      <c r="D10624">
        <v>4.2212421081881297</v>
      </c>
    </row>
    <row r="10625" spans="1:4" hidden="1" x14ac:dyDescent="0.3">
      <c r="A10625">
        <v>10623</v>
      </c>
      <c r="B10625" s="1" t="s">
        <v>13887</v>
      </c>
      <c r="C10625" t="s">
        <v>140</v>
      </c>
      <c r="D10625" s="1" t="s">
        <v>13888</v>
      </c>
    </row>
    <row r="10626" spans="1:4" hidden="1" x14ac:dyDescent="0.3">
      <c r="A10626">
        <v>10624</v>
      </c>
      <c r="B10626" t="s">
        <v>13889</v>
      </c>
      <c r="C10626" t="s">
        <v>22</v>
      </c>
      <c r="D10626">
        <v>53.75</v>
      </c>
    </row>
    <row r="10627" spans="1:4" hidden="1" x14ac:dyDescent="0.3">
      <c r="A10627">
        <v>10625</v>
      </c>
      <c r="B10627" t="s">
        <v>13890</v>
      </c>
      <c r="C10627" t="s">
        <v>24</v>
      </c>
      <c r="D10627">
        <v>4.1416412937680596</v>
      </c>
    </row>
    <row r="10628" spans="1:4" hidden="1" x14ac:dyDescent="0.3">
      <c r="A10628">
        <v>10626</v>
      </c>
      <c r="B10628" s="1" t="s">
        <v>13891</v>
      </c>
      <c r="C10628" t="s">
        <v>145</v>
      </c>
      <c r="D10628" s="1" t="s">
        <v>13892</v>
      </c>
    </row>
    <row r="10629" spans="1:4" hidden="1" x14ac:dyDescent="0.3">
      <c r="A10629">
        <v>10627</v>
      </c>
      <c r="B10629" t="s">
        <v>13893</v>
      </c>
      <c r="C10629" t="s">
        <v>35</v>
      </c>
      <c r="D10629">
        <v>9.2900865058017593E-3</v>
      </c>
    </row>
    <row r="10630" spans="1:4" hidden="1" x14ac:dyDescent="0.3">
      <c r="A10630">
        <v>10628</v>
      </c>
      <c r="B10630" t="s">
        <v>13894</v>
      </c>
      <c r="C10630" t="s">
        <v>149</v>
      </c>
      <c r="D10630">
        <v>0.56593522171072497</v>
      </c>
    </row>
    <row r="10631" spans="1:4" hidden="1" x14ac:dyDescent="0.3">
      <c r="A10631">
        <v>10629</v>
      </c>
      <c r="B10631" s="1" t="s">
        <v>13895</v>
      </c>
      <c r="C10631" t="s">
        <v>151</v>
      </c>
      <c r="D10631" s="1" t="s">
        <v>13896</v>
      </c>
    </row>
    <row r="10632" spans="1:4" hidden="1" x14ac:dyDescent="0.3">
      <c r="A10632">
        <v>10630</v>
      </c>
      <c r="B10632" t="s">
        <v>13897</v>
      </c>
      <c r="C10632" t="s">
        <v>30</v>
      </c>
      <c r="D10632">
        <v>0.48149464642247097</v>
      </c>
    </row>
    <row r="10633" spans="1:4" hidden="1" x14ac:dyDescent="0.3">
      <c r="A10633">
        <v>10631</v>
      </c>
      <c r="B10633" t="s">
        <v>13898</v>
      </c>
      <c r="C10633" t="s">
        <v>32</v>
      </c>
      <c r="D10633">
        <v>0.34683131490498798</v>
      </c>
    </row>
    <row r="10634" spans="1:4" hidden="1" x14ac:dyDescent="0.3">
      <c r="A10634">
        <v>10632</v>
      </c>
      <c r="B10634" s="1" t="s">
        <v>13899</v>
      </c>
      <c r="C10634" t="s">
        <v>155</v>
      </c>
      <c r="D10634" s="1" t="s">
        <v>13900</v>
      </c>
    </row>
    <row r="10635" spans="1:4" hidden="1" x14ac:dyDescent="0.3">
      <c r="A10635">
        <v>10633</v>
      </c>
      <c r="B10635" t="s">
        <v>13901</v>
      </c>
      <c r="C10635" t="s">
        <v>40</v>
      </c>
      <c r="D10635">
        <v>0.50921526707172604</v>
      </c>
    </row>
    <row r="10636" spans="1:4" hidden="1" x14ac:dyDescent="0.3">
      <c r="A10636">
        <v>10634</v>
      </c>
      <c r="B10636" t="s">
        <v>13902</v>
      </c>
      <c r="C10636" t="s">
        <v>42</v>
      </c>
      <c r="D10636">
        <v>0.420155367735422</v>
      </c>
    </row>
    <row r="10637" spans="1:4" hidden="1" x14ac:dyDescent="0.3">
      <c r="A10637">
        <v>10635</v>
      </c>
      <c r="B10637" s="1" t="s">
        <v>13903</v>
      </c>
      <c r="C10637" t="s">
        <v>159</v>
      </c>
      <c r="D10637" s="1" t="s">
        <v>13904</v>
      </c>
    </row>
    <row r="10638" spans="1:4" hidden="1" x14ac:dyDescent="0.3">
      <c r="A10638">
        <v>10636</v>
      </c>
      <c r="B10638" t="s">
        <v>13905</v>
      </c>
      <c r="C10638" t="s">
        <v>161</v>
      </c>
      <c r="D10638">
        <v>1.0001906307699799</v>
      </c>
    </row>
    <row r="10639" spans="1:4" hidden="1" x14ac:dyDescent="0.3">
      <c r="A10639">
        <v>10637</v>
      </c>
      <c r="B10639" t="s">
        <v>13906</v>
      </c>
      <c r="C10639" t="s">
        <v>163</v>
      </c>
      <c r="D10639">
        <v>0.99946290481373001</v>
      </c>
    </row>
    <row r="10640" spans="1:4" hidden="1" x14ac:dyDescent="0.3">
      <c r="A10640">
        <v>10638</v>
      </c>
      <c r="B10640" s="1" t="s">
        <v>13907</v>
      </c>
      <c r="C10640" t="s">
        <v>165</v>
      </c>
      <c r="D10640" s="1" t="s">
        <v>13908</v>
      </c>
    </row>
    <row r="10641" spans="1:4" hidden="1" x14ac:dyDescent="0.3">
      <c r="A10641">
        <v>10639</v>
      </c>
      <c r="B10641" t="s">
        <v>13909</v>
      </c>
      <c r="C10641" t="s">
        <v>168</v>
      </c>
      <c r="D10641">
        <v>0.99604439836052905</v>
      </c>
    </row>
    <row r="10642" spans="1:4" hidden="1" x14ac:dyDescent="0.3">
      <c r="A10642">
        <v>10640</v>
      </c>
      <c r="B10642" t="s">
        <v>13910</v>
      </c>
      <c r="C10642" t="s">
        <v>170</v>
      </c>
      <c r="D10642">
        <v>1.0054581087899801</v>
      </c>
    </row>
    <row r="10643" spans="1:4" hidden="1" x14ac:dyDescent="0.3">
      <c r="A10643">
        <v>10641</v>
      </c>
      <c r="B10643" s="1" t="s">
        <v>13911</v>
      </c>
      <c r="C10643" t="s">
        <v>172</v>
      </c>
      <c r="D10643" s="1" t="s">
        <v>13912</v>
      </c>
    </row>
    <row r="10644" spans="1:4" hidden="1" x14ac:dyDescent="0.3">
      <c r="A10644">
        <v>10642</v>
      </c>
      <c r="B10644" s="1" t="s">
        <v>13913</v>
      </c>
      <c r="C10644" t="s">
        <v>55</v>
      </c>
      <c r="D10644" s="1" t="s">
        <v>13914</v>
      </c>
    </row>
    <row r="10645" spans="1:4" hidden="1" x14ac:dyDescent="0.3">
      <c r="A10645">
        <v>10643</v>
      </c>
      <c r="B10645" s="1" t="s">
        <v>13915</v>
      </c>
      <c r="C10645" t="s">
        <v>52</v>
      </c>
      <c r="D10645" s="1" t="s">
        <v>13916</v>
      </c>
    </row>
    <row r="10646" spans="1:4" hidden="1" x14ac:dyDescent="0.3">
      <c r="A10646">
        <v>10644</v>
      </c>
      <c r="B10646" s="1" t="s">
        <v>13917</v>
      </c>
      <c r="C10646" t="s">
        <v>58</v>
      </c>
      <c r="D10646" s="1" t="s">
        <v>13918</v>
      </c>
    </row>
    <row r="10647" spans="1:4" hidden="1" x14ac:dyDescent="0.3">
      <c r="A10647">
        <v>10645</v>
      </c>
      <c r="B10647" t="s">
        <v>13919</v>
      </c>
      <c r="C10647" t="s">
        <v>61</v>
      </c>
      <c r="D10647">
        <v>145544399.56367499</v>
      </c>
    </row>
    <row r="10648" spans="1:4" hidden="1" x14ac:dyDescent="0.3">
      <c r="A10648">
        <v>10646</v>
      </c>
      <c r="B10648" t="s">
        <v>13920</v>
      </c>
      <c r="C10648" t="s">
        <v>63</v>
      </c>
      <c r="D10648">
        <v>79232692.165252894</v>
      </c>
    </row>
    <row r="10649" spans="1:4" hidden="1" x14ac:dyDescent="0.3">
      <c r="A10649">
        <v>10647</v>
      </c>
      <c r="B10649" t="s">
        <v>13921</v>
      </c>
      <c r="C10649" t="s">
        <v>65</v>
      </c>
      <c r="D10649">
        <v>34030818.693488099</v>
      </c>
    </row>
    <row r="10650" spans="1:4" hidden="1" x14ac:dyDescent="0.3">
      <c r="A10650">
        <v>10648</v>
      </c>
      <c r="B10650" s="1" t="s">
        <v>13922</v>
      </c>
      <c r="C10650" t="s">
        <v>67</v>
      </c>
      <c r="D10650" s="1" t="s">
        <v>13923</v>
      </c>
    </row>
    <row r="10651" spans="1:4" hidden="1" x14ac:dyDescent="0.3">
      <c r="A10651">
        <v>10649</v>
      </c>
      <c r="B10651" s="1" t="s">
        <v>13924</v>
      </c>
      <c r="C10651" t="s">
        <v>70</v>
      </c>
      <c r="D10651" s="1" t="s">
        <v>13925</v>
      </c>
    </row>
    <row r="10652" spans="1:4" hidden="1" x14ac:dyDescent="0.3">
      <c r="A10652">
        <v>10650</v>
      </c>
      <c r="B10652" t="s">
        <v>13926</v>
      </c>
      <c r="C10652" t="s">
        <v>73</v>
      </c>
      <c r="D10652">
        <v>0.99972418983879197</v>
      </c>
    </row>
    <row r="10653" spans="1:4" hidden="1" x14ac:dyDescent="0.3">
      <c r="A10653">
        <v>10651</v>
      </c>
      <c r="B10653" t="s">
        <v>74</v>
      </c>
      <c r="C10653" t="s">
        <v>75</v>
      </c>
      <c r="D10653">
        <v>2.7397260273972599E-3</v>
      </c>
    </row>
    <row r="10654" spans="1:4" hidden="1" x14ac:dyDescent="0.3">
      <c r="A10654">
        <v>10652</v>
      </c>
      <c r="B10654" t="s">
        <v>76</v>
      </c>
      <c r="C10654" t="s">
        <v>77</v>
      </c>
      <c r="D10654">
        <v>0</v>
      </c>
    </row>
    <row r="10655" spans="1:4" hidden="1" x14ac:dyDescent="0.3">
      <c r="A10655">
        <v>10653</v>
      </c>
      <c r="B10655" t="s">
        <v>78</v>
      </c>
      <c r="C10655" t="s">
        <v>79</v>
      </c>
      <c r="D10655">
        <v>0</v>
      </c>
    </row>
    <row r="10656" spans="1:4" hidden="1" x14ac:dyDescent="0.3">
      <c r="A10656">
        <v>10654</v>
      </c>
      <c r="B10656" s="1" t="s">
        <v>13927</v>
      </c>
      <c r="C10656" t="s">
        <v>81</v>
      </c>
      <c r="D10656" s="1" t="s">
        <v>13928</v>
      </c>
    </row>
    <row r="10657" spans="1:4" hidden="1" x14ac:dyDescent="0.3">
      <c r="A10657">
        <v>10655</v>
      </c>
      <c r="B10657" t="s">
        <v>13929</v>
      </c>
      <c r="C10657" t="s">
        <v>84</v>
      </c>
      <c r="D10657">
        <v>0.999752515404421</v>
      </c>
    </row>
    <row r="10658" spans="1:4" hidden="1" x14ac:dyDescent="0.3">
      <c r="A10658">
        <v>10656</v>
      </c>
      <c r="B10658" s="1" t="s">
        <v>13930</v>
      </c>
      <c r="C10658" t="s">
        <v>86</v>
      </c>
      <c r="D10658" s="1" t="s">
        <v>13931</v>
      </c>
    </row>
    <row r="10659" spans="1:4" hidden="1" x14ac:dyDescent="0.3">
      <c r="A10659">
        <v>10657</v>
      </c>
      <c r="B10659" t="s">
        <v>13932</v>
      </c>
      <c r="C10659" t="s">
        <v>89</v>
      </c>
      <c r="D10659">
        <v>104281571.776199</v>
      </c>
    </row>
    <row r="10660" spans="1:4" hidden="1" x14ac:dyDescent="0.3">
      <c r="A10660">
        <v>10658</v>
      </c>
      <c r="B10660" s="1" t="s">
        <v>13933</v>
      </c>
      <c r="C10660" t="s">
        <v>91</v>
      </c>
      <c r="D10660" s="1" t="s">
        <v>13867</v>
      </c>
    </row>
    <row r="10661" spans="1:4" hidden="1" x14ac:dyDescent="0.3">
      <c r="A10661">
        <v>10659</v>
      </c>
      <c r="B10661" t="s">
        <v>13934</v>
      </c>
      <c r="C10661" t="s">
        <v>94</v>
      </c>
      <c r="D10661">
        <v>79232692.165252894</v>
      </c>
    </row>
    <row r="10662" spans="1:4" hidden="1" x14ac:dyDescent="0.3">
      <c r="A10662">
        <v>10660</v>
      </c>
      <c r="B10662" t="s">
        <v>13935</v>
      </c>
      <c r="C10662" t="s">
        <v>96</v>
      </c>
      <c r="D10662">
        <v>34030818.693488099</v>
      </c>
    </row>
    <row r="10663" spans="1:4" hidden="1" x14ac:dyDescent="0.3">
      <c r="A10663">
        <v>10661</v>
      </c>
      <c r="B10663" t="s">
        <v>13936</v>
      </c>
      <c r="C10663" t="s">
        <v>98</v>
      </c>
      <c r="D10663">
        <v>32280888.704934299</v>
      </c>
    </row>
    <row r="10664" spans="1:4" hidden="1" x14ac:dyDescent="0.3">
      <c r="A10664">
        <v>10662</v>
      </c>
      <c r="B10664" s="1" t="s">
        <v>13937</v>
      </c>
      <c r="C10664" t="s">
        <v>100</v>
      </c>
      <c r="D10664" s="1" t="s">
        <v>13938</v>
      </c>
    </row>
    <row r="10665" spans="1:4" hidden="1" x14ac:dyDescent="0.3">
      <c r="A10665">
        <v>10663</v>
      </c>
      <c r="B10665" t="s">
        <v>13939</v>
      </c>
      <c r="C10665" t="s">
        <v>103</v>
      </c>
      <c r="D10665">
        <v>1.02847520815033E-2</v>
      </c>
    </row>
    <row r="10666" spans="1:4" hidden="1" x14ac:dyDescent="0.3">
      <c r="A10666">
        <v>10664</v>
      </c>
      <c r="B10666" t="s">
        <v>13940</v>
      </c>
      <c r="C10666" t="s">
        <v>105</v>
      </c>
      <c r="D10666">
        <v>2.7811943519068499E-3</v>
      </c>
    </row>
    <row r="10667" spans="1:4" hidden="1" x14ac:dyDescent="0.3">
      <c r="A10667">
        <v>10665</v>
      </c>
      <c r="B10667" t="s">
        <v>13941</v>
      </c>
      <c r="C10667" t="s">
        <v>107</v>
      </c>
      <c r="D10667">
        <v>2.46104575260097E-2</v>
      </c>
    </row>
    <row r="10668" spans="1:4" hidden="1" x14ac:dyDescent="0.3">
      <c r="A10668">
        <v>10666</v>
      </c>
      <c r="B10668" s="1" t="s">
        <v>13942</v>
      </c>
      <c r="C10668" t="s">
        <v>109</v>
      </c>
      <c r="D10668" s="1" t="s">
        <v>13943</v>
      </c>
    </row>
    <row r="10669" spans="1:4" hidden="1" x14ac:dyDescent="0.3">
      <c r="A10669">
        <v>10667</v>
      </c>
      <c r="B10669" t="s">
        <v>13944</v>
      </c>
      <c r="C10669" t="s">
        <v>208</v>
      </c>
      <c r="D10669">
        <v>145545419.822689</v>
      </c>
    </row>
    <row r="10670" spans="1:4" hidden="1" x14ac:dyDescent="0.3">
      <c r="A10670">
        <v>10668</v>
      </c>
      <c r="B10670" t="s">
        <v>13945</v>
      </c>
      <c r="C10670" t="s">
        <v>210</v>
      </c>
      <c r="D10670">
        <v>-2244.9504855425098</v>
      </c>
    </row>
    <row r="10671" spans="1:4" hidden="1" x14ac:dyDescent="0.3">
      <c r="A10671">
        <v>10669</v>
      </c>
      <c r="B10671" t="s">
        <v>13946</v>
      </c>
      <c r="C10671" t="s">
        <v>212</v>
      </c>
      <c r="D10671">
        <v>-964.212458943147</v>
      </c>
    </row>
    <row r="10672" spans="1:4" hidden="1" x14ac:dyDescent="0.3">
      <c r="A10672">
        <v>10670</v>
      </c>
      <c r="B10672" s="1" t="s">
        <v>13947</v>
      </c>
      <c r="C10672" t="s">
        <v>214</v>
      </c>
      <c r="D10672" s="1" t="s">
        <v>13948</v>
      </c>
    </row>
    <row r="10673" spans="1:4" hidden="1" x14ac:dyDescent="0.3">
      <c r="A10673">
        <v>10671</v>
      </c>
      <c r="B10673" t="s">
        <v>13949</v>
      </c>
      <c r="C10673" t="s">
        <v>217</v>
      </c>
      <c r="D10673">
        <v>79235660.259356394</v>
      </c>
    </row>
    <row r="10674" spans="1:4" hidden="1" x14ac:dyDescent="0.3">
      <c r="A10674">
        <v>10672</v>
      </c>
      <c r="B10674" t="s">
        <v>13950</v>
      </c>
      <c r="C10674" t="s">
        <v>219</v>
      </c>
      <c r="D10674">
        <v>34031935.807348102</v>
      </c>
    </row>
    <row r="10675" spans="1:4" hidden="1" x14ac:dyDescent="0.3">
      <c r="A10675">
        <v>10673</v>
      </c>
      <c r="B10675" t="s">
        <v>13951</v>
      </c>
      <c r="C10675" t="s">
        <v>221</v>
      </c>
      <c r="D10675">
        <v>32281947.549710199</v>
      </c>
    </row>
    <row r="10676" spans="1:4" hidden="1" x14ac:dyDescent="0.3">
      <c r="A10676">
        <v>10674</v>
      </c>
      <c r="B10676" s="1" t="s">
        <v>13952</v>
      </c>
      <c r="C10676" t="s">
        <v>223</v>
      </c>
      <c r="D10676" s="1" t="s">
        <v>13953</v>
      </c>
    </row>
    <row r="10677" spans="1:4" hidden="1" x14ac:dyDescent="0.3">
      <c r="A10677">
        <v>10675</v>
      </c>
      <c r="B10677" t="s">
        <v>13954</v>
      </c>
      <c r="C10677" t="s">
        <v>226</v>
      </c>
      <c r="D10677">
        <v>104284526.42562699</v>
      </c>
    </row>
    <row r="10678" spans="1:4" hidden="1" x14ac:dyDescent="0.3">
      <c r="A10678">
        <v>10676</v>
      </c>
      <c r="B10678" t="s">
        <v>13955</v>
      </c>
      <c r="C10678" t="s">
        <v>228</v>
      </c>
      <c r="D10678">
        <v>-2954.6494276374501</v>
      </c>
    </row>
    <row r="10679" spans="1:4" hidden="1" x14ac:dyDescent="0.3">
      <c r="A10679">
        <v>10677</v>
      </c>
      <c r="B10679" s="1" t="s">
        <v>13956</v>
      </c>
      <c r="C10679" t="s">
        <v>230</v>
      </c>
      <c r="D10679" s="1" t="s">
        <v>13957</v>
      </c>
    </row>
    <row r="10680" spans="1:4" hidden="1" x14ac:dyDescent="0.3">
      <c r="A10680">
        <v>10678</v>
      </c>
      <c r="B10680" t="s">
        <v>13958</v>
      </c>
      <c r="C10680" t="s">
        <v>112</v>
      </c>
      <c r="D10680">
        <v>723.14361800162999</v>
      </c>
    </row>
    <row r="10681" spans="1:4" hidden="1" x14ac:dyDescent="0.3">
      <c r="A10681">
        <v>10679</v>
      </c>
      <c r="B10681" t="s">
        <v>13959</v>
      </c>
      <c r="C10681" t="s">
        <v>114</v>
      </c>
      <c r="D10681">
        <v>152.901401118991</v>
      </c>
    </row>
    <row r="10682" spans="1:4" hidden="1" x14ac:dyDescent="0.3">
      <c r="A10682">
        <v>10680</v>
      </c>
      <c r="B10682" s="1" t="s">
        <v>13960</v>
      </c>
      <c r="C10682" t="s">
        <v>116</v>
      </c>
      <c r="D10682" s="1" t="s">
        <v>13961</v>
      </c>
    </row>
    <row r="10683" spans="1:4" hidden="1" x14ac:dyDescent="0.3">
      <c r="A10683">
        <v>10681</v>
      </c>
      <c r="B10683" t="s">
        <v>13962</v>
      </c>
      <c r="C10683" t="s">
        <v>119</v>
      </c>
      <c r="D10683">
        <v>79235660.259356394</v>
      </c>
    </row>
    <row r="10684" spans="1:4" hidden="1" x14ac:dyDescent="0.3">
      <c r="A10684">
        <v>10682</v>
      </c>
      <c r="B10684" t="s">
        <v>13963</v>
      </c>
      <c r="C10684" t="s">
        <v>121</v>
      </c>
      <c r="D10684">
        <v>34031935.807348102</v>
      </c>
    </row>
    <row r="10685" spans="1:4" hidden="1" x14ac:dyDescent="0.3">
      <c r="A10685">
        <v>10683</v>
      </c>
      <c r="B10685" s="1" t="s">
        <v>13964</v>
      </c>
      <c r="C10685" t="s">
        <v>123</v>
      </c>
      <c r="D10685" s="1" t="s">
        <v>13965</v>
      </c>
    </row>
    <row r="10686" spans="1:4" hidden="1" x14ac:dyDescent="0.3">
      <c r="A10686">
        <v>10684</v>
      </c>
      <c r="B10686" t="s">
        <v>13966</v>
      </c>
      <c r="C10686" t="s">
        <v>126</v>
      </c>
      <c r="D10686">
        <v>0.759990742974607</v>
      </c>
    </row>
    <row r="10687" spans="1:4" hidden="1" x14ac:dyDescent="0.3">
      <c r="A10687">
        <v>10685</v>
      </c>
      <c r="B10687" t="s">
        <v>13967</v>
      </c>
      <c r="C10687" t="s">
        <v>128</v>
      </c>
      <c r="D10687">
        <v>0.32641813161437699</v>
      </c>
    </row>
    <row r="10688" spans="1:4" hidden="1" x14ac:dyDescent="0.3">
      <c r="A10688">
        <v>10686</v>
      </c>
      <c r="B10688" s="1" t="s">
        <v>13968</v>
      </c>
      <c r="C10688" t="s">
        <v>130</v>
      </c>
      <c r="D10688" s="1" t="s">
        <v>13969</v>
      </c>
    </row>
    <row r="10689" spans="1:4" ht="72" x14ac:dyDescent="0.3">
      <c r="A10689">
        <v>10687</v>
      </c>
      <c r="B10689" s="1" t="s">
        <v>13970</v>
      </c>
      <c r="C10689" t="s">
        <v>4</v>
      </c>
      <c r="D10689" t="s">
        <v>13971</v>
      </c>
    </row>
    <row r="10690" spans="1:4" hidden="1" x14ac:dyDescent="0.3">
      <c r="A10690">
        <v>10688</v>
      </c>
      <c r="B10690" t="s">
        <v>13972</v>
      </c>
      <c r="C10690" t="s">
        <v>7</v>
      </c>
      <c r="D10690">
        <v>1842.36</v>
      </c>
    </row>
    <row r="10691" spans="1:4" hidden="1" x14ac:dyDescent="0.3">
      <c r="A10691">
        <v>10689</v>
      </c>
      <c r="B10691" s="1" t="s">
        <v>13973</v>
      </c>
      <c r="C10691" t="s">
        <v>9</v>
      </c>
      <c r="D10691" s="1" t="s">
        <v>13974</v>
      </c>
    </row>
    <row r="10692" spans="1:4" hidden="1" x14ac:dyDescent="0.3">
      <c r="A10692">
        <v>10690</v>
      </c>
      <c r="B10692" t="s">
        <v>13975</v>
      </c>
      <c r="C10692" t="s">
        <v>14</v>
      </c>
      <c r="D10692">
        <v>89.62890625</v>
      </c>
    </row>
    <row r="10693" spans="1:4" hidden="1" x14ac:dyDescent="0.3">
      <c r="A10693">
        <v>10691</v>
      </c>
      <c r="B10693" t="s">
        <v>13976</v>
      </c>
      <c r="C10693" t="s">
        <v>16</v>
      </c>
      <c r="D10693">
        <v>4.2236422914410197</v>
      </c>
    </row>
    <row r="10694" spans="1:4" hidden="1" x14ac:dyDescent="0.3">
      <c r="A10694">
        <v>10692</v>
      </c>
      <c r="B10694" s="1" t="s">
        <v>13977</v>
      </c>
      <c r="C10694" t="s">
        <v>140</v>
      </c>
      <c r="D10694" s="1" t="s">
        <v>13978</v>
      </c>
    </row>
    <row r="10695" spans="1:4" hidden="1" x14ac:dyDescent="0.3">
      <c r="A10695">
        <v>10693</v>
      </c>
      <c r="B10695" t="s">
        <v>13979</v>
      </c>
      <c r="C10695" t="s">
        <v>22</v>
      </c>
      <c r="D10695">
        <v>53.05</v>
      </c>
    </row>
    <row r="10696" spans="1:4" hidden="1" x14ac:dyDescent="0.3">
      <c r="A10696">
        <v>10694</v>
      </c>
      <c r="B10696" t="s">
        <v>13980</v>
      </c>
      <c r="C10696" t="s">
        <v>24</v>
      </c>
      <c r="D10696">
        <v>4.2271204509840903</v>
      </c>
    </row>
    <row r="10697" spans="1:4" hidden="1" x14ac:dyDescent="0.3">
      <c r="A10697">
        <v>10695</v>
      </c>
      <c r="B10697" s="1" t="s">
        <v>13981</v>
      </c>
      <c r="C10697" t="s">
        <v>145</v>
      </c>
      <c r="D10697" s="1" t="s">
        <v>13982</v>
      </c>
    </row>
    <row r="10698" spans="1:4" hidden="1" x14ac:dyDescent="0.3">
      <c r="A10698">
        <v>10696</v>
      </c>
      <c r="B10698" t="s">
        <v>13983</v>
      </c>
      <c r="C10698" t="s">
        <v>35</v>
      </c>
      <c r="D10698">
        <v>0.153853155865813</v>
      </c>
    </row>
    <row r="10699" spans="1:4" hidden="1" x14ac:dyDescent="0.3">
      <c r="A10699">
        <v>10697</v>
      </c>
      <c r="B10699" t="s">
        <v>13984</v>
      </c>
      <c r="C10699" t="s">
        <v>149</v>
      </c>
      <c r="D10699">
        <v>0.56777004807417897</v>
      </c>
    </row>
    <row r="10700" spans="1:4" hidden="1" x14ac:dyDescent="0.3">
      <c r="A10700">
        <v>10698</v>
      </c>
      <c r="B10700" s="1" t="s">
        <v>13985</v>
      </c>
      <c r="C10700" t="s">
        <v>151</v>
      </c>
      <c r="D10700" s="1" t="s">
        <v>13986</v>
      </c>
    </row>
    <row r="10701" spans="1:4" hidden="1" x14ac:dyDescent="0.3">
      <c r="A10701">
        <v>10699</v>
      </c>
      <c r="B10701" t="s">
        <v>13987</v>
      </c>
      <c r="C10701" t="s">
        <v>30</v>
      </c>
      <c r="D10701">
        <v>0.407129848033706</v>
      </c>
    </row>
    <row r="10702" spans="1:4" hidden="1" x14ac:dyDescent="0.3">
      <c r="A10702">
        <v>10700</v>
      </c>
      <c r="B10702" t="s">
        <v>13988</v>
      </c>
      <c r="C10702" t="s">
        <v>32</v>
      </c>
      <c r="D10702">
        <v>0.34742040818351</v>
      </c>
    </row>
    <row r="10703" spans="1:4" hidden="1" x14ac:dyDescent="0.3">
      <c r="A10703">
        <v>10701</v>
      </c>
      <c r="B10703" s="1" t="s">
        <v>13989</v>
      </c>
      <c r="C10703" t="s">
        <v>155</v>
      </c>
      <c r="D10703" s="1" t="s">
        <v>13990</v>
      </c>
    </row>
    <row r="10704" spans="1:4" hidden="1" x14ac:dyDescent="0.3">
      <c r="A10704">
        <v>10702</v>
      </c>
      <c r="B10704" t="s">
        <v>13991</v>
      </c>
      <c r="C10704" t="s">
        <v>40</v>
      </c>
      <c r="D10704">
        <v>0.43901699610048001</v>
      </c>
    </row>
    <row r="10705" spans="1:4" hidden="1" x14ac:dyDescent="0.3">
      <c r="A10705">
        <v>10703</v>
      </c>
      <c r="B10705" t="s">
        <v>13992</v>
      </c>
      <c r="C10705" t="s">
        <v>42</v>
      </c>
      <c r="D10705">
        <v>0.41385601594612098</v>
      </c>
    </row>
    <row r="10706" spans="1:4" hidden="1" x14ac:dyDescent="0.3">
      <c r="A10706">
        <v>10704</v>
      </c>
      <c r="B10706" s="1" t="s">
        <v>13993</v>
      </c>
      <c r="C10706" t="s">
        <v>159</v>
      </c>
      <c r="D10706" s="1" t="s">
        <v>13994</v>
      </c>
    </row>
    <row r="10707" spans="1:4" hidden="1" x14ac:dyDescent="0.3">
      <c r="A10707">
        <v>10705</v>
      </c>
      <c r="B10707" t="s">
        <v>13995</v>
      </c>
      <c r="C10707" t="s">
        <v>161</v>
      </c>
      <c r="D10707">
        <v>1.0032673332026401</v>
      </c>
    </row>
    <row r="10708" spans="1:4" hidden="1" x14ac:dyDescent="0.3">
      <c r="A10708">
        <v>10706</v>
      </c>
      <c r="B10708" t="s">
        <v>13996</v>
      </c>
      <c r="C10708" t="s">
        <v>163</v>
      </c>
      <c r="D10708">
        <v>1.00173504586343</v>
      </c>
    </row>
    <row r="10709" spans="1:4" hidden="1" x14ac:dyDescent="0.3">
      <c r="A10709">
        <v>10707</v>
      </c>
      <c r="B10709" s="1" t="s">
        <v>13997</v>
      </c>
      <c r="C10709" t="s">
        <v>165</v>
      </c>
      <c r="D10709" s="1" t="s">
        <v>13998</v>
      </c>
    </row>
    <row r="10710" spans="1:4" hidden="1" x14ac:dyDescent="0.3">
      <c r="A10710">
        <v>10708</v>
      </c>
      <c r="B10710" t="s">
        <v>13999</v>
      </c>
      <c r="C10710" t="s">
        <v>168</v>
      </c>
      <c r="D10710">
        <v>1.0011717128129001</v>
      </c>
    </row>
    <row r="10711" spans="1:4" hidden="1" x14ac:dyDescent="0.3">
      <c r="A10711">
        <v>10709</v>
      </c>
      <c r="B10711" t="s">
        <v>14000</v>
      </c>
      <c r="C10711" t="s">
        <v>170</v>
      </c>
      <c r="D10711">
        <v>1.00043739202675</v>
      </c>
    </row>
    <row r="10712" spans="1:4" hidden="1" x14ac:dyDescent="0.3">
      <c r="A10712">
        <v>10710</v>
      </c>
      <c r="B10712" s="1" t="s">
        <v>14001</v>
      </c>
      <c r="C10712" t="s">
        <v>172</v>
      </c>
      <c r="D10712" s="1" t="s">
        <v>14002</v>
      </c>
    </row>
    <row r="10713" spans="1:4" hidden="1" x14ac:dyDescent="0.3">
      <c r="A10713">
        <v>10711</v>
      </c>
      <c r="B10713" s="1" t="s">
        <v>14003</v>
      </c>
      <c r="C10713" t="s">
        <v>55</v>
      </c>
      <c r="D10713" s="1" t="s">
        <v>14004</v>
      </c>
    </row>
    <row r="10714" spans="1:4" hidden="1" x14ac:dyDescent="0.3">
      <c r="A10714">
        <v>10712</v>
      </c>
      <c r="B10714" s="1" t="s">
        <v>14005</v>
      </c>
      <c r="C10714" t="s">
        <v>52</v>
      </c>
      <c r="D10714" s="1" t="s">
        <v>14006</v>
      </c>
    </row>
    <row r="10715" spans="1:4" hidden="1" x14ac:dyDescent="0.3">
      <c r="A10715">
        <v>10713</v>
      </c>
      <c r="B10715" s="1" t="s">
        <v>14007</v>
      </c>
      <c r="C10715" t="s">
        <v>58</v>
      </c>
      <c r="D10715" s="1" t="s">
        <v>14008</v>
      </c>
    </row>
    <row r="10716" spans="1:4" hidden="1" x14ac:dyDescent="0.3">
      <c r="A10716">
        <v>10714</v>
      </c>
      <c r="B10716" t="s">
        <v>14009</v>
      </c>
      <c r="C10716" t="s">
        <v>61</v>
      </c>
      <c r="D10716">
        <v>145524806.41930801</v>
      </c>
    </row>
    <row r="10717" spans="1:4" hidden="1" x14ac:dyDescent="0.3">
      <c r="A10717">
        <v>10715</v>
      </c>
      <c r="B10717" t="s">
        <v>14010</v>
      </c>
      <c r="C10717" t="s">
        <v>63</v>
      </c>
      <c r="D10717">
        <v>79494549.562954903</v>
      </c>
    </row>
    <row r="10718" spans="1:4" hidden="1" x14ac:dyDescent="0.3">
      <c r="A10718">
        <v>10716</v>
      </c>
      <c r="B10718" t="s">
        <v>14011</v>
      </c>
      <c r="C10718" t="s">
        <v>65</v>
      </c>
      <c r="D10718">
        <v>34090982.776795499</v>
      </c>
    </row>
    <row r="10719" spans="1:4" hidden="1" x14ac:dyDescent="0.3">
      <c r="A10719">
        <v>10717</v>
      </c>
      <c r="B10719" s="1" t="s">
        <v>14012</v>
      </c>
      <c r="C10719" t="s">
        <v>67</v>
      </c>
      <c r="D10719" s="1" t="s">
        <v>14013</v>
      </c>
    </row>
    <row r="10720" spans="1:4" hidden="1" x14ac:dyDescent="0.3">
      <c r="A10720">
        <v>10718</v>
      </c>
      <c r="B10720" s="1" t="s">
        <v>14014</v>
      </c>
      <c r="C10720" t="s">
        <v>70</v>
      </c>
      <c r="D10720" s="1" t="s">
        <v>14015</v>
      </c>
    </row>
    <row r="10721" spans="1:4" hidden="1" x14ac:dyDescent="0.3">
      <c r="A10721">
        <v>10719</v>
      </c>
      <c r="B10721" t="s">
        <v>14016</v>
      </c>
      <c r="C10721" t="s">
        <v>73</v>
      </c>
      <c r="D10721">
        <v>0.999752515404421</v>
      </c>
    </row>
    <row r="10722" spans="1:4" hidden="1" x14ac:dyDescent="0.3">
      <c r="A10722">
        <v>10720</v>
      </c>
      <c r="B10722" t="s">
        <v>74</v>
      </c>
      <c r="C10722" t="s">
        <v>75</v>
      </c>
      <c r="D10722">
        <v>2.7397260273972599E-3</v>
      </c>
    </row>
    <row r="10723" spans="1:4" hidden="1" x14ac:dyDescent="0.3">
      <c r="A10723">
        <v>10721</v>
      </c>
      <c r="B10723" t="s">
        <v>76</v>
      </c>
      <c r="C10723" t="s">
        <v>77</v>
      </c>
      <c r="D10723">
        <v>0</v>
      </c>
    </row>
    <row r="10724" spans="1:4" hidden="1" x14ac:dyDescent="0.3">
      <c r="A10724">
        <v>10722</v>
      </c>
      <c r="B10724" t="s">
        <v>188</v>
      </c>
      <c r="C10724" t="s">
        <v>79</v>
      </c>
      <c r="D10724" s="2">
        <v>-2.2204460492503101E-16</v>
      </c>
    </row>
    <row r="10725" spans="1:4" hidden="1" x14ac:dyDescent="0.3">
      <c r="A10725">
        <v>10723</v>
      </c>
      <c r="B10725" s="1" t="s">
        <v>14017</v>
      </c>
      <c r="C10725" t="s">
        <v>81</v>
      </c>
      <c r="D10725" s="1" t="s">
        <v>14018</v>
      </c>
    </row>
    <row r="10726" spans="1:4" hidden="1" x14ac:dyDescent="0.3">
      <c r="A10726">
        <v>10724</v>
      </c>
      <c r="B10726" t="s">
        <v>14019</v>
      </c>
      <c r="C10726" t="s">
        <v>84</v>
      </c>
      <c r="D10726">
        <v>0.99980360666389601</v>
      </c>
    </row>
    <row r="10727" spans="1:4" hidden="1" x14ac:dyDescent="0.3">
      <c r="A10727">
        <v>10725</v>
      </c>
      <c r="B10727" s="1" t="s">
        <v>14020</v>
      </c>
      <c r="C10727" t="s">
        <v>86</v>
      </c>
      <c r="D10727" s="1" t="s">
        <v>14021</v>
      </c>
    </row>
    <row r="10728" spans="1:4" hidden="1" x14ac:dyDescent="0.3">
      <c r="A10728">
        <v>10726</v>
      </c>
      <c r="B10728" t="s">
        <v>14022</v>
      </c>
      <c r="C10728" t="s">
        <v>89</v>
      </c>
      <c r="D10728">
        <v>104276242.85279199</v>
      </c>
    </row>
    <row r="10729" spans="1:4" hidden="1" x14ac:dyDescent="0.3">
      <c r="A10729">
        <v>10727</v>
      </c>
      <c r="B10729" s="1" t="s">
        <v>14023</v>
      </c>
      <c r="C10729" t="s">
        <v>91</v>
      </c>
      <c r="D10729" s="1" t="s">
        <v>13957</v>
      </c>
    </row>
    <row r="10730" spans="1:4" hidden="1" x14ac:dyDescent="0.3">
      <c r="A10730">
        <v>10728</v>
      </c>
      <c r="B10730" t="s">
        <v>14024</v>
      </c>
      <c r="C10730" t="s">
        <v>94</v>
      </c>
      <c r="D10730">
        <v>79494549.562954903</v>
      </c>
    </row>
    <row r="10731" spans="1:4" hidden="1" x14ac:dyDescent="0.3">
      <c r="A10731">
        <v>10729</v>
      </c>
      <c r="B10731" t="s">
        <v>14025</v>
      </c>
      <c r="C10731" t="s">
        <v>96</v>
      </c>
      <c r="D10731">
        <v>34090982.776795499</v>
      </c>
    </row>
    <row r="10732" spans="1:4" hidden="1" x14ac:dyDescent="0.3">
      <c r="A10732">
        <v>10730</v>
      </c>
      <c r="B10732" t="s">
        <v>14026</v>
      </c>
      <c r="C10732" t="s">
        <v>98</v>
      </c>
      <c r="D10732">
        <v>31939274.079557698</v>
      </c>
    </row>
    <row r="10733" spans="1:4" hidden="1" x14ac:dyDescent="0.3">
      <c r="A10733">
        <v>10731</v>
      </c>
      <c r="B10733" s="1" t="s">
        <v>14027</v>
      </c>
      <c r="C10733" t="s">
        <v>100</v>
      </c>
      <c r="D10733" s="1" t="s">
        <v>14028</v>
      </c>
    </row>
    <row r="10734" spans="1:4" hidden="1" x14ac:dyDescent="0.3">
      <c r="A10734">
        <v>10732</v>
      </c>
      <c r="B10734" t="s">
        <v>14029</v>
      </c>
      <c r="C10734" t="s">
        <v>103</v>
      </c>
      <c r="D10734">
        <v>1.0272907716922099E-2</v>
      </c>
    </row>
    <row r="10735" spans="1:4" hidden="1" x14ac:dyDescent="0.3">
      <c r="A10735">
        <v>10733</v>
      </c>
      <c r="B10735" t="s">
        <v>14030</v>
      </c>
      <c r="C10735" t="s">
        <v>105</v>
      </c>
      <c r="D10735">
        <v>2.7838607258515499E-3</v>
      </c>
    </row>
    <row r="10736" spans="1:4" hidden="1" x14ac:dyDescent="0.3">
      <c r="A10736">
        <v>10734</v>
      </c>
      <c r="B10736" t="s">
        <v>14031</v>
      </c>
      <c r="C10736" t="s">
        <v>107</v>
      </c>
      <c r="D10736">
        <v>2.4618731227744699E-2</v>
      </c>
    </row>
    <row r="10737" spans="1:4" hidden="1" x14ac:dyDescent="0.3">
      <c r="A10737">
        <v>10735</v>
      </c>
      <c r="B10737" s="1" t="s">
        <v>14032</v>
      </c>
      <c r="C10737" t="s">
        <v>109</v>
      </c>
      <c r="D10737" s="1" t="s">
        <v>14033</v>
      </c>
    </row>
    <row r="10738" spans="1:4" hidden="1" x14ac:dyDescent="0.3">
      <c r="A10738">
        <v>10736</v>
      </c>
      <c r="B10738" t="s">
        <v>14034</v>
      </c>
      <c r="C10738" t="s">
        <v>208</v>
      </c>
      <c r="D10738">
        <v>145526650.30066401</v>
      </c>
    </row>
    <row r="10739" spans="1:4" hidden="1" x14ac:dyDescent="0.3">
      <c r="A10739">
        <v>10737</v>
      </c>
      <c r="B10739" t="s">
        <v>14035</v>
      </c>
      <c r="C10739" t="s">
        <v>210</v>
      </c>
      <c r="D10739">
        <v>-4062.5489580614499</v>
      </c>
    </row>
    <row r="10740" spans="1:4" hidden="1" x14ac:dyDescent="0.3">
      <c r="A10740">
        <v>10738</v>
      </c>
      <c r="B10740" t="s">
        <v>14036</v>
      </c>
      <c r="C10740" t="s">
        <v>212</v>
      </c>
      <c r="D10740">
        <v>-1742.1965951724101</v>
      </c>
    </row>
    <row r="10741" spans="1:4" hidden="1" x14ac:dyDescent="0.3">
      <c r="A10741">
        <v>10739</v>
      </c>
      <c r="B10741" s="1" t="s">
        <v>14037</v>
      </c>
      <c r="C10741" t="s">
        <v>214</v>
      </c>
      <c r="D10741" s="1" t="s">
        <v>14038</v>
      </c>
    </row>
    <row r="10742" spans="1:4" hidden="1" x14ac:dyDescent="0.3">
      <c r="A10742">
        <v>10740</v>
      </c>
      <c r="B10742" t="s">
        <v>14039</v>
      </c>
      <c r="C10742" t="s">
        <v>217</v>
      </c>
      <c r="D10742">
        <v>79499921.165944695</v>
      </c>
    </row>
    <row r="10743" spans="1:4" hidden="1" x14ac:dyDescent="0.3">
      <c r="A10743">
        <v>10741</v>
      </c>
      <c r="B10743" t="s">
        <v>14040</v>
      </c>
      <c r="C10743" t="s">
        <v>219</v>
      </c>
      <c r="D10743">
        <v>34093002.546331197</v>
      </c>
    </row>
    <row r="10744" spans="1:4" hidden="1" x14ac:dyDescent="0.3">
      <c r="A10744">
        <v>10742</v>
      </c>
      <c r="B10744" t="s">
        <v>14041</v>
      </c>
      <c r="C10744" t="s">
        <v>221</v>
      </c>
      <c r="D10744">
        <v>31941163.568777699</v>
      </c>
    </row>
    <row r="10745" spans="1:4" hidden="1" x14ac:dyDescent="0.3">
      <c r="A10745">
        <v>10743</v>
      </c>
      <c r="B10745" s="1" t="s">
        <v>14042</v>
      </c>
      <c r="C10745" t="s">
        <v>223</v>
      </c>
      <c r="D10745" s="1" t="s">
        <v>14043</v>
      </c>
    </row>
    <row r="10746" spans="1:4" hidden="1" x14ac:dyDescent="0.3">
      <c r="A10746">
        <v>10744</v>
      </c>
      <c r="B10746" t="s">
        <v>14044</v>
      </c>
      <c r="C10746" t="s">
        <v>226</v>
      </c>
      <c r="D10746">
        <v>104281571.776199</v>
      </c>
    </row>
    <row r="10747" spans="1:4" hidden="1" x14ac:dyDescent="0.3">
      <c r="A10747">
        <v>10745</v>
      </c>
      <c r="B10747" t="s">
        <v>14045</v>
      </c>
      <c r="C10747" t="s">
        <v>228</v>
      </c>
      <c r="D10747">
        <v>-5328.9234071075898</v>
      </c>
    </row>
    <row r="10748" spans="1:4" hidden="1" x14ac:dyDescent="0.3">
      <c r="A10748">
        <v>10746</v>
      </c>
      <c r="B10748" s="1" t="s">
        <v>14046</v>
      </c>
      <c r="C10748" t="s">
        <v>230</v>
      </c>
      <c r="D10748" s="1" t="s">
        <v>14047</v>
      </c>
    </row>
    <row r="10749" spans="1:4" hidden="1" x14ac:dyDescent="0.3">
      <c r="A10749">
        <v>10747</v>
      </c>
      <c r="B10749" t="s">
        <v>14048</v>
      </c>
      <c r="C10749" t="s">
        <v>112</v>
      </c>
      <c r="D10749">
        <v>1309.0540317161201</v>
      </c>
    </row>
    <row r="10750" spans="1:4" hidden="1" x14ac:dyDescent="0.3">
      <c r="A10750">
        <v>10748</v>
      </c>
      <c r="B10750" t="s">
        <v>14049</v>
      </c>
      <c r="C10750" t="s">
        <v>114</v>
      </c>
      <c r="D10750">
        <v>277.57294056232899</v>
      </c>
    </row>
    <row r="10751" spans="1:4" hidden="1" x14ac:dyDescent="0.3">
      <c r="A10751">
        <v>10749</v>
      </c>
      <c r="B10751" s="1" t="s">
        <v>14050</v>
      </c>
      <c r="C10751" t="s">
        <v>116</v>
      </c>
      <c r="D10751" s="1" t="s">
        <v>14051</v>
      </c>
    </row>
    <row r="10752" spans="1:4" hidden="1" x14ac:dyDescent="0.3">
      <c r="A10752">
        <v>10750</v>
      </c>
      <c r="B10752" t="s">
        <v>14052</v>
      </c>
      <c r="C10752" t="s">
        <v>119</v>
      </c>
      <c r="D10752">
        <v>79499921.165944695</v>
      </c>
    </row>
    <row r="10753" spans="1:4" hidden="1" x14ac:dyDescent="0.3">
      <c r="A10753">
        <v>10751</v>
      </c>
      <c r="B10753" t="s">
        <v>14053</v>
      </c>
      <c r="C10753" t="s">
        <v>121</v>
      </c>
      <c r="D10753">
        <v>34093002.546331197</v>
      </c>
    </row>
    <row r="10754" spans="1:4" hidden="1" x14ac:dyDescent="0.3">
      <c r="A10754">
        <v>10752</v>
      </c>
      <c r="B10754" s="1" t="s">
        <v>14054</v>
      </c>
      <c r="C10754" t="s">
        <v>123</v>
      </c>
      <c r="D10754" s="1" t="s">
        <v>14055</v>
      </c>
    </row>
    <row r="10755" spans="1:4" hidden="1" x14ac:dyDescent="0.3">
      <c r="A10755">
        <v>10753</v>
      </c>
      <c r="B10755" t="s">
        <v>14056</v>
      </c>
      <c r="C10755" t="s">
        <v>126</v>
      </c>
      <c r="D10755">
        <v>0.76250804560438901</v>
      </c>
    </row>
    <row r="10756" spans="1:4" hidden="1" x14ac:dyDescent="0.3">
      <c r="A10756">
        <v>10754</v>
      </c>
      <c r="B10756" t="s">
        <v>14057</v>
      </c>
      <c r="C10756" t="s">
        <v>128</v>
      </c>
      <c r="D10756">
        <v>0.32699640904203098</v>
      </c>
    </row>
    <row r="10757" spans="1:4" hidden="1" x14ac:dyDescent="0.3">
      <c r="A10757">
        <v>10755</v>
      </c>
      <c r="B10757" s="1" t="s">
        <v>14058</v>
      </c>
      <c r="C10757" t="s">
        <v>130</v>
      </c>
      <c r="D10757" s="1" t="s">
        <v>14059</v>
      </c>
    </row>
    <row r="10758" spans="1:4" ht="72" x14ac:dyDescent="0.3">
      <c r="A10758">
        <v>10756</v>
      </c>
      <c r="B10758" s="1" t="s">
        <v>14060</v>
      </c>
      <c r="C10758" t="s">
        <v>4</v>
      </c>
      <c r="D10758" t="s">
        <v>14061</v>
      </c>
    </row>
    <row r="10759" spans="1:4" hidden="1" x14ac:dyDescent="0.3">
      <c r="A10759">
        <v>10757</v>
      </c>
      <c r="B10759" t="s">
        <v>14062</v>
      </c>
      <c r="C10759" t="s">
        <v>7</v>
      </c>
      <c r="D10759">
        <v>1835.09</v>
      </c>
    </row>
    <row r="10760" spans="1:4" hidden="1" x14ac:dyDescent="0.3">
      <c r="A10760">
        <v>10758</v>
      </c>
      <c r="B10760" s="1" t="s">
        <v>14063</v>
      </c>
      <c r="C10760" t="s">
        <v>9</v>
      </c>
      <c r="D10760" s="1" t="s">
        <v>14064</v>
      </c>
    </row>
    <row r="10761" spans="1:4" hidden="1" x14ac:dyDescent="0.3">
      <c r="A10761">
        <v>10759</v>
      </c>
      <c r="B10761" t="s">
        <v>14065</v>
      </c>
      <c r="C10761" t="s">
        <v>14</v>
      </c>
      <c r="D10761">
        <v>89.34765625</v>
      </c>
    </row>
    <row r="10762" spans="1:4" hidden="1" x14ac:dyDescent="0.3">
      <c r="A10762">
        <v>10760</v>
      </c>
      <c r="B10762" t="s">
        <v>14066</v>
      </c>
      <c r="C10762" t="s">
        <v>16</v>
      </c>
      <c r="D10762">
        <v>4.2151176674154396</v>
      </c>
    </row>
    <row r="10763" spans="1:4" hidden="1" x14ac:dyDescent="0.3">
      <c r="A10763">
        <v>10761</v>
      </c>
      <c r="B10763" s="1" t="s">
        <v>14067</v>
      </c>
      <c r="C10763" t="s">
        <v>140</v>
      </c>
      <c r="D10763" s="1" t="s">
        <v>14068</v>
      </c>
    </row>
    <row r="10764" spans="1:4" hidden="1" x14ac:dyDescent="0.3">
      <c r="A10764">
        <v>10762</v>
      </c>
      <c r="B10764" t="s">
        <v>14069</v>
      </c>
      <c r="C10764" t="s">
        <v>22</v>
      </c>
      <c r="D10764">
        <v>52.75</v>
      </c>
    </row>
    <row r="10765" spans="1:4" hidden="1" x14ac:dyDescent="0.3">
      <c r="A10765">
        <v>10763</v>
      </c>
      <c r="B10765" t="s">
        <v>14070</v>
      </c>
      <c r="C10765" t="s">
        <v>24</v>
      </c>
      <c r="D10765">
        <v>4.1816565576982301</v>
      </c>
    </row>
    <row r="10766" spans="1:4" hidden="1" x14ac:dyDescent="0.3">
      <c r="A10766">
        <v>10764</v>
      </c>
      <c r="B10766" s="1" t="s">
        <v>14071</v>
      </c>
      <c r="C10766" t="s">
        <v>145</v>
      </c>
      <c r="D10766" s="1" t="s">
        <v>14072</v>
      </c>
    </row>
    <row r="10767" spans="1:4" hidden="1" x14ac:dyDescent="0.3">
      <c r="A10767">
        <v>10765</v>
      </c>
      <c r="B10767" t="s">
        <v>14073</v>
      </c>
      <c r="C10767" t="s">
        <v>35</v>
      </c>
      <c r="D10767">
        <v>-0.37383797073646102</v>
      </c>
    </row>
    <row r="10768" spans="1:4" hidden="1" x14ac:dyDescent="0.3">
      <c r="A10768">
        <v>10766</v>
      </c>
      <c r="B10768" t="s">
        <v>14074</v>
      </c>
      <c r="C10768" t="s">
        <v>149</v>
      </c>
      <c r="D10768">
        <v>0.56450299542004501</v>
      </c>
    </row>
    <row r="10769" spans="1:4" hidden="1" x14ac:dyDescent="0.3">
      <c r="A10769">
        <v>10767</v>
      </c>
      <c r="B10769" s="1" t="s">
        <v>14075</v>
      </c>
      <c r="C10769" t="s">
        <v>151</v>
      </c>
      <c r="D10769" s="1" t="s">
        <v>14076</v>
      </c>
    </row>
    <row r="10770" spans="1:4" hidden="1" x14ac:dyDescent="0.3">
      <c r="A10770">
        <v>10768</v>
      </c>
      <c r="B10770" t="s">
        <v>14077</v>
      </c>
      <c r="C10770" t="s">
        <v>30</v>
      </c>
      <c r="D10770">
        <v>0.66821558963286698</v>
      </c>
    </row>
    <row r="10771" spans="1:4" hidden="1" x14ac:dyDescent="0.3">
      <c r="A10771">
        <v>10769</v>
      </c>
      <c r="B10771" t="s">
        <v>14078</v>
      </c>
      <c r="C10771" t="s">
        <v>32</v>
      </c>
      <c r="D10771">
        <v>0.348728575051304</v>
      </c>
    </row>
    <row r="10772" spans="1:4" hidden="1" x14ac:dyDescent="0.3">
      <c r="A10772">
        <v>10770</v>
      </c>
      <c r="B10772" s="1" t="s">
        <v>14079</v>
      </c>
      <c r="C10772" t="s">
        <v>155</v>
      </c>
      <c r="D10772" s="1" t="s">
        <v>14080</v>
      </c>
    </row>
    <row r="10773" spans="1:4" hidden="1" x14ac:dyDescent="0.3">
      <c r="A10773">
        <v>10771</v>
      </c>
      <c r="B10773" t="s">
        <v>14081</v>
      </c>
      <c r="C10773" t="s">
        <v>40</v>
      </c>
      <c r="D10773">
        <v>0.70562238110359399</v>
      </c>
    </row>
    <row r="10774" spans="1:4" hidden="1" x14ac:dyDescent="0.3">
      <c r="A10774">
        <v>10772</v>
      </c>
      <c r="B10774" t="s">
        <v>14082</v>
      </c>
      <c r="C10774" t="s">
        <v>42</v>
      </c>
      <c r="D10774">
        <v>0.42274121007517002</v>
      </c>
    </row>
    <row r="10775" spans="1:4" hidden="1" x14ac:dyDescent="0.3">
      <c r="A10775">
        <v>10773</v>
      </c>
      <c r="B10775" s="1" t="s">
        <v>14083</v>
      </c>
      <c r="C10775" t="s">
        <v>159</v>
      </c>
      <c r="D10775" s="1" t="s">
        <v>14084</v>
      </c>
    </row>
    <row r="10776" spans="1:4" hidden="1" x14ac:dyDescent="0.3">
      <c r="A10776">
        <v>10774</v>
      </c>
      <c r="B10776" t="s">
        <v>14085</v>
      </c>
      <c r="C10776" t="s">
        <v>161</v>
      </c>
      <c r="D10776">
        <v>0.99605397425041797</v>
      </c>
    </row>
    <row r="10777" spans="1:4" hidden="1" x14ac:dyDescent="0.3">
      <c r="A10777">
        <v>10775</v>
      </c>
      <c r="B10777" t="s">
        <v>14086</v>
      </c>
      <c r="C10777" t="s">
        <v>163</v>
      </c>
      <c r="D10777">
        <v>0.99691244799923895</v>
      </c>
    </row>
    <row r="10778" spans="1:4" hidden="1" x14ac:dyDescent="0.3">
      <c r="A10778">
        <v>10776</v>
      </c>
      <c r="B10778" s="1" t="s">
        <v>14087</v>
      </c>
      <c r="C10778" t="s">
        <v>165</v>
      </c>
      <c r="D10778" s="1" t="s">
        <v>14088</v>
      </c>
    </row>
    <row r="10779" spans="1:4" hidden="1" x14ac:dyDescent="0.3">
      <c r="A10779">
        <v>10777</v>
      </c>
      <c r="B10779" t="s">
        <v>14089</v>
      </c>
      <c r="C10779" t="s">
        <v>168</v>
      </c>
      <c r="D10779">
        <v>0.99791611489315801</v>
      </c>
    </row>
    <row r="10780" spans="1:4" hidden="1" x14ac:dyDescent="0.3">
      <c r="A10780">
        <v>10778</v>
      </c>
      <c r="B10780" t="s">
        <v>14090</v>
      </c>
      <c r="C10780" t="s">
        <v>170</v>
      </c>
      <c r="D10780">
        <v>1.0009708676370399</v>
      </c>
    </row>
    <row r="10781" spans="1:4" hidden="1" x14ac:dyDescent="0.3">
      <c r="A10781">
        <v>10779</v>
      </c>
      <c r="B10781" s="1" t="s">
        <v>14091</v>
      </c>
      <c r="C10781" t="s">
        <v>172</v>
      </c>
      <c r="D10781" s="1" t="s">
        <v>14092</v>
      </c>
    </row>
    <row r="10782" spans="1:4" hidden="1" x14ac:dyDescent="0.3">
      <c r="A10782">
        <v>10780</v>
      </c>
      <c r="B10782" s="1" t="s">
        <v>14093</v>
      </c>
      <c r="C10782" t="s">
        <v>55</v>
      </c>
      <c r="D10782" s="1" t="s">
        <v>14094</v>
      </c>
    </row>
    <row r="10783" spans="1:4" hidden="1" x14ac:dyDescent="0.3">
      <c r="A10783">
        <v>10781</v>
      </c>
      <c r="B10783" s="1" t="s">
        <v>14095</v>
      </c>
      <c r="C10783" t="s">
        <v>52</v>
      </c>
      <c r="D10783" s="1" t="s">
        <v>14096</v>
      </c>
    </row>
    <row r="10784" spans="1:4" hidden="1" x14ac:dyDescent="0.3">
      <c r="A10784">
        <v>10782</v>
      </c>
      <c r="B10784" s="1" t="s">
        <v>14097</v>
      </c>
      <c r="C10784" t="s">
        <v>58</v>
      </c>
      <c r="D10784" s="1" t="s">
        <v>14098</v>
      </c>
    </row>
    <row r="10785" spans="1:4" hidden="1" x14ac:dyDescent="0.3">
      <c r="A10785">
        <v>10783</v>
      </c>
      <c r="B10785" t="s">
        <v>14099</v>
      </c>
      <c r="C10785" t="s">
        <v>61</v>
      </c>
      <c r="D10785">
        <v>144922463.20447701</v>
      </c>
    </row>
    <row r="10786" spans="1:4" hidden="1" x14ac:dyDescent="0.3">
      <c r="A10786">
        <v>10784</v>
      </c>
      <c r="B10786" t="s">
        <v>14100</v>
      </c>
      <c r="C10786" t="s">
        <v>63</v>
      </c>
      <c r="D10786">
        <v>79186212.429934204</v>
      </c>
    </row>
    <row r="10787" spans="1:4" hidden="1" x14ac:dyDescent="0.3">
      <c r="A10787">
        <v>10785</v>
      </c>
      <c r="B10787" t="s">
        <v>14101</v>
      </c>
      <c r="C10787" t="s">
        <v>65</v>
      </c>
      <c r="D10787">
        <v>33987738.628107399</v>
      </c>
    </row>
    <row r="10788" spans="1:4" hidden="1" x14ac:dyDescent="0.3">
      <c r="A10788">
        <v>10786</v>
      </c>
      <c r="B10788" s="1" t="s">
        <v>14102</v>
      </c>
      <c r="C10788" t="s">
        <v>67</v>
      </c>
      <c r="D10788" s="1" t="s">
        <v>14103</v>
      </c>
    </row>
    <row r="10789" spans="1:4" hidden="1" x14ac:dyDescent="0.3">
      <c r="A10789">
        <v>10787</v>
      </c>
      <c r="B10789" s="1" t="s">
        <v>14104</v>
      </c>
      <c r="C10789" t="s">
        <v>70</v>
      </c>
      <c r="D10789" s="1" t="s">
        <v>14105</v>
      </c>
    </row>
    <row r="10790" spans="1:4" hidden="1" x14ac:dyDescent="0.3">
      <c r="A10790">
        <v>10788</v>
      </c>
      <c r="B10790" t="s">
        <v>14106</v>
      </c>
      <c r="C10790" t="s">
        <v>73</v>
      </c>
      <c r="D10790">
        <v>0.99980360666389601</v>
      </c>
    </row>
    <row r="10791" spans="1:4" hidden="1" x14ac:dyDescent="0.3">
      <c r="A10791">
        <v>10789</v>
      </c>
      <c r="B10791" t="s">
        <v>74</v>
      </c>
      <c r="C10791" t="s">
        <v>75</v>
      </c>
      <c r="D10791">
        <v>2.7397260273972599E-3</v>
      </c>
    </row>
    <row r="10792" spans="1:4" hidden="1" x14ac:dyDescent="0.3">
      <c r="A10792">
        <v>10790</v>
      </c>
      <c r="B10792" t="s">
        <v>76</v>
      </c>
      <c r="C10792" t="s">
        <v>77</v>
      </c>
      <c r="D10792">
        <v>0</v>
      </c>
    </row>
    <row r="10793" spans="1:4" hidden="1" x14ac:dyDescent="0.3">
      <c r="A10793">
        <v>10791</v>
      </c>
      <c r="B10793" t="s">
        <v>78</v>
      </c>
      <c r="C10793" t="s">
        <v>79</v>
      </c>
      <c r="D10793">
        <v>0</v>
      </c>
    </row>
    <row r="10794" spans="1:4" hidden="1" x14ac:dyDescent="0.3">
      <c r="A10794">
        <v>10792</v>
      </c>
      <c r="B10794" s="1" t="s">
        <v>14107</v>
      </c>
      <c r="C10794" t="s">
        <v>81</v>
      </c>
      <c r="D10794" s="1" t="s">
        <v>14108</v>
      </c>
    </row>
    <row r="10795" spans="1:4" hidden="1" x14ac:dyDescent="0.3">
      <c r="A10795">
        <v>10793</v>
      </c>
      <c r="B10795" t="s">
        <v>14109</v>
      </c>
      <c r="C10795" t="s">
        <v>84</v>
      </c>
      <c r="D10795">
        <v>0.99981119783962202</v>
      </c>
    </row>
    <row r="10796" spans="1:4" hidden="1" x14ac:dyDescent="0.3">
      <c r="A10796">
        <v>10794</v>
      </c>
      <c r="B10796" s="1" t="s">
        <v>14110</v>
      </c>
      <c r="C10796" t="s">
        <v>86</v>
      </c>
      <c r="D10796" s="1" t="s">
        <v>14111</v>
      </c>
    </row>
    <row r="10797" spans="1:4" hidden="1" x14ac:dyDescent="0.3">
      <c r="A10797">
        <v>10795</v>
      </c>
      <c r="B10797" t="s">
        <v>14112</v>
      </c>
      <c r="C10797" t="s">
        <v>89</v>
      </c>
      <c r="D10797">
        <v>104275451.124029</v>
      </c>
    </row>
    <row r="10798" spans="1:4" hidden="1" x14ac:dyDescent="0.3">
      <c r="A10798">
        <v>10796</v>
      </c>
      <c r="B10798" s="1" t="s">
        <v>14113</v>
      </c>
      <c r="C10798" t="s">
        <v>91</v>
      </c>
      <c r="D10798" s="1" t="s">
        <v>14047</v>
      </c>
    </row>
    <row r="10799" spans="1:4" hidden="1" x14ac:dyDescent="0.3">
      <c r="A10799">
        <v>10797</v>
      </c>
      <c r="B10799" t="s">
        <v>14114</v>
      </c>
      <c r="C10799" t="s">
        <v>94</v>
      </c>
      <c r="D10799">
        <v>79186212.429934204</v>
      </c>
    </row>
    <row r="10800" spans="1:4" hidden="1" x14ac:dyDescent="0.3">
      <c r="A10800">
        <v>10798</v>
      </c>
      <c r="B10800" t="s">
        <v>14115</v>
      </c>
      <c r="C10800" t="s">
        <v>96</v>
      </c>
      <c r="D10800">
        <v>33987738.628107399</v>
      </c>
    </row>
    <row r="10801" spans="1:4" hidden="1" x14ac:dyDescent="0.3">
      <c r="A10801">
        <v>10799</v>
      </c>
      <c r="B10801" t="s">
        <v>14116</v>
      </c>
      <c r="C10801" t="s">
        <v>98</v>
      </c>
      <c r="D10801">
        <v>31748512.146435399</v>
      </c>
    </row>
    <row r="10802" spans="1:4" hidden="1" x14ac:dyDescent="0.3">
      <c r="A10802">
        <v>10800</v>
      </c>
      <c r="B10802" s="1" t="s">
        <v>14117</v>
      </c>
      <c r="C10802" t="s">
        <v>100</v>
      </c>
      <c r="D10802" s="1" t="s">
        <v>14118</v>
      </c>
    </row>
    <row r="10803" spans="1:4" hidden="1" x14ac:dyDescent="0.3">
      <c r="A10803">
        <v>10801</v>
      </c>
      <c r="B10803" t="s">
        <v>14119</v>
      </c>
      <c r="C10803" t="s">
        <v>103</v>
      </c>
      <c r="D10803">
        <v>1.02753036643927E-2</v>
      </c>
    </row>
    <row r="10804" spans="1:4" hidden="1" x14ac:dyDescent="0.3">
      <c r="A10804">
        <v>10802</v>
      </c>
      <c r="B10804" t="s">
        <v>14120</v>
      </c>
      <c r="C10804" t="s">
        <v>105</v>
      </c>
      <c r="D10804">
        <v>2.7947607630762501E-3</v>
      </c>
    </row>
    <row r="10805" spans="1:4" hidden="1" x14ac:dyDescent="0.3">
      <c r="A10805">
        <v>10803</v>
      </c>
      <c r="B10805" t="s">
        <v>14121</v>
      </c>
      <c r="C10805" t="s">
        <v>107</v>
      </c>
      <c r="D10805">
        <v>2.4597742715213099E-2</v>
      </c>
    </row>
    <row r="10806" spans="1:4" hidden="1" x14ac:dyDescent="0.3">
      <c r="A10806">
        <v>10804</v>
      </c>
      <c r="B10806" s="1" t="s">
        <v>14122</v>
      </c>
      <c r="C10806" t="s">
        <v>109</v>
      </c>
      <c r="D10806" s="1" t="s">
        <v>14123</v>
      </c>
    </row>
    <row r="10807" spans="1:4" hidden="1" x14ac:dyDescent="0.3">
      <c r="A10807">
        <v>10805</v>
      </c>
      <c r="B10807" t="s">
        <v>14124</v>
      </c>
      <c r="C10807" t="s">
        <v>208</v>
      </c>
      <c r="D10807">
        <v>144922737.15388101</v>
      </c>
    </row>
    <row r="10808" spans="1:4" hidden="1" x14ac:dyDescent="0.3">
      <c r="A10808">
        <v>10806</v>
      </c>
      <c r="B10808" t="s">
        <v>14125</v>
      </c>
      <c r="C10808" t="s">
        <v>210</v>
      </c>
      <c r="D10808">
        <v>-601.23609557638702</v>
      </c>
    </row>
    <row r="10809" spans="1:4" hidden="1" x14ac:dyDescent="0.3">
      <c r="A10809">
        <v>10807</v>
      </c>
      <c r="B10809" t="s">
        <v>14126</v>
      </c>
      <c r="C10809" t="s">
        <v>212</v>
      </c>
      <c r="D10809">
        <v>-258.05780639612198</v>
      </c>
    </row>
    <row r="10810" spans="1:4" hidden="1" x14ac:dyDescent="0.3">
      <c r="A10810">
        <v>10808</v>
      </c>
      <c r="B10810" s="1" t="s">
        <v>14127</v>
      </c>
      <c r="C10810" t="s">
        <v>214</v>
      </c>
      <c r="D10810" s="1" t="s">
        <v>14128</v>
      </c>
    </row>
    <row r="10811" spans="1:4" hidden="1" x14ac:dyDescent="0.3">
      <c r="A10811">
        <v>10809</v>
      </c>
      <c r="B10811" t="s">
        <v>14129</v>
      </c>
      <c r="C10811" t="s">
        <v>217</v>
      </c>
      <c r="D10811">
        <v>79187019.584325001</v>
      </c>
    </row>
    <row r="10812" spans="1:4" hidden="1" x14ac:dyDescent="0.3">
      <c r="A10812">
        <v>10810</v>
      </c>
      <c r="B10812" t="s">
        <v>14130</v>
      </c>
      <c r="C10812" t="s">
        <v>219</v>
      </c>
      <c r="D10812">
        <v>33988026.865531802</v>
      </c>
    </row>
    <row r="10813" spans="1:4" hidden="1" x14ac:dyDescent="0.3">
      <c r="A10813">
        <v>10811</v>
      </c>
      <c r="B10813" t="s">
        <v>14131</v>
      </c>
      <c r="C10813" t="s">
        <v>221</v>
      </c>
      <c r="D10813">
        <v>31748791.054090701</v>
      </c>
    </row>
    <row r="10814" spans="1:4" hidden="1" x14ac:dyDescent="0.3">
      <c r="A10814">
        <v>10812</v>
      </c>
      <c r="B10814" s="1" t="s">
        <v>14132</v>
      </c>
      <c r="C10814" t="s">
        <v>223</v>
      </c>
      <c r="D10814" s="1" t="s">
        <v>14133</v>
      </c>
    </row>
    <row r="10815" spans="1:4" hidden="1" x14ac:dyDescent="0.3">
      <c r="A10815">
        <v>10813</v>
      </c>
      <c r="B10815" t="s">
        <v>14134</v>
      </c>
      <c r="C10815" t="s">
        <v>226</v>
      </c>
      <c r="D10815">
        <v>104276242.85279199</v>
      </c>
    </row>
    <row r="10816" spans="1:4" hidden="1" x14ac:dyDescent="0.3">
      <c r="A10816">
        <v>10814</v>
      </c>
      <c r="B10816" t="s">
        <v>14135</v>
      </c>
      <c r="C10816" t="s">
        <v>228</v>
      </c>
      <c r="D10816">
        <v>-791.72876366972901</v>
      </c>
    </row>
    <row r="10817" spans="1:4" hidden="1" x14ac:dyDescent="0.3">
      <c r="A10817">
        <v>10815</v>
      </c>
      <c r="B10817" s="1" t="s">
        <v>14136</v>
      </c>
      <c r="C10817" t="s">
        <v>230</v>
      </c>
      <c r="D10817" s="1" t="s">
        <v>14137</v>
      </c>
    </row>
    <row r="10818" spans="1:4" hidden="1" x14ac:dyDescent="0.3">
      <c r="A10818">
        <v>10816</v>
      </c>
      <c r="B10818" t="s">
        <v>14138</v>
      </c>
      <c r="C10818" t="s">
        <v>112</v>
      </c>
      <c r="D10818">
        <v>205.91829530095299</v>
      </c>
    </row>
    <row r="10819" spans="1:4" hidden="1" x14ac:dyDescent="0.3">
      <c r="A10819">
        <v>10817</v>
      </c>
      <c r="B10819" t="s">
        <v>14139</v>
      </c>
      <c r="C10819" t="s">
        <v>114</v>
      </c>
      <c r="D10819">
        <v>30.179618050682599</v>
      </c>
    </row>
    <row r="10820" spans="1:4" hidden="1" x14ac:dyDescent="0.3">
      <c r="A10820">
        <v>10818</v>
      </c>
      <c r="B10820" s="1" t="s">
        <v>14140</v>
      </c>
      <c r="C10820" t="s">
        <v>116</v>
      </c>
      <c r="D10820" s="1" t="s">
        <v>14141</v>
      </c>
    </row>
    <row r="10821" spans="1:4" hidden="1" x14ac:dyDescent="0.3">
      <c r="A10821">
        <v>10819</v>
      </c>
      <c r="B10821" t="s">
        <v>14142</v>
      </c>
      <c r="C10821" t="s">
        <v>119</v>
      </c>
      <c r="D10821">
        <v>79187019.584325001</v>
      </c>
    </row>
    <row r="10822" spans="1:4" hidden="1" x14ac:dyDescent="0.3">
      <c r="A10822">
        <v>10820</v>
      </c>
      <c r="B10822" t="s">
        <v>14143</v>
      </c>
      <c r="C10822" t="s">
        <v>121</v>
      </c>
      <c r="D10822">
        <v>33988026.865531802</v>
      </c>
    </row>
    <row r="10823" spans="1:4" hidden="1" x14ac:dyDescent="0.3">
      <c r="A10823">
        <v>10821</v>
      </c>
      <c r="B10823" s="1" t="s">
        <v>14144</v>
      </c>
      <c r="C10823" t="s">
        <v>123</v>
      </c>
      <c r="D10823" s="1" t="s">
        <v>14145</v>
      </c>
    </row>
    <row r="10824" spans="1:4" hidden="1" x14ac:dyDescent="0.3">
      <c r="A10824">
        <v>10822</v>
      </c>
      <c r="B10824" t="s">
        <v>14146</v>
      </c>
      <c r="C10824" t="s">
        <v>126</v>
      </c>
      <c r="D10824">
        <v>0.759539957723256</v>
      </c>
    </row>
    <row r="10825" spans="1:4" hidden="1" x14ac:dyDescent="0.3">
      <c r="A10825">
        <v>10823</v>
      </c>
      <c r="B10825" t="s">
        <v>14147</v>
      </c>
      <c r="C10825" t="s">
        <v>128</v>
      </c>
      <c r="D10825">
        <v>0.32600373930038701</v>
      </c>
    </row>
    <row r="10826" spans="1:4" hidden="1" x14ac:dyDescent="0.3">
      <c r="A10826">
        <v>10824</v>
      </c>
      <c r="B10826" s="1" t="s">
        <v>14148</v>
      </c>
      <c r="C10826" t="s">
        <v>130</v>
      </c>
      <c r="D10826" s="1" t="s">
        <v>14149</v>
      </c>
    </row>
    <row r="10827" spans="1:4" ht="72" x14ac:dyDescent="0.3">
      <c r="A10827">
        <v>10825</v>
      </c>
      <c r="B10827" s="1" t="s">
        <v>14150</v>
      </c>
      <c r="C10827" t="s">
        <v>4</v>
      </c>
      <c r="D10827" t="s">
        <v>14151</v>
      </c>
    </row>
    <row r="10828" spans="1:4" hidden="1" x14ac:dyDescent="0.3">
      <c r="A10828">
        <v>10826</v>
      </c>
      <c r="B10828" t="s">
        <v>14152</v>
      </c>
      <c r="C10828" t="s">
        <v>7</v>
      </c>
      <c r="D10828">
        <v>1825.39</v>
      </c>
    </row>
    <row r="10829" spans="1:4" hidden="1" x14ac:dyDescent="0.3">
      <c r="A10829">
        <v>10827</v>
      </c>
      <c r="B10829" s="1" t="s">
        <v>14153</v>
      </c>
      <c r="C10829" t="s">
        <v>9</v>
      </c>
      <c r="D10829" s="1" t="s">
        <v>14154</v>
      </c>
    </row>
    <row r="10830" spans="1:4" hidden="1" x14ac:dyDescent="0.3">
      <c r="A10830">
        <v>10828</v>
      </c>
      <c r="B10830" t="s">
        <v>14155</v>
      </c>
      <c r="C10830" t="s">
        <v>14</v>
      </c>
      <c r="D10830">
        <v>89.38671875</v>
      </c>
    </row>
    <row r="10831" spans="1:4" hidden="1" x14ac:dyDescent="0.3">
      <c r="A10831">
        <v>10829</v>
      </c>
      <c r="B10831" t="s">
        <v>14156</v>
      </c>
      <c r="C10831" t="s">
        <v>16</v>
      </c>
      <c r="D10831">
        <v>4.21643869187786</v>
      </c>
    </row>
    <row r="10832" spans="1:4" hidden="1" x14ac:dyDescent="0.3">
      <c r="A10832">
        <v>10830</v>
      </c>
      <c r="B10832" s="1" t="s">
        <v>14157</v>
      </c>
      <c r="C10832" t="s">
        <v>140</v>
      </c>
      <c r="D10832" s="1" t="s">
        <v>14158</v>
      </c>
    </row>
    <row r="10833" spans="1:4" hidden="1" x14ac:dyDescent="0.3">
      <c r="A10833">
        <v>10831</v>
      </c>
      <c r="B10833" t="s">
        <v>14159</v>
      </c>
      <c r="C10833" t="s">
        <v>22</v>
      </c>
      <c r="D10833">
        <v>53.2</v>
      </c>
    </row>
    <row r="10834" spans="1:4" hidden="1" x14ac:dyDescent="0.3">
      <c r="A10834">
        <v>10832</v>
      </c>
      <c r="B10834" t="s">
        <v>14160</v>
      </c>
      <c r="C10834" t="s">
        <v>24</v>
      </c>
      <c r="D10834">
        <v>4.1535736889999804</v>
      </c>
    </row>
    <row r="10835" spans="1:4" hidden="1" x14ac:dyDescent="0.3">
      <c r="A10835">
        <v>10833</v>
      </c>
      <c r="B10835" s="1" t="s">
        <v>14161</v>
      </c>
      <c r="C10835" t="s">
        <v>145</v>
      </c>
      <c r="D10835" s="1" t="s">
        <v>14162</v>
      </c>
    </row>
    <row r="10836" spans="1:4" hidden="1" x14ac:dyDescent="0.3">
      <c r="A10836">
        <v>10834</v>
      </c>
      <c r="B10836" t="s">
        <v>14163</v>
      </c>
      <c r="C10836" t="s">
        <v>35</v>
      </c>
      <c r="D10836">
        <v>1.9192109962904599E-2</v>
      </c>
    </row>
    <row r="10837" spans="1:4" hidden="1" x14ac:dyDescent="0.3">
      <c r="A10837">
        <v>10835</v>
      </c>
      <c r="B10837" t="s">
        <v>14164</v>
      </c>
      <c r="C10837" t="s">
        <v>149</v>
      </c>
      <c r="D10837">
        <v>0.56465856093577704</v>
      </c>
    </row>
    <row r="10838" spans="1:4" hidden="1" x14ac:dyDescent="0.3">
      <c r="A10838">
        <v>10836</v>
      </c>
      <c r="B10838" s="1" t="s">
        <v>14165</v>
      </c>
      <c r="C10838" t="s">
        <v>151</v>
      </c>
      <c r="D10838" s="1" t="s">
        <v>14166</v>
      </c>
    </row>
    <row r="10839" spans="1:4" hidden="1" x14ac:dyDescent="0.3">
      <c r="A10839">
        <v>10837</v>
      </c>
      <c r="B10839" t="s">
        <v>14167</v>
      </c>
      <c r="C10839" t="s">
        <v>30</v>
      </c>
      <c r="D10839">
        <v>0.47133458850430898</v>
      </c>
    </row>
    <row r="10840" spans="1:4" hidden="1" x14ac:dyDescent="0.3">
      <c r="A10840">
        <v>10838</v>
      </c>
      <c r="B10840" t="s">
        <v>14168</v>
      </c>
      <c r="C10840" t="s">
        <v>32</v>
      </c>
      <c r="D10840">
        <v>0.34808172186301101</v>
      </c>
    </row>
    <row r="10841" spans="1:4" hidden="1" x14ac:dyDescent="0.3">
      <c r="A10841">
        <v>10839</v>
      </c>
      <c r="B10841" s="1" t="s">
        <v>14169</v>
      </c>
      <c r="C10841" t="s">
        <v>155</v>
      </c>
      <c r="D10841" s="1" t="s">
        <v>14170</v>
      </c>
    </row>
    <row r="10842" spans="1:4" hidden="1" x14ac:dyDescent="0.3">
      <c r="A10842">
        <v>10840</v>
      </c>
      <c r="B10842" t="s">
        <v>14171</v>
      </c>
      <c r="C10842" t="s">
        <v>40</v>
      </c>
      <c r="D10842">
        <v>0.50947330153278603</v>
      </c>
    </row>
    <row r="10843" spans="1:4" hidden="1" x14ac:dyDescent="0.3">
      <c r="A10843">
        <v>10841</v>
      </c>
      <c r="B10843" t="s">
        <v>14172</v>
      </c>
      <c r="C10843" t="s">
        <v>42</v>
      </c>
      <c r="D10843">
        <v>0.42290001680531902</v>
      </c>
    </row>
    <row r="10844" spans="1:4" hidden="1" x14ac:dyDescent="0.3">
      <c r="A10844">
        <v>10842</v>
      </c>
      <c r="B10844" s="1" t="s">
        <v>14173</v>
      </c>
      <c r="C10844" t="s">
        <v>159</v>
      </c>
      <c r="D10844" s="1" t="s">
        <v>14174</v>
      </c>
    </row>
    <row r="10845" spans="1:4" hidden="1" x14ac:dyDescent="0.3">
      <c r="A10845">
        <v>10843</v>
      </c>
      <c r="B10845" t="s">
        <v>14175</v>
      </c>
      <c r="C10845" t="s">
        <v>161</v>
      </c>
      <c r="D10845">
        <v>0.99471415570898403</v>
      </c>
    </row>
    <row r="10846" spans="1:4" hidden="1" x14ac:dyDescent="0.3">
      <c r="A10846">
        <v>10844</v>
      </c>
      <c r="B10846" t="s">
        <v>14176</v>
      </c>
      <c r="C10846" t="s">
        <v>163</v>
      </c>
      <c r="D10846">
        <v>1.00043161957231</v>
      </c>
    </row>
    <row r="10847" spans="1:4" hidden="1" x14ac:dyDescent="0.3">
      <c r="A10847">
        <v>10845</v>
      </c>
      <c r="B10847" s="1" t="s">
        <v>14177</v>
      </c>
      <c r="C10847" t="s">
        <v>165</v>
      </c>
      <c r="D10847" s="1" t="s">
        <v>14178</v>
      </c>
    </row>
    <row r="10848" spans="1:4" hidden="1" x14ac:dyDescent="0.3">
      <c r="A10848">
        <v>10846</v>
      </c>
      <c r="B10848" t="s">
        <v>14179</v>
      </c>
      <c r="C10848" t="s">
        <v>168</v>
      </c>
      <c r="D10848">
        <v>1.0000994344633301</v>
      </c>
    </row>
    <row r="10849" spans="1:4" hidden="1" x14ac:dyDescent="0.3">
      <c r="A10849">
        <v>10847</v>
      </c>
      <c r="B10849" t="s">
        <v>14180</v>
      </c>
      <c r="C10849" t="s">
        <v>170</v>
      </c>
      <c r="D10849">
        <v>0.99952039780259705</v>
      </c>
    </row>
    <row r="10850" spans="1:4" hidden="1" x14ac:dyDescent="0.3">
      <c r="A10850">
        <v>10848</v>
      </c>
      <c r="B10850" s="1" t="s">
        <v>14181</v>
      </c>
      <c r="C10850" t="s">
        <v>172</v>
      </c>
      <c r="D10850" s="1" t="s">
        <v>14182</v>
      </c>
    </row>
    <row r="10851" spans="1:4" hidden="1" x14ac:dyDescent="0.3">
      <c r="A10851">
        <v>10849</v>
      </c>
      <c r="B10851" s="1" t="s">
        <v>14183</v>
      </c>
      <c r="C10851" t="s">
        <v>55</v>
      </c>
      <c r="D10851" s="1" t="s">
        <v>14184</v>
      </c>
    </row>
    <row r="10852" spans="1:4" hidden="1" x14ac:dyDescent="0.3">
      <c r="A10852">
        <v>10850</v>
      </c>
      <c r="B10852" s="1" t="s">
        <v>14185</v>
      </c>
      <c r="C10852" t="s">
        <v>52</v>
      </c>
      <c r="D10852" s="1" t="s">
        <v>14186</v>
      </c>
    </row>
    <row r="10853" spans="1:4" hidden="1" x14ac:dyDescent="0.3">
      <c r="A10853">
        <v>10851</v>
      </c>
      <c r="B10853" s="1" t="s">
        <v>14187</v>
      </c>
      <c r="C10853" t="s">
        <v>58</v>
      </c>
      <c r="D10853" s="1" t="s">
        <v>14188</v>
      </c>
    </row>
    <row r="10854" spans="1:4" hidden="1" x14ac:dyDescent="0.3">
      <c r="A10854">
        <v>10852</v>
      </c>
      <c r="B10854" t="s">
        <v>14189</v>
      </c>
      <c r="C10854" t="s">
        <v>61</v>
      </c>
      <c r="D10854">
        <v>144755225.55430701</v>
      </c>
    </row>
    <row r="10855" spans="1:4" hidden="1" x14ac:dyDescent="0.3">
      <c r="A10855">
        <v>10853</v>
      </c>
      <c r="B10855" t="s">
        <v>14190</v>
      </c>
      <c r="C10855" t="s">
        <v>63</v>
      </c>
      <c r="D10855">
        <v>78768449.328932703</v>
      </c>
    </row>
    <row r="10856" spans="1:4" hidden="1" x14ac:dyDescent="0.3">
      <c r="A10856">
        <v>10854</v>
      </c>
      <c r="B10856" t="s">
        <v>14191</v>
      </c>
      <c r="C10856" t="s">
        <v>65</v>
      </c>
      <c r="D10856">
        <v>34002696.763151199</v>
      </c>
    </row>
    <row r="10857" spans="1:4" hidden="1" x14ac:dyDescent="0.3">
      <c r="A10857">
        <v>10855</v>
      </c>
      <c r="B10857" s="1" t="s">
        <v>14192</v>
      </c>
      <c r="C10857" t="s">
        <v>67</v>
      </c>
      <c r="D10857" s="1" t="s">
        <v>14193</v>
      </c>
    </row>
    <row r="10858" spans="1:4" hidden="1" x14ac:dyDescent="0.3">
      <c r="A10858">
        <v>10856</v>
      </c>
      <c r="B10858" s="1" t="s">
        <v>14194</v>
      </c>
      <c r="C10858" t="s">
        <v>70</v>
      </c>
      <c r="D10858" s="1" t="s">
        <v>14195</v>
      </c>
    </row>
    <row r="10859" spans="1:4" hidden="1" x14ac:dyDescent="0.3">
      <c r="A10859">
        <v>10857</v>
      </c>
      <c r="B10859" t="s">
        <v>14196</v>
      </c>
      <c r="C10859" t="s">
        <v>73</v>
      </c>
      <c r="D10859">
        <v>0.99981119783962202</v>
      </c>
    </row>
    <row r="10860" spans="1:4" hidden="1" x14ac:dyDescent="0.3">
      <c r="A10860">
        <v>10858</v>
      </c>
      <c r="B10860" t="s">
        <v>74</v>
      </c>
      <c r="C10860" t="s">
        <v>75</v>
      </c>
      <c r="D10860">
        <v>2.7397260273972599E-3</v>
      </c>
    </row>
    <row r="10861" spans="1:4" hidden="1" x14ac:dyDescent="0.3">
      <c r="A10861">
        <v>10859</v>
      </c>
      <c r="B10861" t="s">
        <v>76</v>
      </c>
      <c r="C10861" t="s">
        <v>77</v>
      </c>
      <c r="D10861">
        <v>0</v>
      </c>
    </row>
    <row r="10862" spans="1:4" hidden="1" x14ac:dyDescent="0.3">
      <c r="A10862">
        <v>10860</v>
      </c>
      <c r="B10862" t="s">
        <v>78</v>
      </c>
      <c r="C10862" t="s">
        <v>79</v>
      </c>
      <c r="D10862">
        <v>0</v>
      </c>
    </row>
    <row r="10863" spans="1:4" hidden="1" x14ac:dyDescent="0.3">
      <c r="A10863">
        <v>10861</v>
      </c>
      <c r="B10863" s="1" t="s">
        <v>14197</v>
      </c>
      <c r="C10863" t="s">
        <v>81</v>
      </c>
      <c r="D10863" s="1" t="s">
        <v>14198</v>
      </c>
    </row>
    <row r="10864" spans="1:4" hidden="1" x14ac:dyDescent="0.3">
      <c r="A10864">
        <v>10862</v>
      </c>
      <c r="B10864" t="s">
        <v>14199</v>
      </c>
      <c r="C10864" t="s">
        <v>84</v>
      </c>
      <c r="D10864">
        <v>0.99984573484552097</v>
      </c>
    </row>
    <row r="10865" spans="1:4" hidden="1" x14ac:dyDescent="0.3">
      <c r="A10865">
        <v>10863</v>
      </c>
      <c r="B10865" s="1" t="s">
        <v>14200</v>
      </c>
      <c r="C10865" t="s">
        <v>86</v>
      </c>
      <c r="D10865" s="1" t="s">
        <v>14201</v>
      </c>
    </row>
    <row r="10866" spans="1:4" hidden="1" x14ac:dyDescent="0.3">
      <c r="A10866">
        <v>10864</v>
      </c>
      <c r="B10866" t="s">
        <v>14202</v>
      </c>
      <c r="C10866" t="s">
        <v>89</v>
      </c>
      <c r="D10866">
        <v>104271849.206508</v>
      </c>
    </row>
    <row r="10867" spans="1:4" hidden="1" x14ac:dyDescent="0.3">
      <c r="A10867">
        <v>10865</v>
      </c>
      <c r="B10867" s="1" t="s">
        <v>14203</v>
      </c>
      <c r="C10867" t="s">
        <v>91</v>
      </c>
      <c r="D10867" s="1" t="s">
        <v>14137</v>
      </c>
    </row>
    <row r="10868" spans="1:4" hidden="1" x14ac:dyDescent="0.3">
      <c r="A10868">
        <v>10866</v>
      </c>
      <c r="B10868" t="s">
        <v>14204</v>
      </c>
      <c r="C10868" t="s">
        <v>94</v>
      </c>
      <c r="D10868">
        <v>78768449.328932703</v>
      </c>
    </row>
    <row r="10869" spans="1:4" hidden="1" x14ac:dyDescent="0.3">
      <c r="A10869">
        <v>10867</v>
      </c>
      <c r="B10869" t="s">
        <v>14205</v>
      </c>
      <c r="C10869" t="s">
        <v>96</v>
      </c>
      <c r="D10869">
        <v>34002696.763151199</v>
      </c>
    </row>
    <row r="10870" spans="1:4" hidden="1" x14ac:dyDescent="0.3">
      <c r="A10870">
        <v>10868</v>
      </c>
      <c r="B10870" t="s">
        <v>14206</v>
      </c>
      <c r="C10870" t="s">
        <v>98</v>
      </c>
      <c r="D10870">
        <v>31984079.462223802</v>
      </c>
    </row>
    <row r="10871" spans="1:4" hidden="1" x14ac:dyDescent="0.3">
      <c r="A10871">
        <v>10869</v>
      </c>
      <c r="B10871" s="1" t="s">
        <v>14207</v>
      </c>
      <c r="C10871" t="s">
        <v>100</v>
      </c>
      <c r="D10871" s="1" t="s">
        <v>14208</v>
      </c>
    </row>
    <row r="10872" spans="1:4" hidden="1" x14ac:dyDescent="0.3">
      <c r="A10872">
        <v>10870</v>
      </c>
      <c r="B10872" t="s">
        <v>14209</v>
      </c>
      <c r="C10872" t="s">
        <v>103</v>
      </c>
      <c r="D10872">
        <v>1.02591690039483E-2</v>
      </c>
    </row>
    <row r="10873" spans="1:4" hidden="1" x14ac:dyDescent="0.3">
      <c r="A10873">
        <v>10871</v>
      </c>
      <c r="B10873" t="s">
        <v>14210</v>
      </c>
      <c r="C10873" t="s">
        <v>105</v>
      </c>
      <c r="D10873">
        <v>2.7907454125019001E-3</v>
      </c>
    </row>
    <row r="10874" spans="1:4" hidden="1" x14ac:dyDescent="0.3">
      <c r="A10874">
        <v>10872</v>
      </c>
      <c r="B10874" t="s">
        <v>14211</v>
      </c>
      <c r="C10874" t="s">
        <v>107</v>
      </c>
      <c r="D10874">
        <v>2.4585185364436199E-2</v>
      </c>
    </row>
    <row r="10875" spans="1:4" hidden="1" x14ac:dyDescent="0.3">
      <c r="A10875">
        <v>10873</v>
      </c>
      <c r="B10875" s="1" t="s">
        <v>14212</v>
      </c>
      <c r="C10875" t="s">
        <v>109</v>
      </c>
      <c r="D10875" s="1" t="s">
        <v>14213</v>
      </c>
    </row>
    <row r="10876" spans="1:4" hidden="1" x14ac:dyDescent="0.3">
      <c r="A10876">
        <v>10874</v>
      </c>
      <c r="B10876" t="s">
        <v>14214</v>
      </c>
      <c r="C10876" t="s">
        <v>208</v>
      </c>
      <c r="D10876">
        <v>144756471.70909199</v>
      </c>
    </row>
    <row r="10877" spans="1:4" hidden="1" x14ac:dyDescent="0.3">
      <c r="A10877">
        <v>10875</v>
      </c>
      <c r="B10877" t="s">
        <v>14215</v>
      </c>
      <c r="C10877" t="s">
        <v>210</v>
      </c>
      <c r="D10877">
        <v>-2720.9739644128799</v>
      </c>
    </row>
    <row r="10878" spans="1:4" hidden="1" x14ac:dyDescent="0.3">
      <c r="A10878">
        <v>10876</v>
      </c>
      <c r="B10878" t="s">
        <v>14216</v>
      </c>
      <c r="C10878" t="s">
        <v>212</v>
      </c>
      <c r="D10878">
        <v>-1174.57811373818</v>
      </c>
    </row>
    <row r="10879" spans="1:4" hidden="1" x14ac:dyDescent="0.3">
      <c r="A10879">
        <v>10877</v>
      </c>
      <c r="B10879" s="1" t="s">
        <v>14217</v>
      </c>
      <c r="C10879" t="s">
        <v>214</v>
      </c>
      <c r="D10879" s="1" t="s">
        <v>14218</v>
      </c>
    </row>
    <row r="10880" spans="1:4" hidden="1" x14ac:dyDescent="0.3">
      <c r="A10880">
        <v>10878</v>
      </c>
      <c r="B10880" t="s">
        <v>14219</v>
      </c>
      <c r="C10880" t="s">
        <v>217</v>
      </c>
      <c r="D10880">
        <v>78772150.108255297</v>
      </c>
    </row>
    <row r="10881" spans="1:4" hidden="1" x14ac:dyDescent="0.3">
      <c r="A10881">
        <v>10879</v>
      </c>
      <c r="B10881" t="s">
        <v>14220</v>
      </c>
      <c r="C10881" t="s">
        <v>219</v>
      </c>
      <c r="D10881">
        <v>34004016.465927497</v>
      </c>
    </row>
    <row r="10882" spans="1:4" hidden="1" x14ac:dyDescent="0.3">
      <c r="A10882">
        <v>10880</v>
      </c>
      <c r="B10882" t="s">
        <v>14221</v>
      </c>
      <c r="C10882" t="s">
        <v>221</v>
      </c>
      <c r="D10882">
        <v>31985305.5341129</v>
      </c>
    </row>
    <row r="10883" spans="1:4" hidden="1" x14ac:dyDescent="0.3">
      <c r="A10883">
        <v>10881</v>
      </c>
      <c r="B10883" s="1" t="s">
        <v>14222</v>
      </c>
      <c r="C10883" t="s">
        <v>223</v>
      </c>
      <c r="D10883" s="1" t="s">
        <v>14223</v>
      </c>
    </row>
    <row r="10884" spans="1:4" hidden="1" x14ac:dyDescent="0.3">
      <c r="A10884">
        <v>10882</v>
      </c>
      <c r="B10884" t="s">
        <v>14224</v>
      </c>
      <c r="C10884" t="s">
        <v>226</v>
      </c>
      <c r="D10884">
        <v>104275451.124029</v>
      </c>
    </row>
    <row r="10885" spans="1:4" hidden="1" x14ac:dyDescent="0.3">
      <c r="A10885">
        <v>10883</v>
      </c>
      <c r="B10885" t="s">
        <v>14225</v>
      </c>
      <c r="C10885" t="s">
        <v>228</v>
      </c>
      <c r="D10885">
        <v>-3601.9175209253999</v>
      </c>
    </row>
    <row r="10886" spans="1:4" hidden="1" x14ac:dyDescent="0.3">
      <c r="A10886">
        <v>10884</v>
      </c>
      <c r="B10886" s="1" t="s">
        <v>14226</v>
      </c>
      <c r="C10886" t="s">
        <v>230</v>
      </c>
      <c r="D10886" s="1" t="s">
        <v>14227</v>
      </c>
    </row>
    <row r="10887" spans="1:4" hidden="1" x14ac:dyDescent="0.3">
      <c r="A10887">
        <v>10885</v>
      </c>
      <c r="B10887" t="s">
        <v>14228</v>
      </c>
      <c r="C10887" t="s">
        <v>112</v>
      </c>
      <c r="D10887">
        <v>979.80535824507501</v>
      </c>
    </row>
    <row r="10888" spans="1:4" hidden="1" x14ac:dyDescent="0.3">
      <c r="A10888">
        <v>10886</v>
      </c>
      <c r="B10888" t="s">
        <v>14229</v>
      </c>
      <c r="C10888" t="s">
        <v>114</v>
      </c>
      <c r="D10888">
        <v>145.12466256273299</v>
      </c>
    </row>
    <row r="10889" spans="1:4" hidden="1" x14ac:dyDescent="0.3">
      <c r="A10889">
        <v>10887</v>
      </c>
      <c r="B10889" s="1" t="s">
        <v>14230</v>
      </c>
      <c r="C10889" t="s">
        <v>116</v>
      </c>
      <c r="D10889" s="1" t="s">
        <v>14231</v>
      </c>
    </row>
    <row r="10890" spans="1:4" hidden="1" x14ac:dyDescent="0.3">
      <c r="A10890">
        <v>10888</v>
      </c>
      <c r="B10890" t="s">
        <v>14232</v>
      </c>
      <c r="C10890" t="s">
        <v>119</v>
      </c>
      <c r="D10890">
        <v>78772150.108255297</v>
      </c>
    </row>
    <row r="10891" spans="1:4" hidden="1" x14ac:dyDescent="0.3">
      <c r="A10891">
        <v>10889</v>
      </c>
      <c r="B10891" t="s">
        <v>14233</v>
      </c>
      <c r="C10891" t="s">
        <v>121</v>
      </c>
      <c r="D10891">
        <v>34004016.465927497</v>
      </c>
    </row>
    <row r="10892" spans="1:4" hidden="1" x14ac:dyDescent="0.3">
      <c r="A10892">
        <v>10890</v>
      </c>
      <c r="B10892" s="1" t="s">
        <v>14234</v>
      </c>
      <c r="C10892" t="s">
        <v>123</v>
      </c>
      <c r="D10892" s="1" t="s">
        <v>14235</v>
      </c>
    </row>
    <row r="10893" spans="1:4" hidden="1" x14ac:dyDescent="0.3">
      <c r="A10893">
        <v>10891</v>
      </c>
      <c r="B10893" t="s">
        <v>14236</v>
      </c>
      <c r="C10893" t="s">
        <v>126</v>
      </c>
      <c r="D10893">
        <v>0.75554028231764403</v>
      </c>
    </row>
    <row r="10894" spans="1:4" hidden="1" x14ac:dyDescent="0.3">
      <c r="A10894">
        <v>10892</v>
      </c>
      <c r="B10894" t="s">
        <v>14237</v>
      </c>
      <c r="C10894" t="s">
        <v>128</v>
      </c>
      <c r="D10894">
        <v>0.326148317207203</v>
      </c>
    </row>
    <row r="10895" spans="1:4" hidden="1" x14ac:dyDescent="0.3">
      <c r="A10895">
        <v>10893</v>
      </c>
      <c r="B10895" s="1" t="s">
        <v>14238</v>
      </c>
      <c r="C10895" t="s">
        <v>130</v>
      </c>
      <c r="D10895" s="1" t="s">
        <v>14239</v>
      </c>
    </row>
    <row r="10896" spans="1:4" ht="72" x14ac:dyDescent="0.3">
      <c r="A10896">
        <v>10894</v>
      </c>
      <c r="B10896" s="1" t="s">
        <v>14240</v>
      </c>
      <c r="C10896" t="s">
        <v>4</v>
      </c>
      <c r="D10896" t="s">
        <v>14241</v>
      </c>
    </row>
    <row r="10897" spans="1:4" hidden="1" x14ac:dyDescent="0.3">
      <c r="A10897">
        <v>10895</v>
      </c>
      <c r="B10897" t="s">
        <v>14242</v>
      </c>
      <c r="C10897" t="s">
        <v>7</v>
      </c>
      <c r="D10897">
        <v>1822.28</v>
      </c>
    </row>
    <row r="10898" spans="1:4" hidden="1" x14ac:dyDescent="0.3">
      <c r="A10898">
        <v>10896</v>
      </c>
      <c r="B10898" s="1" t="s">
        <v>14243</v>
      </c>
      <c r="C10898" t="s">
        <v>9</v>
      </c>
      <c r="D10898" s="1" t="s">
        <v>14244</v>
      </c>
    </row>
    <row r="10899" spans="1:4" hidden="1" x14ac:dyDescent="0.3">
      <c r="A10899">
        <v>10897</v>
      </c>
      <c r="B10899" t="s">
        <v>14245</v>
      </c>
      <c r="C10899" t="s">
        <v>14</v>
      </c>
      <c r="D10899">
        <v>89.44921875</v>
      </c>
    </row>
    <row r="10900" spans="1:4" hidden="1" x14ac:dyDescent="0.3">
      <c r="A10900">
        <v>10898</v>
      </c>
      <c r="B10900" t="s">
        <v>14246</v>
      </c>
      <c r="C10900" t="s">
        <v>16</v>
      </c>
      <c r="D10900">
        <v>4.2198565749893202</v>
      </c>
    </row>
    <row r="10901" spans="1:4" hidden="1" x14ac:dyDescent="0.3">
      <c r="A10901">
        <v>10899</v>
      </c>
      <c r="B10901" s="1" t="s">
        <v>14247</v>
      </c>
      <c r="C10901" t="s">
        <v>140</v>
      </c>
      <c r="D10901" s="1" t="s">
        <v>14248</v>
      </c>
    </row>
    <row r="10902" spans="1:4" hidden="1" x14ac:dyDescent="0.3">
      <c r="A10902">
        <v>10900</v>
      </c>
      <c r="B10902" t="s">
        <v>14159</v>
      </c>
      <c r="C10902" t="s">
        <v>22</v>
      </c>
      <c r="D10902">
        <v>53.2</v>
      </c>
    </row>
    <row r="10903" spans="1:4" hidden="1" x14ac:dyDescent="0.3">
      <c r="A10903">
        <v>10901</v>
      </c>
      <c r="B10903" t="s">
        <v>14249</v>
      </c>
      <c r="C10903" t="s">
        <v>24</v>
      </c>
      <c r="D10903">
        <v>4.18643844211224</v>
      </c>
    </row>
    <row r="10904" spans="1:4" hidden="1" x14ac:dyDescent="0.3">
      <c r="A10904">
        <v>10902</v>
      </c>
      <c r="B10904" s="1" t="s">
        <v>14250</v>
      </c>
      <c r="C10904" t="s">
        <v>145</v>
      </c>
      <c r="D10904" s="1" t="s">
        <v>14251</v>
      </c>
    </row>
    <row r="10905" spans="1:4" hidden="1" x14ac:dyDescent="0.3">
      <c r="A10905">
        <v>10903</v>
      </c>
      <c r="B10905" t="s">
        <v>14252</v>
      </c>
      <c r="C10905" t="s">
        <v>35</v>
      </c>
      <c r="D10905">
        <v>0.27402643347124001</v>
      </c>
    </row>
    <row r="10906" spans="1:4" hidden="1" x14ac:dyDescent="0.3">
      <c r="A10906">
        <v>10904</v>
      </c>
      <c r="B10906" t="s">
        <v>14253</v>
      </c>
      <c r="C10906" t="s">
        <v>149</v>
      </c>
      <c r="D10906">
        <v>0.56537778629511504</v>
      </c>
    </row>
    <row r="10907" spans="1:4" hidden="1" x14ac:dyDescent="0.3">
      <c r="A10907">
        <v>10905</v>
      </c>
      <c r="B10907" s="1" t="s">
        <v>14254</v>
      </c>
      <c r="C10907" t="s">
        <v>151</v>
      </c>
      <c r="D10907" s="1" t="s">
        <v>14255</v>
      </c>
    </row>
    <row r="10908" spans="1:4" hidden="1" x14ac:dyDescent="0.3">
      <c r="A10908">
        <v>10906</v>
      </c>
      <c r="B10908" t="s">
        <v>14256</v>
      </c>
      <c r="C10908" t="s">
        <v>30</v>
      </c>
      <c r="D10908">
        <v>0.35287550702218401</v>
      </c>
    </row>
    <row r="10909" spans="1:4" hidden="1" x14ac:dyDescent="0.3">
      <c r="A10909">
        <v>10907</v>
      </c>
      <c r="B10909" t="s">
        <v>14257</v>
      </c>
      <c r="C10909" t="s">
        <v>32</v>
      </c>
      <c r="D10909">
        <v>0.34841216838438199</v>
      </c>
    </row>
    <row r="10910" spans="1:4" hidden="1" x14ac:dyDescent="0.3">
      <c r="A10910">
        <v>10908</v>
      </c>
      <c r="B10910" s="1" t="s">
        <v>14258</v>
      </c>
      <c r="C10910" t="s">
        <v>155</v>
      </c>
      <c r="D10910" s="1" t="s">
        <v>14259</v>
      </c>
    </row>
    <row r="10911" spans="1:4" hidden="1" x14ac:dyDescent="0.3">
      <c r="A10911">
        <v>10909</v>
      </c>
      <c r="B10911" t="s">
        <v>14260</v>
      </c>
      <c r="C10911" t="s">
        <v>40</v>
      </c>
      <c r="D10911">
        <v>0.37309805950657399</v>
      </c>
    </row>
    <row r="10912" spans="1:4" hidden="1" x14ac:dyDescent="0.3">
      <c r="A10912">
        <v>10910</v>
      </c>
      <c r="B10912" t="s">
        <v>14261</v>
      </c>
      <c r="C10912" t="s">
        <v>42</v>
      </c>
      <c r="D10912">
        <v>0.42031667848619497</v>
      </c>
    </row>
    <row r="10913" spans="1:4" hidden="1" x14ac:dyDescent="0.3">
      <c r="A10913">
        <v>10911</v>
      </c>
      <c r="B10913" s="1" t="s">
        <v>14262</v>
      </c>
      <c r="C10913" t="s">
        <v>159</v>
      </c>
      <c r="D10913" s="1" t="s">
        <v>14263</v>
      </c>
    </row>
    <row r="10914" spans="1:4" hidden="1" x14ac:dyDescent="0.3">
      <c r="A10914">
        <v>10912</v>
      </c>
      <c r="B10914" t="s">
        <v>14264</v>
      </c>
      <c r="C10914" t="s">
        <v>161</v>
      </c>
      <c r="D10914">
        <v>0.99829625449903803</v>
      </c>
    </row>
    <row r="10915" spans="1:4" hidden="1" x14ac:dyDescent="0.3">
      <c r="A10915">
        <v>10913</v>
      </c>
      <c r="B10915" t="s">
        <v>14265</v>
      </c>
      <c r="C10915" t="s">
        <v>163</v>
      </c>
      <c r="D10915">
        <v>1.0007042271319999</v>
      </c>
    </row>
    <row r="10916" spans="1:4" hidden="1" x14ac:dyDescent="0.3">
      <c r="A10916">
        <v>10914</v>
      </c>
      <c r="B10916" s="1" t="s">
        <v>14266</v>
      </c>
      <c r="C10916" t="s">
        <v>165</v>
      </c>
      <c r="D10916" s="1" t="s">
        <v>14267</v>
      </c>
    </row>
    <row r="10917" spans="1:4" hidden="1" x14ac:dyDescent="0.3">
      <c r="A10917">
        <v>10915</v>
      </c>
      <c r="B10917" t="s">
        <v>14268</v>
      </c>
      <c r="C10917" t="s">
        <v>168</v>
      </c>
      <c r="D10917">
        <v>1.0004596692066201</v>
      </c>
    </row>
    <row r="10918" spans="1:4" hidden="1" x14ac:dyDescent="0.3">
      <c r="A10918">
        <v>10916</v>
      </c>
      <c r="B10918" t="s">
        <v>14269</v>
      </c>
      <c r="C10918" t="s">
        <v>170</v>
      </c>
      <c r="D10918">
        <v>1.0002451235084699</v>
      </c>
    </row>
    <row r="10919" spans="1:4" hidden="1" x14ac:dyDescent="0.3">
      <c r="A10919">
        <v>10917</v>
      </c>
      <c r="B10919" s="1" t="s">
        <v>14270</v>
      </c>
      <c r="C10919" t="s">
        <v>172</v>
      </c>
      <c r="D10919" s="1" t="s">
        <v>14271</v>
      </c>
    </row>
    <row r="10920" spans="1:4" hidden="1" x14ac:dyDescent="0.3">
      <c r="A10920">
        <v>10918</v>
      </c>
      <c r="B10920" s="1" t="s">
        <v>14272</v>
      </c>
      <c r="C10920" t="s">
        <v>55</v>
      </c>
      <c r="D10920" s="1" t="s">
        <v>14273</v>
      </c>
    </row>
    <row r="10921" spans="1:4" hidden="1" x14ac:dyDescent="0.3">
      <c r="A10921">
        <v>10919</v>
      </c>
      <c r="B10921" s="1" t="s">
        <v>14274</v>
      </c>
      <c r="C10921" t="s">
        <v>52</v>
      </c>
      <c r="D10921" s="1" t="s">
        <v>14275</v>
      </c>
    </row>
    <row r="10922" spans="1:4" hidden="1" x14ac:dyDescent="0.3">
      <c r="A10922">
        <v>10920</v>
      </c>
      <c r="B10922" s="1" t="s">
        <v>14276</v>
      </c>
      <c r="C10922" t="s">
        <v>58</v>
      </c>
      <c r="D10922" s="1" t="s">
        <v>14277</v>
      </c>
    </row>
    <row r="10923" spans="1:4" hidden="1" x14ac:dyDescent="0.3">
      <c r="A10923">
        <v>10921</v>
      </c>
      <c r="B10923" t="s">
        <v>14278</v>
      </c>
      <c r="C10923" t="s">
        <v>61</v>
      </c>
      <c r="D10923">
        <v>144669539.18735501</v>
      </c>
    </row>
    <row r="10924" spans="1:4" hidden="1" x14ac:dyDescent="0.3">
      <c r="A10924">
        <v>10922</v>
      </c>
      <c r="B10924" t="s">
        <v>14279</v>
      </c>
      <c r="C10924" t="s">
        <v>63</v>
      </c>
      <c r="D10924">
        <v>78637942.4119073</v>
      </c>
    </row>
    <row r="10925" spans="1:4" hidden="1" x14ac:dyDescent="0.3">
      <c r="A10925">
        <v>10923</v>
      </c>
      <c r="B10925" t="s">
        <v>14280</v>
      </c>
      <c r="C10925" t="s">
        <v>65</v>
      </c>
      <c r="D10925">
        <v>34027963.016919799</v>
      </c>
    </row>
    <row r="10926" spans="1:4" hidden="1" x14ac:dyDescent="0.3">
      <c r="A10926">
        <v>10924</v>
      </c>
      <c r="B10926" s="1" t="s">
        <v>14281</v>
      </c>
      <c r="C10926" t="s">
        <v>67</v>
      </c>
      <c r="D10926" s="1" t="s">
        <v>14282</v>
      </c>
    </row>
    <row r="10927" spans="1:4" hidden="1" x14ac:dyDescent="0.3">
      <c r="A10927">
        <v>10925</v>
      </c>
      <c r="B10927" s="1" t="s">
        <v>14283</v>
      </c>
      <c r="C10927" t="s">
        <v>70</v>
      </c>
      <c r="D10927" s="1" t="s">
        <v>14284</v>
      </c>
    </row>
    <row r="10928" spans="1:4" hidden="1" x14ac:dyDescent="0.3">
      <c r="A10928">
        <v>10926</v>
      </c>
      <c r="B10928" t="s">
        <v>14285</v>
      </c>
      <c r="C10928" t="s">
        <v>73</v>
      </c>
      <c r="D10928">
        <v>0.99984573484552097</v>
      </c>
    </row>
    <row r="10929" spans="1:4" hidden="1" x14ac:dyDescent="0.3">
      <c r="A10929">
        <v>10927</v>
      </c>
      <c r="B10929" t="s">
        <v>74</v>
      </c>
      <c r="C10929" t="s">
        <v>75</v>
      </c>
      <c r="D10929">
        <v>2.7397260273972599E-3</v>
      </c>
    </row>
    <row r="10930" spans="1:4" hidden="1" x14ac:dyDescent="0.3">
      <c r="A10930">
        <v>10928</v>
      </c>
      <c r="B10930" t="s">
        <v>76</v>
      </c>
      <c r="C10930" t="s">
        <v>77</v>
      </c>
      <c r="D10930">
        <v>0</v>
      </c>
    </row>
    <row r="10931" spans="1:4" hidden="1" x14ac:dyDescent="0.3">
      <c r="A10931">
        <v>10929</v>
      </c>
      <c r="B10931" t="s">
        <v>78</v>
      </c>
      <c r="C10931" t="s">
        <v>79</v>
      </c>
      <c r="D10931">
        <v>0</v>
      </c>
    </row>
    <row r="10932" spans="1:4" hidden="1" x14ac:dyDescent="0.3">
      <c r="A10932">
        <v>10930</v>
      </c>
      <c r="B10932" s="1" t="s">
        <v>14286</v>
      </c>
      <c r="C10932" t="s">
        <v>81</v>
      </c>
      <c r="D10932" s="1" t="s">
        <v>14287</v>
      </c>
    </row>
    <row r="10933" spans="1:4" hidden="1" x14ac:dyDescent="0.3">
      <c r="A10933">
        <v>10931</v>
      </c>
      <c r="B10933" t="s">
        <v>14288</v>
      </c>
      <c r="C10933" t="s">
        <v>84</v>
      </c>
      <c r="D10933">
        <v>0.99980785795293503</v>
      </c>
    </row>
    <row r="10934" spans="1:4" hidden="1" x14ac:dyDescent="0.3">
      <c r="A10934">
        <v>10932</v>
      </c>
      <c r="B10934" s="1" t="s">
        <v>14289</v>
      </c>
      <c r="C10934" t="s">
        <v>86</v>
      </c>
      <c r="D10934" s="1" t="s">
        <v>14290</v>
      </c>
    </row>
    <row r="10935" spans="1:4" hidden="1" x14ac:dyDescent="0.3">
      <c r="A10935">
        <v>10933</v>
      </c>
      <c r="B10935" t="s">
        <v>14291</v>
      </c>
      <c r="C10935" t="s">
        <v>89</v>
      </c>
      <c r="D10935">
        <v>104275799.459149</v>
      </c>
    </row>
    <row r="10936" spans="1:4" hidden="1" x14ac:dyDescent="0.3">
      <c r="A10936">
        <v>10934</v>
      </c>
      <c r="B10936" s="1" t="s">
        <v>14292</v>
      </c>
      <c r="C10936" t="s">
        <v>91</v>
      </c>
      <c r="D10936" s="1" t="s">
        <v>14227</v>
      </c>
    </row>
    <row r="10937" spans="1:4" hidden="1" x14ac:dyDescent="0.3">
      <c r="A10937">
        <v>10935</v>
      </c>
      <c r="B10937" t="s">
        <v>14293</v>
      </c>
      <c r="C10937" t="s">
        <v>94</v>
      </c>
      <c r="D10937">
        <v>78637942.4119073</v>
      </c>
    </row>
    <row r="10938" spans="1:4" hidden="1" x14ac:dyDescent="0.3">
      <c r="A10938">
        <v>10936</v>
      </c>
      <c r="B10938" t="s">
        <v>14294</v>
      </c>
      <c r="C10938" t="s">
        <v>96</v>
      </c>
      <c r="D10938">
        <v>34027963.016919799</v>
      </c>
    </row>
    <row r="10939" spans="1:4" hidden="1" x14ac:dyDescent="0.3">
      <c r="A10939">
        <v>10937</v>
      </c>
      <c r="B10939" t="s">
        <v>14295</v>
      </c>
      <c r="C10939" t="s">
        <v>98</v>
      </c>
      <c r="D10939">
        <v>32003633.7585284</v>
      </c>
    </row>
    <row r="10940" spans="1:4" hidden="1" x14ac:dyDescent="0.3">
      <c r="A10940">
        <v>10938</v>
      </c>
      <c r="B10940" s="1" t="s">
        <v>14296</v>
      </c>
      <c r="C10940" t="s">
        <v>100</v>
      </c>
      <c r="D10940" s="1" t="s">
        <v>14297</v>
      </c>
    </row>
    <row r="10941" spans="1:4" hidden="1" x14ac:dyDescent="0.3">
      <c r="A10941">
        <v>10939</v>
      </c>
      <c r="B10941" t="s">
        <v>14298</v>
      </c>
      <c r="C10941" t="s">
        <v>103</v>
      </c>
      <c r="D10941">
        <v>1.0269071436384501E-2</v>
      </c>
    </row>
    <row r="10942" spans="1:4" hidden="1" x14ac:dyDescent="0.3">
      <c r="A10942">
        <v>10940</v>
      </c>
      <c r="B10942" t="s">
        <v>14299</v>
      </c>
      <c r="C10942" t="s">
        <v>105</v>
      </c>
      <c r="D10942">
        <v>2.7854279235698001E-3</v>
      </c>
    </row>
    <row r="10943" spans="1:4" hidden="1" x14ac:dyDescent="0.3">
      <c r="A10943">
        <v>10941</v>
      </c>
      <c r="B10943" t="s">
        <v>14300</v>
      </c>
      <c r="C10943" t="s">
        <v>107</v>
      </c>
      <c r="D10943">
        <v>2.4550908357843401E-2</v>
      </c>
    </row>
    <row r="10944" spans="1:4" hidden="1" x14ac:dyDescent="0.3">
      <c r="A10944">
        <v>10942</v>
      </c>
      <c r="B10944" s="1" t="s">
        <v>14301</v>
      </c>
      <c r="C10944" t="s">
        <v>109</v>
      </c>
      <c r="D10944" s="1" t="s">
        <v>14302</v>
      </c>
    </row>
    <row r="10945" spans="1:4" hidden="1" x14ac:dyDescent="0.3">
      <c r="A10945">
        <v>10943</v>
      </c>
      <c r="B10945" t="s">
        <v>14303</v>
      </c>
      <c r="C10945" t="s">
        <v>208</v>
      </c>
      <c r="D10945">
        <v>144668173.20222601</v>
      </c>
    </row>
    <row r="10946" spans="1:4" hidden="1" x14ac:dyDescent="0.3">
      <c r="A10946">
        <v>10944</v>
      </c>
      <c r="B10946" t="s">
        <v>14304</v>
      </c>
      <c r="C10946" t="s">
        <v>210</v>
      </c>
      <c r="D10946">
        <v>2978.9839275888298</v>
      </c>
    </row>
    <row r="10947" spans="1:4" hidden="1" x14ac:dyDescent="0.3">
      <c r="A10947">
        <v>10945</v>
      </c>
      <c r="B10947" t="s">
        <v>14305</v>
      </c>
      <c r="C10947" t="s">
        <v>212</v>
      </c>
      <c r="D10947">
        <v>1289.0640763445899</v>
      </c>
    </row>
    <row r="10948" spans="1:4" hidden="1" x14ac:dyDescent="0.3">
      <c r="A10948">
        <v>10946</v>
      </c>
      <c r="B10948" s="1" t="s">
        <v>14306</v>
      </c>
      <c r="C10948" t="s">
        <v>214</v>
      </c>
      <c r="D10948" s="1" t="s">
        <v>14307</v>
      </c>
    </row>
    <row r="10949" spans="1:4" hidden="1" x14ac:dyDescent="0.3">
      <c r="A10949">
        <v>10947</v>
      </c>
      <c r="B10949" t="s">
        <v>14308</v>
      </c>
      <c r="C10949" t="s">
        <v>217</v>
      </c>
      <c r="D10949">
        <v>78633999.154303804</v>
      </c>
    </row>
    <row r="10950" spans="1:4" hidden="1" x14ac:dyDescent="0.3">
      <c r="A10950">
        <v>10948</v>
      </c>
      <c r="B10950" t="s">
        <v>14309</v>
      </c>
      <c r="C10950" t="s">
        <v>219</v>
      </c>
      <c r="D10950">
        <v>34026455.312623203</v>
      </c>
    </row>
    <row r="10951" spans="1:4" hidden="1" x14ac:dyDescent="0.3">
      <c r="A10951">
        <v>10949</v>
      </c>
      <c r="B10951" t="s">
        <v>14310</v>
      </c>
      <c r="C10951" t="s">
        <v>221</v>
      </c>
      <c r="D10951">
        <v>32002238.3090032</v>
      </c>
    </row>
    <row r="10952" spans="1:4" hidden="1" x14ac:dyDescent="0.3">
      <c r="A10952">
        <v>10950</v>
      </c>
      <c r="B10952" s="1" t="s">
        <v>14311</v>
      </c>
      <c r="C10952" t="s">
        <v>223</v>
      </c>
      <c r="D10952" s="1" t="s">
        <v>14312</v>
      </c>
    </row>
    <row r="10953" spans="1:4" hidden="1" x14ac:dyDescent="0.3">
      <c r="A10953">
        <v>10951</v>
      </c>
      <c r="B10953" t="s">
        <v>14313</v>
      </c>
      <c r="C10953" t="s">
        <v>226</v>
      </c>
      <c r="D10953">
        <v>104271849.206508</v>
      </c>
    </row>
    <row r="10954" spans="1:4" hidden="1" x14ac:dyDescent="0.3">
      <c r="A10954">
        <v>10952</v>
      </c>
      <c r="B10954" t="s">
        <v>14314</v>
      </c>
      <c r="C10954" t="s">
        <v>228</v>
      </c>
      <c r="D10954">
        <v>3950.2526416927499</v>
      </c>
    </row>
    <row r="10955" spans="1:4" hidden="1" x14ac:dyDescent="0.3">
      <c r="A10955">
        <v>10953</v>
      </c>
      <c r="B10955" s="1" t="s">
        <v>14315</v>
      </c>
      <c r="C10955" t="s">
        <v>230</v>
      </c>
      <c r="D10955" s="1" t="s">
        <v>14316</v>
      </c>
    </row>
    <row r="10956" spans="1:4" hidden="1" x14ac:dyDescent="0.3">
      <c r="A10956">
        <v>10954</v>
      </c>
      <c r="B10956" t="s">
        <v>14317</v>
      </c>
      <c r="C10956" t="s">
        <v>112</v>
      </c>
      <c r="D10956">
        <v>-964.27367597343596</v>
      </c>
    </row>
    <row r="10957" spans="1:4" hidden="1" x14ac:dyDescent="0.3">
      <c r="A10957">
        <v>10955</v>
      </c>
      <c r="B10957" t="s">
        <v>14318</v>
      </c>
      <c r="C10957" t="s">
        <v>114</v>
      </c>
      <c r="D10957">
        <v>-218.64022017987801</v>
      </c>
    </row>
    <row r="10958" spans="1:4" hidden="1" x14ac:dyDescent="0.3">
      <c r="A10958">
        <v>10956</v>
      </c>
      <c r="B10958" s="1" t="s">
        <v>14319</v>
      </c>
      <c r="C10958" t="s">
        <v>116</v>
      </c>
      <c r="D10958" s="1" t="s">
        <v>14320</v>
      </c>
    </row>
    <row r="10959" spans="1:4" hidden="1" x14ac:dyDescent="0.3">
      <c r="A10959">
        <v>10957</v>
      </c>
      <c r="B10959" t="s">
        <v>14321</v>
      </c>
      <c r="C10959" t="s">
        <v>119</v>
      </c>
      <c r="D10959">
        <v>78633999.154303804</v>
      </c>
    </row>
    <row r="10960" spans="1:4" hidden="1" x14ac:dyDescent="0.3">
      <c r="A10960">
        <v>10958</v>
      </c>
      <c r="B10960" t="s">
        <v>14322</v>
      </c>
      <c r="C10960" t="s">
        <v>121</v>
      </c>
      <c r="D10960">
        <v>34026455.312623203</v>
      </c>
    </row>
    <row r="10961" spans="1:4" hidden="1" x14ac:dyDescent="0.3">
      <c r="A10961">
        <v>10959</v>
      </c>
      <c r="B10961" s="1" t="s">
        <v>14323</v>
      </c>
      <c r="C10961" t="s">
        <v>123</v>
      </c>
      <c r="D10961" s="1" t="s">
        <v>14324</v>
      </c>
    </row>
    <row r="10962" spans="1:4" hidden="1" x14ac:dyDescent="0.3">
      <c r="A10962">
        <v>10960</v>
      </c>
      <c r="B10962" t="s">
        <v>14325</v>
      </c>
      <c r="C10962" t="s">
        <v>126</v>
      </c>
      <c r="D10962">
        <v>0.75426983940526104</v>
      </c>
    </row>
    <row r="10963" spans="1:4" hidden="1" x14ac:dyDescent="0.3">
      <c r="A10963">
        <v>10961</v>
      </c>
      <c r="B10963" t="s">
        <v>14326</v>
      </c>
      <c r="C10963" t="s">
        <v>128</v>
      </c>
      <c r="D10963">
        <v>0.32638717679638601</v>
      </c>
    </row>
    <row r="10964" spans="1:4" hidden="1" x14ac:dyDescent="0.3">
      <c r="A10964">
        <v>10962</v>
      </c>
      <c r="B10964" s="1" t="s">
        <v>14327</v>
      </c>
      <c r="C10964" t="s">
        <v>130</v>
      </c>
      <c r="D10964" s="1" t="s">
        <v>14328</v>
      </c>
    </row>
    <row r="10965" spans="1:4" ht="72" x14ac:dyDescent="0.3">
      <c r="A10965">
        <v>10963</v>
      </c>
      <c r="B10965" s="1" t="s">
        <v>14329</v>
      </c>
      <c r="C10965" t="s">
        <v>4</v>
      </c>
      <c r="D10965" t="s">
        <v>14330</v>
      </c>
    </row>
    <row r="10966" spans="1:4" hidden="1" x14ac:dyDescent="0.3">
      <c r="A10966">
        <v>10964</v>
      </c>
      <c r="B10966" t="s">
        <v>14331</v>
      </c>
      <c r="C10966" t="s">
        <v>7</v>
      </c>
      <c r="D10966">
        <v>1811.04</v>
      </c>
    </row>
    <row r="10967" spans="1:4" hidden="1" x14ac:dyDescent="0.3">
      <c r="A10967">
        <v>10965</v>
      </c>
      <c r="B10967" s="1" t="s">
        <v>14332</v>
      </c>
      <c r="C10967" t="s">
        <v>9</v>
      </c>
      <c r="D10967" s="1" t="s">
        <v>14333</v>
      </c>
    </row>
    <row r="10968" spans="1:4" hidden="1" x14ac:dyDescent="0.3">
      <c r="A10968">
        <v>10966</v>
      </c>
      <c r="B10968" t="s">
        <v>14334</v>
      </c>
      <c r="C10968" t="s">
        <v>14</v>
      </c>
      <c r="D10968">
        <v>89.171875</v>
      </c>
    </row>
    <row r="10969" spans="1:4" hidden="1" x14ac:dyDescent="0.3">
      <c r="A10969">
        <v>10967</v>
      </c>
      <c r="B10969" t="s">
        <v>14335</v>
      </c>
      <c r="C10969" t="s">
        <v>16</v>
      </c>
      <c r="D10969">
        <v>4.2156771315429804</v>
      </c>
    </row>
    <row r="10970" spans="1:4" hidden="1" x14ac:dyDescent="0.3">
      <c r="A10970">
        <v>10968</v>
      </c>
      <c r="B10970" s="1" t="s">
        <v>14336</v>
      </c>
      <c r="C10970" t="s">
        <v>140</v>
      </c>
      <c r="D10970" s="1" t="s">
        <v>14337</v>
      </c>
    </row>
    <row r="10971" spans="1:4" hidden="1" x14ac:dyDescent="0.3">
      <c r="A10971">
        <v>10969</v>
      </c>
      <c r="B10971" t="s">
        <v>14338</v>
      </c>
      <c r="C10971" t="s">
        <v>22</v>
      </c>
      <c r="D10971">
        <v>50.1</v>
      </c>
    </row>
    <row r="10972" spans="1:4" hidden="1" x14ac:dyDescent="0.3">
      <c r="A10972">
        <v>10970</v>
      </c>
      <c r="B10972" t="s">
        <v>14339</v>
      </c>
      <c r="C10972" t="s">
        <v>24</v>
      </c>
      <c r="D10972">
        <v>4.3614030486735</v>
      </c>
    </row>
    <row r="10973" spans="1:4" hidden="1" x14ac:dyDescent="0.3">
      <c r="A10973">
        <v>10971</v>
      </c>
      <c r="B10973" s="1" t="s">
        <v>14340</v>
      </c>
      <c r="C10973" t="s">
        <v>145</v>
      </c>
      <c r="D10973" s="1" t="s">
        <v>14341</v>
      </c>
    </row>
    <row r="10974" spans="1:4" hidden="1" x14ac:dyDescent="0.3">
      <c r="A10974">
        <v>10972</v>
      </c>
      <c r="B10974" t="s">
        <v>14342</v>
      </c>
      <c r="C10974" t="s">
        <v>35</v>
      </c>
      <c r="D10974">
        <v>0.29453653179931899</v>
      </c>
    </row>
    <row r="10975" spans="1:4" hidden="1" x14ac:dyDescent="0.3">
      <c r="A10975">
        <v>10973</v>
      </c>
      <c r="B10975" t="s">
        <v>14343</v>
      </c>
      <c r="C10975" t="s">
        <v>149</v>
      </c>
      <c r="D10975">
        <v>0.571992388036766</v>
      </c>
    </row>
    <row r="10976" spans="1:4" hidden="1" x14ac:dyDescent="0.3">
      <c r="A10976">
        <v>10974</v>
      </c>
      <c r="B10976" s="1" t="s">
        <v>14344</v>
      </c>
      <c r="C10976" t="s">
        <v>151</v>
      </c>
      <c r="D10976" s="1" t="s">
        <v>14345</v>
      </c>
    </row>
    <row r="10977" spans="1:4" hidden="1" x14ac:dyDescent="0.3">
      <c r="A10977">
        <v>10975</v>
      </c>
      <c r="B10977" t="s">
        <v>14346</v>
      </c>
      <c r="C10977" t="s">
        <v>30</v>
      </c>
      <c r="D10977">
        <v>0.34283805606805101</v>
      </c>
    </row>
    <row r="10978" spans="1:4" hidden="1" x14ac:dyDescent="0.3">
      <c r="A10978">
        <v>10976</v>
      </c>
      <c r="B10978" t="s">
        <v>14347</v>
      </c>
      <c r="C10978" t="s">
        <v>32</v>
      </c>
      <c r="D10978">
        <v>0.34640702228695702</v>
      </c>
    </row>
    <row r="10979" spans="1:4" hidden="1" x14ac:dyDescent="0.3">
      <c r="A10979">
        <v>10977</v>
      </c>
      <c r="B10979" s="1" t="s">
        <v>14348</v>
      </c>
      <c r="C10979" t="s">
        <v>155</v>
      </c>
      <c r="D10979" s="1" t="s">
        <v>14349</v>
      </c>
    </row>
    <row r="10980" spans="1:4" hidden="1" x14ac:dyDescent="0.3">
      <c r="A10980">
        <v>10978</v>
      </c>
      <c r="B10980" t="s">
        <v>14350</v>
      </c>
      <c r="C10980" t="s">
        <v>40</v>
      </c>
      <c r="D10980">
        <v>0.362625412132629</v>
      </c>
    </row>
    <row r="10981" spans="1:4" hidden="1" x14ac:dyDescent="0.3">
      <c r="A10981">
        <v>10979</v>
      </c>
      <c r="B10981" t="s">
        <v>14351</v>
      </c>
      <c r="C10981" t="s">
        <v>42</v>
      </c>
      <c r="D10981">
        <v>0.40186799135836698</v>
      </c>
    </row>
    <row r="10982" spans="1:4" hidden="1" x14ac:dyDescent="0.3">
      <c r="A10982">
        <v>10980</v>
      </c>
      <c r="B10982" s="1" t="s">
        <v>14352</v>
      </c>
      <c r="C10982" t="s">
        <v>159</v>
      </c>
      <c r="D10982" s="1" t="s">
        <v>14353</v>
      </c>
    </row>
    <row r="10983" spans="1:4" hidden="1" x14ac:dyDescent="0.3">
      <c r="A10983">
        <v>10981</v>
      </c>
      <c r="B10983" t="s">
        <v>14354</v>
      </c>
      <c r="C10983" t="s">
        <v>161</v>
      </c>
      <c r="D10983">
        <v>0.99383190289088397</v>
      </c>
    </row>
    <row r="10984" spans="1:4" hidden="1" x14ac:dyDescent="0.3">
      <c r="A10984">
        <v>10982</v>
      </c>
      <c r="B10984" t="s">
        <v>14355</v>
      </c>
      <c r="C10984" t="s">
        <v>163</v>
      </c>
      <c r="D10984">
        <v>0.99699449159213305</v>
      </c>
    </row>
    <row r="10985" spans="1:4" hidden="1" x14ac:dyDescent="0.3">
      <c r="A10985">
        <v>10983</v>
      </c>
      <c r="B10985" s="1" t="s">
        <v>14356</v>
      </c>
      <c r="C10985" t="s">
        <v>165</v>
      </c>
      <c r="D10985" s="1" t="s">
        <v>14357</v>
      </c>
    </row>
    <row r="10986" spans="1:4" hidden="1" x14ac:dyDescent="0.3">
      <c r="A10986">
        <v>10984</v>
      </c>
      <c r="B10986" t="s">
        <v>14358</v>
      </c>
      <c r="C10986" t="s">
        <v>168</v>
      </c>
      <c r="D10986">
        <v>1.0042255625444201</v>
      </c>
    </row>
    <row r="10987" spans="1:4" hidden="1" x14ac:dyDescent="0.3">
      <c r="A10987">
        <v>10985</v>
      </c>
      <c r="B10987" t="s">
        <v>14359</v>
      </c>
      <c r="C10987" t="s">
        <v>170</v>
      </c>
      <c r="D10987">
        <v>0.99851295757748404</v>
      </c>
    </row>
    <row r="10988" spans="1:4" hidden="1" x14ac:dyDescent="0.3">
      <c r="A10988">
        <v>10986</v>
      </c>
      <c r="B10988" s="1" t="s">
        <v>14360</v>
      </c>
      <c r="C10988" t="s">
        <v>172</v>
      </c>
      <c r="D10988" s="1" t="s">
        <v>14361</v>
      </c>
    </row>
    <row r="10989" spans="1:4" hidden="1" x14ac:dyDescent="0.3">
      <c r="A10989">
        <v>10987</v>
      </c>
      <c r="B10989" s="1" t="s">
        <v>14362</v>
      </c>
      <c r="C10989" t="s">
        <v>55</v>
      </c>
      <c r="D10989" s="1" t="s">
        <v>14363</v>
      </c>
    </row>
    <row r="10990" spans="1:4" hidden="1" x14ac:dyDescent="0.3">
      <c r="A10990">
        <v>10988</v>
      </c>
      <c r="B10990" s="1" t="s">
        <v>14364</v>
      </c>
      <c r="C10990" t="s">
        <v>52</v>
      </c>
      <c r="D10990" s="1" t="s">
        <v>14365</v>
      </c>
    </row>
    <row r="10991" spans="1:4" hidden="1" x14ac:dyDescent="0.3">
      <c r="A10991">
        <v>10989</v>
      </c>
      <c r="B10991" s="1" t="s">
        <v>14366</v>
      </c>
      <c r="C10991" t="s">
        <v>58</v>
      </c>
      <c r="D10991" s="1" t="s">
        <v>14367</v>
      </c>
    </row>
    <row r="10992" spans="1:4" hidden="1" x14ac:dyDescent="0.3">
      <c r="A10992">
        <v>10990</v>
      </c>
      <c r="B10992" t="s">
        <v>14368</v>
      </c>
      <c r="C10992" t="s">
        <v>61</v>
      </c>
      <c r="D10992">
        <v>142444222.632027</v>
      </c>
    </row>
    <row r="10993" spans="1:4" hidden="1" x14ac:dyDescent="0.3">
      <c r="A10993">
        <v>10991</v>
      </c>
      <c r="B10993" t="s">
        <v>14369</v>
      </c>
      <c r="C10993" t="s">
        <v>63</v>
      </c>
      <c r="D10993">
        <v>78148977.011441901</v>
      </c>
    </row>
    <row r="10994" spans="1:4" hidden="1" x14ac:dyDescent="0.3">
      <c r="A10994">
        <v>10992</v>
      </c>
      <c r="B10994" t="s">
        <v>14370</v>
      </c>
      <c r="C10994" t="s">
        <v>65</v>
      </c>
      <c r="D10994">
        <v>33924188.5150913</v>
      </c>
    </row>
    <row r="10995" spans="1:4" hidden="1" x14ac:dyDescent="0.3">
      <c r="A10995">
        <v>10993</v>
      </c>
      <c r="B10995" s="1" t="s">
        <v>14371</v>
      </c>
      <c r="C10995" t="s">
        <v>67</v>
      </c>
      <c r="D10995" s="1" t="s">
        <v>14372</v>
      </c>
    </row>
    <row r="10996" spans="1:4" hidden="1" x14ac:dyDescent="0.3">
      <c r="A10996">
        <v>10994</v>
      </c>
      <c r="B10996" s="1" t="s">
        <v>14373</v>
      </c>
      <c r="C10996" t="s">
        <v>70</v>
      </c>
      <c r="D10996" s="1" t="s">
        <v>14374</v>
      </c>
    </row>
    <row r="10997" spans="1:4" hidden="1" x14ac:dyDescent="0.3">
      <c r="A10997">
        <v>10995</v>
      </c>
      <c r="B10997" t="s">
        <v>14375</v>
      </c>
      <c r="C10997" t="s">
        <v>73</v>
      </c>
      <c r="D10997">
        <v>0.99980785795293503</v>
      </c>
    </row>
    <row r="10998" spans="1:4" hidden="1" x14ac:dyDescent="0.3">
      <c r="A10998">
        <v>10996</v>
      </c>
      <c r="B10998" t="s">
        <v>74</v>
      </c>
      <c r="C10998" t="s">
        <v>75</v>
      </c>
      <c r="D10998">
        <v>2.7397260273972599E-3</v>
      </c>
    </row>
    <row r="10999" spans="1:4" hidden="1" x14ac:dyDescent="0.3">
      <c r="A10999">
        <v>10997</v>
      </c>
      <c r="B10999" t="s">
        <v>76</v>
      </c>
      <c r="C10999" t="s">
        <v>77</v>
      </c>
      <c r="D10999">
        <v>0</v>
      </c>
    </row>
    <row r="11000" spans="1:4" hidden="1" x14ac:dyDescent="0.3">
      <c r="A11000">
        <v>10998</v>
      </c>
      <c r="B11000" t="s">
        <v>78</v>
      </c>
      <c r="C11000" t="s">
        <v>79</v>
      </c>
      <c r="D11000">
        <v>0</v>
      </c>
    </row>
    <row r="11001" spans="1:4" hidden="1" x14ac:dyDescent="0.3">
      <c r="A11001">
        <v>10999</v>
      </c>
      <c r="B11001" s="1" t="s">
        <v>14376</v>
      </c>
      <c r="C11001" t="s">
        <v>81</v>
      </c>
      <c r="D11001" s="1" t="s">
        <v>14377</v>
      </c>
    </row>
    <row r="11002" spans="1:4" hidden="1" x14ac:dyDescent="0.3">
      <c r="A11002">
        <v>11000</v>
      </c>
      <c r="B11002" t="s">
        <v>14378</v>
      </c>
      <c r="C11002" t="s">
        <v>84</v>
      </c>
      <c r="D11002">
        <v>0.99983004817111198</v>
      </c>
    </row>
    <row r="11003" spans="1:4" hidden="1" x14ac:dyDescent="0.3">
      <c r="A11003">
        <v>11001</v>
      </c>
      <c r="B11003" s="1" t="s">
        <v>14379</v>
      </c>
      <c r="C11003" t="s">
        <v>86</v>
      </c>
      <c r="D11003" s="1" t="s">
        <v>14380</v>
      </c>
    </row>
    <row r="11004" spans="1:4" hidden="1" x14ac:dyDescent="0.3">
      <c r="A11004">
        <v>11002</v>
      </c>
      <c r="B11004" t="s">
        <v>14381</v>
      </c>
      <c r="C11004" t="s">
        <v>89</v>
      </c>
      <c r="D11004">
        <v>104273485.16309001</v>
      </c>
    </row>
    <row r="11005" spans="1:4" hidden="1" x14ac:dyDescent="0.3">
      <c r="A11005">
        <v>11003</v>
      </c>
      <c r="B11005" s="1" t="s">
        <v>14382</v>
      </c>
      <c r="C11005" t="s">
        <v>91</v>
      </c>
      <c r="D11005" s="1" t="s">
        <v>14316</v>
      </c>
    </row>
    <row r="11006" spans="1:4" hidden="1" x14ac:dyDescent="0.3">
      <c r="A11006">
        <v>11004</v>
      </c>
      <c r="B11006" t="s">
        <v>14383</v>
      </c>
      <c r="C11006" t="s">
        <v>94</v>
      </c>
      <c r="D11006">
        <v>78148977.011441901</v>
      </c>
    </row>
    <row r="11007" spans="1:4" hidden="1" x14ac:dyDescent="0.3">
      <c r="A11007">
        <v>11005</v>
      </c>
      <c r="B11007" t="s">
        <v>14384</v>
      </c>
      <c r="C11007" t="s">
        <v>96</v>
      </c>
      <c r="D11007">
        <v>33924188.5150913</v>
      </c>
    </row>
    <row r="11008" spans="1:4" hidden="1" x14ac:dyDescent="0.3">
      <c r="A11008">
        <v>11006</v>
      </c>
      <c r="B11008" t="s">
        <v>14385</v>
      </c>
      <c r="C11008" t="s">
        <v>98</v>
      </c>
      <c r="D11008">
        <v>30371057.105494201</v>
      </c>
    </row>
    <row r="11009" spans="1:4" hidden="1" x14ac:dyDescent="0.3">
      <c r="A11009">
        <v>11007</v>
      </c>
      <c r="B11009" s="1" t="s">
        <v>14386</v>
      </c>
      <c r="C11009" t="s">
        <v>100</v>
      </c>
      <c r="D11009" s="1" t="s">
        <v>14387</v>
      </c>
    </row>
    <row r="11010" spans="1:4" hidden="1" x14ac:dyDescent="0.3">
      <c r="A11010">
        <v>11008</v>
      </c>
      <c r="B11010" t="s">
        <v>14388</v>
      </c>
      <c r="C11010" t="s">
        <v>103</v>
      </c>
      <c r="D11010">
        <v>1.02693506356049E-2</v>
      </c>
    </row>
    <row r="11011" spans="1:4" hidden="1" x14ac:dyDescent="0.3">
      <c r="A11011">
        <v>11009</v>
      </c>
      <c r="B11011" t="s">
        <v>14389</v>
      </c>
      <c r="C11011" t="s">
        <v>105</v>
      </c>
      <c r="D11011">
        <v>2.7690251144756001E-3</v>
      </c>
    </row>
    <row r="11012" spans="1:4" hidden="1" x14ac:dyDescent="0.3">
      <c r="A11012">
        <v>11010</v>
      </c>
      <c r="B11012" t="s">
        <v>14390</v>
      </c>
      <c r="C11012" t="s">
        <v>107</v>
      </c>
      <c r="D11012">
        <v>2.5186346984265001E-2</v>
      </c>
    </row>
    <row r="11013" spans="1:4" hidden="1" x14ac:dyDescent="0.3">
      <c r="A11013">
        <v>11011</v>
      </c>
      <c r="B11013" s="1" t="s">
        <v>14391</v>
      </c>
      <c r="C11013" t="s">
        <v>109</v>
      </c>
      <c r="D11013" s="1" t="s">
        <v>14392</v>
      </c>
    </row>
    <row r="11014" spans="1:4" hidden="1" x14ac:dyDescent="0.3">
      <c r="A11014">
        <v>11012</v>
      </c>
      <c r="B11014" t="s">
        <v>14393</v>
      </c>
      <c r="C11014" t="s">
        <v>208</v>
      </c>
      <c r="D11014">
        <v>142445026.09361601</v>
      </c>
    </row>
    <row r="11015" spans="1:4" hidden="1" x14ac:dyDescent="0.3">
      <c r="A11015">
        <v>11013</v>
      </c>
      <c r="B11015" t="s">
        <v>14394</v>
      </c>
      <c r="C11015" t="s">
        <v>210</v>
      </c>
      <c r="D11015">
        <v>-1734.48955279201</v>
      </c>
    </row>
    <row r="11016" spans="1:4" hidden="1" x14ac:dyDescent="0.3">
      <c r="A11016">
        <v>11014</v>
      </c>
      <c r="B11016" t="s">
        <v>14395</v>
      </c>
      <c r="C11016" t="s">
        <v>212</v>
      </c>
      <c r="D11016">
        <v>-752.93183834905597</v>
      </c>
    </row>
    <row r="11017" spans="1:4" hidden="1" x14ac:dyDescent="0.3">
      <c r="A11017">
        <v>11015</v>
      </c>
      <c r="B11017" s="1" t="s">
        <v>14396</v>
      </c>
      <c r="C11017" t="s">
        <v>214</v>
      </c>
      <c r="D11017" s="1" t="s">
        <v>14397</v>
      </c>
    </row>
    <row r="11018" spans="1:4" hidden="1" x14ac:dyDescent="0.3">
      <c r="A11018">
        <v>11016</v>
      </c>
      <c r="B11018" t="s">
        <v>14398</v>
      </c>
      <c r="C11018" t="s">
        <v>217</v>
      </c>
      <c r="D11018">
        <v>78151316.915488899</v>
      </c>
    </row>
    <row r="11019" spans="1:4" hidden="1" x14ac:dyDescent="0.3">
      <c r="A11019">
        <v>11017</v>
      </c>
      <c r="B11019" t="s">
        <v>14399</v>
      </c>
      <c r="C11019" t="s">
        <v>219</v>
      </c>
      <c r="D11019">
        <v>33925032.6528975</v>
      </c>
    </row>
    <row r="11020" spans="1:4" hidden="1" x14ac:dyDescent="0.3">
      <c r="A11020">
        <v>11018</v>
      </c>
      <c r="B11020" t="s">
        <v>14400</v>
      </c>
      <c r="C11020" t="s">
        <v>221</v>
      </c>
      <c r="D11020">
        <v>30371838.018892899</v>
      </c>
    </row>
    <row r="11021" spans="1:4" hidden="1" x14ac:dyDescent="0.3">
      <c r="A11021">
        <v>11019</v>
      </c>
      <c r="B11021" s="1" t="s">
        <v>14401</v>
      </c>
      <c r="C11021" t="s">
        <v>223</v>
      </c>
      <c r="D11021" s="1" t="s">
        <v>14402</v>
      </c>
    </row>
    <row r="11022" spans="1:4" hidden="1" x14ac:dyDescent="0.3">
      <c r="A11022">
        <v>11020</v>
      </c>
      <c r="B11022" t="s">
        <v>14403</v>
      </c>
      <c r="C11022" t="s">
        <v>226</v>
      </c>
      <c r="D11022">
        <v>104275799.459149</v>
      </c>
    </row>
    <row r="11023" spans="1:4" hidden="1" x14ac:dyDescent="0.3">
      <c r="A11023">
        <v>11021</v>
      </c>
      <c r="B11023" t="s">
        <v>14404</v>
      </c>
      <c r="C11023" t="s">
        <v>228</v>
      </c>
      <c r="D11023">
        <v>-2314.2960593551302</v>
      </c>
    </row>
    <row r="11024" spans="1:4" hidden="1" x14ac:dyDescent="0.3">
      <c r="A11024">
        <v>11022</v>
      </c>
      <c r="B11024" s="1" t="s">
        <v>14405</v>
      </c>
      <c r="C11024" t="s">
        <v>230</v>
      </c>
      <c r="D11024" s="1" t="s">
        <v>14406</v>
      </c>
    </row>
    <row r="11025" spans="1:4" hidden="1" x14ac:dyDescent="0.3">
      <c r="A11025">
        <v>11023</v>
      </c>
      <c r="B11025" t="s">
        <v>14407</v>
      </c>
      <c r="C11025" t="s">
        <v>112</v>
      </c>
      <c r="D11025">
        <v>605.41449420046899</v>
      </c>
    </row>
    <row r="11026" spans="1:4" hidden="1" x14ac:dyDescent="0.3">
      <c r="A11026">
        <v>11024</v>
      </c>
      <c r="B11026" t="s">
        <v>14408</v>
      </c>
      <c r="C11026" t="s">
        <v>114</v>
      </c>
      <c r="D11026">
        <v>91.205967894718697</v>
      </c>
    </row>
    <row r="11027" spans="1:4" hidden="1" x14ac:dyDescent="0.3">
      <c r="A11027">
        <v>11025</v>
      </c>
      <c r="B11027" s="1" t="s">
        <v>14409</v>
      </c>
      <c r="C11027" t="s">
        <v>116</v>
      </c>
      <c r="D11027" s="1" t="s">
        <v>14410</v>
      </c>
    </row>
    <row r="11028" spans="1:4" hidden="1" x14ac:dyDescent="0.3">
      <c r="A11028">
        <v>11026</v>
      </c>
      <c r="B11028" t="s">
        <v>14411</v>
      </c>
      <c r="C11028" t="s">
        <v>119</v>
      </c>
      <c r="D11028">
        <v>78151316.915488899</v>
      </c>
    </row>
    <row r="11029" spans="1:4" hidden="1" x14ac:dyDescent="0.3">
      <c r="A11029">
        <v>11027</v>
      </c>
      <c r="B11029" t="s">
        <v>14412</v>
      </c>
      <c r="C11029" t="s">
        <v>121</v>
      </c>
      <c r="D11029">
        <v>33925032.6528975</v>
      </c>
    </row>
    <row r="11030" spans="1:4" hidden="1" x14ac:dyDescent="0.3">
      <c r="A11030">
        <v>11028</v>
      </c>
      <c r="B11030" s="1" t="s">
        <v>14413</v>
      </c>
      <c r="C11030" t="s">
        <v>123</v>
      </c>
      <c r="D11030" s="1" t="s">
        <v>14414</v>
      </c>
    </row>
    <row r="11031" spans="1:4" hidden="1" x14ac:dyDescent="0.3">
      <c r="A11031">
        <v>11029</v>
      </c>
      <c r="B11031" t="s">
        <v>14415</v>
      </c>
      <c r="C11031" t="s">
        <v>126</v>
      </c>
      <c r="D11031">
        <v>0.74959483924193404</v>
      </c>
    </row>
    <row r="11032" spans="1:4" hidden="1" x14ac:dyDescent="0.3">
      <c r="A11032">
        <v>11030</v>
      </c>
      <c r="B11032" t="s">
        <v>14416</v>
      </c>
      <c r="C11032" t="s">
        <v>128</v>
      </c>
      <c r="D11032">
        <v>0.32539476494331598</v>
      </c>
    </row>
    <row r="11033" spans="1:4" hidden="1" x14ac:dyDescent="0.3">
      <c r="A11033">
        <v>11031</v>
      </c>
      <c r="B11033" s="1" t="s">
        <v>14417</v>
      </c>
      <c r="C11033" t="s">
        <v>130</v>
      </c>
      <c r="D11033" s="1" t="s">
        <v>14418</v>
      </c>
    </row>
    <row r="11034" spans="1:4" ht="72" x14ac:dyDescent="0.3">
      <c r="A11034">
        <v>11032</v>
      </c>
      <c r="B11034" s="1" t="s">
        <v>14419</v>
      </c>
      <c r="C11034" t="s">
        <v>4</v>
      </c>
      <c r="D11034" t="s">
        <v>14420</v>
      </c>
    </row>
    <row r="11035" spans="1:4" hidden="1" x14ac:dyDescent="0.3">
      <c r="A11035">
        <v>11033</v>
      </c>
      <c r="B11035" t="s">
        <v>14421</v>
      </c>
      <c r="C11035" t="s">
        <v>7</v>
      </c>
      <c r="D11035">
        <v>1817.14</v>
      </c>
    </row>
    <row r="11036" spans="1:4" hidden="1" x14ac:dyDescent="0.3">
      <c r="A11036">
        <v>11034</v>
      </c>
      <c r="B11036" s="1" t="s">
        <v>14422</v>
      </c>
      <c r="C11036" t="s">
        <v>9</v>
      </c>
      <c r="D11036" s="1" t="s">
        <v>14423</v>
      </c>
    </row>
    <row r="11037" spans="1:4" hidden="1" x14ac:dyDescent="0.3">
      <c r="A11037">
        <v>11035</v>
      </c>
      <c r="B11037" t="s">
        <v>14424</v>
      </c>
      <c r="C11037" t="s">
        <v>14</v>
      </c>
      <c r="D11037">
        <v>89.25</v>
      </c>
    </row>
    <row r="11038" spans="1:4" hidden="1" x14ac:dyDescent="0.3">
      <c r="A11038">
        <v>11036</v>
      </c>
      <c r="B11038" t="s">
        <v>14425</v>
      </c>
      <c r="C11038" t="s">
        <v>16</v>
      </c>
      <c r="D11038">
        <v>4.2175931867863401</v>
      </c>
    </row>
    <row r="11039" spans="1:4" hidden="1" x14ac:dyDescent="0.3">
      <c r="A11039">
        <v>11037</v>
      </c>
      <c r="B11039" s="1" t="s">
        <v>14426</v>
      </c>
      <c r="C11039" t="s">
        <v>140</v>
      </c>
      <c r="D11039" s="1" t="s">
        <v>14427</v>
      </c>
    </row>
    <row r="11040" spans="1:4" hidden="1" x14ac:dyDescent="0.3">
      <c r="A11040">
        <v>11038</v>
      </c>
      <c r="B11040" t="s">
        <v>14428</v>
      </c>
      <c r="C11040" t="s">
        <v>22</v>
      </c>
      <c r="D11040">
        <v>50.85</v>
      </c>
    </row>
    <row r="11041" spans="1:4" hidden="1" x14ac:dyDescent="0.3">
      <c r="A11041">
        <v>11039</v>
      </c>
      <c r="B11041" t="s">
        <v>14429</v>
      </c>
      <c r="C11041" t="s">
        <v>24</v>
      </c>
      <c r="D11041">
        <v>4.3032277270186299</v>
      </c>
    </row>
    <row r="11042" spans="1:4" hidden="1" x14ac:dyDescent="0.3">
      <c r="A11042">
        <v>11040</v>
      </c>
      <c r="B11042" s="1" t="s">
        <v>14430</v>
      </c>
      <c r="C11042" t="s">
        <v>145</v>
      </c>
      <c r="D11042" s="1" t="s">
        <v>14431</v>
      </c>
    </row>
    <row r="11043" spans="1:4" hidden="1" x14ac:dyDescent="0.3">
      <c r="A11043">
        <v>11041</v>
      </c>
      <c r="B11043" t="s">
        <v>14432</v>
      </c>
      <c r="C11043" t="s">
        <v>35</v>
      </c>
      <c r="D11043">
        <v>0.14571142427495601</v>
      </c>
    </row>
    <row r="11044" spans="1:4" hidden="1" x14ac:dyDescent="0.3">
      <c r="A11044">
        <v>11042</v>
      </c>
      <c r="B11044" t="s">
        <v>14433</v>
      </c>
      <c r="C11044" t="s">
        <v>149</v>
      </c>
      <c r="D11044">
        <v>0.56775294839511403</v>
      </c>
    </row>
    <row r="11045" spans="1:4" hidden="1" x14ac:dyDescent="0.3">
      <c r="A11045">
        <v>11043</v>
      </c>
      <c r="B11045" s="1" t="s">
        <v>14434</v>
      </c>
      <c r="C11045" t="s">
        <v>151</v>
      </c>
      <c r="D11045" s="1" t="s">
        <v>14435</v>
      </c>
    </row>
    <row r="11046" spans="1:4" hidden="1" x14ac:dyDescent="0.3">
      <c r="A11046">
        <v>11044</v>
      </c>
      <c r="B11046" t="s">
        <v>14436</v>
      </c>
      <c r="C11046" t="s">
        <v>30</v>
      </c>
      <c r="D11046">
        <v>0.41138121282221801</v>
      </c>
    </row>
    <row r="11047" spans="1:4" hidden="1" x14ac:dyDescent="0.3">
      <c r="A11047">
        <v>11045</v>
      </c>
      <c r="B11047" t="s">
        <v>14437</v>
      </c>
      <c r="C11047" t="s">
        <v>32</v>
      </c>
      <c r="D11047">
        <v>0.35152385705858402</v>
      </c>
    </row>
    <row r="11048" spans="1:4" hidden="1" x14ac:dyDescent="0.3">
      <c r="A11048">
        <v>11046</v>
      </c>
      <c r="B11048" s="1" t="s">
        <v>14438</v>
      </c>
      <c r="C11048" t="s">
        <v>155</v>
      </c>
      <c r="D11048" s="1" t="s">
        <v>14439</v>
      </c>
    </row>
    <row r="11049" spans="1:4" hidden="1" x14ac:dyDescent="0.3">
      <c r="A11049">
        <v>11047</v>
      </c>
      <c r="B11049" t="s">
        <v>14440</v>
      </c>
      <c r="C11049" t="s">
        <v>40</v>
      </c>
      <c r="D11049">
        <v>0.44290736290282501</v>
      </c>
    </row>
    <row r="11050" spans="1:4" hidden="1" x14ac:dyDescent="0.3">
      <c r="A11050">
        <v>11048</v>
      </c>
      <c r="B11050" t="s">
        <v>14441</v>
      </c>
      <c r="C11050" t="s">
        <v>42</v>
      </c>
      <c r="D11050">
        <v>0.40980561349147099</v>
      </c>
    </row>
    <row r="11051" spans="1:4" hidden="1" x14ac:dyDescent="0.3">
      <c r="A11051">
        <v>11049</v>
      </c>
      <c r="B11051" s="1" t="s">
        <v>14442</v>
      </c>
      <c r="C11051" t="s">
        <v>159</v>
      </c>
      <c r="D11051" s="1" t="s">
        <v>14443</v>
      </c>
    </row>
    <row r="11052" spans="1:4" hidden="1" x14ac:dyDescent="0.3">
      <c r="A11052">
        <v>11050</v>
      </c>
      <c r="B11052" t="s">
        <v>14444</v>
      </c>
      <c r="C11052" t="s">
        <v>161</v>
      </c>
      <c r="D11052">
        <v>1.0033682304090401</v>
      </c>
    </row>
    <row r="11053" spans="1:4" hidden="1" x14ac:dyDescent="0.3">
      <c r="A11053">
        <v>11051</v>
      </c>
      <c r="B11053" t="s">
        <v>14445</v>
      </c>
      <c r="C11053" t="s">
        <v>163</v>
      </c>
      <c r="D11053">
        <v>1.0008570848407099</v>
      </c>
    </row>
    <row r="11054" spans="1:4" hidden="1" x14ac:dyDescent="0.3">
      <c r="A11054">
        <v>11052</v>
      </c>
      <c r="B11054" s="1" t="s">
        <v>14446</v>
      </c>
      <c r="C11054" t="s">
        <v>165</v>
      </c>
      <c r="D11054" s="1" t="s">
        <v>14447</v>
      </c>
    </row>
    <row r="11055" spans="1:4" hidden="1" x14ac:dyDescent="0.3">
      <c r="A11055">
        <v>11053</v>
      </c>
      <c r="B11055" t="s">
        <v>14448</v>
      </c>
      <c r="C11055" t="s">
        <v>168</v>
      </c>
      <c r="D11055">
        <v>0.99730314238547502</v>
      </c>
    </row>
    <row r="11056" spans="1:4" hidden="1" x14ac:dyDescent="0.3">
      <c r="A11056">
        <v>11054</v>
      </c>
      <c r="B11056" t="s">
        <v>14449</v>
      </c>
      <c r="C11056" t="s">
        <v>170</v>
      </c>
      <c r="D11056">
        <v>1.0038003625106799</v>
      </c>
    </row>
    <row r="11057" spans="1:4" hidden="1" x14ac:dyDescent="0.3">
      <c r="A11057">
        <v>11055</v>
      </c>
      <c r="B11057" s="1" t="s">
        <v>14450</v>
      </c>
      <c r="C11057" t="s">
        <v>172</v>
      </c>
      <c r="D11057" s="1" t="s">
        <v>14451</v>
      </c>
    </row>
    <row r="11058" spans="1:4" hidden="1" x14ac:dyDescent="0.3">
      <c r="A11058">
        <v>11056</v>
      </c>
      <c r="B11058" s="1" t="s">
        <v>14452</v>
      </c>
      <c r="C11058" t="s">
        <v>55</v>
      </c>
      <c r="D11058" s="1" t="s">
        <v>14453</v>
      </c>
    </row>
    <row r="11059" spans="1:4" hidden="1" x14ac:dyDescent="0.3">
      <c r="A11059">
        <v>11057</v>
      </c>
      <c r="B11059" s="1" t="s">
        <v>14454</v>
      </c>
      <c r="C11059" t="s">
        <v>52</v>
      </c>
      <c r="D11059" s="1" t="s">
        <v>14455</v>
      </c>
    </row>
    <row r="11060" spans="1:4" hidden="1" x14ac:dyDescent="0.3">
      <c r="A11060">
        <v>11058</v>
      </c>
      <c r="B11060" s="1" t="s">
        <v>14456</v>
      </c>
      <c r="C11060" t="s">
        <v>58</v>
      </c>
      <c r="D11060" s="1" t="s">
        <v>14457</v>
      </c>
    </row>
    <row r="11061" spans="1:4" hidden="1" x14ac:dyDescent="0.3">
      <c r="A11061">
        <v>11059</v>
      </c>
      <c r="B11061" t="s">
        <v>14458</v>
      </c>
      <c r="C11061" t="s">
        <v>61</v>
      </c>
      <c r="D11061">
        <v>143126310.14178801</v>
      </c>
    </row>
    <row r="11062" spans="1:4" hidden="1" x14ac:dyDescent="0.3">
      <c r="A11062">
        <v>11060</v>
      </c>
      <c r="B11062" t="s">
        <v>14459</v>
      </c>
      <c r="C11062" t="s">
        <v>63</v>
      </c>
      <c r="D11062">
        <v>78414548.557630703</v>
      </c>
    </row>
    <row r="11063" spans="1:4" hidden="1" x14ac:dyDescent="0.3">
      <c r="A11063">
        <v>11061</v>
      </c>
      <c r="B11063" t="s">
        <v>14460</v>
      </c>
      <c r="C11063" t="s">
        <v>65</v>
      </c>
      <c r="D11063">
        <v>33954109.284105003</v>
      </c>
    </row>
    <row r="11064" spans="1:4" hidden="1" x14ac:dyDescent="0.3">
      <c r="A11064">
        <v>11062</v>
      </c>
      <c r="B11064" s="1" t="s">
        <v>14461</v>
      </c>
      <c r="C11064" t="s">
        <v>67</v>
      </c>
      <c r="D11064" s="1" t="s">
        <v>14462</v>
      </c>
    </row>
    <row r="11065" spans="1:4" hidden="1" x14ac:dyDescent="0.3">
      <c r="A11065">
        <v>11063</v>
      </c>
      <c r="B11065" s="1" t="s">
        <v>14463</v>
      </c>
      <c r="C11065" t="s">
        <v>70</v>
      </c>
      <c r="D11065" s="1" t="s">
        <v>14464</v>
      </c>
    </row>
    <row r="11066" spans="1:4" hidden="1" x14ac:dyDescent="0.3">
      <c r="A11066">
        <v>11064</v>
      </c>
      <c r="B11066" t="s">
        <v>14465</v>
      </c>
      <c r="C11066" t="s">
        <v>73</v>
      </c>
      <c r="D11066">
        <v>0.99983004817111198</v>
      </c>
    </row>
    <row r="11067" spans="1:4" hidden="1" x14ac:dyDescent="0.3">
      <c r="A11067">
        <v>11065</v>
      </c>
      <c r="B11067" t="s">
        <v>74</v>
      </c>
      <c r="C11067" t="s">
        <v>75</v>
      </c>
      <c r="D11067">
        <v>2.7397260273972599E-3</v>
      </c>
    </row>
    <row r="11068" spans="1:4" hidden="1" x14ac:dyDescent="0.3">
      <c r="A11068">
        <v>11066</v>
      </c>
      <c r="B11068" t="s">
        <v>76</v>
      </c>
      <c r="C11068" t="s">
        <v>77</v>
      </c>
      <c r="D11068">
        <v>0</v>
      </c>
    </row>
    <row r="11069" spans="1:4" hidden="1" x14ac:dyDescent="0.3">
      <c r="A11069">
        <v>11067</v>
      </c>
      <c r="B11069" t="s">
        <v>78</v>
      </c>
      <c r="C11069" t="s">
        <v>79</v>
      </c>
      <c r="D11069">
        <v>0</v>
      </c>
    </row>
    <row r="11070" spans="1:4" hidden="1" x14ac:dyDescent="0.3">
      <c r="A11070">
        <v>11068</v>
      </c>
      <c r="B11070" s="1" t="s">
        <v>14466</v>
      </c>
      <c r="C11070" t="s">
        <v>81</v>
      </c>
      <c r="D11070" s="1" t="s">
        <v>14467</v>
      </c>
    </row>
    <row r="11071" spans="1:4" hidden="1" x14ac:dyDescent="0.3">
      <c r="A11071">
        <v>11069</v>
      </c>
      <c r="B11071" t="s">
        <v>14468</v>
      </c>
      <c r="C11071" t="s">
        <v>84</v>
      </c>
      <c r="D11071">
        <v>0.99983926080955399</v>
      </c>
    </row>
    <row r="11072" spans="1:4" hidden="1" x14ac:dyDescent="0.3">
      <c r="A11072">
        <v>11070</v>
      </c>
      <c r="B11072" s="1" t="s">
        <v>14469</v>
      </c>
      <c r="C11072" t="s">
        <v>86</v>
      </c>
      <c r="D11072" s="1" t="s">
        <v>14470</v>
      </c>
    </row>
    <row r="11073" spans="1:4" hidden="1" x14ac:dyDescent="0.3">
      <c r="A11073">
        <v>11071</v>
      </c>
      <c r="B11073" t="s">
        <v>14471</v>
      </c>
      <c r="C11073" t="s">
        <v>89</v>
      </c>
      <c r="D11073">
        <v>104272524.374736</v>
      </c>
    </row>
    <row r="11074" spans="1:4" hidden="1" x14ac:dyDescent="0.3">
      <c r="A11074">
        <v>11072</v>
      </c>
      <c r="B11074" s="1" t="s">
        <v>14472</v>
      </c>
      <c r="C11074" t="s">
        <v>91</v>
      </c>
      <c r="D11074" s="1" t="s">
        <v>14406</v>
      </c>
    </row>
    <row r="11075" spans="1:4" hidden="1" x14ac:dyDescent="0.3">
      <c r="A11075">
        <v>11073</v>
      </c>
      <c r="B11075" t="s">
        <v>14473</v>
      </c>
      <c r="C11075" t="s">
        <v>94</v>
      </c>
      <c r="D11075">
        <v>78414548.557630703</v>
      </c>
    </row>
    <row r="11076" spans="1:4" hidden="1" x14ac:dyDescent="0.3">
      <c r="A11076">
        <v>11074</v>
      </c>
      <c r="B11076" t="s">
        <v>14474</v>
      </c>
      <c r="C11076" t="s">
        <v>96</v>
      </c>
      <c r="D11076">
        <v>33954109.284105003</v>
      </c>
    </row>
    <row r="11077" spans="1:4" hidden="1" x14ac:dyDescent="0.3">
      <c r="A11077">
        <v>11075</v>
      </c>
      <c r="B11077" t="s">
        <v>14475</v>
      </c>
      <c r="C11077" t="s">
        <v>98</v>
      </c>
      <c r="D11077">
        <v>30757652.300052602</v>
      </c>
    </row>
    <row r="11078" spans="1:4" hidden="1" x14ac:dyDescent="0.3">
      <c r="A11078">
        <v>11076</v>
      </c>
      <c r="B11078" s="1" t="s">
        <v>14476</v>
      </c>
      <c r="C11078" t="s">
        <v>100</v>
      </c>
      <c r="D11078" s="1" t="s">
        <v>14477</v>
      </c>
    </row>
    <row r="11079" spans="1:4" hidden="1" x14ac:dyDescent="0.3">
      <c r="A11079">
        <v>11077</v>
      </c>
      <c r="B11079" t="s">
        <v>14478</v>
      </c>
      <c r="C11079" t="s">
        <v>103</v>
      </c>
      <c r="D11079">
        <v>1.0145154256633799E-2</v>
      </c>
    </row>
    <row r="11080" spans="1:4" hidden="1" x14ac:dyDescent="0.3">
      <c r="A11080">
        <v>11078</v>
      </c>
      <c r="B11080" t="s">
        <v>14479</v>
      </c>
      <c r="C11080" t="s">
        <v>105</v>
      </c>
      <c r="D11080">
        <v>2.7602812271623799E-3</v>
      </c>
    </row>
    <row r="11081" spans="1:4" hidden="1" x14ac:dyDescent="0.3">
      <c r="A11081">
        <v>11079</v>
      </c>
      <c r="B11081" t="s">
        <v>14480</v>
      </c>
      <c r="C11081" t="s">
        <v>107</v>
      </c>
      <c r="D11081">
        <v>2.5236596896711001E-2</v>
      </c>
    </row>
    <row r="11082" spans="1:4" hidden="1" x14ac:dyDescent="0.3">
      <c r="A11082">
        <v>11080</v>
      </c>
      <c r="B11082" s="1" t="s">
        <v>14481</v>
      </c>
      <c r="C11082" t="s">
        <v>109</v>
      </c>
      <c r="D11082" s="1" t="s">
        <v>14482</v>
      </c>
    </row>
    <row r="11083" spans="1:4" hidden="1" x14ac:dyDescent="0.3">
      <c r="A11083">
        <v>11081</v>
      </c>
      <c r="B11083" t="s">
        <v>14483</v>
      </c>
      <c r="C11083" t="s">
        <v>208</v>
      </c>
      <c r="D11083">
        <v>143126642.54582399</v>
      </c>
    </row>
    <row r="11084" spans="1:4" hidden="1" x14ac:dyDescent="0.3">
      <c r="A11084">
        <v>11082</v>
      </c>
      <c r="B11084" t="s">
        <v>14484</v>
      </c>
      <c r="C11084" t="s">
        <v>210</v>
      </c>
      <c r="D11084">
        <v>-722.52996829087294</v>
      </c>
    </row>
    <row r="11085" spans="1:4" hidden="1" x14ac:dyDescent="0.3">
      <c r="A11085">
        <v>11083</v>
      </c>
      <c r="B11085" t="s">
        <v>14485</v>
      </c>
      <c r="C11085" t="s">
        <v>212</v>
      </c>
      <c r="D11085">
        <v>-312.860599259342</v>
      </c>
    </row>
    <row r="11086" spans="1:4" hidden="1" x14ac:dyDescent="0.3">
      <c r="A11086">
        <v>11084</v>
      </c>
      <c r="B11086" s="1" t="s">
        <v>14486</v>
      </c>
      <c r="C11086" t="s">
        <v>214</v>
      </c>
      <c r="D11086" s="1" t="s">
        <v>14487</v>
      </c>
    </row>
    <row r="11087" spans="1:4" hidden="1" x14ac:dyDescent="0.3">
      <c r="A11087">
        <v>11085</v>
      </c>
      <c r="B11087" t="s">
        <v>14488</v>
      </c>
      <c r="C11087" t="s">
        <v>217</v>
      </c>
      <c r="D11087">
        <v>78415519.500598207</v>
      </c>
    </row>
    <row r="11088" spans="1:4" hidden="1" x14ac:dyDescent="0.3">
      <c r="A11088">
        <v>11086</v>
      </c>
      <c r="B11088" t="s">
        <v>14489</v>
      </c>
      <c r="C11088" t="s">
        <v>219</v>
      </c>
      <c r="D11088">
        <v>33954475.937132701</v>
      </c>
    </row>
    <row r="11089" spans="1:4" hidden="1" x14ac:dyDescent="0.3">
      <c r="A11089">
        <v>11087</v>
      </c>
      <c r="B11089" t="s">
        <v>14490</v>
      </c>
      <c r="C11089" t="s">
        <v>221</v>
      </c>
      <c r="D11089">
        <v>30757965.906234499</v>
      </c>
    </row>
    <row r="11090" spans="1:4" hidden="1" x14ac:dyDescent="0.3">
      <c r="A11090">
        <v>11088</v>
      </c>
      <c r="B11090" s="1" t="s">
        <v>14491</v>
      </c>
      <c r="C11090" t="s">
        <v>223</v>
      </c>
      <c r="D11090" s="1" t="s">
        <v>14492</v>
      </c>
    </row>
    <row r="11091" spans="1:4" hidden="1" x14ac:dyDescent="0.3">
      <c r="A11091">
        <v>11089</v>
      </c>
      <c r="B11091" t="s">
        <v>14493</v>
      </c>
      <c r="C11091" t="s">
        <v>226</v>
      </c>
      <c r="D11091">
        <v>104273485.16309001</v>
      </c>
    </row>
    <row r="11092" spans="1:4" hidden="1" x14ac:dyDescent="0.3">
      <c r="A11092">
        <v>11090</v>
      </c>
      <c r="B11092" t="s">
        <v>14494</v>
      </c>
      <c r="C11092" t="s">
        <v>228</v>
      </c>
      <c r="D11092">
        <v>-960.788354247808</v>
      </c>
    </row>
    <row r="11093" spans="1:4" hidden="1" x14ac:dyDescent="0.3">
      <c r="A11093">
        <v>11091</v>
      </c>
      <c r="B11093" s="1" t="s">
        <v>14495</v>
      </c>
      <c r="C11093" t="s">
        <v>230</v>
      </c>
      <c r="D11093" s="1" t="s">
        <v>14496</v>
      </c>
    </row>
    <row r="11094" spans="1:4" hidden="1" x14ac:dyDescent="0.3">
      <c r="A11094">
        <v>11092</v>
      </c>
      <c r="B11094" t="s">
        <v>14497</v>
      </c>
      <c r="C11094" t="s">
        <v>112</v>
      </c>
      <c r="D11094">
        <v>248.41299919508799</v>
      </c>
    </row>
    <row r="11095" spans="1:4" hidden="1" x14ac:dyDescent="0.3">
      <c r="A11095">
        <v>11093</v>
      </c>
      <c r="B11095" t="s">
        <v>14498</v>
      </c>
      <c r="C11095" t="s">
        <v>114</v>
      </c>
      <c r="D11095">
        <v>53.7924284343514</v>
      </c>
    </row>
    <row r="11096" spans="1:4" hidden="1" x14ac:dyDescent="0.3">
      <c r="A11096">
        <v>11094</v>
      </c>
      <c r="B11096" s="1" t="s">
        <v>14499</v>
      </c>
      <c r="C11096" t="s">
        <v>116</v>
      </c>
      <c r="D11096" s="1" t="s">
        <v>14500</v>
      </c>
    </row>
    <row r="11097" spans="1:4" hidden="1" x14ac:dyDescent="0.3">
      <c r="A11097">
        <v>11095</v>
      </c>
      <c r="B11097" t="s">
        <v>14501</v>
      </c>
      <c r="C11097" t="s">
        <v>119</v>
      </c>
      <c r="D11097">
        <v>78415519.500598207</v>
      </c>
    </row>
    <row r="11098" spans="1:4" hidden="1" x14ac:dyDescent="0.3">
      <c r="A11098">
        <v>11096</v>
      </c>
      <c r="B11098" t="s">
        <v>14502</v>
      </c>
      <c r="C11098" t="s">
        <v>121</v>
      </c>
      <c r="D11098">
        <v>33954475.937132701</v>
      </c>
    </row>
    <row r="11099" spans="1:4" hidden="1" x14ac:dyDescent="0.3">
      <c r="A11099">
        <v>11097</v>
      </c>
      <c r="B11099" s="1" t="s">
        <v>14503</v>
      </c>
      <c r="C11099" t="s">
        <v>123</v>
      </c>
      <c r="D11099" s="1" t="s">
        <v>14504</v>
      </c>
    </row>
    <row r="11100" spans="1:4" hidden="1" x14ac:dyDescent="0.3">
      <c r="A11100">
        <v>11098</v>
      </c>
      <c r="B11100" t="s">
        <v>14505</v>
      </c>
      <c r="C11100" t="s">
        <v>126</v>
      </c>
      <c r="D11100">
        <v>0.75213872300718398</v>
      </c>
    </row>
    <row r="11101" spans="1:4" hidden="1" x14ac:dyDescent="0.3">
      <c r="A11101">
        <v>11099</v>
      </c>
      <c r="B11101" t="s">
        <v>14506</v>
      </c>
      <c r="C11101" t="s">
        <v>128</v>
      </c>
      <c r="D11101">
        <v>0.32568139998789802</v>
      </c>
    </row>
    <row r="11102" spans="1:4" hidden="1" x14ac:dyDescent="0.3">
      <c r="A11102">
        <v>11100</v>
      </c>
      <c r="B11102" s="1" t="s">
        <v>14507</v>
      </c>
      <c r="C11102" t="s">
        <v>130</v>
      </c>
      <c r="D11102" s="1" t="s">
        <v>14508</v>
      </c>
    </row>
    <row r="11103" spans="1:4" ht="72" x14ac:dyDescent="0.3">
      <c r="A11103">
        <v>11101</v>
      </c>
      <c r="B11103" s="1" t="s">
        <v>14509</v>
      </c>
      <c r="C11103" t="s">
        <v>4</v>
      </c>
      <c r="D11103" t="s">
        <v>14510</v>
      </c>
    </row>
    <row r="11104" spans="1:4" hidden="1" x14ac:dyDescent="0.3">
      <c r="A11104">
        <v>11102</v>
      </c>
      <c r="B11104" t="s">
        <v>14511</v>
      </c>
      <c r="C11104" t="s">
        <v>7</v>
      </c>
      <c r="D11104">
        <v>1826.92</v>
      </c>
    </row>
    <row r="11105" spans="1:4" hidden="1" x14ac:dyDescent="0.3">
      <c r="A11105">
        <v>11103</v>
      </c>
      <c r="B11105" s="1" t="s">
        <v>14512</v>
      </c>
      <c r="C11105" t="s">
        <v>9</v>
      </c>
      <c r="D11105" s="1" t="s">
        <v>14513</v>
      </c>
    </row>
    <row r="11106" spans="1:4" hidden="1" x14ac:dyDescent="0.3">
      <c r="A11106">
        <v>11104</v>
      </c>
      <c r="B11106" t="s">
        <v>14514</v>
      </c>
      <c r="C11106" t="s">
        <v>14</v>
      </c>
      <c r="D11106">
        <v>89.15625</v>
      </c>
    </row>
    <row r="11107" spans="1:4" hidden="1" x14ac:dyDescent="0.3">
      <c r="A11107">
        <v>11105</v>
      </c>
      <c r="B11107" t="s">
        <v>14515</v>
      </c>
      <c r="C11107" t="s">
        <v>16</v>
      </c>
      <c r="D11107">
        <v>4.2178892978954403</v>
      </c>
    </row>
    <row r="11108" spans="1:4" hidden="1" x14ac:dyDescent="0.3">
      <c r="A11108">
        <v>11106</v>
      </c>
      <c r="B11108" s="1" t="s">
        <v>14516</v>
      </c>
      <c r="C11108" t="s">
        <v>140</v>
      </c>
      <c r="D11108" s="1" t="s">
        <v>14517</v>
      </c>
    </row>
    <row r="11109" spans="1:4" hidden="1" x14ac:dyDescent="0.3">
      <c r="A11109">
        <v>11107</v>
      </c>
      <c r="B11109" t="s">
        <v>6988</v>
      </c>
      <c r="C11109" t="s">
        <v>22</v>
      </c>
      <c r="D11109">
        <v>51.6</v>
      </c>
    </row>
    <row r="11110" spans="1:4" hidden="1" x14ac:dyDescent="0.3">
      <c r="A11110">
        <v>11108</v>
      </c>
      <c r="B11110" t="s">
        <v>14518</v>
      </c>
      <c r="C11110" t="s">
        <v>24</v>
      </c>
      <c r="D11110">
        <v>4.2457931930103303</v>
      </c>
    </row>
    <row r="11111" spans="1:4" hidden="1" x14ac:dyDescent="0.3">
      <c r="A11111">
        <v>11109</v>
      </c>
      <c r="B11111" s="1" t="s">
        <v>14519</v>
      </c>
      <c r="C11111" t="s">
        <v>145</v>
      </c>
      <c r="D11111" s="1" t="s">
        <v>14520</v>
      </c>
    </row>
    <row r="11112" spans="1:4" hidden="1" x14ac:dyDescent="0.3">
      <c r="A11112">
        <v>11110</v>
      </c>
      <c r="B11112" t="s">
        <v>14521</v>
      </c>
      <c r="C11112" t="s">
        <v>35</v>
      </c>
      <c r="D11112">
        <v>-0.199508471069442</v>
      </c>
    </row>
    <row r="11113" spans="1:4" hidden="1" x14ac:dyDescent="0.3">
      <c r="A11113">
        <v>11111</v>
      </c>
      <c r="B11113" t="s">
        <v>14522</v>
      </c>
      <c r="C11113" t="s">
        <v>149</v>
      </c>
      <c r="D11113">
        <v>0.56986337458876801</v>
      </c>
    </row>
    <row r="11114" spans="1:4" hidden="1" x14ac:dyDescent="0.3">
      <c r="A11114">
        <v>11112</v>
      </c>
      <c r="B11114" s="1" t="s">
        <v>14523</v>
      </c>
      <c r="C11114" t="s">
        <v>151</v>
      </c>
      <c r="D11114" s="1" t="s">
        <v>14524</v>
      </c>
    </row>
    <row r="11115" spans="1:4" hidden="1" x14ac:dyDescent="0.3">
      <c r="A11115">
        <v>11113</v>
      </c>
      <c r="B11115" t="s">
        <v>14525</v>
      </c>
      <c r="C11115" t="s">
        <v>30</v>
      </c>
      <c r="D11115">
        <v>0.57995470433644303</v>
      </c>
    </row>
    <row r="11116" spans="1:4" hidden="1" x14ac:dyDescent="0.3">
      <c r="A11116">
        <v>11114</v>
      </c>
      <c r="B11116" t="s">
        <v>14526</v>
      </c>
      <c r="C11116" t="s">
        <v>32</v>
      </c>
      <c r="D11116">
        <v>0.346318972613743</v>
      </c>
    </row>
    <row r="11117" spans="1:4" hidden="1" x14ac:dyDescent="0.3">
      <c r="A11117">
        <v>11115</v>
      </c>
      <c r="B11117" s="1" t="s">
        <v>14527</v>
      </c>
      <c r="C11117" t="s">
        <v>155</v>
      </c>
      <c r="D11117" s="1" t="s">
        <v>14528</v>
      </c>
    </row>
    <row r="11118" spans="1:4" hidden="1" x14ac:dyDescent="0.3">
      <c r="A11118">
        <v>11116</v>
      </c>
      <c r="B11118" t="s">
        <v>14529</v>
      </c>
      <c r="C11118" t="s">
        <v>40</v>
      </c>
      <c r="D11118">
        <v>0.619553766732999</v>
      </c>
    </row>
    <row r="11119" spans="1:4" hidden="1" x14ac:dyDescent="0.3">
      <c r="A11119">
        <v>11117</v>
      </c>
      <c r="B11119" t="s">
        <v>14530</v>
      </c>
      <c r="C11119" t="s">
        <v>42</v>
      </c>
      <c r="D11119">
        <v>0.40848760838759102</v>
      </c>
    </row>
    <row r="11120" spans="1:4" hidden="1" x14ac:dyDescent="0.3">
      <c r="A11120">
        <v>11118</v>
      </c>
      <c r="B11120" s="1" t="s">
        <v>14531</v>
      </c>
      <c r="C11120" t="s">
        <v>159</v>
      </c>
      <c r="D11120" s="1" t="s">
        <v>14532</v>
      </c>
    </row>
    <row r="11121" spans="1:4" hidden="1" x14ac:dyDescent="0.3">
      <c r="A11121">
        <v>11119</v>
      </c>
      <c r="B11121" t="s">
        <v>14533</v>
      </c>
      <c r="C11121" t="s">
        <v>161</v>
      </c>
      <c r="D11121">
        <v>1.0053820839340899</v>
      </c>
    </row>
    <row r="11122" spans="1:4" hidden="1" x14ac:dyDescent="0.3">
      <c r="A11122">
        <v>11120</v>
      </c>
      <c r="B11122" t="s">
        <v>14534</v>
      </c>
      <c r="C11122" t="s">
        <v>163</v>
      </c>
      <c r="D11122">
        <v>0.99900014662082703</v>
      </c>
    </row>
    <row r="11123" spans="1:4" hidden="1" x14ac:dyDescent="0.3">
      <c r="A11123">
        <v>11121</v>
      </c>
      <c r="B11123" s="1" t="s">
        <v>14535</v>
      </c>
      <c r="C11123" t="s">
        <v>165</v>
      </c>
      <c r="D11123" s="1" t="s">
        <v>14536</v>
      </c>
    </row>
    <row r="11124" spans="1:4" hidden="1" x14ac:dyDescent="0.3">
      <c r="A11124">
        <v>11122</v>
      </c>
      <c r="B11124" t="s">
        <v>14537</v>
      </c>
      <c r="C11124" t="s">
        <v>168</v>
      </c>
      <c r="D11124">
        <v>1.0013461471692999</v>
      </c>
    </row>
    <row r="11125" spans="1:4" hidden="1" x14ac:dyDescent="0.3">
      <c r="A11125">
        <v>11123</v>
      </c>
      <c r="B11125" t="s">
        <v>14538</v>
      </c>
      <c r="C11125" t="s">
        <v>170</v>
      </c>
      <c r="D11125">
        <v>0.996148877122917</v>
      </c>
    </row>
    <row r="11126" spans="1:4" hidden="1" x14ac:dyDescent="0.3">
      <c r="A11126">
        <v>11124</v>
      </c>
      <c r="B11126" s="1" t="s">
        <v>14539</v>
      </c>
      <c r="C11126" t="s">
        <v>172</v>
      </c>
      <c r="D11126" s="1" t="s">
        <v>14540</v>
      </c>
    </row>
    <row r="11127" spans="1:4" hidden="1" x14ac:dyDescent="0.3">
      <c r="A11127">
        <v>11125</v>
      </c>
      <c r="B11127" s="1" t="s">
        <v>14541</v>
      </c>
      <c r="C11127" t="s">
        <v>55</v>
      </c>
      <c r="D11127" s="1" t="s">
        <v>14542</v>
      </c>
    </row>
    <row r="11128" spans="1:4" hidden="1" x14ac:dyDescent="0.3">
      <c r="A11128">
        <v>11126</v>
      </c>
      <c r="B11128" s="1" t="s">
        <v>14543</v>
      </c>
      <c r="C11128" t="s">
        <v>52</v>
      </c>
      <c r="D11128" s="1" t="s">
        <v>14544</v>
      </c>
    </row>
    <row r="11129" spans="1:4" hidden="1" x14ac:dyDescent="0.3">
      <c r="A11129">
        <v>11127</v>
      </c>
      <c r="B11129" s="1" t="s">
        <v>14545</v>
      </c>
      <c r="C11129" t="s">
        <v>58</v>
      </c>
      <c r="D11129" s="1" t="s">
        <v>14546</v>
      </c>
    </row>
    <row r="11130" spans="1:4" hidden="1" x14ac:dyDescent="0.3">
      <c r="A11130">
        <v>11128</v>
      </c>
      <c r="B11130" t="s">
        <v>14547</v>
      </c>
      <c r="C11130" t="s">
        <v>61</v>
      </c>
      <c r="D11130">
        <v>143902282.09307</v>
      </c>
    </row>
    <row r="11131" spans="1:4" hidden="1" x14ac:dyDescent="0.3">
      <c r="A11131">
        <v>11129</v>
      </c>
      <c r="B11131" t="s">
        <v>14548</v>
      </c>
      <c r="C11131" t="s">
        <v>63</v>
      </c>
      <c r="D11131">
        <v>78837558.408286005</v>
      </c>
    </row>
    <row r="11132" spans="1:4" hidden="1" x14ac:dyDescent="0.3">
      <c r="A11132">
        <v>11130</v>
      </c>
      <c r="B11132" t="s">
        <v>14549</v>
      </c>
      <c r="C11132" t="s">
        <v>65</v>
      </c>
      <c r="D11132">
        <v>33920526.439629003</v>
      </c>
    </row>
    <row r="11133" spans="1:4" hidden="1" x14ac:dyDescent="0.3">
      <c r="A11133">
        <v>11131</v>
      </c>
      <c r="B11133" s="1" t="s">
        <v>14550</v>
      </c>
      <c r="C11133" t="s">
        <v>67</v>
      </c>
      <c r="D11133" s="1" t="s">
        <v>14551</v>
      </c>
    </row>
    <row r="11134" spans="1:4" hidden="1" x14ac:dyDescent="0.3">
      <c r="A11134">
        <v>11132</v>
      </c>
      <c r="B11134" s="1" t="s">
        <v>14552</v>
      </c>
      <c r="C11134" t="s">
        <v>70</v>
      </c>
      <c r="D11134" s="1" t="s">
        <v>14553</v>
      </c>
    </row>
    <row r="11135" spans="1:4" hidden="1" x14ac:dyDescent="0.3">
      <c r="A11135">
        <v>11133</v>
      </c>
      <c r="B11135" t="s">
        <v>14554</v>
      </c>
      <c r="C11135" t="s">
        <v>73</v>
      </c>
      <c r="D11135">
        <v>0.99983926080955399</v>
      </c>
    </row>
    <row r="11136" spans="1:4" hidden="1" x14ac:dyDescent="0.3">
      <c r="A11136">
        <v>11134</v>
      </c>
      <c r="B11136" t="s">
        <v>74</v>
      </c>
      <c r="C11136" t="s">
        <v>75</v>
      </c>
      <c r="D11136">
        <v>2.7397260273972599E-3</v>
      </c>
    </row>
    <row r="11137" spans="1:4" hidden="1" x14ac:dyDescent="0.3">
      <c r="A11137">
        <v>11135</v>
      </c>
      <c r="B11137" t="s">
        <v>76</v>
      </c>
      <c r="C11137" t="s">
        <v>77</v>
      </c>
      <c r="D11137">
        <v>0</v>
      </c>
    </row>
    <row r="11138" spans="1:4" hidden="1" x14ac:dyDescent="0.3">
      <c r="A11138">
        <v>11136</v>
      </c>
      <c r="B11138" t="s">
        <v>188</v>
      </c>
      <c r="C11138" t="s">
        <v>79</v>
      </c>
      <c r="D11138" s="2">
        <v>-2.2204460492503101E-16</v>
      </c>
    </row>
    <row r="11139" spans="1:4" hidden="1" x14ac:dyDescent="0.3">
      <c r="A11139">
        <v>11137</v>
      </c>
      <c r="B11139" s="1" t="s">
        <v>14555</v>
      </c>
      <c r="C11139" t="s">
        <v>81</v>
      </c>
      <c r="D11139" s="1" t="s">
        <v>14556</v>
      </c>
    </row>
    <row r="11140" spans="1:4" hidden="1" x14ac:dyDescent="0.3">
      <c r="A11140">
        <v>11138</v>
      </c>
      <c r="B11140" t="s">
        <v>14557</v>
      </c>
      <c r="C11140" t="s">
        <v>84</v>
      </c>
      <c r="D11140">
        <v>0.99988237498084398</v>
      </c>
    </row>
    <row r="11141" spans="1:4" hidden="1" x14ac:dyDescent="0.3">
      <c r="A11141">
        <v>11139</v>
      </c>
      <c r="B11141" s="1" t="s">
        <v>14558</v>
      </c>
      <c r="C11141" t="s">
        <v>86</v>
      </c>
      <c r="D11141" s="1" t="s">
        <v>14559</v>
      </c>
    </row>
    <row r="11142" spans="1:4" hidden="1" x14ac:dyDescent="0.3">
      <c r="A11142">
        <v>11140</v>
      </c>
      <c r="B11142" t="s">
        <v>14560</v>
      </c>
      <c r="C11142" t="s">
        <v>89</v>
      </c>
      <c r="D11142">
        <v>104268028.222399</v>
      </c>
    </row>
    <row r="11143" spans="1:4" hidden="1" x14ac:dyDescent="0.3">
      <c r="A11143">
        <v>11141</v>
      </c>
      <c r="B11143" s="1" t="s">
        <v>14561</v>
      </c>
      <c r="C11143" t="s">
        <v>91</v>
      </c>
      <c r="D11143" s="1" t="s">
        <v>14496</v>
      </c>
    </row>
    <row r="11144" spans="1:4" hidden="1" x14ac:dyDescent="0.3">
      <c r="A11144">
        <v>11142</v>
      </c>
      <c r="B11144" t="s">
        <v>14562</v>
      </c>
      <c r="C11144" t="s">
        <v>94</v>
      </c>
      <c r="D11144">
        <v>78837558.408286005</v>
      </c>
    </row>
    <row r="11145" spans="1:4" hidden="1" x14ac:dyDescent="0.3">
      <c r="A11145">
        <v>11143</v>
      </c>
      <c r="B11145" t="s">
        <v>14563</v>
      </c>
      <c r="C11145" t="s">
        <v>96</v>
      </c>
      <c r="D11145">
        <v>33920526.439629003</v>
      </c>
    </row>
    <row r="11146" spans="1:4" hidden="1" x14ac:dyDescent="0.3">
      <c r="A11146">
        <v>11144</v>
      </c>
      <c r="B11146" t="s">
        <v>14564</v>
      </c>
      <c r="C11146" t="s">
        <v>98</v>
      </c>
      <c r="D11146">
        <v>31144197.245155301</v>
      </c>
    </row>
    <row r="11147" spans="1:4" hidden="1" x14ac:dyDescent="0.3">
      <c r="A11147">
        <v>11145</v>
      </c>
      <c r="B11147" s="1" t="s">
        <v>14565</v>
      </c>
      <c r="C11147" t="s">
        <v>100</v>
      </c>
      <c r="D11147" s="1" t="s">
        <v>14566</v>
      </c>
    </row>
    <row r="11148" spans="1:4" hidden="1" x14ac:dyDescent="0.3">
      <c r="A11148">
        <v>11146</v>
      </c>
      <c r="B11148" t="s">
        <v>14567</v>
      </c>
      <c r="C11148" t="s">
        <v>103</v>
      </c>
      <c r="D11148">
        <v>1.0045062694918399E-2</v>
      </c>
    </row>
    <row r="11149" spans="1:4" hidden="1" x14ac:dyDescent="0.3">
      <c r="A11149">
        <v>11147</v>
      </c>
      <c r="B11149" t="s">
        <v>14568</v>
      </c>
      <c r="C11149" t="s">
        <v>105</v>
      </c>
      <c r="D11149">
        <v>2.70020843638418E-3</v>
      </c>
    </row>
    <row r="11150" spans="1:4" hidden="1" x14ac:dyDescent="0.3">
      <c r="A11150">
        <v>11148</v>
      </c>
      <c r="B11150" t="s">
        <v>14569</v>
      </c>
      <c r="C11150" t="s">
        <v>107</v>
      </c>
      <c r="D11150">
        <v>2.51280249957689E-2</v>
      </c>
    </row>
    <row r="11151" spans="1:4" hidden="1" x14ac:dyDescent="0.3">
      <c r="A11151">
        <v>11149</v>
      </c>
      <c r="B11151" s="1" t="s">
        <v>14570</v>
      </c>
      <c r="C11151" t="s">
        <v>109</v>
      </c>
      <c r="D11151" s="1" t="s">
        <v>14571</v>
      </c>
    </row>
    <row r="11152" spans="1:4" hidden="1" x14ac:dyDescent="0.3">
      <c r="A11152">
        <v>11150</v>
      </c>
      <c r="B11152" t="s">
        <v>14572</v>
      </c>
      <c r="C11152" t="s">
        <v>208</v>
      </c>
      <c r="D11152">
        <v>143903839.01653901</v>
      </c>
    </row>
    <row r="11153" spans="1:4" hidden="1" x14ac:dyDescent="0.3">
      <c r="A11153">
        <v>11151</v>
      </c>
      <c r="B11153" t="s">
        <v>14573</v>
      </c>
      <c r="C11153" t="s">
        <v>210</v>
      </c>
      <c r="D11153">
        <v>-3399.6125884773201</v>
      </c>
    </row>
    <row r="11154" spans="1:4" hidden="1" x14ac:dyDescent="0.3">
      <c r="A11154">
        <v>11152</v>
      </c>
      <c r="B11154" t="s">
        <v>14574</v>
      </c>
      <c r="C11154" t="s">
        <v>212</v>
      </c>
      <c r="D11154">
        <v>-1462.7012755866101</v>
      </c>
    </row>
    <row r="11155" spans="1:4" hidden="1" x14ac:dyDescent="0.3">
      <c r="A11155">
        <v>11153</v>
      </c>
      <c r="B11155" s="1" t="s">
        <v>14575</v>
      </c>
      <c r="C11155" t="s">
        <v>214</v>
      </c>
      <c r="D11155" s="1" t="s">
        <v>14576</v>
      </c>
    </row>
    <row r="11156" spans="1:4" hidden="1" x14ac:dyDescent="0.3">
      <c r="A11156">
        <v>11154</v>
      </c>
      <c r="B11156" t="s">
        <v>14577</v>
      </c>
      <c r="C11156" t="s">
        <v>217</v>
      </c>
      <c r="D11156">
        <v>78842120.983044595</v>
      </c>
    </row>
    <row r="11157" spans="1:4" hidden="1" x14ac:dyDescent="0.3">
      <c r="A11157">
        <v>11155</v>
      </c>
      <c r="B11157" t="s">
        <v>14578</v>
      </c>
      <c r="C11157" t="s">
        <v>219</v>
      </c>
      <c r="D11157">
        <v>33922239.0582764</v>
      </c>
    </row>
    <row r="11158" spans="1:4" hidden="1" x14ac:dyDescent="0.3">
      <c r="A11158">
        <v>11156</v>
      </c>
      <c r="B11158" t="s">
        <v>14579</v>
      </c>
      <c r="C11158" t="s">
        <v>221</v>
      </c>
      <c r="D11158">
        <v>31145684.267416701</v>
      </c>
    </row>
    <row r="11159" spans="1:4" hidden="1" x14ac:dyDescent="0.3">
      <c r="A11159">
        <v>11157</v>
      </c>
      <c r="B11159" s="1" t="s">
        <v>14580</v>
      </c>
      <c r="C11159" t="s">
        <v>223</v>
      </c>
      <c r="D11159" s="1" t="s">
        <v>14581</v>
      </c>
    </row>
    <row r="11160" spans="1:4" hidden="1" x14ac:dyDescent="0.3">
      <c r="A11160">
        <v>11158</v>
      </c>
      <c r="B11160" t="s">
        <v>14582</v>
      </c>
      <c r="C11160" t="s">
        <v>226</v>
      </c>
      <c r="D11160">
        <v>104272524.374736</v>
      </c>
    </row>
    <row r="11161" spans="1:4" hidden="1" x14ac:dyDescent="0.3">
      <c r="A11161">
        <v>11159</v>
      </c>
      <c r="B11161" t="s">
        <v>14583</v>
      </c>
      <c r="C11161" t="s">
        <v>228</v>
      </c>
      <c r="D11161">
        <v>-4496.1523368060498</v>
      </c>
    </row>
    <row r="11162" spans="1:4" hidden="1" x14ac:dyDescent="0.3">
      <c r="A11162">
        <v>11160</v>
      </c>
      <c r="B11162" s="1" t="s">
        <v>14584</v>
      </c>
      <c r="C11162" t="s">
        <v>230</v>
      </c>
      <c r="D11162" s="1" t="s">
        <v>14585</v>
      </c>
    </row>
    <row r="11163" spans="1:4" hidden="1" x14ac:dyDescent="0.3">
      <c r="A11163">
        <v>11161</v>
      </c>
      <c r="B11163" t="s">
        <v>14586</v>
      </c>
      <c r="C11163" t="s">
        <v>112</v>
      </c>
      <c r="D11163">
        <v>1162.96217013361</v>
      </c>
    </row>
    <row r="11164" spans="1:4" hidden="1" x14ac:dyDescent="0.3">
      <c r="A11164">
        <v>11162</v>
      </c>
      <c r="B11164" t="s">
        <v>14587</v>
      </c>
      <c r="C11164" t="s">
        <v>114</v>
      </c>
      <c r="D11164">
        <v>249.917371821291</v>
      </c>
    </row>
    <row r="11165" spans="1:4" hidden="1" x14ac:dyDescent="0.3">
      <c r="A11165">
        <v>11163</v>
      </c>
      <c r="B11165" s="1" t="s">
        <v>14588</v>
      </c>
      <c r="C11165" t="s">
        <v>116</v>
      </c>
      <c r="D11165" s="1" t="s">
        <v>14589</v>
      </c>
    </row>
    <row r="11166" spans="1:4" hidden="1" x14ac:dyDescent="0.3">
      <c r="A11166">
        <v>11164</v>
      </c>
      <c r="B11166" t="s">
        <v>14590</v>
      </c>
      <c r="C11166" t="s">
        <v>119</v>
      </c>
      <c r="D11166">
        <v>78842120.983044595</v>
      </c>
    </row>
    <row r="11167" spans="1:4" hidden="1" x14ac:dyDescent="0.3">
      <c r="A11167">
        <v>11165</v>
      </c>
      <c r="B11167" t="s">
        <v>14591</v>
      </c>
      <c r="C11167" t="s">
        <v>121</v>
      </c>
      <c r="D11167">
        <v>33922239.0582764</v>
      </c>
    </row>
    <row r="11168" spans="1:4" hidden="1" x14ac:dyDescent="0.3">
      <c r="A11168">
        <v>11166</v>
      </c>
      <c r="B11168" s="1" t="s">
        <v>14592</v>
      </c>
      <c r="C11168" t="s">
        <v>123</v>
      </c>
      <c r="D11168" s="1" t="s">
        <v>14593</v>
      </c>
    </row>
    <row r="11169" spans="1:4" hidden="1" x14ac:dyDescent="0.3">
      <c r="A11169">
        <v>11167</v>
      </c>
      <c r="B11169" t="s">
        <v>14594</v>
      </c>
      <c r="C11169" t="s">
        <v>126</v>
      </c>
      <c r="D11169">
        <v>0.75620491929991096</v>
      </c>
    </row>
    <row r="11170" spans="1:4" hidden="1" x14ac:dyDescent="0.3">
      <c r="A11170">
        <v>11168</v>
      </c>
      <c r="B11170" t="s">
        <v>14595</v>
      </c>
      <c r="C11170" t="s">
        <v>128</v>
      </c>
      <c r="D11170">
        <v>0.32536116139053101</v>
      </c>
    </row>
    <row r="11171" spans="1:4" hidden="1" x14ac:dyDescent="0.3">
      <c r="A11171">
        <v>11169</v>
      </c>
      <c r="B11171" s="1" t="s">
        <v>14596</v>
      </c>
      <c r="C11171" t="s">
        <v>130</v>
      </c>
      <c r="D11171" s="1" t="s">
        <v>14597</v>
      </c>
    </row>
    <row r="11172" spans="1:4" ht="72" x14ac:dyDescent="0.3">
      <c r="A11172">
        <v>11170</v>
      </c>
      <c r="B11172" s="1" t="s">
        <v>14598</v>
      </c>
      <c r="C11172" t="s">
        <v>4</v>
      </c>
      <c r="D11172" t="s">
        <v>14599</v>
      </c>
    </row>
    <row r="11173" spans="1:4" hidden="1" x14ac:dyDescent="0.3">
      <c r="A11173">
        <v>11171</v>
      </c>
      <c r="B11173" t="s">
        <v>14600</v>
      </c>
      <c r="C11173" t="s">
        <v>7</v>
      </c>
      <c r="D11173">
        <v>1836.72</v>
      </c>
    </row>
    <row r="11174" spans="1:4" hidden="1" x14ac:dyDescent="0.3">
      <c r="A11174">
        <v>11172</v>
      </c>
      <c r="B11174" s="1" t="s">
        <v>14601</v>
      </c>
      <c r="C11174" t="s">
        <v>9</v>
      </c>
      <c r="D11174" s="1" t="s">
        <v>14602</v>
      </c>
    </row>
    <row r="11175" spans="1:4" hidden="1" x14ac:dyDescent="0.3">
      <c r="A11175">
        <v>11173</v>
      </c>
      <c r="B11175" t="s">
        <v>14603</v>
      </c>
      <c r="C11175" t="s">
        <v>14</v>
      </c>
      <c r="D11175">
        <v>88.9765625</v>
      </c>
    </row>
    <row r="11176" spans="1:4" hidden="1" x14ac:dyDescent="0.3">
      <c r="A11176">
        <v>11174</v>
      </c>
      <c r="B11176" t="s">
        <v>14604</v>
      </c>
      <c r="C11176" t="s">
        <v>16</v>
      </c>
      <c r="D11176">
        <v>4.2119824307160298</v>
      </c>
    </row>
    <row r="11177" spans="1:4" hidden="1" x14ac:dyDescent="0.3">
      <c r="A11177">
        <v>11175</v>
      </c>
      <c r="B11177" s="1" t="s">
        <v>14605</v>
      </c>
      <c r="C11177" t="s">
        <v>140</v>
      </c>
      <c r="D11177" s="1" t="s">
        <v>14606</v>
      </c>
    </row>
    <row r="11178" spans="1:4" hidden="1" x14ac:dyDescent="0.3">
      <c r="A11178">
        <v>11176</v>
      </c>
      <c r="B11178" t="s">
        <v>14607</v>
      </c>
      <c r="C11178" t="s">
        <v>22</v>
      </c>
      <c r="D11178">
        <v>51.8</v>
      </c>
    </row>
    <row r="11179" spans="1:4" hidden="1" x14ac:dyDescent="0.3">
      <c r="A11179">
        <v>11177</v>
      </c>
      <c r="B11179" t="s">
        <v>14608</v>
      </c>
      <c r="C11179" t="s">
        <v>24</v>
      </c>
      <c r="D11179">
        <v>4.2140099745217103</v>
      </c>
    </row>
    <row r="11180" spans="1:4" hidden="1" x14ac:dyDescent="0.3">
      <c r="A11180">
        <v>11178</v>
      </c>
      <c r="B11180" s="1" t="s">
        <v>14609</v>
      </c>
      <c r="C11180" t="s">
        <v>145</v>
      </c>
      <c r="D11180" s="1" t="s">
        <v>14610</v>
      </c>
    </row>
    <row r="11181" spans="1:4" hidden="1" x14ac:dyDescent="0.3">
      <c r="A11181">
        <v>11179</v>
      </c>
      <c r="B11181" t="s">
        <v>14611</v>
      </c>
      <c r="C11181" t="s">
        <v>35</v>
      </c>
      <c r="D11181">
        <v>-13.2285966165341</v>
      </c>
    </row>
    <row r="11182" spans="1:4" hidden="1" x14ac:dyDescent="0.3">
      <c r="A11182">
        <v>11180</v>
      </c>
      <c r="B11182" t="s">
        <v>14612</v>
      </c>
      <c r="C11182" t="s">
        <v>149</v>
      </c>
      <c r="D11182">
        <v>0.56588442446096998</v>
      </c>
    </row>
    <row r="11183" spans="1:4" hidden="1" x14ac:dyDescent="0.3">
      <c r="A11183">
        <v>11181</v>
      </c>
      <c r="B11183" s="1" t="s">
        <v>14613</v>
      </c>
      <c r="C11183" t="s">
        <v>151</v>
      </c>
      <c r="D11183" s="1" t="s">
        <v>14614</v>
      </c>
    </row>
    <row r="11184" spans="1:4" hidden="1" x14ac:dyDescent="0.3">
      <c r="A11184">
        <v>11182</v>
      </c>
      <c r="B11184" t="s">
        <v>14615</v>
      </c>
      <c r="C11184" t="s">
        <v>30</v>
      </c>
      <c r="D11184">
        <v>6.8420188992220599</v>
      </c>
    </row>
    <row r="11185" spans="1:4" hidden="1" x14ac:dyDescent="0.3">
      <c r="A11185">
        <v>11183</v>
      </c>
      <c r="B11185" t="s">
        <v>14616</v>
      </c>
      <c r="C11185" t="s">
        <v>32</v>
      </c>
      <c r="D11185">
        <v>0.34714019283825198</v>
      </c>
    </row>
    <row r="11186" spans="1:4" hidden="1" x14ac:dyDescent="0.3">
      <c r="A11186">
        <v>11184</v>
      </c>
      <c r="B11186" s="1" t="s">
        <v>14617</v>
      </c>
      <c r="C11186" t="s">
        <v>155</v>
      </c>
      <c r="D11186" s="1" t="s">
        <v>14618</v>
      </c>
    </row>
    <row r="11187" spans="1:4" hidden="1" x14ac:dyDescent="0.3">
      <c r="A11187">
        <v>11185</v>
      </c>
      <c r="B11187" t="s">
        <v>14619</v>
      </c>
      <c r="C11187" t="s">
        <v>40</v>
      </c>
      <c r="D11187">
        <v>7.3865777173120497</v>
      </c>
    </row>
    <row r="11188" spans="1:4" hidden="1" x14ac:dyDescent="0.3">
      <c r="A11188">
        <v>11186</v>
      </c>
      <c r="B11188" t="s">
        <v>14620</v>
      </c>
      <c r="C11188" t="s">
        <v>42</v>
      </c>
      <c r="D11188">
        <v>0.42000510534263102</v>
      </c>
    </row>
    <row r="11189" spans="1:4" hidden="1" x14ac:dyDescent="0.3">
      <c r="A11189">
        <v>11187</v>
      </c>
      <c r="B11189" s="1" t="s">
        <v>14621</v>
      </c>
      <c r="C11189" t="s">
        <v>159</v>
      </c>
      <c r="D11189" s="1" t="s">
        <v>14622</v>
      </c>
    </row>
    <row r="11190" spans="1:4" hidden="1" x14ac:dyDescent="0.3">
      <c r="A11190">
        <v>11188</v>
      </c>
      <c r="B11190" t="s">
        <v>14623</v>
      </c>
      <c r="C11190" t="s">
        <v>161</v>
      </c>
      <c r="D11190">
        <v>1.0053642195607899</v>
      </c>
    </row>
    <row r="11191" spans="1:4" hidden="1" x14ac:dyDescent="0.3">
      <c r="A11191">
        <v>11189</v>
      </c>
      <c r="B11191" t="s">
        <v>14624</v>
      </c>
      <c r="C11191" t="s">
        <v>163</v>
      </c>
      <c r="D11191">
        <v>0.99801235793363197</v>
      </c>
    </row>
    <row r="11192" spans="1:4" hidden="1" x14ac:dyDescent="0.3">
      <c r="A11192">
        <v>11190</v>
      </c>
      <c r="B11192" s="1" t="s">
        <v>14625</v>
      </c>
      <c r="C11192" t="s">
        <v>165</v>
      </c>
      <c r="D11192" s="1" t="s">
        <v>14626</v>
      </c>
    </row>
    <row r="11193" spans="1:4" hidden="1" x14ac:dyDescent="0.3">
      <c r="A11193">
        <v>11191</v>
      </c>
      <c r="B11193" t="s">
        <v>14627</v>
      </c>
      <c r="C11193" t="s">
        <v>168</v>
      </c>
      <c r="D11193">
        <v>0.99746541629532504</v>
      </c>
    </row>
    <row r="11194" spans="1:4" hidden="1" x14ac:dyDescent="0.3">
      <c r="A11194">
        <v>11192</v>
      </c>
      <c r="B11194" t="s">
        <v>14628</v>
      </c>
      <c r="C11194" t="s">
        <v>170</v>
      </c>
      <c r="D11194">
        <v>1.0006099744868799</v>
      </c>
    </row>
    <row r="11195" spans="1:4" hidden="1" x14ac:dyDescent="0.3">
      <c r="A11195">
        <v>11193</v>
      </c>
      <c r="B11195" s="1" t="s">
        <v>14629</v>
      </c>
      <c r="C11195" t="s">
        <v>172</v>
      </c>
      <c r="D11195" s="1" t="s">
        <v>14630</v>
      </c>
    </row>
    <row r="11196" spans="1:4" hidden="1" x14ac:dyDescent="0.3">
      <c r="A11196">
        <v>11194</v>
      </c>
      <c r="B11196" s="1" t="s">
        <v>14631</v>
      </c>
      <c r="C11196" t="s">
        <v>55</v>
      </c>
      <c r="D11196" s="1" t="s">
        <v>14632</v>
      </c>
    </row>
    <row r="11197" spans="1:4" hidden="1" x14ac:dyDescent="0.3">
      <c r="A11197">
        <v>11195</v>
      </c>
      <c r="B11197" s="1" t="s">
        <v>14633</v>
      </c>
      <c r="C11197" t="s">
        <v>52</v>
      </c>
      <c r="D11197" s="1" t="s">
        <v>14634</v>
      </c>
    </row>
    <row r="11198" spans="1:4" hidden="1" x14ac:dyDescent="0.3">
      <c r="A11198">
        <v>11196</v>
      </c>
      <c r="B11198" s="1" t="s">
        <v>14635</v>
      </c>
      <c r="C11198" t="s">
        <v>58</v>
      </c>
      <c r="D11198" s="1" t="s">
        <v>14636</v>
      </c>
    </row>
    <row r="11199" spans="1:4" hidden="1" x14ac:dyDescent="0.3">
      <c r="A11199">
        <v>11197</v>
      </c>
      <c r="B11199" t="s">
        <v>14637</v>
      </c>
      <c r="C11199" t="s">
        <v>61</v>
      </c>
      <c r="D11199">
        <v>144359361.448156</v>
      </c>
    </row>
    <row r="11200" spans="1:4" hidden="1" x14ac:dyDescent="0.3">
      <c r="A11200">
        <v>11198</v>
      </c>
      <c r="B11200" t="s">
        <v>14638</v>
      </c>
      <c r="C11200" t="s">
        <v>63</v>
      </c>
      <c r="D11200">
        <v>79265047.430636093</v>
      </c>
    </row>
    <row r="11201" spans="1:4" hidden="1" x14ac:dyDescent="0.3">
      <c r="A11201">
        <v>11199</v>
      </c>
      <c r="B11201" t="s">
        <v>14639</v>
      </c>
      <c r="C11201" t="s">
        <v>65</v>
      </c>
      <c r="D11201">
        <v>33854813.788938798</v>
      </c>
    </row>
    <row r="11202" spans="1:4" hidden="1" x14ac:dyDescent="0.3">
      <c r="A11202">
        <v>11200</v>
      </c>
      <c r="B11202" s="1" t="s">
        <v>14640</v>
      </c>
      <c r="C11202" t="s">
        <v>67</v>
      </c>
      <c r="D11202" s="1" t="s">
        <v>14641</v>
      </c>
    </row>
    <row r="11203" spans="1:4" hidden="1" x14ac:dyDescent="0.3">
      <c r="A11203">
        <v>11201</v>
      </c>
      <c r="B11203" s="1" t="s">
        <v>14642</v>
      </c>
      <c r="C11203" t="s">
        <v>70</v>
      </c>
      <c r="D11203" s="1" t="s">
        <v>14643</v>
      </c>
    </row>
    <row r="11204" spans="1:4" hidden="1" x14ac:dyDescent="0.3">
      <c r="A11204">
        <v>11202</v>
      </c>
      <c r="B11204" t="s">
        <v>14644</v>
      </c>
      <c r="C11204" t="s">
        <v>73</v>
      </c>
      <c r="D11204">
        <v>0.99988237498084398</v>
      </c>
    </row>
    <row r="11205" spans="1:4" hidden="1" x14ac:dyDescent="0.3">
      <c r="A11205">
        <v>11203</v>
      </c>
      <c r="B11205" t="s">
        <v>74</v>
      </c>
      <c r="C11205" t="s">
        <v>75</v>
      </c>
      <c r="D11205">
        <v>2.7397260273972599E-3</v>
      </c>
    </row>
    <row r="11206" spans="1:4" hidden="1" x14ac:dyDescent="0.3">
      <c r="A11206">
        <v>11204</v>
      </c>
      <c r="B11206" t="s">
        <v>76</v>
      </c>
      <c r="C11206" t="s">
        <v>77</v>
      </c>
      <c r="D11206">
        <v>0</v>
      </c>
    </row>
    <row r="11207" spans="1:4" hidden="1" x14ac:dyDescent="0.3">
      <c r="A11207">
        <v>11205</v>
      </c>
      <c r="B11207" t="s">
        <v>78</v>
      </c>
      <c r="C11207" t="s">
        <v>79</v>
      </c>
      <c r="D11207">
        <v>0</v>
      </c>
    </row>
    <row r="11208" spans="1:4" hidden="1" x14ac:dyDescent="0.3">
      <c r="A11208">
        <v>11206</v>
      </c>
      <c r="B11208" s="1" t="s">
        <v>14645</v>
      </c>
      <c r="C11208" t="s">
        <v>81</v>
      </c>
      <c r="D11208" s="1" t="s">
        <v>14646</v>
      </c>
    </row>
    <row r="11209" spans="1:4" hidden="1" x14ac:dyDescent="0.3">
      <c r="A11209">
        <v>11207</v>
      </c>
      <c r="B11209" t="s">
        <v>14647</v>
      </c>
      <c r="C11209" t="s">
        <v>84</v>
      </c>
      <c r="D11209">
        <v>0.99984191838774406</v>
      </c>
    </row>
    <row r="11210" spans="1:4" hidden="1" x14ac:dyDescent="0.3">
      <c r="A11210">
        <v>11208</v>
      </c>
      <c r="B11210" s="1" t="s">
        <v>14648</v>
      </c>
      <c r="C11210" t="s">
        <v>86</v>
      </c>
      <c r="D11210" s="1" t="s">
        <v>14649</v>
      </c>
    </row>
    <row r="11211" spans="1:4" hidden="1" x14ac:dyDescent="0.3">
      <c r="A11211">
        <v>11209</v>
      </c>
      <c r="B11211" t="s">
        <v>14650</v>
      </c>
      <c r="C11211" t="s">
        <v>89</v>
      </c>
      <c r="D11211">
        <v>104272247.218536</v>
      </c>
    </row>
    <row r="11212" spans="1:4" hidden="1" x14ac:dyDescent="0.3">
      <c r="A11212">
        <v>11210</v>
      </c>
      <c r="B11212" s="1" t="s">
        <v>14651</v>
      </c>
      <c r="C11212" t="s">
        <v>91</v>
      </c>
      <c r="D11212" s="1" t="s">
        <v>14585</v>
      </c>
    </row>
    <row r="11213" spans="1:4" hidden="1" x14ac:dyDescent="0.3">
      <c r="A11213">
        <v>11211</v>
      </c>
      <c r="B11213" t="s">
        <v>14652</v>
      </c>
      <c r="C11213" t="s">
        <v>94</v>
      </c>
      <c r="D11213">
        <v>79265047.430636093</v>
      </c>
    </row>
    <row r="11214" spans="1:4" hidden="1" x14ac:dyDescent="0.3">
      <c r="A11214">
        <v>11212</v>
      </c>
      <c r="B11214" t="s">
        <v>14653</v>
      </c>
      <c r="C11214" t="s">
        <v>96</v>
      </c>
      <c r="D11214">
        <v>33854813.788938798</v>
      </c>
    </row>
    <row r="11215" spans="1:4" hidden="1" x14ac:dyDescent="0.3">
      <c r="A11215">
        <v>11213</v>
      </c>
      <c r="B11215" t="s">
        <v>14654</v>
      </c>
      <c r="C11215" t="s">
        <v>98</v>
      </c>
      <c r="D11215">
        <v>31239500.228581902</v>
      </c>
    </row>
    <row r="11216" spans="1:4" hidden="1" x14ac:dyDescent="0.3">
      <c r="A11216">
        <v>11214</v>
      </c>
      <c r="B11216" s="1" t="s">
        <v>14655</v>
      </c>
      <c r="C11216" t="s">
        <v>100</v>
      </c>
      <c r="D11216" s="1" t="s">
        <v>14656</v>
      </c>
    </row>
    <row r="11217" spans="1:4" hidden="1" x14ac:dyDescent="0.3">
      <c r="A11217">
        <v>11215</v>
      </c>
      <c r="B11217" t="s">
        <v>14657</v>
      </c>
      <c r="C11217" t="s">
        <v>103</v>
      </c>
      <c r="D11217">
        <v>1.0049853435520501E-2</v>
      </c>
    </row>
    <row r="11218" spans="1:4" hidden="1" x14ac:dyDescent="0.3">
      <c r="A11218">
        <v>11216</v>
      </c>
      <c r="B11218" t="s">
        <v>14658</v>
      </c>
      <c r="C11218" t="s">
        <v>105</v>
      </c>
      <c r="D11218">
        <v>2.7074429235252198E-3</v>
      </c>
    </row>
    <row r="11219" spans="1:4" hidden="1" x14ac:dyDescent="0.3">
      <c r="A11219">
        <v>11217</v>
      </c>
      <c r="B11219" t="s">
        <v>14659</v>
      </c>
      <c r="C11219" t="s">
        <v>107</v>
      </c>
      <c r="D11219">
        <v>2.47849107928339E-2</v>
      </c>
    </row>
    <row r="11220" spans="1:4" hidden="1" x14ac:dyDescent="0.3">
      <c r="A11220">
        <v>11218</v>
      </c>
      <c r="B11220" s="1" t="s">
        <v>14660</v>
      </c>
      <c r="C11220" t="s">
        <v>109</v>
      </c>
      <c r="D11220" s="1" t="s">
        <v>14661</v>
      </c>
    </row>
    <row r="11221" spans="1:4" hidden="1" x14ac:dyDescent="0.3">
      <c r="A11221">
        <v>11219</v>
      </c>
      <c r="B11221" t="s">
        <v>14662</v>
      </c>
      <c r="C11221" t="s">
        <v>208</v>
      </c>
      <c r="D11221">
        <v>144357901.46796799</v>
      </c>
    </row>
    <row r="11222" spans="1:4" hidden="1" x14ac:dyDescent="0.3">
      <c r="A11222">
        <v>11220</v>
      </c>
      <c r="B11222" t="s">
        <v>14663</v>
      </c>
      <c r="C11222" t="s">
        <v>210</v>
      </c>
      <c r="D11222">
        <v>3207.1241542008502</v>
      </c>
    </row>
    <row r="11223" spans="1:4" hidden="1" x14ac:dyDescent="0.3">
      <c r="A11223">
        <v>11221</v>
      </c>
      <c r="B11223" t="s">
        <v>14664</v>
      </c>
      <c r="C11223" t="s">
        <v>212</v>
      </c>
      <c r="D11223">
        <v>1369.80507519139</v>
      </c>
    </row>
    <row r="11224" spans="1:4" hidden="1" x14ac:dyDescent="0.3">
      <c r="A11224">
        <v>11222</v>
      </c>
      <c r="B11224" s="1" t="s">
        <v>14665</v>
      </c>
      <c r="C11224" t="s">
        <v>214</v>
      </c>
      <c r="D11224" s="1" t="s">
        <v>14666</v>
      </c>
    </row>
    <row r="11225" spans="1:4" hidden="1" x14ac:dyDescent="0.3">
      <c r="A11225">
        <v>11223</v>
      </c>
      <c r="B11225" t="s">
        <v>14667</v>
      </c>
      <c r="C11225" t="s">
        <v>217</v>
      </c>
      <c r="D11225">
        <v>79260682.156468198</v>
      </c>
    </row>
    <row r="11226" spans="1:4" hidden="1" x14ac:dyDescent="0.3">
      <c r="A11226">
        <v>11224</v>
      </c>
      <c r="B11226" t="s">
        <v>14668</v>
      </c>
      <c r="C11226" t="s">
        <v>219</v>
      </c>
      <c r="D11226">
        <v>33853283.958106004</v>
      </c>
    </row>
    <row r="11227" spans="1:4" hidden="1" x14ac:dyDescent="0.3">
      <c r="A11227">
        <v>11225</v>
      </c>
      <c r="B11227" t="s">
        <v>14669</v>
      </c>
      <c r="C11227" t="s">
        <v>221</v>
      </c>
      <c r="D11227">
        <v>31238094.437476002</v>
      </c>
    </row>
    <row r="11228" spans="1:4" hidden="1" x14ac:dyDescent="0.3">
      <c r="A11228">
        <v>11226</v>
      </c>
      <c r="B11228" s="1" t="s">
        <v>14670</v>
      </c>
      <c r="C11228" t="s">
        <v>223</v>
      </c>
      <c r="D11228" s="1" t="s">
        <v>14671</v>
      </c>
    </row>
    <row r="11229" spans="1:4" hidden="1" x14ac:dyDescent="0.3">
      <c r="A11229">
        <v>11227</v>
      </c>
      <c r="B11229" t="s">
        <v>14672</v>
      </c>
      <c r="C11229" t="s">
        <v>226</v>
      </c>
      <c r="D11229">
        <v>104268028.222399</v>
      </c>
    </row>
    <row r="11230" spans="1:4" hidden="1" x14ac:dyDescent="0.3">
      <c r="A11230">
        <v>11228</v>
      </c>
      <c r="B11230" t="s">
        <v>14673</v>
      </c>
      <c r="C11230" t="s">
        <v>228</v>
      </c>
      <c r="D11230">
        <v>4218.9961368590502</v>
      </c>
    </row>
    <row r="11231" spans="1:4" hidden="1" x14ac:dyDescent="0.3">
      <c r="A11231">
        <v>11229</v>
      </c>
      <c r="B11231" s="1" t="s">
        <v>14674</v>
      </c>
      <c r="C11231" t="s">
        <v>230</v>
      </c>
      <c r="D11231" s="1" t="s">
        <v>14675</v>
      </c>
    </row>
    <row r="11232" spans="1:4" hidden="1" x14ac:dyDescent="0.3">
      <c r="A11232">
        <v>11230</v>
      </c>
      <c r="B11232" t="s">
        <v>14676</v>
      </c>
      <c r="C11232" t="s">
        <v>112</v>
      </c>
      <c r="D11232">
        <v>-1158.15001365538</v>
      </c>
    </row>
    <row r="11233" spans="1:4" hidden="1" x14ac:dyDescent="0.3">
      <c r="A11233">
        <v>11231</v>
      </c>
      <c r="B11233" t="s">
        <v>14677</v>
      </c>
      <c r="C11233" t="s">
        <v>114</v>
      </c>
      <c r="D11233">
        <v>-160.025757573367</v>
      </c>
    </row>
    <row r="11234" spans="1:4" hidden="1" x14ac:dyDescent="0.3">
      <c r="A11234">
        <v>11232</v>
      </c>
      <c r="B11234" s="1" t="s">
        <v>14678</v>
      </c>
      <c r="C11234" t="s">
        <v>116</v>
      </c>
      <c r="D11234" s="1" t="s">
        <v>14679</v>
      </c>
    </row>
    <row r="11235" spans="1:4" hidden="1" x14ac:dyDescent="0.3">
      <c r="A11235">
        <v>11233</v>
      </c>
      <c r="B11235" t="s">
        <v>14680</v>
      </c>
      <c r="C11235" t="s">
        <v>119</v>
      </c>
      <c r="D11235">
        <v>79260682.156468198</v>
      </c>
    </row>
    <row r="11236" spans="1:4" hidden="1" x14ac:dyDescent="0.3">
      <c r="A11236">
        <v>11234</v>
      </c>
      <c r="B11236" t="s">
        <v>14681</v>
      </c>
      <c r="C11236" t="s">
        <v>121</v>
      </c>
      <c r="D11236">
        <v>33853283.958106004</v>
      </c>
    </row>
    <row r="11237" spans="1:4" hidden="1" x14ac:dyDescent="0.3">
      <c r="A11237">
        <v>11235</v>
      </c>
      <c r="B11237" s="1" t="s">
        <v>14682</v>
      </c>
      <c r="C11237" t="s">
        <v>123</v>
      </c>
      <c r="D11237" s="1" t="s">
        <v>14683</v>
      </c>
    </row>
    <row r="11238" spans="1:4" hidden="1" x14ac:dyDescent="0.3">
      <c r="A11238">
        <v>11236</v>
      </c>
      <c r="B11238" t="s">
        <v>14684</v>
      </c>
      <c r="C11238" t="s">
        <v>126</v>
      </c>
      <c r="D11238">
        <v>0.76028304308993799</v>
      </c>
    </row>
    <row r="11239" spans="1:4" hidden="1" x14ac:dyDescent="0.3">
      <c r="A11239">
        <v>11237</v>
      </c>
      <c r="B11239" t="s">
        <v>14685</v>
      </c>
      <c r="C11239" t="s">
        <v>128</v>
      </c>
      <c r="D11239">
        <v>0.32472692697051397</v>
      </c>
    </row>
    <row r="11240" spans="1:4" hidden="1" x14ac:dyDescent="0.3">
      <c r="A11240">
        <v>11238</v>
      </c>
      <c r="B11240" s="1" t="s">
        <v>14686</v>
      </c>
      <c r="C11240" t="s">
        <v>130</v>
      </c>
      <c r="D11240" s="1" t="s">
        <v>14687</v>
      </c>
    </row>
    <row r="11241" spans="1:4" ht="72" x14ac:dyDescent="0.3">
      <c r="A11241">
        <v>11239</v>
      </c>
      <c r="B11241" s="1" t="s">
        <v>14688</v>
      </c>
      <c r="C11241" t="s">
        <v>4</v>
      </c>
      <c r="D11241" t="s">
        <v>14689</v>
      </c>
    </row>
    <row r="11242" spans="1:4" hidden="1" x14ac:dyDescent="0.3">
      <c r="A11242">
        <v>11240</v>
      </c>
      <c r="B11242" t="s">
        <v>14690</v>
      </c>
      <c r="C11242" t="s">
        <v>7</v>
      </c>
      <c r="D11242">
        <v>1835.87</v>
      </c>
    </row>
    <row r="11243" spans="1:4" hidden="1" x14ac:dyDescent="0.3">
      <c r="A11243">
        <v>11241</v>
      </c>
      <c r="B11243" s="1" t="s">
        <v>14691</v>
      </c>
      <c r="C11243" t="s">
        <v>9</v>
      </c>
      <c r="D11243" s="1" t="s">
        <v>14692</v>
      </c>
    </row>
    <row r="11244" spans="1:4" hidden="1" x14ac:dyDescent="0.3">
      <c r="A11244">
        <v>11242</v>
      </c>
      <c r="B11244" t="s">
        <v>9050</v>
      </c>
      <c r="C11244" t="s">
        <v>14</v>
      </c>
      <c r="D11244">
        <v>88.90625</v>
      </c>
    </row>
    <row r="11245" spans="1:4" hidden="1" x14ac:dyDescent="0.3">
      <c r="A11245">
        <v>11243</v>
      </c>
      <c r="B11245" t="s">
        <v>14693</v>
      </c>
      <c r="C11245" t="s">
        <v>16</v>
      </c>
      <c r="D11245">
        <v>4.20717761514718</v>
      </c>
    </row>
    <row r="11246" spans="1:4" hidden="1" x14ac:dyDescent="0.3">
      <c r="A11246">
        <v>11244</v>
      </c>
      <c r="B11246" s="1" t="s">
        <v>14694</v>
      </c>
      <c r="C11246" t="s">
        <v>140</v>
      </c>
      <c r="D11246" s="1" t="s">
        <v>14695</v>
      </c>
    </row>
    <row r="11247" spans="1:4" hidden="1" x14ac:dyDescent="0.3">
      <c r="A11247">
        <v>11245</v>
      </c>
      <c r="B11247" t="s">
        <v>14696</v>
      </c>
      <c r="C11247" t="s">
        <v>22</v>
      </c>
      <c r="D11247">
        <v>51.15</v>
      </c>
    </row>
    <row r="11248" spans="1:4" hidden="1" x14ac:dyDescent="0.3">
      <c r="A11248">
        <v>11246</v>
      </c>
      <c r="B11248" t="s">
        <v>14697</v>
      </c>
      <c r="C11248" t="s">
        <v>24</v>
      </c>
      <c r="D11248">
        <v>4.2613897418556199</v>
      </c>
    </row>
    <row r="11249" spans="1:4" hidden="1" x14ac:dyDescent="0.3">
      <c r="A11249">
        <v>11247</v>
      </c>
      <c r="B11249" s="1" t="s">
        <v>14698</v>
      </c>
      <c r="C11249" t="s">
        <v>145</v>
      </c>
      <c r="D11249" s="1" t="s">
        <v>14699</v>
      </c>
    </row>
    <row r="11250" spans="1:4" hidden="1" x14ac:dyDescent="0.3">
      <c r="A11250">
        <v>11248</v>
      </c>
      <c r="B11250" t="s">
        <v>14700</v>
      </c>
      <c r="C11250" t="s">
        <v>35</v>
      </c>
      <c r="D11250">
        <v>0.13529119796971401</v>
      </c>
    </row>
    <row r="11251" spans="1:4" hidden="1" x14ac:dyDescent="0.3">
      <c r="A11251">
        <v>11249</v>
      </c>
      <c r="B11251" t="s">
        <v>14701</v>
      </c>
      <c r="C11251" t="s">
        <v>149</v>
      </c>
      <c r="D11251">
        <v>0.57106514885228299</v>
      </c>
    </row>
    <row r="11252" spans="1:4" hidden="1" x14ac:dyDescent="0.3">
      <c r="A11252">
        <v>11250</v>
      </c>
      <c r="B11252" s="1" t="s">
        <v>14702</v>
      </c>
      <c r="C11252" t="s">
        <v>151</v>
      </c>
      <c r="D11252" s="1" t="s">
        <v>14703</v>
      </c>
    </row>
    <row r="11253" spans="1:4" hidden="1" x14ac:dyDescent="0.3">
      <c r="A11253">
        <v>11251</v>
      </c>
      <c r="B11253" t="s">
        <v>14704</v>
      </c>
      <c r="C11253" t="s">
        <v>30</v>
      </c>
      <c r="D11253">
        <v>0.41317499583955403</v>
      </c>
    </row>
    <row r="11254" spans="1:4" hidden="1" x14ac:dyDescent="0.3">
      <c r="A11254">
        <v>11252</v>
      </c>
      <c r="B11254" t="s">
        <v>14705</v>
      </c>
      <c r="C11254" t="s">
        <v>32</v>
      </c>
      <c r="D11254">
        <v>0.33883161029339998</v>
      </c>
    </row>
    <row r="11255" spans="1:4" hidden="1" x14ac:dyDescent="0.3">
      <c r="A11255">
        <v>11253</v>
      </c>
      <c r="B11255" s="1" t="s">
        <v>14706</v>
      </c>
      <c r="C11255" t="s">
        <v>155</v>
      </c>
      <c r="D11255" s="1" t="s">
        <v>14707</v>
      </c>
    </row>
    <row r="11256" spans="1:4" hidden="1" x14ac:dyDescent="0.3">
      <c r="A11256">
        <v>11254</v>
      </c>
      <c r="B11256" t="s">
        <v>14708</v>
      </c>
      <c r="C11256" t="s">
        <v>40</v>
      </c>
      <c r="D11256">
        <v>0.45153380619073102</v>
      </c>
    </row>
    <row r="11257" spans="1:4" hidden="1" x14ac:dyDescent="0.3">
      <c r="A11257">
        <v>11255</v>
      </c>
      <c r="B11257" t="s">
        <v>14709</v>
      </c>
      <c r="C11257" t="s">
        <v>42</v>
      </c>
      <c r="D11257">
        <v>0.41228207964159502</v>
      </c>
    </row>
    <row r="11258" spans="1:4" hidden="1" x14ac:dyDescent="0.3">
      <c r="A11258">
        <v>11256</v>
      </c>
      <c r="B11258" s="1" t="s">
        <v>14710</v>
      </c>
      <c r="C11258" t="s">
        <v>159</v>
      </c>
      <c r="D11258" s="1" t="s">
        <v>14711</v>
      </c>
    </row>
    <row r="11259" spans="1:4" hidden="1" x14ac:dyDescent="0.3">
      <c r="A11259">
        <v>11257</v>
      </c>
      <c r="B11259" t="s">
        <v>14712</v>
      </c>
      <c r="C11259" t="s">
        <v>161</v>
      </c>
      <c r="D11259">
        <v>0.99953721851997002</v>
      </c>
    </row>
    <row r="11260" spans="1:4" hidden="1" x14ac:dyDescent="0.3">
      <c r="A11260">
        <v>11258</v>
      </c>
      <c r="B11260" t="s">
        <v>14713</v>
      </c>
      <c r="C11260" t="s">
        <v>163</v>
      </c>
      <c r="D11260">
        <v>0.99919392114530003</v>
      </c>
    </row>
    <row r="11261" spans="1:4" hidden="1" x14ac:dyDescent="0.3">
      <c r="A11261">
        <v>11259</v>
      </c>
      <c r="B11261" s="1" t="s">
        <v>14714</v>
      </c>
      <c r="C11261" t="s">
        <v>165</v>
      </c>
      <c r="D11261" s="1" t="s">
        <v>14715</v>
      </c>
    </row>
    <row r="11262" spans="1:4" hidden="1" x14ac:dyDescent="0.3">
      <c r="A11262">
        <v>11260</v>
      </c>
      <c r="B11262" t="s">
        <v>14716</v>
      </c>
      <c r="C11262" t="s">
        <v>168</v>
      </c>
      <c r="D11262">
        <v>1.0033084973005499</v>
      </c>
    </row>
    <row r="11263" spans="1:4" hidden="1" x14ac:dyDescent="0.3">
      <c r="A11263">
        <v>11261</v>
      </c>
      <c r="B11263" t="s">
        <v>14717</v>
      </c>
      <c r="C11263" t="s">
        <v>170</v>
      </c>
      <c r="D11263">
        <v>0.99383242917921699</v>
      </c>
    </row>
    <row r="11264" spans="1:4" hidden="1" x14ac:dyDescent="0.3">
      <c r="A11264">
        <v>11262</v>
      </c>
      <c r="B11264" s="1" t="s">
        <v>14718</v>
      </c>
      <c r="C11264" t="s">
        <v>172</v>
      </c>
      <c r="D11264" s="1" t="s">
        <v>14719</v>
      </c>
    </row>
    <row r="11265" spans="1:4" hidden="1" x14ac:dyDescent="0.3">
      <c r="A11265">
        <v>11263</v>
      </c>
      <c r="B11265" s="1" t="s">
        <v>14720</v>
      </c>
      <c r="C11265" t="s">
        <v>55</v>
      </c>
      <c r="D11265" s="1" t="s">
        <v>14721</v>
      </c>
    </row>
    <row r="11266" spans="1:4" hidden="1" x14ac:dyDescent="0.3">
      <c r="A11266">
        <v>11264</v>
      </c>
      <c r="B11266" s="1" t="s">
        <v>14722</v>
      </c>
      <c r="C11266" t="s">
        <v>52</v>
      </c>
      <c r="D11266" s="1" t="s">
        <v>14723</v>
      </c>
    </row>
    <row r="11267" spans="1:4" hidden="1" x14ac:dyDescent="0.3">
      <c r="A11267">
        <v>11265</v>
      </c>
      <c r="B11267" s="1" t="s">
        <v>14724</v>
      </c>
      <c r="C11267" t="s">
        <v>58</v>
      </c>
      <c r="D11267" s="1" t="s">
        <v>14725</v>
      </c>
    </row>
    <row r="11268" spans="1:4" hidden="1" x14ac:dyDescent="0.3">
      <c r="A11268">
        <v>11266</v>
      </c>
      <c r="B11268" t="s">
        <v>14726</v>
      </c>
      <c r="C11268" t="s">
        <v>61</v>
      </c>
      <c r="D11268">
        <v>143952020.34228599</v>
      </c>
    </row>
    <row r="11269" spans="1:4" hidden="1" x14ac:dyDescent="0.3">
      <c r="A11269">
        <v>11267</v>
      </c>
      <c r="B11269" t="s">
        <v>14727</v>
      </c>
      <c r="C11269" t="s">
        <v>63</v>
      </c>
      <c r="D11269">
        <v>79224001.780671701</v>
      </c>
    </row>
    <row r="11270" spans="1:4" hidden="1" x14ac:dyDescent="0.3">
      <c r="A11270">
        <v>11268</v>
      </c>
      <c r="B11270" t="s">
        <v>14728</v>
      </c>
      <c r="C11270" t="s">
        <v>65</v>
      </c>
      <c r="D11270">
        <v>33825995.541745201</v>
      </c>
    </row>
    <row r="11271" spans="1:4" hidden="1" x14ac:dyDescent="0.3">
      <c r="A11271">
        <v>11269</v>
      </c>
      <c r="B11271" s="1" t="s">
        <v>14729</v>
      </c>
      <c r="C11271" t="s">
        <v>67</v>
      </c>
      <c r="D11271" s="1" t="s">
        <v>14730</v>
      </c>
    </row>
    <row r="11272" spans="1:4" hidden="1" x14ac:dyDescent="0.3">
      <c r="A11272">
        <v>11270</v>
      </c>
      <c r="B11272" s="1" t="s">
        <v>14731</v>
      </c>
      <c r="C11272" t="s">
        <v>70</v>
      </c>
      <c r="D11272" s="1" t="s">
        <v>14732</v>
      </c>
    </row>
    <row r="11273" spans="1:4" hidden="1" x14ac:dyDescent="0.3">
      <c r="A11273">
        <v>11271</v>
      </c>
      <c r="B11273" t="s">
        <v>14733</v>
      </c>
      <c r="C11273" t="s">
        <v>73</v>
      </c>
      <c r="D11273">
        <v>0.99984191838774406</v>
      </c>
    </row>
    <row r="11274" spans="1:4" hidden="1" x14ac:dyDescent="0.3">
      <c r="A11274">
        <v>11272</v>
      </c>
      <c r="B11274" t="s">
        <v>74</v>
      </c>
      <c r="C11274" t="s">
        <v>75</v>
      </c>
      <c r="D11274">
        <v>2.7397260273972599E-3</v>
      </c>
    </row>
    <row r="11275" spans="1:4" hidden="1" x14ac:dyDescent="0.3">
      <c r="A11275">
        <v>11273</v>
      </c>
      <c r="B11275" t="s">
        <v>76</v>
      </c>
      <c r="C11275" t="s">
        <v>77</v>
      </c>
      <c r="D11275">
        <v>0</v>
      </c>
    </row>
    <row r="11276" spans="1:4" hidden="1" x14ac:dyDescent="0.3">
      <c r="A11276">
        <v>11274</v>
      </c>
      <c r="B11276" t="s">
        <v>78</v>
      </c>
      <c r="C11276" t="s">
        <v>79</v>
      </c>
      <c r="D11276">
        <v>0</v>
      </c>
    </row>
    <row r="11277" spans="1:4" hidden="1" x14ac:dyDescent="0.3">
      <c r="A11277">
        <v>11275</v>
      </c>
      <c r="B11277" s="1" t="s">
        <v>14734</v>
      </c>
      <c r="C11277" t="s">
        <v>81</v>
      </c>
      <c r="D11277" s="1" t="s">
        <v>14735</v>
      </c>
    </row>
    <row r="11278" spans="1:4" hidden="1" x14ac:dyDescent="0.3">
      <c r="A11278">
        <v>11276</v>
      </c>
      <c r="B11278" t="s">
        <v>14736</v>
      </c>
      <c r="C11278" t="s">
        <v>84</v>
      </c>
      <c r="D11278">
        <v>0.99985388779880502</v>
      </c>
    </row>
    <row r="11279" spans="1:4" hidden="1" x14ac:dyDescent="0.3">
      <c r="A11279">
        <v>11277</v>
      </c>
      <c r="B11279" s="1" t="s">
        <v>14737</v>
      </c>
      <c r="C11279" t="s">
        <v>86</v>
      </c>
      <c r="D11279" s="1" t="s">
        <v>14738</v>
      </c>
    </row>
    <row r="11280" spans="1:4" hidden="1" x14ac:dyDescent="0.3">
      <c r="A11280">
        <v>11278</v>
      </c>
      <c r="B11280" t="s">
        <v>14739</v>
      </c>
      <c r="C11280" t="s">
        <v>89</v>
      </c>
      <c r="D11280">
        <v>104270998.95876101</v>
      </c>
    </row>
    <row r="11281" spans="1:4" hidden="1" x14ac:dyDescent="0.3">
      <c r="A11281">
        <v>11279</v>
      </c>
      <c r="B11281" s="1" t="s">
        <v>14740</v>
      </c>
      <c r="C11281" t="s">
        <v>91</v>
      </c>
      <c r="D11281" s="1" t="s">
        <v>14675</v>
      </c>
    </row>
    <row r="11282" spans="1:4" hidden="1" x14ac:dyDescent="0.3">
      <c r="A11282">
        <v>11280</v>
      </c>
      <c r="B11282" t="s">
        <v>14741</v>
      </c>
      <c r="C11282" t="s">
        <v>94</v>
      </c>
      <c r="D11282">
        <v>79224001.780671701</v>
      </c>
    </row>
    <row r="11283" spans="1:4" hidden="1" x14ac:dyDescent="0.3">
      <c r="A11283">
        <v>11281</v>
      </c>
      <c r="B11283" t="s">
        <v>14742</v>
      </c>
      <c r="C11283" t="s">
        <v>96</v>
      </c>
      <c r="D11283">
        <v>33825995.541745201</v>
      </c>
    </row>
    <row r="11284" spans="1:4" hidden="1" x14ac:dyDescent="0.3">
      <c r="A11284">
        <v>11282</v>
      </c>
      <c r="B11284" t="s">
        <v>14743</v>
      </c>
      <c r="C11284" t="s">
        <v>98</v>
      </c>
      <c r="D11284">
        <v>30902023.019869599</v>
      </c>
    </row>
    <row r="11285" spans="1:4" hidden="1" x14ac:dyDescent="0.3">
      <c r="A11285">
        <v>11283</v>
      </c>
      <c r="B11285" s="1" t="s">
        <v>14744</v>
      </c>
      <c r="C11285" t="s">
        <v>100</v>
      </c>
      <c r="D11285" s="1" t="s">
        <v>14745</v>
      </c>
    </row>
    <row r="11286" spans="1:4" hidden="1" x14ac:dyDescent="0.3">
      <c r="A11286">
        <v>11284</v>
      </c>
      <c r="B11286" t="s">
        <v>14746</v>
      </c>
      <c r="C11286" t="s">
        <v>103</v>
      </c>
      <c r="D11286">
        <v>9.8945900169246804E-3</v>
      </c>
    </row>
    <row r="11287" spans="1:4" hidden="1" x14ac:dyDescent="0.3">
      <c r="A11287">
        <v>11285</v>
      </c>
      <c r="B11287" t="s">
        <v>14747</v>
      </c>
      <c r="C11287" t="s">
        <v>105</v>
      </c>
      <c r="D11287">
        <v>2.6163379000937602E-3</v>
      </c>
    </row>
    <row r="11288" spans="1:4" hidden="1" x14ac:dyDescent="0.3">
      <c r="A11288">
        <v>11286</v>
      </c>
      <c r="B11288" t="s">
        <v>14748</v>
      </c>
      <c r="C11288" t="s">
        <v>107</v>
      </c>
      <c r="D11288">
        <v>2.4540424040171399E-2</v>
      </c>
    </row>
    <row r="11289" spans="1:4" hidden="1" x14ac:dyDescent="0.3">
      <c r="A11289">
        <v>11287</v>
      </c>
      <c r="B11289" s="1" t="s">
        <v>14749</v>
      </c>
      <c r="C11289" t="s">
        <v>109</v>
      </c>
      <c r="D11289" s="1" t="s">
        <v>14750</v>
      </c>
    </row>
    <row r="11290" spans="1:4" hidden="1" x14ac:dyDescent="0.3">
      <c r="A11290">
        <v>11288</v>
      </c>
      <c r="B11290" t="s">
        <v>14751</v>
      </c>
      <c r="C11290" t="s">
        <v>208</v>
      </c>
      <c r="D11290">
        <v>143952453.57542199</v>
      </c>
    </row>
    <row r="11291" spans="1:4" hidden="1" x14ac:dyDescent="0.3">
      <c r="A11291">
        <v>11289</v>
      </c>
      <c r="B11291" t="s">
        <v>14752</v>
      </c>
      <c r="C11291" t="s">
        <v>210</v>
      </c>
      <c r="D11291">
        <v>-948.41827335750895</v>
      </c>
    </row>
    <row r="11292" spans="1:4" hidden="1" x14ac:dyDescent="0.3">
      <c r="A11292">
        <v>11290</v>
      </c>
      <c r="B11292" t="s">
        <v>14753</v>
      </c>
      <c r="C11292" t="s">
        <v>212</v>
      </c>
      <c r="D11292">
        <v>-404.94205016044702</v>
      </c>
    </row>
    <row r="11293" spans="1:4" hidden="1" x14ac:dyDescent="0.3">
      <c r="A11293">
        <v>11291</v>
      </c>
      <c r="B11293" s="1" t="s">
        <v>14754</v>
      </c>
      <c r="C11293" t="s">
        <v>214</v>
      </c>
      <c r="D11293" s="1" t="s">
        <v>14755</v>
      </c>
    </row>
    <row r="11294" spans="1:4" hidden="1" x14ac:dyDescent="0.3">
      <c r="A11294">
        <v>11292</v>
      </c>
      <c r="B11294" t="s">
        <v>14756</v>
      </c>
      <c r="C11294" t="s">
        <v>217</v>
      </c>
      <c r="D11294">
        <v>79225259.543524697</v>
      </c>
    </row>
    <row r="11295" spans="1:4" hidden="1" x14ac:dyDescent="0.3">
      <c r="A11295">
        <v>11293</v>
      </c>
      <c r="B11295" t="s">
        <v>14757</v>
      </c>
      <c r="C11295" t="s">
        <v>219</v>
      </c>
      <c r="D11295">
        <v>33826466.576266803</v>
      </c>
    </row>
    <row r="11296" spans="1:4" hidden="1" x14ac:dyDescent="0.3">
      <c r="A11296">
        <v>11294</v>
      </c>
      <c r="B11296" t="s">
        <v>14758</v>
      </c>
      <c r="C11296" t="s">
        <v>221</v>
      </c>
      <c r="D11296">
        <v>30902450.7541425</v>
      </c>
    </row>
    <row r="11297" spans="1:4" hidden="1" x14ac:dyDescent="0.3">
      <c r="A11297">
        <v>11295</v>
      </c>
      <c r="B11297" s="1" t="s">
        <v>14759</v>
      </c>
      <c r="C11297" t="s">
        <v>223</v>
      </c>
      <c r="D11297" s="1" t="s">
        <v>14760</v>
      </c>
    </row>
    <row r="11298" spans="1:4" hidden="1" x14ac:dyDescent="0.3">
      <c r="A11298">
        <v>11296</v>
      </c>
      <c r="B11298" t="s">
        <v>14761</v>
      </c>
      <c r="C11298" t="s">
        <v>226</v>
      </c>
      <c r="D11298">
        <v>104272247.218536</v>
      </c>
    </row>
    <row r="11299" spans="1:4" hidden="1" x14ac:dyDescent="0.3">
      <c r="A11299">
        <v>11297</v>
      </c>
      <c r="B11299" t="s">
        <v>14762</v>
      </c>
      <c r="C11299" t="s">
        <v>228</v>
      </c>
      <c r="D11299">
        <v>-1248.25977517664</v>
      </c>
    </row>
    <row r="11300" spans="1:4" hidden="1" x14ac:dyDescent="0.3">
      <c r="A11300">
        <v>11298</v>
      </c>
      <c r="B11300" s="1" t="s">
        <v>14763</v>
      </c>
      <c r="C11300" t="s">
        <v>230</v>
      </c>
      <c r="D11300" s="1" t="s">
        <v>14764</v>
      </c>
    </row>
    <row r="11301" spans="1:4" hidden="1" x14ac:dyDescent="0.3">
      <c r="A11301">
        <v>11299</v>
      </c>
      <c r="B11301" t="s">
        <v>14765</v>
      </c>
      <c r="C11301" t="s">
        <v>112</v>
      </c>
      <c r="D11301">
        <v>309.34457966573598</v>
      </c>
    </row>
    <row r="11302" spans="1:4" hidden="1" x14ac:dyDescent="0.3">
      <c r="A11302">
        <v>11300</v>
      </c>
      <c r="B11302" t="s">
        <v>14766</v>
      </c>
      <c r="C11302" t="s">
        <v>114</v>
      </c>
      <c r="D11302">
        <v>66.092471407395294</v>
      </c>
    </row>
    <row r="11303" spans="1:4" hidden="1" x14ac:dyDescent="0.3">
      <c r="A11303">
        <v>11301</v>
      </c>
      <c r="B11303" s="1" t="s">
        <v>14767</v>
      </c>
      <c r="C11303" t="s">
        <v>116</v>
      </c>
      <c r="D11303" s="1" t="s">
        <v>14768</v>
      </c>
    </row>
    <row r="11304" spans="1:4" hidden="1" x14ac:dyDescent="0.3">
      <c r="A11304">
        <v>11302</v>
      </c>
      <c r="B11304" t="s">
        <v>14769</v>
      </c>
      <c r="C11304" t="s">
        <v>119</v>
      </c>
      <c r="D11304">
        <v>79225259.543524697</v>
      </c>
    </row>
    <row r="11305" spans="1:4" hidden="1" x14ac:dyDescent="0.3">
      <c r="A11305">
        <v>11303</v>
      </c>
      <c r="B11305" t="s">
        <v>14770</v>
      </c>
      <c r="C11305" t="s">
        <v>121</v>
      </c>
      <c r="D11305">
        <v>33826466.576266803</v>
      </c>
    </row>
    <row r="11306" spans="1:4" hidden="1" x14ac:dyDescent="0.3">
      <c r="A11306">
        <v>11304</v>
      </c>
      <c r="B11306" s="1" t="s">
        <v>14771</v>
      </c>
      <c r="C11306" t="s">
        <v>123</v>
      </c>
      <c r="D11306" s="1" t="s">
        <v>14772</v>
      </c>
    </row>
    <row r="11307" spans="1:4" hidden="1" x14ac:dyDescent="0.3">
      <c r="A11307">
        <v>11305</v>
      </c>
      <c r="B11307" t="s">
        <v>14773</v>
      </c>
      <c r="C11307" t="s">
        <v>126</v>
      </c>
      <c r="D11307">
        <v>0.75990341750408197</v>
      </c>
    </row>
    <row r="11308" spans="1:4" hidden="1" x14ac:dyDescent="0.3">
      <c r="A11308">
        <v>11306</v>
      </c>
      <c r="B11308" t="s">
        <v>14774</v>
      </c>
      <c r="C11308" t="s">
        <v>128</v>
      </c>
      <c r="D11308">
        <v>0.32445267710699099</v>
      </c>
    </row>
    <row r="11309" spans="1:4" hidden="1" x14ac:dyDescent="0.3">
      <c r="A11309">
        <v>11307</v>
      </c>
      <c r="B11309" s="1" t="s">
        <v>14775</v>
      </c>
      <c r="C11309" t="s">
        <v>130</v>
      </c>
      <c r="D11309" s="1" t="s">
        <v>14776</v>
      </c>
    </row>
    <row r="11310" spans="1:4" ht="72" x14ac:dyDescent="0.3">
      <c r="A11310">
        <v>11308</v>
      </c>
      <c r="B11310" s="1" t="s">
        <v>14777</v>
      </c>
      <c r="C11310" t="s">
        <v>4</v>
      </c>
      <c r="D11310" t="s">
        <v>14778</v>
      </c>
    </row>
    <row r="11311" spans="1:4" hidden="1" x14ac:dyDescent="0.3">
      <c r="A11311">
        <v>11309</v>
      </c>
      <c r="B11311" t="s">
        <v>14779</v>
      </c>
      <c r="C11311" t="s">
        <v>7</v>
      </c>
      <c r="D11311">
        <v>1856.48</v>
      </c>
    </row>
    <row r="11312" spans="1:4" hidden="1" x14ac:dyDescent="0.3">
      <c r="A11312">
        <v>11310</v>
      </c>
      <c r="B11312" s="1" t="s">
        <v>14780</v>
      </c>
      <c r="C11312" t="s">
        <v>9</v>
      </c>
      <c r="D11312" s="1" t="s">
        <v>14781</v>
      </c>
    </row>
    <row r="11313" spans="1:4" hidden="1" x14ac:dyDescent="0.3">
      <c r="A11313">
        <v>11311</v>
      </c>
      <c r="B11313" t="s">
        <v>14782</v>
      </c>
      <c r="C11313" t="s">
        <v>14</v>
      </c>
      <c r="D11313">
        <v>89.025390630000004</v>
      </c>
    </row>
    <row r="11314" spans="1:4" hidden="1" x14ac:dyDescent="0.3">
      <c r="A11314">
        <v>11312</v>
      </c>
      <c r="B11314" t="s">
        <v>14783</v>
      </c>
      <c r="C11314" t="s">
        <v>16</v>
      </c>
      <c r="D11314">
        <v>4.2147038107340604</v>
      </c>
    </row>
    <row r="11315" spans="1:4" hidden="1" x14ac:dyDescent="0.3">
      <c r="A11315">
        <v>11313</v>
      </c>
      <c r="B11315" s="1" t="s">
        <v>14784</v>
      </c>
      <c r="C11315" t="s">
        <v>140</v>
      </c>
      <c r="D11315" s="1" t="s">
        <v>14785</v>
      </c>
    </row>
    <row r="11316" spans="1:4" hidden="1" x14ac:dyDescent="0.3">
      <c r="A11316">
        <v>11314</v>
      </c>
      <c r="B11316" t="s">
        <v>14786</v>
      </c>
      <c r="C11316" t="s">
        <v>22</v>
      </c>
      <c r="D11316">
        <v>50.7</v>
      </c>
    </row>
    <row r="11317" spans="1:4" hidden="1" x14ac:dyDescent="0.3">
      <c r="A11317">
        <v>11315</v>
      </c>
      <c r="B11317" t="s">
        <v>14787</v>
      </c>
      <c r="C11317" t="s">
        <v>24</v>
      </c>
      <c r="D11317">
        <v>4.3629944220967101</v>
      </c>
    </row>
    <row r="11318" spans="1:4" hidden="1" x14ac:dyDescent="0.3">
      <c r="A11318">
        <v>11316</v>
      </c>
      <c r="B11318" s="1" t="s">
        <v>14788</v>
      </c>
      <c r="C11318" t="s">
        <v>145</v>
      </c>
      <c r="D11318" s="1" t="s">
        <v>14789</v>
      </c>
    </row>
    <row r="11319" spans="1:4" hidden="1" x14ac:dyDescent="0.3">
      <c r="A11319">
        <v>11317</v>
      </c>
      <c r="B11319" t="s">
        <v>14790</v>
      </c>
      <c r="C11319" t="s">
        <v>35</v>
      </c>
      <c r="D11319">
        <v>-0.71431904496866006</v>
      </c>
    </row>
    <row r="11320" spans="1:4" hidden="1" x14ac:dyDescent="0.3">
      <c r="A11320">
        <v>11318</v>
      </c>
      <c r="B11320" t="s">
        <v>14791</v>
      </c>
      <c r="C11320" t="s">
        <v>149</v>
      </c>
      <c r="D11320">
        <v>0.57456003332442496</v>
      </c>
    </row>
    <row r="11321" spans="1:4" hidden="1" x14ac:dyDescent="0.3">
      <c r="A11321">
        <v>11319</v>
      </c>
      <c r="B11321" s="1" t="s">
        <v>14792</v>
      </c>
      <c r="C11321" t="s">
        <v>151</v>
      </c>
      <c r="D11321" s="1" t="s">
        <v>14793</v>
      </c>
    </row>
    <row r="11322" spans="1:4" hidden="1" x14ac:dyDescent="0.3">
      <c r="A11322">
        <v>11320</v>
      </c>
      <c r="B11322" t="s">
        <v>14794</v>
      </c>
      <c r="C11322" t="s">
        <v>30</v>
      </c>
      <c r="D11322">
        <v>0.78360419798873004</v>
      </c>
    </row>
    <row r="11323" spans="1:4" hidden="1" x14ac:dyDescent="0.3">
      <c r="A11323">
        <v>11321</v>
      </c>
      <c r="B11323" t="s">
        <v>14795</v>
      </c>
      <c r="C11323" t="s">
        <v>32</v>
      </c>
      <c r="D11323">
        <v>0.33809011992498</v>
      </c>
    </row>
    <row r="11324" spans="1:4" hidden="1" x14ac:dyDescent="0.3">
      <c r="A11324">
        <v>11322</v>
      </c>
      <c r="B11324" s="1" t="s">
        <v>14796</v>
      </c>
      <c r="C11324" t="s">
        <v>155</v>
      </c>
      <c r="D11324" s="1" t="s">
        <v>14797</v>
      </c>
    </row>
    <row r="11325" spans="1:4" hidden="1" x14ac:dyDescent="0.3">
      <c r="A11325">
        <v>11323</v>
      </c>
      <c r="B11325" t="s">
        <v>14798</v>
      </c>
      <c r="C11325" t="s">
        <v>40</v>
      </c>
      <c r="D11325">
        <v>0.93071484697993001</v>
      </c>
    </row>
    <row r="11326" spans="1:4" hidden="1" x14ac:dyDescent="0.3">
      <c r="A11326">
        <v>11324</v>
      </c>
      <c r="B11326" t="s">
        <v>14799</v>
      </c>
      <c r="C11326" t="s">
        <v>42</v>
      </c>
      <c r="D11326">
        <v>0.40237204590643499</v>
      </c>
    </row>
    <row r="11327" spans="1:4" hidden="1" x14ac:dyDescent="0.3">
      <c r="A11327">
        <v>11325</v>
      </c>
      <c r="B11327" s="1" t="s">
        <v>14800</v>
      </c>
      <c r="C11327" t="s">
        <v>159</v>
      </c>
      <c r="D11327" s="1" t="s">
        <v>14801</v>
      </c>
    </row>
    <row r="11328" spans="1:4" hidden="1" x14ac:dyDescent="0.3">
      <c r="A11328">
        <v>11326</v>
      </c>
      <c r="B11328" t="s">
        <v>14802</v>
      </c>
      <c r="C11328" t="s">
        <v>161</v>
      </c>
      <c r="D11328">
        <v>1.01122628508554</v>
      </c>
    </row>
    <row r="11329" spans="1:4" hidden="1" x14ac:dyDescent="0.3">
      <c r="A11329">
        <v>11327</v>
      </c>
      <c r="B11329" t="s">
        <v>14803</v>
      </c>
      <c r="C11329" t="s">
        <v>163</v>
      </c>
      <c r="D11329">
        <v>1.00136034972432</v>
      </c>
    </row>
    <row r="11330" spans="1:4" hidden="1" x14ac:dyDescent="0.3">
      <c r="A11330">
        <v>11328</v>
      </c>
      <c r="B11330" s="1" t="s">
        <v>14804</v>
      </c>
      <c r="C11330" t="s">
        <v>165</v>
      </c>
      <c r="D11330" s="1" t="s">
        <v>14805</v>
      </c>
    </row>
    <row r="11331" spans="1:4" hidden="1" x14ac:dyDescent="0.3">
      <c r="A11331">
        <v>11329</v>
      </c>
      <c r="B11331" t="s">
        <v>14806</v>
      </c>
      <c r="C11331" t="s">
        <v>168</v>
      </c>
      <c r="D11331">
        <v>1.00222453185642</v>
      </c>
    </row>
    <row r="11332" spans="1:4" hidden="1" x14ac:dyDescent="0.3">
      <c r="A11332">
        <v>11330</v>
      </c>
      <c r="B11332" t="s">
        <v>14807</v>
      </c>
      <c r="C11332" t="s">
        <v>170</v>
      </c>
      <c r="D11332">
        <v>0.99944616607292502</v>
      </c>
    </row>
    <row r="11333" spans="1:4" hidden="1" x14ac:dyDescent="0.3">
      <c r="A11333">
        <v>11331</v>
      </c>
      <c r="B11333" s="1" t="s">
        <v>14808</v>
      </c>
      <c r="C11333" t="s">
        <v>172</v>
      </c>
      <c r="D11333" s="1" t="s">
        <v>14809</v>
      </c>
    </row>
    <row r="11334" spans="1:4" hidden="1" x14ac:dyDescent="0.3">
      <c r="A11334">
        <v>11332</v>
      </c>
      <c r="B11334" s="1" t="s">
        <v>14810</v>
      </c>
      <c r="C11334" t="s">
        <v>55</v>
      </c>
      <c r="D11334" s="1" t="s">
        <v>14811</v>
      </c>
    </row>
    <row r="11335" spans="1:4" hidden="1" x14ac:dyDescent="0.3">
      <c r="A11335">
        <v>11333</v>
      </c>
      <c r="B11335" s="1" t="s">
        <v>14812</v>
      </c>
      <c r="C11335" t="s">
        <v>52</v>
      </c>
      <c r="D11335" s="1" t="s">
        <v>14813</v>
      </c>
    </row>
    <row r="11336" spans="1:4" hidden="1" x14ac:dyDescent="0.3">
      <c r="A11336">
        <v>11334</v>
      </c>
      <c r="B11336" s="1" t="s">
        <v>14814</v>
      </c>
      <c r="C11336" t="s">
        <v>58</v>
      </c>
      <c r="D11336" s="1" t="s">
        <v>14815</v>
      </c>
    </row>
    <row r="11337" spans="1:4" hidden="1" x14ac:dyDescent="0.3">
      <c r="A11337">
        <v>11335</v>
      </c>
      <c r="B11337" t="s">
        <v>14816</v>
      </c>
      <c r="C11337" t="s">
        <v>61</v>
      </c>
      <c r="D11337">
        <v>144695301.00436899</v>
      </c>
    </row>
    <row r="11338" spans="1:4" hidden="1" x14ac:dyDescent="0.3">
      <c r="A11338">
        <v>11336</v>
      </c>
      <c r="B11338" t="s">
        <v>14817</v>
      </c>
      <c r="C11338" t="s">
        <v>63</v>
      </c>
      <c r="D11338">
        <v>80114664.893136695</v>
      </c>
    </row>
    <row r="11339" spans="1:4" hidden="1" x14ac:dyDescent="0.3">
      <c r="A11339">
        <v>11337</v>
      </c>
      <c r="B11339" t="s">
        <v>14818</v>
      </c>
      <c r="C11339" t="s">
        <v>65</v>
      </c>
      <c r="D11339">
        <v>33872482.400748603</v>
      </c>
    </row>
    <row r="11340" spans="1:4" hidden="1" x14ac:dyDescent="0.3">
      <c r="A11340">
        <v>11338</v>
      </c>
      <c r="B11340" s="1" t="s">
        <v>14819</v>
      </c>
      <c r="C11340" t="s">
        <v>67</v>
      </c>
      <c r="D11340" s="1" t="s">
        <v>14820</v>
      </c>
    </row>
    <row r="11341" spans="1:4" hidden="1" x14ac:dyDescent="0.3">
      <c r="A11341">
        <v>11339</v>
      </c>
      <c r="B11341" s="1" t="s">
        <v>14821</v>
      </c>
      <c r="C11341" t="s">
        <v>70</v>
      </c>
      <c r="D11341" s="1" t="s">
        <v>14822</v>
      </c>
    </row>
    <row r="11342" spans="1:4" hidden="1" x14ac:dyDescent="0.3">
      <c r="A11342">
        <v>11340</v>
      </c>
      <c r="B11342" t="s">
        <v>14823</v>
      </c>
      <c r="C11342" t="s">
        <v>73</v>
      </c>
      <c r="D11342">
        <v>0.99985388779880502</v>
      </c>
    </row>
    <row r="11343" spans="1:4" hidden="1" x14ac:dyDescent="0.3">
      <c r="A11343">
        <v>11341</v>
      </c>
      <c r="B11343" t="s">
        <v>74</v>
      </c>
      <c r="C11343" t="s">
        <v>75</v>
      </c>
      <c r="D11343">
        <v>2.7397260273972599E-3</v>
      </c>
    </row>
    <row r="11344" spans="1:4" hidden="1" x14ac:dyDescent="0.3">
      <c r="A11344">
        <v>11342</v>
      </c>
      <c r="B11344" t="s">
        <v>76</v>
      </c>
      <c r="C11344" t="s">
        <v>77</v>
      </c>
      <c r="D11344">
        <v>0</v>
      </c>
    </row>
    <row r="11345" spans="1:4" hidden="1" x14ac:dyDescent="0.3">
      <c r="A11345">
        <v>11343</v>
      </c>
      <c r="B11345" t="s">
        <v>78</v>
      </c>
      <c r="C11345" t="s">
        <v>79</v>
      </c>
      <c r="D11345">
        <v>0</v>
      </c>
    </row>
    <row r="11346" spans="1:4" hidden="1" x14ac:dyDescent="0.3">
      <c r="A11346">
        <v>11344</v>
      </c>
      <c r="B11346" s="1" t="s">
        <v>14824</v>
      </c>
      <c r="C11346" t="s">
        <v>81</v>
      </c>
      <c r="D11346" s="1" t="s">
        <v>14825</v>
      </c>
    </row>
    <row r="11347" spans="1:4" hidden="1" x14ac:dyDescent="0.3">
      <c r="A11347">
        <v>11345</v>
      </c>
      <c r="B11347" t="s">
        <v>14826</v>
      </c>
      <c r="C11347" t="s">
        <v>84</v>
      </c>
      <c r="D11347">
        <v>0.99990718648640098</v>
      </c>
    </row>
    <row r="11348" spans="1:4" hidden="1" x14ac:dyDescent="0.3">
      <c r="A11348">
        <v>11346</v>
      </c>
      <c r="B11348" s="1" t="s">
        <v>14827</v>
      </c>
      <c r="C11348" t="s">
        <v>86</v>
      </c>
      <c r="D11348" s="1" t="s">
        <v>14828</v>
      </c>
    </row>
    <row r="11349" spans="1:4" hidden="1" x14ac:dyDescent="0.3">
      <c r="A11349">
        <v>11347</v>
      </c>
      <c r="B11349" t="s">
        <v>14829</v>
      </c>
      <c r="C11349" t="s">
        <v>89</v>
      </c>
      <c r="D11349">
        <v>104265440.93550199</v>
      </c>
    </row>
    <row r="11350" spans="1:4" hidden="1" x14ac:dyDescent="0.3">
      <c r="A11350">
        <v>11348</v>
      </c>
      <c r="B11350" s="1" t="s">
        <v>14830</v>
      </c>
      <c r="C11350" t="s">
        <v>91</v>
      </c>
      <c r="D11350" s="1" t="s">
        <v>14764</v>
      </c>
    </row>
    <row r="11351" spans="1:4" hidden="1" x14ac:dyDescent="0.3">
      <c r="A11351">
        <v>11349</v>
      </c>
      <c r="B11351" t="s">
        <v>14831</v>
      </c>
      <c r="C11351" t="s">
        <v>94</v>
      </c>
      <c r="D11351">
        <v>80114664.893136695</v>
      </c>
    </row>
    <row r="11352" spans="1:4" hidden="1" x14ac:dyDescent="0.3">
      <c r="A11352">
        <v>11350</v>
      </c>
      <c r="B11352" t="s">
        <v>14832</v>
      </c>
      <c r="C11352" t="s">
        <v>96</v>
      </c>
      <c r="D11352">
        <v>33872482.400748603</v>
      </c>
    </row>
    <row r="11353" spans="1:4" hidden="1" x14ac:dyDescent="0.3">
      <c r="A11353">
        <v>11351</v>
      </c>
      <c r="B11353" t="s">
        <v>14833</v>
      </c>
      <c r="C11353" t="s">
        <v>98</v>
      </c>
      <c r="D11353">
        <v>30708153.710484501</v>
      </c>
    </row>
    <row r="11354" spans="1:4" hidden="1" x14ac:dyDescent="0.3">
      <c r="A11354">
        <v>11352</v>
      </c>
      <c r="B11354" s="1" t="s">
        <v>14834</v>
      </c>
      <c r="C11354" t="s">
        <v>100</v>
      </c>
      <c r="D11354" s="1" t="s">
        <v>14835</v>
      </c>
    </row>
    <row r="11355" spans="1:4" hidden="1" x14ac:dyDescent="0.3">
      <c r="A11355">
        <v>11353</v>
      </c>
      <c r="B11355" t="s">
        <v>14836</v>
      </c>
      <c r="C11355" t="s">
        <v>103</v>
      </c>
      <c r="D11355">
        <v>9.8955355444487105E-3</v>
      </c>
    </row>
    <row r="11356" spans="1:4" hidden="1" x14ac:dyDescent="0.3">
      <c r="A11356">
        <v>11354</v>
      </c>
      <c r="B11356" t="s">
        <v>14837</v>
      </c>
      <c r="C11356" t="s">
        <v>105</v>
      </c>
      <c r="D11356">
        <v>2.6146752098115101E-3</v>
      </c>
    </row>
    <row r="11357" spans="1:4" hidden="1" x14ac:dyDescent="0.3">
      <c r="A11357">
        <v>11355</v>
      </c>
      <c r="B11357" t="s">
        <v>14838</v>
      </c>
      <c r="C11357" t="s">
        <v>107</v>
      </c>
      <c r="D11357">
        <v>2.45496403962727E-2</v>
      </c>
    </row>
    <row r="11358" spans="1:4" hidden="1" x14ac:dyDescent="0.3">
      <c r="A11358">
        <v>11356</v>
      </c>
      <c r="B11358" s="1" t="s">
        <v>14839</v>
      </c>
      <c r="C11358" t="s">
        <v>109</v>
      </c>
      <c r="D11358" s="1" t="s">
        <v>14840</v>
      </c>
    </row>
    <row r="11359" spans="1:4" hidden="1" x14ac:dyDescent="0.3">
      <c r="A11359">
        <v>11357</v>
      </c>
      <c r="B11359" t="s">
        <v>14841</v>
      </c>
      <c r="C11359" t="s">
        <v>208</v>
      </c>
      <c r="D11359">
        <v>144697229.58950901</v>
      </c>
    </row>
    <row r="11360" spans="1:4" hidden="1" x14ac:dyDescent="0.3">
      <c r="A11360">
        <v>11358</v>
      </c>
      <c r="B11360" t="s">
        <v>14842</v>
      </c>
      <c r="C11360" t="s">
        <v>210</v>
      </c>
      <c r="D11360">
        <v>-4270.7045354641696</v>
      </c>
    </row>
    <row r="11361" spans="1:4" hidden="1" x14ac:dyDescent="0.3">
      <c r="A11361">
        <v>11359</v>
      </c>
      <c r="B11361" t="s">
        <v>14843</v>
      </c>
      <c r="C11361" t="s">
        <v>212</v>
      </c>
      <c r="D11361">
        <v>-1805.6380902841499</v>
      </c>
    </row>
    <row r="11362" spans="1:4" hidden="1" x14ac:dyDescent="0.3">
      <c r="A11362">
        <v>11360</v>
      </c>
      <c r="B11362" s="1" t="s">
        <v>14844</v>
      </c>
      <c r="C11362" t="s">
        <v>214</v>
      </c>
      <c r="D11362" s="1" t="s">
        <v>14845</v>
      </c>
    </row>
    <row r="11363" spans="1:4" hidden="1" x14ac:dyDescent="0.3">
      <c r="A11363">
        <v>11361</v>
      </c>
      <c r="B11363" t="s">
        <v>14846</v>
      </c>
      <c r="C11363" t="s">
        <v>217</v>
      </c>
      <c r="D11363">
        <v>80120324.702229202</v>
      </c>
    </row>
    <row r="11364" spans="1:4" hidden="1" x14ac:dyDescent="0.3">
      <c r="A11364">
        <v>11362</v>
      </c>
      <c r="B11364" t="s">
        <v>14847</v>
      </c>
      <c r="C11364" t="s">
        <v>219</v>
      </c>
      <c r="D11364">
        <v>33874577.107113197</v>
      </c>
    </row>
    <row r="11365" spans="1:4" hidden="1" x14ac:dyDescent="0.3">
      <c r="A11365">
        <v>11363</v>
      </c>
      <c r="B11365" t="s">
        <v>14848</v>
      </c>
      <c r="C11365" t="s">
        <v>221</v>
      </c>
      <c r="D11365">
        <v>30710041.0796098</v>
      </c>
    </row>
    <row r="11366" spans="1:4" hidden="1" x14ac:dyDescent="0.3">
      <c r="A11366">
        <v>11364</v>
      </c>
      <c r="B11366" s="1" t="s">
        <v>14849</v>
      </c>
      <c r="C11366" t="s">
        <v>223</v>
      </c>
      <c r="D11366" s="1" t="s">
        <v>14850</v>
      </c>
    </row>
    <row r="11367" spans="1:4" hidden="1" x14ac:dyDescent="0.3">
      <c r="A11367">
        <v>11365</v>
      </c>
      <c r="B11367" t="s">
        <v>14851</v>
      </c>
      <c r="C11367" t="s">
        <v>226</v>
      </c>
      <c r="D11367">
        <v>104270998.95876101</v>
      </c>
    </row>
    <row r="11368" spans="1:4" hidden="1" x14ac:dyDescent="0.3">
      <c r="A11368">
        <v>11366</v>
      </c>
      <c r="B11368" t="s">
        <v>14852</v>
      </c>
      <c r="C11368" t="s">
        <v>228</v>
      </c>
      <c r="D11368">
        <v>-5558.0232584625401</v>
      </c>
    </row>
    <row r="11369" spans="1:4" hidden="1" x14ac:dyDescent="0.3">
      <c r="A11369">
        <v>11367</v>
      </c>
      <c r="B11369" s="1" t="s">
        <v>14853</v>
      </c>
      <c r="C11369" t="s">
        <v>230</v>
      </c>
      <c r="D11369" s="1" t="s">
        <v>14854</v>
      </c>
    </row>
    <row r="11370" spans="1:4" hidden="1" x14ac:dyDescent="0.3">
      <c r="A11370">
        <v>11368</v>
      </c>
      <c r="B11370" t="s">
        <v>14855</v>
      </c>
      <c r="C11370" t="s">
        <v>112</v>
      </c>
      <c r="D11370">
        <v>1389.10455705914</v>
      </c>
    </row>
    <row r="11371" spans="1:4" hidden="1" x14ac:dyDescent="0.3">
      <c r="A11371">
        <v>11369</v>
      </c>
      <c r="B11371" t="s">
        <v>14856</v>
      </c>
      <c r="C11371" t="s">
        <v>114</v>
      </c>
      <c r="D11371">
        <v>289.06827437654499</v>
      </c>
    </row>
    <row r="11372" spans="1:4" hidden="1" x14ac:dyDescent="0.3">
      <c r="A11372">
        <v>11370</v>
      </c>
      <c r="B11372" s="1" t="s">
        <v>14857</v>
      </c>
      <c r="C11372" t="s">
        <v>116</v>
      </c>
      <c r="D11372" s="1" t="s">
        <v>14858</v>
      </c>
    </row>
    <row r="11373" spans="1:4" hidden="1" x14ac:dyDescent="0.3">
      <c r="A11373">
        <v>11371</v>
      </c>
      <c r="B11373" t="s">
        <v>14859</v>
      </c>
      <c r="C11373" t="s">
        <v>119</v>
      </c>
      <c r="D11373">
        <v>80120324.702229202</v>
      </c>
    </row>
    <row r="11374" spans="1:4" hidden="1" x14ac:dyDescent="0.3">
      <c r="A11374">
        <v>11372</v>
      </c>
      <c r="B11374" t="s">
        <v>14860</v>
      </c>
      <c r="C11374" t="s">
        <v>121</v>
      </c>
      <c r="D11374">
        <v>33874577.107113197</v>
      </c>
    </row>
    <row r="11375" spans="1:4" hidden="1" x14ac:dyDescent="0.3">
      <c r="A11375">
        <v>11373</v>
      </c>
      <c r="B11375" s="1" t="s">
        <v>14861</v>
      </c>
      <c r="C11375" t="s">
        <v>123</v>
      </c>
      <c r="D11375" s="1" t="s">
        <v>14862</v>
      </c>
    </row>
    <row r="11376" spans="1:4" hidden="1" x14ac:dyDescent="0.3">
      <c r="A11376">
        <v>11374</v>
      </c>
      <c r="B11376" t="s">
        <v>14863</v>
      </c>
      <c r="C11376" t="s">
        <v>126</v>
      </c>
      <c r="D11376">
        <v>0.76845683307411505</v>
      </c>
    </row>
    <row r="11377" spans="1:4" hidden="1" x14ac:dyDescent="0.3">
      <c r="A11377">
        <v>11375</v>
      </c>
      <c r="B11377" t="s">
        <v>14864</v>
      </c>
      <c r="C11377" t="s">
        <v>128</v>
      </c>
      <c r="D11377">
        <v>0.32490070830595202</v>
      </c>
    </row>
    <row r="11378" spans="1:4" hidden="1" x14ac:dyDescent="0.3">
      <c r="A11378">
        <v>11376</v>
      </c>
      <c r="B11378" s="1" t="s">
        <v>14865</v>
      </c>
      <c r="C11378" t="s">
        <v>130</v>
      </c>
      <c r="D11378" s="1" t="s">
        <v>14866</v>
      </c>
    </row>
    <row r="11379" spans="1:4" ht="72" x14ac:dyDescent="0.3">
      <c r="A11379">
        <v>11377</v>
      </c>
      <c r="B11379" s="1" t="s">
        <v>14867</v>
      </c>
      <c r="C11379" t="s">
        <v>4</v>
      </c>
      <c r="D11379" t="s">
        <v>14868</v>
      </c>
    </row>
    <row r="11380" spans="1:4" hidden="1" x14ac:dyDescent="0.3">
      <c r="A11380">
        <v>11378</v>
      </c>
      <c r="B11380" t="s">
        <v>14869</v>
      </c>
      <c r="C11380" t="s">
        <v>7</v>
      </c>
      <c r="D11380">
        <v>1846.86</v>
      </c>
    </row>
    <row r="11381" spans="1:4" hidden="1" x14ac:dyDescent="0.3">
      <c r="A11381">
        <v>11379</v>
      </c>
      <c r="B11381" s="1" t="s">
        <v>14870</v>
      </c>
      <c r="C11381" t="s">
        <v>9</v>
      </c>
      <c r="D11381" s="1" t="s">
        <v>14871</v>
      </c>
    </row>
    <row r="11382" spans="1:4" hidden="1" x14ac:dyDescent="0.3">
      <c r="A11382">
        <v>11380</v>
      </c>
      <c r="B11382" t="s">
        <v>14872</v>
      </c>
      <c r="C11382" t="s">
        <v>14</v>
      </c>
      <c r="D11382">
        <v>88.98046875</v>
      </c>
    </row>
    <row r="11383" spans="1:4" hidden="1" x14ac:dyDescent="0.3">
      <c r="A11383">
        <v>11381</v>
      </c>
      <c r="B11383" t="s">
        <v>14873</v>
      </c>
      <c r="C11383" t="s">
        <v>16</v>
      </c>
      <c r="D11383">
        <v>4.2141280934160799</v>
      </c>
    </row>
    <row r="11384" spans="1:4" hidden="1" x14ac:dyDescent="0.3">
      <c r="A11384">
        <v>11382</v>
      </c>
      <c r="B11384" s="1" t="s">
        <v>14874</v>
      </c>
      <c r="C11384" t="s">
        <v>140</v>
      </c>
      <c r="D11384" s="1" t="s">
        <v>14875</v>
      </c>
    </row>
    <row r="11385" spans="1:4" hidden="1" x14ac:dyDescent="0.3">
      <c r="A11385">
        <v>11383</v>
      </c>
      <c r="B11385" t="s">
        <v>14876</v>
      </c>
      <c r="C11385" t="s">
        <v>22</v>
      </c>
      <c r="D11385">
        <v>50.9</v>
      </c>
    </row>
    <row r="11386" spans="1:4" hidden="1" x14ac:dyDescent="0.3">
      <c r="A11386">
        <v>11384</v>
      </c>
      <c r="B11386" t="s">
        <v>14877</v>
      </c>
      <c r="C11386" t="s">
        <v>24</v>
      </c>
      <c r="D11386">
        <v>4.3421276974624003</v>
      </c>
    </row>
    <row r="11387" spans="1:4" hidden="1" x14ac:dyDescent="0.3">
      <c r="A11387">
        <v>11385</v>
      </c>
      <c r="B11387" s="1" t="s">
        <v>14878</v>
      </c>
      <c r="C11387" t="s">
        <v>145</v>
      </c>
      <c r="D11387" s="1" t="s">
        <v>14879</v>
      </c>
    </row>
    <row r="11388" spans="1:4" hidden="1" x14ac:dyDescent="0.3">
      <c r="A11388">
        <v>11386</v>
      </c>
      <c r="B11388" t="s">
        <v>14880</v>
      </c>
      <c r="C11388" t="s">
        <v>35</v>
      </c>
      <c r="D11388">
        <v>-0.46766118758910102</v>
      </c>
    </row>
    <row r="11389" spans="1:4" hidden="1" x14ac:dyDescent="0.3">
      <c r="A11389">
        <v>11387</v>
      </c>
      <c r="B11389" t="s">
        <v>14881</v>
      </c>
      <c r="C11389" t="s">
        <v>149</v>
      </c>
      <c r="D11389">
        <v>0.57563815958700904</v>
      </c>
    </row>
    <row r="11390" spans="1:4" hidden="1" x14ac:dyDescent="0.3">
      <c r="A11390">
        <v>11388</v>
      </c>
      <c r="B11390" s="1" t="s">
        <v>14882</v>
      </c>
      <c r="C11390" t="s">
        <v>151</v>
      </c>
      <c r="D11390" s="1" t="s">
        <v>14883</v>
      </c>
    </row>
    <row r="11391" spans="1:4" hidden="1" x14ac:dyDescent="0.3">
      <c r="A11391">
        <v>11389</v>
      </c>
      <c r="B11391" t="s">
        <v>14884</v>
      </c>
      <c r="C11391" t="s">
        <v>30</v>
      </c>
      <c r="D11391">
        <v>0.69127671578960803</v>
      </c>
    </row>
    <row r="11392" spans="1:4" hidden="1" x14ac:dyDescent="0.3">
      <c r="A11392">
        <v>11390</v>
      </c>
      <c r="B11392" t="s">
        <v>14885</v>
      </c>
      <c r="C11392" t="s">
        <v>32</v>
      </c>
      <c r="D11392">
        <v>0.33589680675120998</v>
      </c>
    </row>
    <row r="11393" spans="1:4" hidden="1" x14ac:dyDescent="0.3">
      <c r="A11393">
        <v>11391</v>
      </c>
      <c r="B11393" s="1" t="s">
        <v>14886</v>
      </c>
      <c r="C11393" t="s">
        <v>155</v>
      </c>
      <c r="D11393" s="1" t="s">
        <v>14887</v>
      </c>
    </row>
    <row r="11394" spans="1:4" hidden="1" x14ac:dyDescent="0.3">
      <c r="A11394">
        <v>11392</v>
      </c>
      <c r="B11394" t="s">
        <v>14888</v>
      </c>
      <c r="C11394" t="s">
        <v>40</v>
      </c>
      <c r="D11394">
        <v>0.77638447179949299</v>
      </c>
    </row>
    <row r="11395" spans="1:4" hidden="1" x14ac:dyDescent="0.3">
      <c r="A11395">
        <v>11393</v>
      </c>
      <c r="B11395" t="s">
        <v>14889</v>
      </c>
      <c r="C11395" t="s">
        <v>42</v>
      </c>
      <c r="D11395">
        <v>0.40130560651035502</v>
      </c>
    </row>
    <row r="11396" spans="1:4" hidden="1" x14ac:dyDescent="0.3">
      <c r="A11396">
        <v>11394</v>
      </c>
      <c r="B11396" s="1" t="s">
        <v>14890</v>
      </c>
      <c r="C11396" t="s">
        <v>159</v>
      </c>
      <c r="D11396" s="1" t="s">
        <v>14891</v>
      </c>
    </row>
    <row r="11397" spans="1:4" hidden="1" x14ac:dyDescent="0.3">
      <c r="A11397">
        <v>11395</v>
      </c>
      <c r="B11397" t="s">
        <v>14892</v>
      </c>
      <c r="C11397" t="s">
        <v>161</v>
      </c>
      <c r="D11397">
        <v>0.994818150478324</v>
      </c>
    </row>
    <row r="11398" spans="1:4" hidden="1" x14ac:dyDescent="0.3">
      <c r="A11398">
        <v>11396</v>
      </c>
      <c r="B11398" t="s">
        <v>14893</v>
      </c>
      <c r="C11398" t="s">
        <v>163</v>
      </c>
      <c r="D11398">
        <v>0.99951203827504798</v>
      </c>
    </row>
    <row r="11399" spans="1:4" hidden="1" x14ac:dyDescent="0.3">
      <c r="A11399">
        <v>11397</v>
      </c>
      <c r="B11399" s="1" t="s">
        <v>14894</v>
      </c>
      <c r="C11399" t="s">
        <v>165</v>
      </c>
      <c r="D11399" s="1" t="s">
        <v>14895</v>
      </c>
    </row>
    <row r="11400" spans="1:4" hidden="1" x14ac:dyDescent="0.3">
      <c r="A11400">
        <v>11398</v>
      </c>
      <c r="B11400" t="s">
        <v>14896</v>
      </c>
      <c r="C11400" t="s">
        <v>168</v>
      </c>
      <c r="D11400">
        <v>1.0006847158823799</v>
      </c>
    </row>
    <row r="11401" spans="1:4" hidden="1" x14ac:dyDescent="0.3">
      <c r="A11401">
        <v>11399</v>
      </c>
      <c r="B11401" t="s">
        <v>14897</v>
      </c>
      <c r="C11401" t="s">
        <v>170</v>
      </c>
      <c r="D11401">
        <v>0.99836086288874704</v>
      </c>
    </row>
    <row r="11402" spans="1:4" hidden="1" x14ac:dyDescent="0.3">
      <c r="A11402">
        <v>11400</v>
      </c>
      <c r="B11402" s="1" t="s">
        <v>14898</v>
      </c>
      <c r="C11402" t="s">
        <v>172</v>
      </c>
      <c r="D11402" s="1" t="s">
        <v>14899</v>
      </c>
    </row>
    <row r="11403" spans="1:4" hidden="1" x14ac:dyDescent="0.3">
      <c r="A11403">
        <v>11401</v>
      </c>
      <c r="B11403" s="1" t="s">
        <v>14900</v>
      </c>
      <c r="C11403" t="s">
        <v>55</v>
      </c>
      <c r="D11403" s="1" t="s">
        <v>14901</v>
      </c>
    </row>
    <row r="11404" spans="1:4" hidden="1" x14ac:dyDescent="0.3">
      <c r="A11404">
        <v>11402</v>
      </c>
      <c r="B11404" s="1" t="s">
        <v>14902</v>
      </c>
      <c r="C11404" t="s">
        <v>52</v>
      </c>
      <c r="D11404" s="1" t="s">
        <v>14903</v>
      </c>
    </row>
    <row r="11405" spans="1:4" hidden="1" x14ac:dyDescent="0.3">
      <c r="A11405">
        <v>11403</v>
      </c>
      <c r="B11405" s="1" t="s">
        <v>14904</v>
      </c>
      <c r="C11405" t="s">
        <v>58</v>
      </c>
      <c r="D11405" s="1" t="s">
        <v>14905</v>
      </c>
    </row>
    <row r="11406" spans="1:4" hidden="1" x14ac:dyDescent="0.3">
      <c r="A11406">
        <v>11404</v>
      </c>
      <c r="B11406" t="s">
        <v>14906</v>
      </c>
      <c r="C11406" t="s">
        <v>61</v>
      </c>
      <c r="D11406">
        <v>144373149.13742399</v>
      </c>
    </row>
    <row r="11407" spans="1:4" hidden="1" x14ac:dyDescent="0.3">
      <c r="A11407">
        <v>11405</v>
      </c>
      <c r="B11407" t="s">
        <v>14907</v>
      </c>
      <c r="C11407" t="s">
        <v>63</v>
      </c>
      <c r="D11407">
        <v>79705153.235994503</v>
      </c>
    </row>
    <row r="11408" spans="1:4" hidden="1" x14ac:dyDescent="0.3">
      <c r="A11408">
        <v>11406</v>
      </c>
      <c r="B11408" t="s">
        <v>14908</v>
      </c>
      <c r="C11408" t="s">
        <v>65</v>
      </c>
      <c r="D11408">
        <v>33858047.610036001</v>
      </c>
    </row>
    <row r="11409" spans="1:4" hidden="1" x14ac:dyDescent="0.3">
      <c r="A11409">
        <v>11407</v>
      </c>
      <c r="B11409" s="1" t="s">
        <v>14909</v>
      </c>
      <c r="C11409" t="s">
        <v>67</v>
      </c>
      <c r="D11409" s="1" t="s">
        <v>14910</v>
      </c>
    </row>
    <row r="11410" spans="1:4" hidden="1" x14ac:dyDescent="0.3">
      <c r="A11410">
        <v>11408</v>
      </c>
      <c r="B11410" s="1" t="s">
        <v>14911</v>
      </c>
      <c r="C11410" t="s">
        <v>70</v>
      </c>
      <c r="D11410" s="1" t="s">
        <v>14912</v>
      </c>
    </row>
    <row r="11411" spans="1:4" hidden="1" x14ac:dyDescent="0.3">
      <c r="A11411">
        <v>11409</v>
      </c>
      <c r="B11411" t="s">
        <v>14913</v>
      </c>
      <c r="C11411" t="s">
        <v>73</v>
      </c>
      <c r="D11411">
        <v>0.99990718648640098</v>
      </c>
    </row>
    <row r="11412" spans="1:4" hidden="1" x14ac:dyDescent="0.3">
      <c r="A11412">
        <v>11410</v>
      </c>
      <c r="B11412" t="s">
        <v>74</v>
      </c>
      <c r="C11412" t="s">
        <v>75</v>
      </c>
      <c r="D11412">
        <v>2.7397260273972599E-3</v>
      </c>
    </row>
    <row r="11413" spans="1:4" hidden="1" x14ac:dyDescent="0.3">
      <c r="A11413">
        <v>11411</v>
      </c>
      <c r="B11413" t="s">
        <v>76</v>
      </c>
      <c r="C11413" t="s">
        <v>77</v>
      </c>
      <c r="D11413">
        <v>0</v>
      </c>
    </row>
    <row r="11414" spans="1:4" hidden="1" x14ac:dyDescent="0.3">
      <c r="A11414">
        <v>11412</v>
      </c>
      <c r="B11414" t="s">
        <v>831</v>
      </c>
      <c r="C11414" t="s">
        <v>79</v>
      </c>
      <c r="D11414" s="2">
        <v>2.2204460492503101E-16</v>
      </c>
    </row>
    <row r="11415" spans="1:4" hidden="1" x14ac:dyDescent="0.3">
      <c r="A11415">
        <v>11413</v>
      </c>
      <c r="B11415" s="1" t="s">
        <v>14914</v>
      </c>
      <c r="C11415" t="s">
        <v>81</v>
      </c>
      <c r="D11415" s="1" t="s">
        <v>14915</v>
      </c>
    </row>
    <row r="11416" spans="1:4" hidden="1" x14ac:dyDescent="0.3">
      <c r="A11416">
        <v>11414</v>
      </c>
      <c r="B11416" t="s">
        <v>14916</v>
      </c>
      <c r="C11416" t="s">
        <v>84</v>
      </c>
      <c r="D11416">
        <v>0.99997250846780406</v>
      </c>
    </row>
    <row r="11417" spans="1:4" hidden="1" x14ac:dyDescent="0.3">
      <c r="A11417">
        <v>11415</v>
      </c>
      <c r="B11417" s="1" t="s">
        <v>14917</v>
      </c>
      <c r="C11417" t="s">
        <v>86</v>
      </c>
      <c r="D11417" s="1" t="s">
        <v>14918</v>
      </c>
    </row>
    <row r="11418" spans="1:4" hidden="1" x14ac:dyDescent="0.3">
      <c r="A11418">
        <v>11416</v>
      </c>
      <c r="B11418" t="s">
        <v>14919</v>
      </c>
      <c r="C11418" t="s">
        <v>89</v>
      </c>
      <c r="D11418">
        <v>104258629.923063</v>
      </c>
    </row>
    <row r="11419" spans="1:4" hidden="1" x14ac:dyDescent="0.3">
      <c r="A11419">
        <v>11417</v>
      </c>
      <c r="B11419" s="1" t="s">
        <v>14920</v>
      </c>
      <c r="C11419" t="s">
        <v>91</v>
      </c>
      <c r="D11419" s="1" t="s">
        <v>14854</v>
      </c>
    </row>
    <row r="11420" spans="1:4" hidden="1" x14ac:dyDescent="0.3">
      <c r="A11420">
        <v>11418</v>
      </c>
      <c r="B11420" t="s">
        <v>14921</v>
      </c>
      <c r="C11420" t="s">
        <v>94</v>
      </c>
      <c r="D11420">
        <v>79705153.235994503</v>
      </c>
    </row>
    <row r="11421" spans="1:4" hidden="1" x14ac:dyDescent="0.3">
      <c r="A11421">
        <v>11419</v>
      </c>
      <c r="B11421" t="s">
        <v>14922</v>
      </c>
      <c r="C11421" t="s">
        <v>96</v>
      </c>
      <c r="D11421">
        <v>33858047.610036001</v>
      </c>
    </row>
    <row r="11422" spans="1:4" hidden="1" x14ac:dyDescent="0.3">
      <c r="A11422">
        <v>11420</v>
      </c>
      <c r="B11422" t="s">
        <v>14923</v>
      </c>
      <c r="C11422" t="s">
        <v>98</v>
      </c>
      <c r="D11422">
        <v>30809948.2913941</v>
      </c>
    </row>
    <row r="11423" spans="1:4" hidden="1" x14ac:dyDescent="0.3">
      <c r="A11423">
        <v>11421</v>
      </c>
      <c r="B11423" s="1" t="s">
        <v>14924</v>
      </c>
      <c r="C11423" t="s">
        <v>100</v>
      </c>
      <c r="D11423" s="1" t="s">
        <v>14925</v>
      </c>
    </row>
    <row r="11424" spans="1:4" hidden="1" x14ac:dyDescent="0.3">
      <c r="A11424">
        <v>11422</v>
      </c>
      <c r="B11424" t="s">
        <v>14926</v>
      </c>
      <c r="C11424" t="s">
        <v>103</v>
      </c>
      <c r="D11424">
        <v>9.9473394818493602E-3</v>
      </c>
    </row>
    <row r="11425" spans="1:4" hidden="1" x14ac:dyDescent="0.3">
      <c r="A11425">
        <v>11423</v>
      </c>
      <c r="B11425" t="s">
        <v>14927</v>
      </c>
      <c r="C11425" t="s">
        <v>105</v>
      </c>
      <c r="D11425">
        <v>2.6064132524177002E-3</v>
      </c>
    </row>
    <row r="11426" spans="1:4" hidden="1" x14ac:dyDescent="0.3">
      <c r="A11426">
        <v>11424</v>
      </c>
      <c r="B11426" t="s">
        <v>14928</v>
      </c>
      <c r="C11426" t="s">
        <v>107</v>
      </c>
      <c r="D11426">
        <v>2.4521918546061498E-2</v>
      </c>
    </row>
    <row r="11427" spans="1:4" hidden="1" x14ac:dyDescent="0.3">
      <c r="A11427">
        <v>11425</v>
      </c>
      <c r="B11427" s="1" t="s">
        <v>14929</v>
      </c>
      <c r="C11427" t="s">
        <v>109</v>
      </c>
      <c r="D11427" s="1" t="s">
        <v>14930</v>
      </c>
    </row>
    <row r="11428" spans="1:4" hidden="1" x14ac:dyDescent="0.3">
      <c r="A11428">
        <v>11426</v>
      </c>
      <c r="B11428" t="s">
        <v>14931</v>
      </c>
      <c r="C11428" t="s">
        <v>208</v>
      </c>
      <c r="D11428">
        <v>144375514.282967</v>
      </c>
    </row>
    <row r="11429" spans="1:4" hidden="1" x14ac:dyDescent="0.3">
      <c r="A11429">
        <v>11427</v>
      </c>
      <c r="B11429" t="s">
        <v>14932</v>
      </c>
      <c r="C11429" t="s">
        <v>210</v>
      </c>
      <c r="D11429">
        <v>-5207.1046277191999</v>
      </c>
    </row>
    <row r="11430" spans="1:4" hidden="1" x14ac:dyDescent="0.3">
      <c r="A11430">
        <v>11428</v>
      </c>
      <c r="B11430" t="s">
        <v>14933</v>
      </c>
      <c r="C11430" t="s">
        <v>212</v>
      </c>
      <c r="D11430">
        <v>-2211.89784044926</v>
      </c>
    </row>
    <row r="11431" spans="1:4" hidden="1" x14ac:dyDescent="0.3">
      <c r="A11431">
        <v>11429</v>
      </c>
      <c r="B11431" s="1" t="s">
        <v>14934</v>
      </c>
      <c r="C11431" t="s">
        <v>214</v>
      </c>
      <c r="D11431" s="1" t="s">
        <v>14935</v>
      </c>
    </row>
    <row r="11432" spans="1:4" hidden="1" x14ac:dyDescent="0.3">
      <c r="A11432">
        <v>11430</v>
      </c>
      <c r="B11432" t="s">
        <v>14936</v>
      </c>
      <c r="C11432" t="s">
        <v>217</v>
      </c>
      <c r="D11432">
        <v>79712240.269152701</v>
      </c>
    </row>
    <row r="11433" spans="1:4" hidden="1" x14ac:dyDescent="0.3">
      <c r="A11433">
        <v>11431</v>
      </c>
      <c r="B11433" t="s">
        <v>14937</v>
      </c>
      <c r="C11433" t="s">
        <v>219</v>
      </c>
      <c r="D11433">
        <v>33860531.852984898</v>
      </c>
    </row>
    <row r="11434" spans="1:4" hidden="1" x14ac:dyDescent="0.3">
      <c r="A11434">
        <v>11432</v>
      </c>
      <c r="B11434" t="s">
        <v>14938</v>
      </c>
      <c r="C11434" t="s">
        <v>221</v>
      </c>
      <c r="D11434">
        <v>30812173.930884201</v>
      </c>
    </row>
    <row r="11435" spans="1:4" hidden="1" x14ac:dyDescent="0.3">
      <c r="A11435">
        <v>11433</v>
      </c>
      <c r="B11435" s="1" t="s">
        <v>14939</v>
      </c>
      <c r="C11435" t="s">
        <v>223</v>
      </c>
      <c r="D11435" s="1" t="s">
        <v>14940</v>
      </c>
    </row>
    <row r="11436" spans="1:4" hidden="1" x14ac:dyDescent="0.3">
      <c r="A11436">
        <v>11434</v>
      </c>
      <c r="B11436" t="s">
        <v>14941</v>
      </c>
      <c r="C11436" t="s">
        <v>226</v>
      </c>
      <c r="D11436">
        <v>104265440.93550199</v>
      </c>
    </row>
    <row r="11437" spans="1:4" hidden="1" x14ac:dyDescent="0.3">
      <c r="A11437">
        <v>11435</v>
      </c>
      <c r="B11437" t="s">
        <v>14942</v>
      </c>
      <c r="C11437" t="s">
        <v>228</v>
      </c>
      <c r="D11437">
        <v>-6811.0124389082102</v>
      </c>
    </row>
    <row r="11438" spans="1:4" hidden="1" x14ac:dyDescent="0.3">
      <c r="A11438">
        <v>11436</v>
      </c>
      <c r="B11438" s="1" t="s">
        <v>14943</v>
      </c>
      <c r="C11438" t="s">
        <v>230</v>
      </c>
      <c r="D11438" s="1" t="s">
        <v>14944</v>
      </c>
    </row>
    <row r="11439" spans="1:4" hidden="1" x14ac:dyDescent="0.3">
      <c r="A11439">
        <v>11437</v>
      </c>
      <c r="B11439" t="s">
        <v>14945</v>
      </c>
      <c r="C11439" t="s">
        <v>112</v>
      </c>
      <c r="D11439">
        <v>1879.9285305130099</v>
      </c>
    </row>
    <row r="11440" spans="1:4" hidden="1" x14ac:dyDescent="0.3">
      <c r="A11440">
        <v>11438</v>
      </c>
      <c r="B11440" t="s">
        <v>14946</v>
      </c>
      <c r="C11440" t="s">
        <v>114</v>
      </c>
      <c r="D11440">
        <v>272.34510842237103</v>
      </c>
    </row>
    <row r="11441" spans="1:4" hidden="1" x14ac:dyDescent="0.3">
      <c r="A11441">
        <v>11439</v>
      </c>
      <c r="B11441" s="1" t="s">
        <v>14947</v>
      </c>
      <c r="C11441" t="s">
        <v>116</v>
      </c>
      <c r="D11441" s="1" t="s">
        <v>14948</v>
      </c>
    </row>
    <row r="11442" spans="1:4" hidden="1" x14ac:dyDescent="0.3">
      <c r="A11442">
        <v>11440</v>
      </c>
      <c r="B11442" t="s">
        <v>14949</v>
      </c>
      <c r="C11442" t="s">
        <v>119</v>
      </c>
      <c r="D11442">
        <v>79712240.269152701</v>
      </c>
    </row>
    <row r="11443" spans="1:4" hidden="1" x14ac:dyDescent="0.3">
      <c r="A11443">
        <v>11441</v>
      </c>
      <c r="B11443" t="s">
        <v>14950</v>
      </c>
      <c r="C11443" t="s">
        <v>121</v>
      </c>
      <c r="D11443">
        <v>33860531.852984898</v>
      </c>
    </row>
    <row r="11444" spans="1:4" hidden="1" x14ac:dyDescent="0.3">
      <c r="A11444">
        <v>11442</v>
      </c>
      <c r="B11444" s="1" t="s">
        <v>14951</v>
      </c>
      <c r="C11444" t="s">
        <v>123</v>
      </c>
      <c r="D11444" s="1" t="s">
        <v>14952</v>
      </c>
    </row>
    <row r="11445" spans="1:4" hidden="1" x14ac:dyDescent="0.3">
      <c r="A11445">
        <v>11443</v>
      </c>
      <c r="B11445" t="s">
        <v>14953</v>
      </c>
      <c r="C11445" t="s">
        <v>126</v>
      </c>
      <c r="D11445">
        <v>0.76453358874998401</v>
      </c>
    </row>
    <row r="11446" spans="1:4" hidden="1" x14ac:dyDescent="0.3">
      <c r="A11446">
        <v>11444</v>
      </c>
      <c r="B11446" t="s">
        <v>14954</v>
      </c>
      <c r="C11446" t="s">
        <v>128</v>
      </c>
      <c r="D11446">
        <v>0.324762092335319</v>
      </c>
    </row>
    <row r="11447" spans="1:4" hidden="1" x14ac:dyDescent="0.3">
      <c r="A11447">
        <v>11445</v>
      </c>
      <c r="B11447" s="1" t="s">
        <v>14955</v>
      </c>
      <c r="C11447" t="s">
        <v>130</v>
      </c>
      <c r="D11447" s="1" t="s">
        <v>14956</v>
      </c>
    </row>
    <row r="11448" spans="1:4" ht="72" x14ac:dyDescent="0.3">
      <c r="A11448">
        <v>11446</v>
      </c>
      <c r="B11448" s="1" t="s">
        <v>14957</v>
      </c>
      <c r="C11448" t="s">
        <v>4</v>
      </c>
      <c r="D11448" t="s">
        <v>14958</v>
      </c>
    </row>
    <row r="11449" spans="1:4" hidden="1" x14ac:dyDescent="0.3">
      <c r="A11449">
        <v>11447</v>
      </c>
      <c r="B11449" t="s">
        <v>14959</v>
      </c>
      <c r="C11449" t="s">
        <v>7</v>
      </c>
      <c r="D11449">
        <v>1813.45</v>
      </c>
    </row>
    <row r="11450" spans="1:4" hidden="1" x14ac:dyDescent="0.3">
      <c r="A11450">
        <v>11448</v>
      </c>
      <c r="B11450" s="1" t="s">
        <v>14960</v>
      </c>
      <c r="C11450" t="s">
        <v>9</v>
      </c>
      <c r="D11450" s="1" t="s">
        <v>14961</v>
      </c>
    </row>
    <row r="11451" spans="1:4" hidden="1" x14ac:dyDescent="0.3">
      <c r="A11451">
        <v>11449</v>
      </c>
      <c r="B11451" t="s">
        <v>14962</v>
      </c>
      <c r="C11451" t="s">
        <v>14</v>
      </c>
      <c r="D11451">
        <v>88.734375</v>
      </c>
    </row>
    <row r="11452" spans="1:4" hidden="1" x14ac:dyDescent="0.3">
      <c r="A11452">
        <v>11450</v>
      </c>
      <c r="B11452" t="s">
        <v>14963</v>
      </c>
      <c r="C11452" t="s">
        <v>16</v>
      </c>
      <c r="D11452">
        <v>4.2156347319289802</v>
      </c>
    </row>
    <row r="11453" spans="1:4" hidden="1" x14ac:dyDescent="0.3">
      <c r="A11453">
        <v>11451</v>
      </c>
      <c r="B11453" s="1" t="s">
        <v>14964</v>
      </c>
      <c r="C11453" t="s">
        <v>140</v>
      </c>
      <c r="D11453" s="1" t="s">
        <v>14965</v>
      </c>
    </row>
    <row r="11454" spans="1:4" hidden="1" x14ac:dyDescent="0.3">
      <c r="A11454">
        <v>11452</v>
      </c>
      <c r="B11454" t="s">
        <v>14966</v>
      </c>
      <c r="C11454" t="s">
        <v>22</v>
      </c>
      <c r="D11454">
        <v>50</v>
      </c>
    </row>
    <row r="11455" spans="1:4" hidden="1" x14ac:dyDescent="0.3">
      <c r="A11455">
        <v>11453</v>
      </c>
      <c r="B11455" t="s">
        <v>14967</v>
      </c>
      <c r="C11455" t="s">
        <v>24</v>
      </c>
      <c r="D11455">
        <v>4.4236587061493502</v>
      </c>
    </row>
    <row r="11456" spans="1:4" hidden="1" x14ac:dyDescent="0.3">
      <c r="A11456">
        <v>11454</v>
      </c>
      <c r="B11456" s="1" t="s">
        <v>14968</v>
      </c>
      <c r="C11456" t="s">
        <v>145</v>
      </c>
      <c r="D11456" s="1" t="s">
        <v>14969</v>
      </c>
    </row>
    <row r="11457" spans="1:4" hidden="1" x14ac:dyDescent="0.3">
      <c r="A11457">
        <v>11455</v>
      </c>
      <c r="B11457" t="s">
        <v>14970</v>
      </c>
      <c r="C11457" t="s">
        <v>35</v>
      </c>
      <c r="D11457">
        <v>0.40910876713380101</v>
      </c>
    </row>
    <row r="11458" spans="1:4" hidden="1" x14ac:dyDescent="0.3">
      <c r="A11458">
        <v>11456</v>
      </c>
      <c r="B11458" t="s">
        <v>14971</v>
      </c>
      <c r="C11458" t="s">
        <v>149</v>
      </c>
      <c r="D11458">
        <v>0.57714726021269902</v>
      </c>
    </row>
    <row r="11459" spans="1:4" hidden="1" x14ac:dyDescent="0.3">
      <c r="A11459">
        <v>11457</v>
      </c>
      <c r="B11459" s="1" t="s">
        <v>14972</v>
      </c>
      <c r="C11459" t="s">
        <v>151</v>
      </c>
      <c r="D11459" s="1" t="s">
        <v>14973</v>
      </c>
    </row>
    <row r="11460" spans="1:4" hidden="1" x14ac:dyDescent="0.3">
      <c r="A11460">
        <v>11458</v>
      </c>
      <c r="B11460" t="s">
        <v>14974</v>
      </c>
      <c r="C11460" t="s">
        <v>30</v>
      </c>
      <c r="D11460">
        <v>0.27713568899885399</v>
      </c>
    </row>
    <row r="11461" spans="1:4" hidden="1" x14ac:dyDescent="0.3">
      <c r="A11461">
        <v>11459</v>
      </c>
      <c r="B11461" t="s">
        <v>14975</v>
      </c>
      <c r="C11461" t="s">
        <v>32</v>
      </c>
      <c r="D11461">
        <v>0.33589117425463499</v>
      </c>
    </row>
    <row r="11462" spans="1:4" hidden="1" x14ac:dyDescent="0.3">
      <c r="A11462">
        <v>11460</v>
      </c>
      <c r="B11462" s="1" t="s">
        <v>14976</v>
      </c>
      <c r="C11462" t="s">
        <v>155</v>
      </c>
      <c r="D11462" s="1" t="s">
        <v>14977</v>
      </c>
    </row>
    <row r="11463" spans="1:4" hidden="1" x14ac:dyDescent="0.3">
      <c r="A11463">
        <v>11461</v>
      </c>
      <c r="B11463" t="s">
        <v>14978</v>
      </c>
      <c r="C11463" t="s">
        <v>40</v>
      </c>
      <c r="D11463">
        <v>0.313755543867344</v>
      </c>
    </row>
    <row r="11464" spans="1:4" hidden="1" x14ac:dyDescent="0.3">
      <c r="A11464">
        <v>11462</v>
      </c>
      <c r="B11464" t="s">
        <v>14979</v>
      </c>
      <c r="C11464" t="s">
        <v>42</v>
      </c>
      <c r="D11464">
        <v>0.39676887446753001</v>
      </c>
    </row>
    <row r="11465" spans="1:4" hidden="1" x14ac:dyDescent="0.3">
      <c r="A11465">
        <v>11463</v>
      </c>
      <c r="B11465" s="1" t="s">
        <v>14980</v>
      </c>
      <c r="C11465" t="s">
        <v>159</v>
      </c>
      <c r="D11465" s="1" t="s">
        <v>14981</v>
      </c>
    </row>
    <row r="11466" spans="1:4" hidden="1" x14ac:dyDescent="0.3">
      <c r="A11466">
        <v>11464</v>
      </c>
      <c r="B11466" t="s">
        <v>14982</v>
      </c>
      <c r="C11466" t="s">
        <v>161</v>
      </c>
      <c r="D11466">
        <v>0.98190983615433702</v>
      </c>
    </row>
    <row r="11467" spans="1:4" hidden="1" x14ac:dyDescent="0.3">
      <c r="A11467">
        <v>11465</v>
      </c>
      <c r="B11467" t="s">
        <v>14983</v>
      </c>
      <c r="C11467" t="s">
        <v>163</v>
      </c>
      <c r="D11467">
        <v>0.99737552261856899</v>
      </c>
    </row>
    <row r="11468" spans="1:4" hidden="1" x14ac:dyDescent="0.3">
      <c r="A11468">
        <v>11466</v>
      </c>
      <c r="B11468" s="1" t="s">
        <v>14984</v>
      </c>
      <c r="C11468" t="s">
        <v>165</v>
      </c>
      <c r="D11468" s="1" t="s">
        <v>14985</v>
      </c>
    </row>
    <row r="11469" spans="1:4" hidden="1" x14ac:dyDescent="0.3">
      <c r="A11469">
        <v>11467</v>
      </c>
      <c r="B11469" t="s">
        <v>14986</v>
      </c>
      <c r="C11469" t="s">
        <v>168</v>
      </c>
      <c r="D11469">
        <v>1.0009577710570801</v>
      </c>
    </row>
    <row r="11470" spans="1:4" hidden="1" x14ac:dyDescent="0.3">
      <c r="A11470">
        <v>11468</v>
      </c>
      <c r="B11470" t="s">
        <v>14987</v>
      </c>
      <c r="C11470" t="s">
        <v>170</v>
      </c>
      <c r="D11470">
        <v>0.99999578373378295</v>
      </c>
    </row>
    <row r="11471" spans="1:4" hidden="1" x14ac:dyDescent="0.3">
      <c r="A11471">
        <v>11469</v>
      </c>
      <c r="B11471" s="1" t="s">
        <v>14988</v>
      </c>
      <c r="C11471" t="s">
        <v>172</v>
      </c>
      <c r="D11471" s="1" t="s">
        <v>14989</v>
      </c>
    </row>
    <row r="11472" spans="1:4" hidden="1" x14ac:dyDescent="0.3">
      <c r="A11472">
        <v>11470</v>
      </c>
      <c r="B11472" s="1" t="s">
        <v>14990</v>
      </c>
      <c r="C11472" t="s">
        <v>55</v>
      </c>
      <c r="D11472" s="1" t="s">
        <v>14991</v>
      </c>
    </row>
    <row r="11473" spans="1:4" hidden="1" x14ac:dyDescent="0.3">
      <c r="A11473">
        <v>11471</v>
      </c>
      <c r="B11473" s="1" t="s">
        <v>14992</v>
      </c>
      <c r="C11473" t="s">
        <v>52</v>
      </c>
      <c r="D11473" s="1" t="s">
        <v>14993</v>
      </c>
    </row>
    <row r="11474" spans="1:4" hidden="1" x14ac:dyDescent="0.3">
      <c r="A11474">
        <v>11472</v>
      </c>
      <c r="B11474" s="1" t="s">
        <v>14994</v>
      </c>
      <c r="C11474" t="s">
        <v>58</v>
      </c>
      <c r="D11474" s="1" t="s">
        <v>14995</v>
      </c>
    </row>
    <row r="11475" spans="1:4" hidden="1" x14ac:dyDescent="0.3">
      <c r="A11475">
        <v>11473</v>
      </c>
      <c r="B11475" t="s">
        <v>14996</v>
      </c>
      <c r="C11475" t="s">
        <v>61</v>
      </c>
      <c r="D11475">
        <v>142397558.289437</v>
      </c>
    </row>
    <row r="11476" spans="1:4" hidden="1" x14ac:dyDescent="0.3">
      <c r="A11476">
        <v>11474</v>
      </c>
      <c r="B11476" t="s">
        <v>14997</v>
      </c>
      <c r="C11476" t="s">
        <v>63</v>
      </c>
      <c r="D11476">
        <v>78270232.782178894</v>
      </c>
    </row>
    <row r="11477" spans="1:4" hidden="1" x14ac:dyDescent="0.3">
      <c r="A11477">
        <v>11475</v>
      </c>
      <c r="B11477" t="s">
        <v>14998</v>
      </c>
      <c r="C11477" t="s">
        <v>65</v>
      </c>
      <c r="D11477">
        <v>33771665.653013498</v>
      </c>
    </row>
    <row r="11478" spans="1:4" hidden="1" x14ac:dyDescent="0.3">
      <c r="A11478">
        <v>11476</v>
      </c>
      <c r="B11478" s="1" t="s">
        <v>14999</v>
      </c>
      <c r="C11478" t="s">
        <v>67</v>
      </c>
      <c r="D11478" s="1" t="s">
        <v>15000</v>
      </c>
    </row>
    <row r="11479" spans="1:4" hidden="1" x14ac:dyDescent="0.3">
      <c r="A11479">
        <v>11477</v>
      </c>
      <c r="B11479" s="1" t="s">
        <v>15001</v>
      </c>
      <c r="C11479" t="s">
        <v>70</v>
      </c>
      <c r="D11479" s="1" t="s">
        <v>15002</v>
      </c>
    </row>
    <row r="11480" spans="1:4" hidden="1" x14ac:dyDescent="0.3">
      <c r="A11480">
        <v>11478</v>
      </c>
      <c r="B11480" t="s">
        <v>15003</v>
      </c>
      <c r="C11480" t="s">
        <v>73</v>
      </c>
      <c r="D11480">
        <v>0.99997250846780406</v>
      </c>
    </row>
    <row r="11481" spans="1:4" hidden="1" x14ac:dyDescent="0.3">
      <c r="A11481">
        <v>11479</v>
      </c>
      <c r="B11481" t="s">
        <v>74</v>
      </c>
      <c r="C11481" t="s">
        <v>75</v>
      </c>
      <c r="D11481">
        <v>2.7397260273972599E-3</v>
      </c>
    </row>
    <row r="11482" spans="1:4" hidden="1" x14ac:dyDescent="0.3">
      <c r="A11482">
        <v>11480</v>
      </c>
      <c r="B11482" t="s">
        <v>76</v>
      </c>
      <c r="C11482" t="s">
        <v>77</v>
      </c>
      <c r="D11482">
        <v>0</v>
      </c>
    </row>
    <row r="11483" spans="1:4" hidden="1" x14ac:dyDescent="0.3">
      <c r="A11483">
        <v>11481</v>
      </c>
      <c r="B11483" t="s">
        <v>78</v>
      </c>
      <c r="C11483" t="s">
        <v>79</v>
      </c>
      <c r="D11483">
        <v>0</v>
      </c>
    </row>
    <row r="11484" spans="1:4" hidden="1" x14ac:dyDescent="0.3">
      <c r="A11484">
        <v>11482</v>
      </c>
      <c r="B11484" s="1" t="s">
        <v>15004</v>
      </c>
      <c r="C11484" t="s">
        <v>81</v>
      </c>
      <c r="D11484" s="1" t="s">
        <v>15005</v>
      </c>
    </row>
    <row r="11485" spans="1:4" hidden="1" x14ac:dyDescent="0.3">
      <c r="A11485">
        <v>11483</v>
      </c>
      <c r="B11485" t="s">
        <v>15006</v>
      </c>
      <c r="C11485" t="s">
        <v>84</v>
      </c>
      <c r="D11485">
        <v>0.99994490073814302</v>
      </c>
    </row>
    <row r="11486" spans="1:4" hidden="1" x14ac:dyDescent="0.3">
      <c r="A11486">
        <v>11484</v>
      </c>
      <c r="B11486" s="1" t="s">
        <v>15007</v>
      </c>
      <c r="C11486" t="s">
        <v>86</v>
      </c>
      <c r="D11486" s="1" t="s">
        <v>15008</v>
      </c>
    </row>
    <row r="11487" spans="1:4" hidden="1" x14ac:dyDescent="0.3">
      <c r="A11487">
        <v>11485</v>
      </c>
      <c r="B11487" t="s">
        <v>15009</v>
      </c>
      <c r="C11487" t="s">
        <v>89</v>
      </c>
      <c r="D11487">
        <v>104261508.425736</v>
      </c>
    </row>
    <row r="11488" spans="1:4" hidden="1" x14ac:dyDescent="0.3">
      <c r="A11488">
        <v>11486</v>
      </c>
      <c r="B11488" s="1" t="s">
        <v>15010</v>
      </c>
      <c r="C11488" t="s">
        <v>91</v>
      </c>
      <c r="D11488" s="1" t="s">
        <v>14944</v>
      </c>
    </row>
    <row r="11489" spans="1:4" hidden="1" x14ac:dyDescent="0.3">
      <c r="A11489">
        <v>11487</v>
      </c>
      <c r="B11489" t="s">
        <v>15011</v>
      </c>
      <c r="C11489" t="s">
        <v>94</v>
      </c>
      <c r="D11489">
        <v>78270232.782178894</v>
      </c>
    </row>
    <row r="11490" spans="1:4" hidden="1" x14ac:dyDescent="0.3">
      <c r="A11490">
        <v>11488</v>
      </c>
      <c r="B11490" t="s">
        <v>15012</v>
      </c>
      <c r="C11490" t="s">
        <v>96</v>
      </c>
      <c r="D11490">
        <v>33771665.653013498</v>
      </c>
    </row>
    <row r="11491" spans="1:4" hidden="1" x14ac:dyDescent="0.3">
      <c r="A11491">
        <v>11489</v>
      </c>
      <c r="B11491" t="s">
        <v>15013</v>
      </c>
      <c r="C11491" t="s">
        <v>98</v>
      </c>
      <c r="D11491">
        <v>30355659.854245301</v>
      </c>
    </row>
    <row r="11492" spans="1:4" hidden="1" x14ac:dyDescent="0.3">
      <c r="A11492">
        <v>11490</v>
      </c>
      <c r="B11492" s="1" t="s">
        <v>15014</v>
      </c>
      <c r="C11492" t="s">
        <v>100</v>
      </c>
      <c r="D11492" s="1" t="s">
        <v>15015</v>
      </c>
    </row>
    <row r="11493" spans="1:4" hidden="1" x14ac:dyDescent="0.3">
      <c r="A11493">
        <v>11491</v>
      </c>
      <c r="B11493" t="s">
        <v>15016</v>
      </c>
      <c r="C11493" t="s">
        <v>103</v>
      </c>
      <c r="D11493">
        <v>9.7018875259645507E-3</v>
      </c>
    </row>
    <row r="11494" spans="1:4" hidden="1" x14ac:dyDescent="0.3">
      <c r="A11494">
        <v>11492</v>
      </c>
      <c r="B11494" t="s">
        <v>15017</v>
      </c>
      <c r="C11494" t="s">
        <v>105</v>
      </c>
      <c r="D11494">
        <v>2.5558727624858599E-3</v>
      </c>
    </row>
    <row r="11495" spans="1:4" hidden="1" x14ac:dyDescent="0.3">
      <c r="A11495">
        <v>11493</v>
      </c>
      <c r="B11495" t="s">
        <v>15018</v>
      </c>
      <c r="C11495" t="s">
        <v>107</v>
      </c>
      <c r="D11495">
        <v>2.45814270708932E-2</v>
      </c>
    </row>
    <row r="11496" spans="1:4" hidden="1" x14ac:dyDescent="0.3">
      <c r="A11496">
        <v>11494</v>
      </c>
      <c r="B11496" s="1" t="s">
        <v>15019</v>
      </c>
      <c r="C11496" t="s">
        <v>109</v>
      </c>
      <c r="D11496" s="1" t="s">
        <v>15020</v>
      </c>
    </row>
    <row r="11497" spans="1:4" hidden="1" x14ac:dyDescent="0.3">
      <c r="A11497">
        <v>11495</v>
      </c>
      <c r="B11497" t="s">
        <v>15021</v>
      </c>
      <c r="C11497" t="s">
        <v>208</v>
      </c>
      <c r="D11497">
        <v>142396558.00212401</v>
      </c>
    </row>
    <row r="11498" spans="1:4" hidden="1" x14ac:dyDescent="0.3">
      <c r="A11498">
        <v>11496</v>
      </c>
      <c r="B11498" t="s">
        <v>15022</v>
      </c>
      <c r="C11498" t="s">
        <v>210</v>
      </c>
      <c r="D11498">
        <v>2160.90318280477</v>
      </c>
    </row>
    <row r="11499" spans="1:4" hidden="1" x14ac:dyDescent="0.3">
      <c r="A11499">
        <v>11497</v>
      </c>
      <c r="B11499" t="s">
        <v>15023</v>
      </c>
      <c r="C11499" t="s">
        <v>212</v>
      </c>
      <c r="D11499">
        <v>932.38013423079803</v>
      </c>
    </row>
    <row r="11500" spans="1:4" hidden="1" x14ac:dyDescent="0.3">
      <c r="A11500">
        <v>11498</v>
      </c>
      <c r="B11500" s="1" t="s">
        <v>15024</v>
      </c>
      <c r="C11500" t="s">
        <v>214</v>
      </c>
      <c r="D11500" s="1" t="s">
        <v>15025</v>
      </c>
    </row>
    <row r="11501" spans="1:4" hidden="1" x14ac:dyDescent="0.3">
      <c r="A11501">
        <v>11499</v>
      </c>
      <c r="B11501" t="s">
        <v>15026</v>
      </c>
      <c r="C11501" t="s">
        <v>217</v>
      </c>
      <c r="D11501">
        <v>78267360.089903802</v>
      </c>
    </row>
    <row r="11502" spans="1:4" hidden="1" x14ac:dyDescent="0.3">
      <c r="A11502">
        <v>11500</v>
      </c>
      <c r="B11502" t="s">
        <v>15027</v>
      </c>
      <c r="C11502" t="s">
        <v>219</v>
      </c>
      <c r="D11502">
        <v>33770569.7724948</v>
      </c>
    </row>
    <row r="11503" spans="1:4" hidden="1" x14ac:dyDescent="0.3">
      <c r="A11503">
        <v>11501</v>
      </c>
      <c r="B11503" t="s">
        <v>15028</v>
      </c>
      <c r="C11503" t="s">
        <v>221</v>
      </c>
      <c r="D11503">
        <v>30354696.785969201</v>
      </c>
    </row>
    <row r="11504" spans="1:4" hidden="1" x14ac:dyDescent="0.3">
      <c r="A11504">
        <v>11502</v>
      </c>
      <c r="B11504" s="1" t="s">
        <v>15029</v>
      </c>
      <c r="C11504" t="s">
        <v>223</v>
      </c>
      <c r="D11504" s="1" t="s">
        <v>15030</v>
      </c>
    </row>
    <row r="11505" spans="1:4" hidden="1" x14ac:dyDescent="0.3">
      <c r="A11505">
        <v>11503</v>
      </c>
      <c r="B11505" t="s">
        <v>15031</v>
      </c>
      <c r="C11505" t="s">
        <v>226</v>
      </c>
      <c r="D11505">
        <v>104258629.923063</v>
      </c>
    </row>
    <row r="11506" spans="1:4" hidden="1" x14ac:dyDescent="0.3">
      <c r="A11506">
        <v>11504</v>
      </c>
      <c r="B11506" t="s">
        <v>15032</v>
      </c>
      <c r="C11506" t="s">
        <v>228</v>
      </c>
      <c r="D11506">
        <v>2878.5026731043999</v>
      </c>
    </row>
    <row r="11507" spans="1:4" hidden="1" x14ac:dyDescent="0.3">
      <c r="A11507">
        <v>11505</v>
      </c>
      <c r="B11507" s="1" t="s">
        <v>15033</v>
      </c>
      <c r="C11507" t="s">
        <v>230</v>
      </c>
      <c r="D11507" s="1" t="s">
        <v>15034</v>
      </c>
    </row>
    <row r="11508" spans="1:4" hidden="1" x14ac:dyDescent="0.3">
      <c r="A11508">
        <v>11506</v>
      </c>
      <c r="B11508" t="s">
        <v>15035</v>
      </c>
      <c r="C11508" t="s">
        <v>112</v>
      </c>
      <c r="D11508">
        <v>-711.78909228761995</v>
      </c>
    </row>
    <row r="11509" spans="1:4" hidden="1" x14ac:dyDescent="0.3">
      <c r="A11509">
        <v>11507</v>
      </c>
      <c r="B11509" t="s">
        <v>15036</v>
      </c>
      <c r="C11509" t="s">
        <v>114</v>
      </c>
      <c r="D11509">
        <v>-163.50038448351799</v>
      </c>
    </row>
    <row r="11510" spans="1:4" hidden="1" x14ac:dyDescent="0.3">
      <c r="A11510">
        <v>11508</v>
      </c>
      <c r="B11510" s="1" t="s">
        <v>15037</v>
      </c>
      <c r="C11510" t="s">
        <v>116</v>
      </c>
      <c r="D11510" s="1" t="s">
        <v>15038</v>
      </c>
    </row>
    <row r="11511" spans="1:4" hidden="1" x14ac:dyDescent="0.3">
      <c r="A11511">
        <v>11509</v>
      </c>
      <c r="B11511" t="s">
        <v>15039</v>
      </c>
      <c r="C11511" t="s">
        <v>119</v>
      </c>
      <c r="D11511">
        <v>78267360.089903802</v>
      </c>
    </row>
    <row r="11512" spans="1:4" hidden="1" x14ac:dyDescent="0.3">
      <c r="A11512">
        <v>11510</v>
      </c>
      <c r="B11512" t="s">
        <v>15040</v>
      </c>
      <c r="C11512" t="s">
        <v>121</v>
      </c>
      <c r="D11512">
        <v>33770569.7724948</v>
      </c>
    </row>
    <row r="11513" spans="1:4" hidden="1" x14ac:dyDescent="0.3">
      <c r="A11513">
        <v>11511</v>
      </c>
      <c r="B11513" s="1" t="s">
        <v>15041</v>
      </c>
      <c r="C11513" t="s">
        <v>123</v>
      </c>
      <c r="D11513" s="1" t="s">
        <v>15042</v>
      </c>
    </row>
    <row r="11514" spans="1:4" hidden="1" x14ac:dyDescent="0.3">
      <c r="A11514">
        <v>11512</v>
      </c>
      <c r="B11514" t="s">
        <v>15043</v>
      </c>
      <c r="C11514" t="s">
        <v>126</v>
      </c>
      <c r="D11514">
        <v>0.75074526549081799</v>
      </c>
    </row>
    <row r="11515" spans="1:4" hidden="1" x14ac:dyDescent="0.3">
      <c r="A11515">
        <v>11513</v>
      </c>
      <c r="B11515" t="s">
        <v>15044</v>
      </c>
      <c r="C11515" t="s">
        <v>128</v>
      </c>
      <c r="D11515">
        <v>0.323929353698724</v>
      </c>
    </row>
    <row r="11516" spans="1:4" hidden="1" x14ac:dyDescent="0.3">
      <c r="A11516">
        <v>11514</v>
      </c>
      <c r="B11516" s="1" t="s">
        <v>15045</v>
      </c>
      <c r="C11516" t="s">
        <v>130</v>
      </c>
      <c r="D11516" s="1" t="s">
        <v>15046</v>
      </c>
    </row>
    <row r="11517" spans="1:4" ht="72" x14ac:dyDescent="0.3">
      <c r="A11517">
        <v>11515</v>
      </c>
      <c r="B11517" s="1" t="s">
        <v>15047</v>
      </c>
      <c r="C11517" t="s">
        <v>4</v>
      </c>
      <c r="D11517" t="s">
        <v>15048</v>
      </c>
    </row>
    <row r="11518" spans="1:4" hidden="1" x14ac:dyDescent="0.3">
      <c r="A11518">
        <v>11516</v>
      </c>
      <c r="B11518" t="s">
        <v>15049</v>
      </c>
      <c r="C11518" t="s">
        <v>7</v>
      </c>
      <c r="D11518">
        <v>1813.8</v>
      </c>
    </row>
    <row r="11519" spans="1:4" hidden="1" x14ac:dyDescent="0.3">
      <c r="A11519">
        <v>11517</v>
      </c>
      <c r="B11519" s="1" t="s">
        <v>15050</v>
      </c>
      <c r="C11519" t="s">
        <v>9</v>
      </c>
      <c r="D11519" s="1" t="s">
        <v>15051</v>
      </c>
    </row>
    <row r="11520" spans="1:4" hidden="1" x14ac:dyDescent="0.3">
      <c r="A11520">
        <v>11518</v>
      </c>
      <c r="B11520" t="s">
        <v>15052</v>
      </c>
      <c r="C11520" t="s">
        <v>14</v>
      </c>
      <c r="D11520">
        <v>88.59375</v>
      </c>
    </row>
    <row r="11521" spans="1:4" hidden="1" x14ac:dyDescent="0.3">
      <c r="A11521">
        <v>11519</v>
      </c>
      <c r="B11521" t="s">
        <v>15053</v>
      </c>
      <c r="C11521" t="s">
        <v>16</v>
      </c>
      <c r="D11521">
        <v>4.21536827747817</v>
      </c>
    </row>
    <row r="11522" spans="1:4" hidden="1" x14ac:dyDescent="0.3">
      <c r="A11522">
        <v>11520</v>
      </c>
      <c r="B11522" s="1" t="s">
        <v>15054</v>
      </c>
      <c r="C11522" t="s">
        <v>140</v>
      </c>
      <c r="D11522" s="1" t="s">
        <v>15055</v>
      </c>
    </row>
    <row r="11523" spans="1:4" hidden="1" x14ac:dyDescent="0.3">
      <c r="A11523">
        <v>11521</v>
      </c>
      <c r="B11523" t="s">
        <v>7976</v>
      </c>
      <c r="C11523" t="s">
        <v>22</v>
      </c>
      <c r="D11523">
        <v>48.8</v>
      </c>
    </row>
    <row r="11524" spans="1:4" hidden="1" x14ac:dyDescent="0.3">
      <c r="A11524">
        <v>11522</v>
      </c>
      <c r="B11524" t="s">
        <v>15056</v>
      </c>
      <c r="C11524" t="s">
        <v>24</v>
      </c>
      <c r="D11524">
        <v>4.5286781670798399</v>
      </c>
    </row>
    <row r="11525" spans="1:4" hidden="1" x14ac:dyDescent="0.3">
      <c r="A11525">
        <v>11523</v>
      </c>
      <c r="B11525" s="1" t="s">
        <v>15057</v>
      </c>
      <c r="C11525" t="s">
        <v>145</v>
      </c>
      <c r="D11525" s="1" t="s">
        <v>15058</v>
      </c>
    </row>
    <row r="11526" spans="1:4" hidden="1" x14ac:dyDescent="0.3">
      <c r="A11526">
        <v>11524</v>
      </c>
      <c r="B11526" t="s">
        <v>15059</v>
      </c>
      <c r="C11526" t="s">
        <v>35</v>
      </c>
      <c r="D11526">
        <v>0.47155704816412303</v>
      </c>
    </row>
    <row r="11527" spans="1:4" hidden="1" x14ac:dyDescent="0.3">
      <c r="A11527">
        <v>11525</v>
      </c>
      <c r="B11527" t="s">
        <v>15060</v>
      </c>
      <c r="C11527" t="s">
        <v>149</v>
      </c>
      <c r="D11527">
        <v>0.58399589270053598</v>
      </c>
    </row>
    <row r="11528" spans="1:4" hidden="1" x14ac:dyDescent="0.3">
      <c r="A11528">
        <v>11526</v>
      </c>
      <c r="B11528" s="1" t="s">
        <v>15061</v>
      </c>
      <c r="C11528" t="s">
        <v>151</v>
      </c>
      <c r="D11528" s="1" t="s">
        <v>15062</v>
      </c>
    </row>
    <row r="11529" spans="1:4" hidden="1" x14ac:dyDescent="0.3">
      <c r="A11529">
        <v>11527</v>
      </c>
      <c r="B11529" t="s">
        <v>15063</v>
      </c>
      <c r="C11529" t="s">
        <v>30</v>
      </c>
      <c r="D11529">
        <v>0.24662354670075501</v>
      </c>
    </row>
    <row r="11530" spans="1:4" hidden="1" x14ac:dyDescent="0.3">
      <c r="A11530">
        <v>11528</v>
      </c>
      <c r="B11530" t="s">
        <v>15064</v>
      </c>
      <c r="C11530" t="s">
        <v>32</v>
      </c>
      <c r="D11530">
        <v>0.32896028961561002</v>
      </c>
    </row>
    <row r="11531" spans="1:4" hidden="1" x14ac:dyDescent="0.3">
      <c r="A11531">
        <v>11529</v>
      </c>
      <c r="B11531" s="1" t="s">
        <v>15065</v>
      </c>
      <c r="C11531" t="s">
        <v>155</v>
      </c>
      <c r="D11531" s="1" t="s">
        <v>15066</v>
      </c>
    </row>
    <row r="11532" spans="1:4" hidden="1" x14ac:dyDescent="0.3">
      <c r="A11532">
        <v>11530</v>
      </c>
      <c r="B11532" t="s">
        <v>15067</v>
      </c>
      <c r="C11532" t="s">
        <v>40</v>
      </c>
      <c r="D11532">
        <v>0.28181940513512099</v>
      </c>
    </row>
    <row r="11533" spans="1:4" hidden="1" x14ac:dyDescent="0.3">
      <c r="A11533">
        <v>11531</v>
      </c>
      <c r="B11533" t="s">
        <v>15068</v>
      </c>
      <c r="C11533" t="s">
        <v>42</v>
      </c>
      <c r="D11533">
        <v>0.38338052048111998</v>
      </c>
    </row>
    <row r="11534" spans="1:4" hidden="1" x14ac:dyDescent="0.3">
      <c r="A11534">
        <v>11532</v>
      </c>
      <c r="B11534" s="1" t="s">
        <v>15069</v>
      </c>
      <c r="C11534" t="s">
        <v>159</v>
      </c>
      <c r="D11534" s="1" t="s">
        <v>15070</v>
      </c>
    </row>
    <row r="11535" spans="1:4" hidden="1" x14ac:dyDescent="0.3">
      <c r="A11535">
        <v>11533</v>
      </c>
      <c r="B11535" t="s">
        <v>15071</v>
      </c>
      <c r="C11535" t="s">
        <v>161</v>
      </c>
      <c r="D11535">
        <v>1.00019300228845</v>
      </c>
    </row>
    <row r="11536" spans="1:4" hidden="1" x14ac:dyDescent="0.3">
      <c r="A11536">
        <v>11534</v>
      </c>
      <c r="B11536" t="s">
        <v>15072</v>
      </c>
      <c r="C11536" t="s">
        <v>163</v>
      </c>
      <c r="D11536">
        <v>0.99848422334911902</v>
      </c>
    </row>
    <row r="11537" spans="1:4" hidden="1" x14ac:dyDescent="0.3">
      <c r="A11537">
        <v>11535</v>
      </c>
      <c r="B11537" s="1" t="s">
        <v>15073</v>
      </c>
      <c r="C11537" t="s">
        <v>165</v>
      </c>
      <c r="D11537" s="1" t="s">
        <v>15074</v>
      </c>
    </row>
    <row r="11538" spans="1:4" hidden="1" x14ac:dyDescent="0.3">
      <c r="A11538">
        <v>11536</v>
      </c>
      <c r="B11538" t="s">
        <v>15075</v>
      </c>
      <c r="C11538" t="s">
        <v>168</v>
      </c>
      <c r="D11538">
        <v>1.0043424178962901</v>
      </c>
    </row>
    <row r="11539" spans="1:4" hidden="1" x14ac:dyDescent="0.3">
      <c r="A11539">
        <v>11537</v>
      </c>
      <c r="B11539" t="s">
        <v>15076</v>
      </c>
      <c r="C11539" t="s">
        <v>170</v>
      </c>
      <c r="D11539">
        <v>0.99481178948360605</v>
      </c>
    </row>
    <row r="11540" spans="1:4" hidden="1" x14ac:dyDescent="0.3">
      <c r="A11540">
        <v>11538</v>
      </c>
      <c r="B11540" s="1" t="s">
        <v>15077</v>
      </c>
      <c r="C11540" t="s">
        <v>172</v>
      </c>
      <c r="D11540" s="1" t="s">
        <v>15078</v>
      </c>
    </row>
    <row r="11541" spans="1:4" hidden="1" x14ac:dyDescent="0.3">
      <c r="A11541">
        <v>11539</v>
      </c>
      <c r="B11541" s="1" t="s">
        <v>15079</v>
      </c>
      <c r="C11541" t="s">
        <v>55</v>
      </c>
      <c r="D11541" s="1" t="s">
        <v>15080</v>
      </c>
    </row>
    <row r="11542" spans="1:4" hidden="1" x14ac:dyDescent="0.3">
      <c r="A11542">
        <v>11540</v>
      </c>
      <c r="B11542" s="1" t="s">
        <v>15081</v>
      </c>
      <c r="C11542" t="s">
        <v>52</v>
      </c>
      <c r="D11542" s="1" t="s">
        <v>15082</v>
      </c>
    </row>
    <row r="11543" spans="1:4" hidden="1" x14ac:dyDescent="0.3">
      <c r="A11543">
        <v>11541</v>
      </c>
      <c r="B11543" s="1" t="s">
        <v>15083</v>
      </c>
      <c r="C11543" t="s">
        <v>58</v>
      </c>
      <c r="D11543" s="1" t="s">
        <v>15084</v>
      </c>
    </row>
    <row r="11544" spans="1:4" hidden="1" x14ac:dyDescent="0.3">
      <c r="A11544">
        <v>11542</v>
      </c>
      <c r="B11544" t="s">
        <v>15085</v>
      </c>
      <c r="C11544" t="s">
        <v>61</v>
      </c>
      <c r="D11544">
        <v>141745820.38012999</v>
      </c>
    </row>
    <row r="11545" spans="1:4" hidden="1" x14ac:dyDescent="0.3">
      <c r="A11545">
        <v>11543</v>
      </c>
      <c r="B11545" t="s">
        <v>15086</v>
      </c>
      <c r="C11545" t="s">
        <v>63</v>
      </c>
      <c r="D11545">
        <v>78282465.869512603</v>
      </c>
    </row>
    <row r="11546" spans="1:4" hidden="1" x14ac:dyDescent="0.3">
      <c r="A11546">
        <v>11544</v>
      </c>
      <c r="B11546" t="s">
        <v>15087</v>
      </c>
      <c r="C11546" t="s">
        <v>65</v>
      </c>
      <c r="D11546">
        <v>33719381.131346703</v>
      </c>
    </row>
    <row r="11547" spans="1:4" hidden="1" x14ac:dyDescent="0.3">
      <c r="A11547">
        <v>11545</v>
      </c>
      <c r="B11547" s="1" t="s">
        <v>15088</v>
      </c>
      <c r="C11547" t="s">
        <v>67</v>
      </c>
      <c r="D11547" s="1" t="s">
        <v>15089</v>
      </c>
    </row>
    <row r="11548" spans="1:4" hidden="1" x14ac:dyDescent="0.3">
      <c r="A11548">
        <v>11546</v>
      </c>
      <c r="B11548" s="1" t="s">
        <v>15090</v>
      </c>
      <c r="C11548" t="s">
        <v>70</v>
      </c>
      <c r="D11548" s="1" t="s">
        <v>15091</v>
      </c>
    </row>
    <row r="11549" spans="1:4" hidden="1" x14ac:dyDescent="0.3">
      <c r="A11549">
        <v>11547</v>
      </c>
      <c r="B11549" t="s">
        <v>15092</v>
      </c>
      <c r="C11549" t="s">
        <v>73</v>
      </c>
      <c r="D11549">
        <v>0.99994490073814302</v>
      </c>
    </row>
    <row r="11550" spans="1:4" hidden="1" x14ac:dyDescent="0.3">
      <c r="A11550">
        <v>11548</v>
      </c>
      <c r="B11550" t="s">
        <v>74</v>
      </c>
      <c r="C11550" t="s">
        <v>75</v>
      </c>
      <c r="D11550">
        <v>2.7397260273972599E-3</v>
      </c>
    </row>
    <row r="11551" spans="1:4" hidden="1" x14ac:dyDescent="0.3">
      <c r="A11551">
        <v>11549</v>
      </c>
      <c r="B11551" t="s">
        <v>76</v>
      </c>
      <c r="C11551" t="s">
        <v>77</v>
      </c>
      <c r="D11551">
        <v>0</v>
      </c>
    </row>
    <row r="11552" spans="1:4" hidden="1" x14ac:dyDescent="0.3">
      <c r="A11552">
        <v>11550</v>
      </c>
      <c r="B11552" t="s">
        <v>78</v>
      </c>
      <c r="C11552" t="s">
        <v>79</v>
      </c>
      <c r="D11552">
        <v>0</v>
      </c>
    </row>
    <row r="11553" spans="1:4" hidden="1" x14ac:dyDescent="0.3">
      <c r="A11553">
        <v>11551</v>
      </c>
      <c r="B11553" s="1" t="s">
        <v>15093</v>
      </c>
      <c r="C11553" t="s">
        <v>81</v>
      </c>
      <c r="D11553" s="1" t="s">
        <v>15094</v>
      </c>
    </row>
    <row r="11554" spans="1:4" hidden="1" x14ac:dyDescent="0.3">
      <c r="A11554">
        <v>11552</v>
      </c>
      <c r="B11554" t="s">
        <v>15095</v>
      </c>
      <c r="C11554" t="s">
        <v>84</v>
      </c>
      <c r="D11554">
        <v>0.99993925026058605</v>
      </c>
    </row>
    <row r="11555" spans="1:4" hidden="1" x14ac:dyDescent="0.3">
      <c r="A11555">
        <v>11553</v>
      </c>
      <c r="B11555" s="1" t="s">
        <v>15096</v>
      </c>
      <c r="C11555" t="s">
        <v>86</v>
      </c>
      <c r="D11555" s="1" t="s">
        <v>15097</v>
      </c>
    </row>
    <row r="11556" spans="1:4" hidden="1" x14ac:dyDescent="0.3">
      <c r="A11556">
        <v>11554</v>
      </c>
      <c r="B11556" t="s">
        <v>15098</v>
      </c>
      <c r="C11556" t="s">
        <v>89</v>
      </c>
      <c r="D11556">
        <v>104262097.58884101</v>
      </c>
    </row>
    <row r="11557" spans="1:4" hidden="1" x14ac:dyDescent="0.3">
      <c r="A11557">
        <v>11555</v>
      </c>
      <c r="B11557" s="1" t="s">
        <v>15099</v>
      </c>
      <c r="C11557" t="s">
        <v>91</v>
      </c>
      <c r="D11557" s="1" t="s">
        <v>15034</v>
      </c>
    </row>
    <row r="11558" spans="1:4" hidden="1" x14ac:dyDescent="0.3">
      <c r="A11558">
        <v>11556</v>
      </c>
      <c r="B11558" t="s">
        <v>15100</v>
      </c>
      <c r="C11558" t="s">
        <v>94</v>
      </c>
      <c r="D11558">
        <v>78282465.869512603</v>
      </c>
    </row>
    <row r="11559" spans="1:4" hidden="1" x14ac:dyDescent="0.3">
      <c r="A11559">
        <v>11557</v>
      </c>
      <c r="B11559" t="s">
        <v>15101</v>
      </c>
      <c r="C11559" t="s">
        <v>96</v>
      </c>
      <c r="D11559">
        <v>33719381.131346703</v>
      </c>
    </row>
    <row r="11560" spans="1:4" hidden="1" x14ac:dyDescent="0.3">
      <c r="A11560">
        <v>11558</v>
      </c>
      <c r="B11560" t="s">
        <v>15102</v>
      </c>
      <c r="C11560" t="s">
        <v>98</v>
      </c>
      <c r="D11560">
        <v>29743973.379271101</v>
      </c>
    </row>
    <row r="11561" spans="1:4" hidden="1" x14ac:dyDescent="0.3">
      <c r="A11561">
        <v>11559</v>
      </c>
      <c r="B11561" s="1" t="s">
        <v>15103</v>
      </c>
      <c r="C11561" t="s">
        <v>100</v>
      </c>
      <c r="D11561" s="1" t="s">
        <v>15104</v>
      </c>
    </row>
    <row r="11562" spans="1:4" hidden="1" x14ac:dyDescent="0.3">
      <c r="A11562">
        <v>11560</v>
      </c>
      <c r="B11562" t="s">
        <v>15105</v>
      </c>
      <c r="C11562" t="s">
        <v>103</v>
      </c>
      <c r="D11562">
        <v>9.8460684423127501E-3</v>
      </c>
    </row>
    <row r="11563" spans="1:4" hidden="1" x14ac:dyDescent="0.3">
      <c r="A11563">
        <v>11561</v>
      </c>
      <c r="B11563" t="s">
        <v>15106</v>
      </c>
      <c r="C11563" t="s">
        <v>105</v>
      </c>
      <c r="D11563">
        <v>2.5558840443236398E-3</v>
      </c>
    </row>
    <row r="11564" spans="1:4" hidden="1" x14ac:dyDescent="0.3">
      <c r="A11564">
        <v>11562</v>
      </c>
      <c r="B11564" t="s">
        <v>15107</v>
      </c>
      <c r="C11564" t="s">
        <v>107</v>
      </c>
      <c r="D11564">
        <v>2.4576439946867101E-2</v>
      </c>
    </row>
    <row r="11565" spans="1:4" hidden="1" x14ac:dyDescent="0.3">
      <c r="A11565">
        <v>11563</v>
      </c>
      <c r="B11565" s="1" t="s">
        <v>15108</v>
      </c>
      <c r="C11565" t="s">
        <v>109</v>
      </c>
      <c r="D11565" s="1" t="s">
        <v>15109</v>
      </c>
    </row>
    <row r="11566" spans="1:4" hidden="1" x14ac:dyDescent="0.3">
      <c r="A11566">
        <v>11564</v>
      </c>
      <c r="B11566" t="s">
        <v>15110</v>
      </c>
      <c r="C11566" t="s">
        <v>208</v>
      </c>
      <c r="D11566">
        <v>141745615.600438</v>
      </c>
    </row>
    <row r="11567" spans="1:4" hidden="1" x14ac:dyDescent="0.3">
      <c r="A11567">
        <v>11565</v>
      </c>
      <c r="B11567" t="s">
        <v>15111</v>
      </c>
      <c r="C11567" t="s">
        <v>210</v>
      </c>
      <c r="D11567">
        <v>442.35677076424901</v>
      </c>
    </row>
    <row r="11568" spans="1:4" hidden="1" x14ac:dyDescent="0.3">
      <c r="A11568">
        <v>11566</v>
      </c>
      <c r="B11568" t="s">
        <v>15112</v>
      </c>
      <c r="C11568" t="s">
        <v>212</v>
      </c>
      <c r="D11568">
        <v>190.54096802815499</v>
      </c>
    </row>
    <row r="11569" spans="1:4" hidden="1" x14ac:dyDescent="0.3">
      <c r="A11569">
        <v>11567</v>
      </c>
      <c r="B11569" s="1" t="s">
        <v>15113</v>
      </c>
      <c r="C11569" t="s">
        <v>214</v>
      </c>
      <c r="D11569" s="1" t="s">
        <v>15114</v>
      </c>
    </row>
    <row r="11570" spans="1:4" hidden="1" x14ac:dyDescent="0.3">
      <c r="A11570">
        <v>11568</v>
      </c>
      <c r="B11570" t="s">
        <v>15115</v>
      </c>
      <c r="C11570" t="s">
        <v>217</v>
      </c>
      <c r="D11570">
        <v>78281860.832109407</v>
      </c>
    </row>
    <row r="11571" spans="1:4" hidden="1" x14ac:dyDescent="0.3">
      <c r="A11571">
        <v>11569</v>
      </c>
      <c r="B11571" t="s">
        <v>15116</v>
      </c>
      <c r="C11571" t="s">
        <v>219</v>
      </c>
      <c r="D11571">
        <v>33719166.355757602</v>
      </c>
    </row>
    <row r="11572" spans="1:4" hidden="1" x14ac:dyDescent="0.3">
      <c r="A11572">
        <v>11570</v>
      </c>
      <c r="B11572" t="s">
        <v>15117</v>
      </c>
      <c r="C11572" t="s">
        <v>221</v>
      </c>
      <c r="D11572">
        <v>29743787.438018199</v>
      </c>
    </row>
    <row r="11573" spans="1:4" hidden="1" x14ac:dyDescent="0.3">
      <c r="A11573">
        <v>11571</v>
      </c>
      <c r="B11573" s="1" t="s">
        <v>15118</v>
      </c>
      <c r="C11573" t="s">
        <v>223</v>
      </c>
      <c r="D11573" s="1" t="s">
        <v>15119</v>
      </c>
    </row>
    <row r="11574" spans="1:4" hidden="1" x14ac:dyDescent="0.3">
      <c r="A11574">
        <v>11572</v>
      </c>
      <c r="B11574" t="s">
        <v>15120</v>
      </c>
      <c r="C11574" t="s">
        <v>226</v>
      </c>
      <c r="D11574">
        <v>104261508.425736</v>
      </c>
    </row>
    <row r="11575" spans="1:4" hidden="1" x14ac:dyDescent="0.3">
      <c r="A11575">
        <v>11573</v>
      </c>
      <c r="B11575" t="s">
        <v>15121</v>
      </c>
      <c r="C11575" t="s">
        <v>228</v>
      </c>
      <c r="D11575">
        <v>589.16310486197403</v>
      </c>
    </row>
    <row r="11576" spans="1:4" hidden="1" x14ac:dyDescent="0.3">
      <c r="A11576">
        <v>11574</v>
      </c>
      <c r="B11576" s="1" t="s">
        <v>15122</v>
      </c>
      <c r="C11576" t="s">
        <v>230</v>
      </c>
      <c r="D11576" s="1" t="s">
        <v>15123</v>
      </c>
    </row>
    <row r="11577" spans="1:4" hidden="1" x14ac:dyDescent="0.3">
      <c r="A11577">
        <v>11575</v>
      </c>
      <c r="B11577" t="s">
        <v>15124</v>
      </c>
      <c r="C11577" t="s">
        <v>112</v>
      </c>
      <c r="D11577">
        <v>-162.68063243186</v>
      </c>
    </row>
    <row r="11578" spans="1:4" hidden="1" x14ac:dyDescent="0.3">
      <c r="A11578">
        <v>11576</v>
      </c>
      <c r="B11578" t="s">
        <v>15125</v>
      </c>
      <c r="C11578" t="s">
        <v>114</v>
      </c>
      <c r="D11578">
        <v>-24.234621061653701</v>
      </c>
    </row>
    <row r="11579" spans="1:4" hidden="1" x14ac:dyDescent="0.3">
      <c r="A11579">
        <v>11577</v>
      </c>
      <c r="B11579" s="1" t="s">
        <v>15126</v>
      </c>
      <c r="C11579" t="s">
        <v>116</v>
      </c>
      <c r="D11579" s="1" t="s">
        <v>15127</v>
      </c>
    </row>
    <row r="11580" spans="1:4" hidden="1" x14ac:dyDescent="0.3">
      <c r="A11580">
        <v>11578</v>
      </c>
      <c r="B11580" t="s">
        <v>15128</v>
      </c>
      <c r="C11580" t="s">
        <v>119</v>
      </c>
      <c r="D11580">
        <v>78281860.832109407</v>
      </c>
    </row>
    <row r="11581" spans="1:4" hidden="1" x14ac:dyDescent="0.3">
      <c r="A11581">
        <v>11579</v>
      </c>
      <c r="B11581" t="s">
        <v>15129</v>
      </c>
      <c r="C11581" t="s">
        <v>121</v>
      </c>
      <c r="D11581">
        <v>33719166.355757602</v>
      </c>
    </row>
    <row r="11582" spans="1:4" hidden="1" x14ac:dyDescent="0.3">
      <c r="A11582">
        <v>11580</v>
      </c>
      <c r="B11582" s="1" t="s">
        <v>15130</v>
      </c>
      <c r="C11582" t="s">
        <v>123</v>
      </c>
      <c r="D11582" s="1" t="s">
        <v>15131</v>
      </c>
    </row>
    <row r="11583" spans="1:4" hidden="1" x14ac:dyDescent="0.3">
      <c r="A11583">
        <v>11581</v>
      </c>
      <c r="B11583" t="s">
        <v>15132</v>
      </c>
      <c r="C11583" t="s">
        <v>126</v>
      </c>
      <c r="D11583">
        <v>0.75086786970319597</v>
      </c>
    </row>
    <row r="11584" spans="1:4" hidden="1" x14ac:dyDescent="0.3">
      <c r="A11584">
        <v>11582</v>
      </c>
      <c r="B11584" t="s">
        <v>15133</v>
      </c>
      <c r="C11584" t="s">
        <v>128</v>
      </c>
      <c r="D11584">
        <v>0.32342918705031998</v>
      </c>
    </row>
    <row r="11585" spans="1:4" hidden="1" x14ac:dyDescent="0.3">
      <c r="A11585">
        <v>11583</v>
      </c>
      <c r="B11585" s="1" t="s">
        <v>15134</v>
      </c>
      <c r="C11585" t="s">
        <v>130</v>
      </c>
      <c r="D11585" s="1" t="s">
        <v>15135</v>
      </c>
    </row>
    <row r="11586" spans="1:4" ht="72" x14ac:dyDescent="0.3">
      <c r="A11586">
        <v>11584</v>
      </c>
      <c r="B11586" s="1" t="s">
        <v>15136</v>
      </c>
      <c r="C11586" t="s">
        <v>4</v>
      </c>
      <c r="D11586" t="s">
        <v>15137</v>
      </c>
    </row>
    <row r="11587" spans="1:4" hidden="1" x14ac:dyDescent="0.3">
      <c r="A11587">
        <v>11585</v>
      </c>
      <c r="B11587" t="s">
        <v>15138</v>
      </c>
      <c r="C11587" t="s">
        <v>7</v>
      </c>
      <c r="D11587">
        <v>1831.03</v>
      </c>
    </row>
    <row r="11588" spans="1:4" hidden="1" x14ac:dyDescent="0.3">
      <c r="A11588">
        <v>11586</v>
      </c>
      <c r="B11588" s="1" t="s">
        <v>15139</v>
      </c>
      <c r="C11588" t="s">
        <v>9</v>
      </c>
      <c r="D11588" s="1" t="s">
        <v>15140</v>
      </c>
    </row>
    <row r="11589" spans="1:4" hidden="1" x14ac:dyDescent="0.3">
      <c r="A11589">
        <v>11587</v>
      </c>
      <c r="B11589" t="s">
        <v>15141</v>
      </c>
      <c r="C11589" t="s">
        <v>14</v>
      </c>
      <c r="D11589">
        <v>89.08203125</v>
      </c>
    </row>
    <row r="11590" spans="1:4" hidden="1" x14ac:dyDescent="0.3">
      <c r="A11590">
        <v>11588</v>
      </c>
      <c r="B11590" t="s">
        <v>15142</v>
      </c>
      <c r="C11590" t="s">
        <v>16</v>
      </c>
      <c r="D11590">
        <v>4.2174035118681399</v>
      </c>
    </row>
    <row r="11591" spans="1:4" hidden="1" x14ac:dyDescent="0.3">
      <c r="A11591">
        <v>11589</v>
      </c>
      <c r="B11591" s="1" t="s">
        <v>15143</v>
      </c>
      <c r="C11591" t="s">
        <v>140</v>
      </c>
      <c r="D11591" s="1" t="s">
        <v>15144</v>
      </c>
    </row>
    <row r="11592" spans="1:4" hidden="1" x14ac:dyDescent="0.3">
      <c r="A11592">
        <v>11590</v>
      </c>
      <c r="B11592" t="s">
        <v>15145</v>
      </c>
      <c r="C11592" t="s">
        <v>22</v>
      </c>
      <c r="D11592">
        <v>48</v>
      </c>
    </row>
    <row r="11593" spans="1:4" hidden="1" x14ac:dyDescent="0.3">
      <c r="A11593">
        <v>11591</v>
      </c>
      <c r="B11593" t="s">
        <v>15146</v>
      </c>
      <c r="C11593" t="s">
        <v>24</v>
      </c>
      <c r="D11593">
        <v>4.6297917147192598</v>
      </c>
    </row>
    <row r="11594" spans="1:4" hidden="1" x14ac:dyDescent="0.3">
      <c r="A11594">
        <v>11592</v>
      </c>
      <c r="B11594" s="1" t="s">
        <v>15147</v>
      </c>
      <c r="C11594" t="s">
        <v>145</v>
      </c>
      <c r="D11594" s="1" t="s">
        <v>15148</v>
      </c>
    </row>
    <row r="11595" spans="1:4" hidden="1" x14ac:dyDescent="0.3">
      <c r="A11595">
        <v>11593</v>
      </c>
      <c r="B11595" t="s">
        <v>15149</v>
      </c>
      <c r="C11595" t="s">
        <v>35</v>
      </c>
      <c r="D11595">
        <v>-0.749232720052875</v>
      </c>
    </row>
    <row r="11596" spans="1:4" hidden="1" x14ac:dyDescent="0.3">
      <c r="A11596">
        <v>11594</v>
      </c>
      <c r="B11596" t="s">
        <v>15150</v>
      </c>
      <c r="C11596" t="s">
        <v>149</v>
      </c>
      <c r="D11596">
        <v>0.58371636738187804</v>
      </c>
    </row>
    <row r="11597" spans="1:4" hidden="1" x14ac:dyDescent="0.3">
      <c r="A11597">
        <v>11595</v>
      </c>
      <c r="B11597" s="1" t="s">
        <v>15151</v>
      </c>
      <c r="C11597" t="s">
        <v>151</v>
      </c>
      <c r="D11597" s="1" t="s">
        <v>15152</v>
      </c>
    </row>
    <row r="11598" spans="1:4" hidden="1" x14ac:dyDescent="0.3">
      <c r="A11598">
        <v>11596</v>
      </c>
      <c r="B11598" t="s">
        <v>15153</v>
      </c>
      <c r="C11598" t="s">
        <v>30</v>
      </c>
      <c r="D11598">
        <v>0.80326817585774601</v>
      </c>
    </row>
    <row r="11599" spans="1:4" hidden="1" x14ac:dyDescent="0.3">
      <c r="A11599">
        <v>11597</v>
      </c>
      <c r="B11599" t="s">
        <v>15154</v>
      </c>
      <c r="C11599" t="s">
        <v>32</v>
      </c>
      <c r="D11599">
        <v>0.33348724891397702</v>
      </c>
    </row>
    <row r="11600" spans="1:4" hidden="1" x14ac:dyDescent="0.3">
      <c r="A11600">
        <v>11598</v>
      </c>
      <c r="B11600" s="1" t="s">
        <v>15155</v>
      </c>
      <c r="C11600" t="s">
        <v>155</v>
      </c>
      <c r="D11600" s="1" t="s">
        <v>15156</v>
      </c>
    </row>
    <row r="11601" spans="1:4" hidden="1" x14ac:dyDescent="0.3">
      <c r="A11601">
        <v>11599</v>
      </c>
      <c r="B11601" t="s">
        <v>15157</v>
      </c>
      <c r="C11601" t="s">
        <v>40</v>
      </c>
      <c r="D11601">
        <v>0.94596454419512799</v>
      </c>
    </row>
    <row r="11602" spans="1:4" hidden="1" x14ac:dyDescent="0.3">
      <c r="A11602">
        <v>11600</v>
      </c>
      <c r="B11602" t="s">
        <v>15158</v>
      </c>
      <c r="C11602" t="s">
        <v>42</v>
      </c>
      <c r="D11602">
        <v>0.37967355294131999</v>
      </c>
    </row>
    <row r="11603" spans="1:4" hidden="1" x14ac:dyDescent="0.3">
      <c r="A11603">
        <v>11601</v>
      </c>
      <c r="B11603" s="1" t="s">
        <v>15159</v>
      </c>
      <c r="C11603" t="s">
        <v>159</v>
      </c>
      <c r="D11603" s="1" t="s">
        <v>15160</v>
      </c>
    </row>
    <row r="11604" spans="1:4" hidden="1" x14ac:dyDescent="0.3">
      <c r="A11604">
        <v>11602</v>
      </c>
      <c r="B11604" t="s">
        <v>15161</v>
      </c>
      <c r="C11604" t="s">
        <v>161</v>
      </c>
      <c r="D11604">
        <v>1.00949939353842</v>
      </c>
    </row>
    <row r="11605" spans="1:4" hidden="1" x14ac:dyDescent="0.3">
      <c r="A11605">
        <v>11603</v>
      </c>
      <c r="B11605" t="s">
        <v>15162</v>
      </c>
      <c r="C11605" t="s">
        <v>163</v>
      </c>
      <c r="D11605">
        <v>1.0052830637063399</v>
      </c>
    </row>
    <row r="11606" spans="1:4" hidden="1" x14ac:dyDescent="0.3">
      <c r="A11606">
        <v>11604</v>
      </c>
      <c r="B11606" s="1" t="s">
        <v>15163</v>
      </c>
      <c r="C11606" t="s">
        <v>165</v>
      </c>
      <c r="D11606" s="1" t="s">
        <v>15164</v>
      </c>
    </row>
    <row r="11607" spans="1:4" hidden="1" x14ac:dyDescent="0.3">
      <c r="A11607">
        <v>11605</v>
      </c>
      <c r="B11607" t="s">
        <v>15165</v>
      </c>
      <c r="C11607" t="s">
        <v>168</v>
      </c>
      <c r="D11607">
        <v>0.99982353153821502</v>
      </c>
    </row>
    <row r="11608" spans="1:4" hidden="1" x14ac:dyDescent="0.3">
      <c r="A11608">
        <v>11606</v>
      </c>
      <c r="B11608" t="s">
        <v>15166</v>
      </c>
      <c r="C11608" t="s">
        <v>170</v>
      </c>
      <c r="D11608">
        <v>1.00340639169863</v>
      </c>
    </row>
    <row r="11609" spans="1:4" hidden="1" x14ac:dyDescent="0.3">
      <c r="A11609">
        <v>11607</v>
      </c>
      <c r="B11609" s="1" t="s">
        <v>15167</v>
      </c>
      <c r="C11609" t="s">
        <v>172</v>
      </c>
      <c r="D11609" s="1" t="s">
        <v>15168</v>
      </c>
    </row>
    <row r="11610" spans="1:4" hidden="1" x14ac:dyDescent="0.3">
      <c r="A11610">
        <v>11608</v>
      </c>
      <c r="B11610" s="1" t="s">
        <v>15169</v>
      </c>
      <c r="C11610" t="s">
        <v>55</v>
      </c>
      <c r="D11610" s="1" t="s">
        <v>15170</v>
      </c>
    </row>
    <row r="11611" spans="1:4" hidden="1" x14ac:dyDescent="0.3">
      <c r="A11611">
        <v>11609</v>
      </c>
      <c r="B11611" s="1" t="s">
        <v>15171</v>
      </c>
      <c r="C11611" t="s">
        <v>52</v>
      </c>
      <c r="D11611" s="1" t="s">
        <v>15172</v>
      </c>
    </row>
    <row r="11612" spans="1:4" hidden="1" x14ac:dyDescent="0.3">
      <c r="A11612">
        <v>11610</v>
      </c>
      <c r="B11612" s="1" t="s">
        <v>15173</v>
      </c>
      <c r="C11612" t="s">
        <v>58</v>
      </c>
      <c r="D11612" s="1" t="s">
        <v>15174</v>
      </c>
    </row>
    <row r="11613" spans="1:4" hidden="1" x14ac:dyDescent="0.3">
      <c r="A11613">
        <v>11611</v>
      </c>
      <c r="B11613" t="s">
        <v>15175</v>
      </c>
      <c r="C11613" t="s">
        <v>61</v>
      </c>
      <c r="D11613">
        <v>142276785.120323</v>
      </c>
    </row>
    <row r="11614" spans="1:4" hidden="1" x14ac:dyDescent="0.3">
      <c r="A11614">
        <v>11612</v>
      </c>
      <c r="B11614" t="s">
        <v>15176</v>
      </c>
      <c r="C11614" t="s">
        <v>63</v>
      </c>
      <c r="D11614">
        <v>79025491.035073996</v>
      </c>
    </row>
    <row r="11615" spans="1:4" hidden="1" x14ac:dyDescent="0.3">
      <c r="A11615">
        <v>11613</v>
      </c>
      <c r="B11615" t="s">
        <v>15177</v>
      </c>
      <c r="C11615" t="s">
        <v>65</v>
      </c>
      <c r="D11615">
        <v>33897306.859740101</v>
      </c>
    </row>
    <row r="11616" spans="1:4" hidden="1" x14ac:dyDescent="0.3">
      <c r="A11616">
        <v>11614</v>
      </c>
      <c r="B11616" s="1" t="s">
        <v>15178</v>
      </c>
      <c r="C11616" t="s">
        <v>67</v>
      </c>
      <c r="D11616" s="1" t="s">
        <v>15179</v>
      </c>
    </row>
    <row r="11617" spans="1:4" hidden="1" x14ac:dyDescent="0.3">
      <c r="A11617">
        <v>11615</v>
      </c>
      <c r="B11617" s="1" t="s">
        <v>15180</v>
      </c>
      <c r="C11617" t="s">
        <v>70</v>
      </c>
      <c r="D11617" s="1" t="s">
        <v>15181</v>
      </c>
    </row>
    <row r="11618" spans="1:4" hidden="1" x14ac:dyDescent="0.3">
      <c r="A11618">
        <v>11616</v>
      </c>
      <c r="B11618" t="s">
        <v>15182</v>
      </c>
      <c r="C11618" t="s">
        <v>73</v>
      </c>
      <c r="D11618">
        <v>0.99993925026058605</v>
      </c>
    </row>
    <row r="11619" spans="1:4" hidden="1" x14ac:dyDescent="0.3">
      <c r="A11619">
        <v>11617</v>
      </c>
      <c r="B11619" t="s">
        <v>74</v>
      </c>
      <c r="C11619" t="s">
        <v>75</v>
      </c>
      <c r="D11619">
        <v>2.7397260273972599E-3</v>
      </c>
    </row>
    <row r="11620" spans="1:4" hidden="1" x14ac:dyDescent="0.3">
      <c r="A11620">
        <v>11618</v>
      </c>
      <c r="B11620" t="s">
        <v>76</v>
      </c>
      <c r="C11620" t="s">
        <v>77</v>
      </c>
      <c r="D11620">
        <v>0</v>
      </c>
    </row>
    <row r="11621" spans="1:4" hidden="1" x14ac:dyDescent="0.3">
      <c r="A11621">
        <v>11619</v>
      </c>
      <c r="B11621" t="s">
        <v>188</v>
      </c>
      <c r="C11621" t="s">
        <v>79</v>
      </c>
      <c r="D11621" s="2">
        <v>-2.2204460492503101E-16</v>
      </c>
    </row>
    <row r="11622" spans="1:4" hidden="1" x14ac:dyDescent="0.3">
      <c r="A11622">
        <v>11620</v>
      </c>
      <c r="B11622" s="1" t="s">
        <v>15183</v>
      </c>
      <c r="C11622" t="s">
        <v>81</v>
      </c>
      <c r="D11622" s="1" t="s">
        <v>15184</v>
      </c>
    </row>
    <row r="11623" spans="1:4" hidden="1" x14ac:dyDescent="0.3">
      <c r="A11623">
        <v>11621</v>
      </c>
      <c r="B11623" t="s">
        <v>15185</v>
      </c>
      <c r="C11623" t="s">
        <v>84</v>
      </c>
      <c r="D11623">
        <v>0.9999283122807</v>
      </c>
    </row>
    <row r="11624" spans="1:4" hidden="1" x14ac:dyDescent="0.3">
      <c r="A11624">
        <v>11622</v>
      </c>
      <c r="B11624" s="1" t="s">
        <v>15186</v>
      </c>
      <c r="C11624" t="s">
        <v>86</v>
      </c>
      <c r="D11624" s="1" t="s">
        <v>15187</v>
      </c>
    </row>
    <row r="11625" spans="1:4" hidden="1" x14ac:dyDescent="0.3">
      <c r="A11625">
        <v>11623</v>
      </c>
      <c r="B11625" t="s">
        <v>15188</v>
      </c>
      <c r="C11625" t="s">
        <v>89</v>
      </c>
      <c r="D11625">
        <v>104263238.087327</v>
      </c>
    </row>
    <row r="11626" spans="1:4" hidden="1" x14ac:dyDescent="0.3">
      <c r="A11626">
        <v>11624</v>
      </c>
      <c r="B11626" s="1" t="s">
        <v>15189</v>
      </c>
      <c r="C11626" t="s">
        <v>91</v>
      </c>
      <c r="D11626" s="1" t="s">
        <v>15123</v>
      </c>
    </row>
    <row r="11627" spans="1:4" hidden="1" x14ac:dyDescent="0.3">
      <c r="A11627">
        <v>11625</v>
      </c>
      <c r="B11627" t="s">
        <v>15190</v>
      </c>
      <c r="C11627" t="s">
        <v>94</v>
      </c>
      <c r="D11627">
        <v>79025491.035073996</v>
      </c>
    </row>
    <row r="11628" spans="1:4" hidden="1" x14ac:dyDescent="0.3">
      <c r="A11628">
        <v>11626</v>
      </c>
      <c r="B11628" t="s">
        <v>15191</v>
      </c>
      <c r="C11628" t="s">
        <v>96</v>
      </c>
      <c r="D11628">
        <v>33897306.859740101</v>
      </c>
    </row>
    <row r="11629" spans="1:4" hidden="1" x14ac:dyDescent="0.3">
      <c r="A11629">
        <v>11627</v>
      </c>
      <c r="B11629" t="s">
        <v>15192</v>
      </c>
      <c r="C11629" t="s">
        <v>98</v>
      </c>
      <c r="D11629">
        <v>29353987.225509699</v>
      </c>
    </row>
    <row r="11630" spans="1:4" hidden="1" x14ac:dyDescent="0.3">
      <c r="A11630">
        <v>11628</v>
      </c>
      <c r="B11630" s="1" t="s">
        <v>15193</v>
      </c>
      <c r="C11630" t="s">
        <v>100</v>
      </c>
      <c r="D11630" s="1" t="s">
        <v>15194</v>
      </c>
    </row>
    <row r="11631" spans="1:4" hidden="1" x14ac:dyDescent="0.3">
      <c r="A11631">
        <v>11629</v>
      </c>
      <c r="B11631" t="s">
        <v>15195</v>
      </c>
      <c r="C11631" t="s">
        <v>103</v>
      </c>
      <c r="D11631">
        <v>9.8421124518646499E-3</v>
      </c>
    </row>
    <row r="11632" spans="1:4" hidden="1" x14ac:dyDescent="0.3">
      <c r="A11632">
        <v>11630</v>
      </c>
      <c r="B11632" t="s">
        <v>15196</v>
      </c>
      <c r="C11632" t="s">
        <v>105</v>
      </c>
      <c r="D11632">
        <v>2.5928209156445498E-3</v>
      </c>
    </row>
    <row r="11633" spans="1:4" hidden="1" x14ac:dyDescent="0.3">
      <c r="A11633">
        <v>11631</v>
      </c>
      <c r="B11633" t="s">
        <v>15197</v>
      </c>
      <c r="C11633" t="s">
        <v>107</v>
      </c>
      <c r="D11633">
        <v>2.4560450214241102E-2</v>
      </c>
    </row>
    <row r="11634" spans="1:4" hidden="1" x14ac:dyDescent="0.3">
      <c r="A11634">
        <v>11632</v>
      </c>
      <c r="B11634" s="1" t="s">
        <v>15198</v>
      </c>
      <c r="C11634" t="s">
        <v>109</v>
      </c>
      <c r="D11634" s="1" t="s">
        <v>15199</v>
      </c>
    </row>
    <row r="11635" spans="1:4" hidden="1" x14ac:dyDescent="0.3">
      <c r="A11635">
        <v>11633</v>
      </c>
      <c r="B11635" t="s">
        <v>15200</v>
      </c>
      <c r="C11635" t="s">
        <v>208</v>
      </c>
      <c r="D11635">
        <v>142276389.03442499</v>
      </c>
    </row>
    <row r="11636" spans="1:4" hidden="1" x14ac:dyDescent="0.3">
      <c r="A11636">
        <v>11634</v>
      </c>
      <c r="B11636" t="s">
        <v>15201</v>
      </c>
      <c r="C11636" t="s">
        <v>210</v>
      </c>
      <c r="D11636">
        <v>864.42828103296802</v>
      </c>
    </row>
    <row r="11637" spans="1:4" hidden="1" x14ac:dyDescent="0.3">
      <c r="A11637">
        <v>11635</v>
      </c>
      <c r="B11637" t="s">
        <v>15202</v>
      </c>
      <c r="C11637" t="s">
        <v>212</v>
      </c>
      <c r="D11637">
        <v>370.79007896500099</v>
      </c>
    </row>
    <row r="11638" spans="1:4" hidden="1" x14ac:dyDescent="0.3">
      <c r="A11638">
        <v>11636</v>
      </c>
      <c r="B11638" s="1" t="s">
        <v>15203</v>
      </c>
      <c r="C11638" t="s">
        <v>214</v>
      </c>
      <c r="D11638" s="1" t="s">
        <v>15204</v>
      </c>
    </row>
    <row r="11639" spans="1:4" hidden="1" x14ac:dyDescent="0.3">
      <c r="A11639">
        <v>11637</v>
      </c>
      <c r="B11639" t="s">
        <v>15205</v>
      </c>
      <c r="C11639" t="s">
        <v>217</v>
      </c>
      <c r="D11639">
        <v>79024309.889706805</v>
      </c>
    </row>
    <row r="11640" spans="1:4" hidden="1" x14ac:dyDescent="0.3">
      <c r="A11640">
        <v>11638</v>
      </c>
      <c r="B11640" t="s">
        <v>15206</v>
      </c>
      <c r="C11640" t="s">
        <v>219</v>
      </c>
      <c r="D11640">
        <v>33896889.709745198</v>
      </c>
    </row>
    <row r="11641" spans="1:4" hidden="1" x14ac:dyDescent="0.3">
      <c r="A11641">
        <v>11639</v>
      </c>
      <c r="B11641" t="s">
        <v>15207</v>
      </c>
      <c r="C11641" t="s">
        <v>221</v>
      </c>
      <c r="D11641">
        <v>29353633.124145798</v>
      </c>
    </row>
    <row r="11642" spans="1:4" hidden="1" x14ac:dyDescent="0.3">
      <c r="A11642">
        <v>11640</v>
      </c>
      <c r="B11642" s="1" t="s">
        <v>15208</v>
      </c>
      <c r="C11642" t="s">
        <v>223</v>
      </c>
      <c r="D11642" s="1" t="s">
        <v>15209</v>
      </c>
    </row>
    <row r="11643" spans="1:4" hidden="1" x14ac:dyDescent="0.3">
      <c r="A11643">
        <v>11641</v>
      </c>
      <c r="B11643" t="s">
        <v>15210</v>
      </c>
      <c r="C11643" t="s">
        <v>226</v>
      </c>
      <c r="D11643">
        <v>104262097.58884101</v>
      </c>
    </row>
    <row r="11644" spans="1:4" hidden="1" x14ac:dyDescent="0.3">
      <c r="A11644">
        <v>11642</v>
      </c>
      <c r="B11644" t="s">
        <v>15211</v>
      </c>
      <c r="C11644" t="s">
        <v>228</v>
      </c>
      <c r="D11644">
        <v>1140.4984861165201</v>
      </c>
    </row>
    <row r="11645" spans="1:4" hidden="1" x14ac:dyDescent="0.3">
      <c r="A11645">
        <v>11643</v>
      </c>
      <c r="B11645" s="1" t="s">
        <v>15212</v>
      </c>
      <c r="C11645" t="s">
        <v>230</v>
      </c>
      <c r="D11645" s="1" t="s">
        <v>15213</v>
      </c>
    </row>
    <row r="11646" spans="1:4" hidden="1" x14ac:dyDescent="0.3">
      <c r="A11646">
        <v>11644</v>
      </c>
      <c r="B11646" t="s">
        <v>15214</v>
      </c>
      <c r="C11646" t="s">
        <v>112</v>
      </c>
      <c r="D11646">
        <v>-316.71708611557801</v>
      </c>
    </row>
    <row r="11647" spans="1:4" hidden="1" x14ac:dyDescent="0.3">
      <c r="A11647">
        <v>11645</v>
      </c>
      <c r="B11647" t="s">
        <v>15215</v>
      </c>
      <c r="C11647" t="s">
        <v>114</v>
      </c>
      <c r="D11647">
        <v>-46.359915935003897</v>
      </c>
    </row>
    <row r="11648" spans="1:4" hidden="1" x14ac:dyDescent="0.3">
      <c r="A11648">
        <v>11646</v>
      </c>
      <c r="B11648" s="1" t="s">
        <v>15216</v>
      </c>
      <c r="C11648" t="s">
        <v>116</v>
      </c>
      <c r="D11648" s="1" t="s">
        <v>15217</v>
      </c>
    </row>
    <row r="11649" spans="1:4" hidden="1" x14ac:dyDescent="0.3">
      <c r="A11649">
        <v>11647</v>
      </c>
      <c r="B11649" t="s">
        <v>15218</v>
      </c>
      <c r="C11649" t="s">
        <v>119</v>
      </c>
      <c r="D11649">
        <v>79024309.889706805</v>
      </c>
    </row>
    <row r="11650" spans="1:4" hidden="1" x14ac:dyDescent="0.3">
      <c r="A11650">
        <v>11648</v>
      </c>
      <c r="B11650" t="s">
        <v>15219</v>
      </c>
      <c r="C11650" t="s">
        <v>121</v>
      </c>
      <c r="D11650">
        <v>33896889.709745198</v>
      </c>
    </row>
    <row r="11651" spans="1:4" hidden="1" x14ac:dyDescent="0.3">
      <c r="A11651">
        <v>11649</v>
      </c>
      <c r="B11651" s="1" t="s">
        <v>15220</v>
      </c>
      <c r="C11651" t="s">
        <v>123</v>
      </c>
      <c r="D11651" s="1" t="s">
        <v>15221</v>
      </c>
    </row>
    <row r="11652" spans="1:4" hidden="1" x14ac:dyDescent="0.3">
      <c r="A11652">
        <v>11650</v>
      </c>
      <c r="B11652" t="s">
        <v>15222</v>
      </c>
      <c r="C11652" t="s">
        <v>126</v>
      </c>
      <c r="D11652">
        <v>0.75799333790552104</v>
      </c>
    </row>
    <row r="11653" spans="1:4" hidden="1" x14ac:dyDescent="0.3">
      <c r="A11653">
        <v>11651</v>
      </c>
      <c r="B11653" t="s">
        <v>15223</v>
      </c>
      <c r="C11653" t="s">
        <v>128</v>
      </c>
      <c r="D11653">
        <v>0.32513560208960102</v>
      </c>
    </row>
    <row r="11654" spans="1:4" hidden="1" x14ac:dyDescent="0.3">
      <c r="A11654">
        <v>11652</v>
      </c>
      <c r="B11654" s="1" t="s">
        <v>15224</v>
      </c>
      <c r="C11654" t="s">
        <v>130</v>
      </c>
      <c r="D11654" s="1" t="s">
        <v>15225</v>
      </c>
    </row>
    <row r="11655" spans="1:4" ht="72" x14ac:dyDescent="0.3">
      <c r="A11655">
        <v>11653</v>
      </c>
      <c r="B11655" s="1" t="s">
        <v>15226</v>
      </c>
      <c r="C11655" t="s">
        <v>4</v>
      </c>
      <c r="D11655" t="s">
        <v>15227</v>
      </c>
    </row>
    <row r="11656" spans="1:4" hidden="1" x14ac:dyDescent="0.3">
      <c r="A11656">
        <v>11654</v>
      </c>
      <c r="B11656" t="s">
        <v>15228</v>
      </c>
      <c r="C11656" t="s">
        <v>7</v>
      </c>
      <c r="D11656">
        <v>1868.26</v>
      </c>
    </row>
    <row r="11657" spans="1:4" hidden="1" x14ac:dyDescent="0.3">
      <c r="A11657">
        <v>11655</v>
      </c>
      <c r="B11657" s="1" t="s">
        <v>15229</v>
      </c>
      <c r="C11657" t="s">
        <v>9</v>
      </c>
      <c r="D11657" s="1" t="s">
        <v>15230</v>
      </c>
    </row>
    <row r="11658" spans="1:4" hidden="1" x14ac:dyDescent="0.3">
      <c r="A11658">
        <v>11656</v>
      </c>
      <c r="B11658" t="s">
        <v>15231</v>
      </c>
      <c r="C11658" t="s">
        <v>14</v>
      </c>
      <c r="D11658">
        <v>89.67578125</v>
      </c>
    </row>
    <row r="11659" spans="1:4" hidden="1" x14ac:dyDescent="0.3">
      <c r="A11659">
        <v>11657</v>
      </c>
      <c r="B11659" t="s">
        <v>15232</v>
      </c>
      <c r="C11659" t="s">
        <v>16</v>
      </c>
      <c r="D11659">
        <v>4.2321968539815602</v>
      </c>
    </row>
    <row r="11660" spans="1:4" hidden="1" x14ac:dyDescent="0.3">
      <c r="A11660">
        <v>11658</v>
      </c>
      <c r="B11660" s="1" t="s">
        <v>15233</v>
      </c>
      <c r="C11660" t="s">
        <v>140</v>
      </c>
      <c r="D11660" s="1" t="s">
        <v>15234</v>
      </c>
    </row>
    <row r="11661" spans="1:4" hidden="1" x14ac:dyDescent="0.3">
      <c r="A11661">
        <v>11659</v>
      </c>
      <c r="B11661" t="s">
        <v>15235</v>
      </c>
      <c r="C11661" t="s">
        <v>22</v>
      </c>
      <c r="D11661">
        <v>47.5</v>
      </c>
    </row>
    <row r="11662" spans="1:4" hidden="1" x14ac:dyDescent="0.3">
      <c r="A11662">
        <v>11660</v>
      </c>
      <c r="B11662" t="s">
        <v>15236</v>
      </c>
      <c r="C11662" t="s">
        <v>24</v>
      </c>
      <c r="D11662">
        <v>4.7925994831652101</v>
      </c>
    </row>
    <row r="11663" spans="1:4" hidden="1" x14ac:dyDescent="0.3">
      <c r="A11663">
        <v>11661</v>
      </c>
      <c r="B11663" s="1" t="s">
        <v>15237</v>
      </c>
      <c r="C11663" t="s">
        <v>145</v>
      </c>
      <c r="D11663" s="1" t="s">
        <v>15238</v>
      </c>
    </row>
    <row r="11664" spans="1:4" hidden="1" x14ac:dyDescent="0.3">
      <c r="A11664">
        <v>11662</v>
      </c>
      <c r="B11664" t="s">
        <v>15239</v>
      </c>
      <c r="C11664" t="s">
        <v>35</v>
      </c>
      <c r="D11664">
        <v>36.131557454650903</v>
      </c>
    </row>
    <row r="11665" spans="1:4" hidden="1" x14ac:dyDescent="0.3">
      <c r="A11665">
        <v>11663</v>
      </c>
      <c r="B11665" t="s">
        <v>15240</v>
      </c>
      <c r="C11665" t="s">
        <v>149</v>
      </c>
      <c r="D11665">
        <v>0.58324198596253796</v>
      </c>
    </row>
    <row r="11666" spans="1:4" hidden="1" x14ac:dyDescent="0.3">
      <c r="A11666">
        <v>11664</v>
      </c>
      <c r="B11666" s="1" t="s">
        <v>15241</v>
      </c>
      <c r="C11666" t="s">
        <v>151</v>
      </c>
      <c r="D11666" s="1" t="s">
        <v>15242</v>
      </c>
    </row>
    <row r="11667" spans="1:4" hidden="1" x14ac:dyDescent="0.3">
      <c r="A11667">
        <v>11665</v>
      </c>
      <c r="B11667" t="s">
        <v>15243</v>
      </c>
      <c r="C11667" t="s">
        <v>30</v>
      </c>
      <c r="D11667">
        <v>-15.5904193274613</v>
      </c>
    </row>
    <row r="11668" spans="1:4" hidden="1" x14ac:dyDescent="0.3">
      <c r="A11668">
        <v>11666</v>
      </c>
      <c r="B11668" t="s">
        <v>15244</v>
      </c>
      <c r="C11668" t="s">
        <v>32</v>
      </c>
      <c r="D11668">
        <v>0.34260621658948598</v>
      </c>
    </row>
    <row r="11669" spans="1:4" hidden="1" x14ac:dyDescent="0.3">
      <c r="A11669">
        <v>11667</v>
      </c>
      <c r="B11669" s="1" t="s">
        <v>15245</v>
      </c>
      <c r="C11669" t="s">
        <v>155</v>
      </c>
      <c r="D11669" s="1" t="s">
        <v>15246</v>
      </c>
    </row>
    <row r="11670" spans="1:4" hidden="1" x14ac:dyDescent="0.3">
      <c r="A11670">
        <v>11668</v>
      </c>
      <c r="B11670" t="s">
        <v>15247</v>
      </c>
      <c r="C11670" t="s">
        <v>40</v>
      </c>
      <c r="D11670">
        <v>-19.541138127189502</v>
      </c>
    </row>
    <row r="11671" spans="1:4" hidden="1" x14ac:dyDescent="0.3">
      <c r="A11671">
        <v>11669</v>
      </c>
      <c r="B11671" t="s">
        <v>15248</v>
      </c>
      <c r="C11671" t="s">
        <v>42</v>
      </c>
      <c r="D11671">
        <v>0.37194798915699501</v>
      </c>
    </row>
    <row r="11672" spans="1:4" hidden="1" x14ac:dyDescent="0.3">
      <c r="A11672">
        <v>11670</v>
      </c>
      <c r="B11672" s="1" t="s">
        <v>15249</v>
      </c>
      <c r="C11672" t="s">
        <v>159</v>
      </c>
      <c r="D11672" s="1" t="s">
        <v>15250</v>
      </c>
    </row>
    <row r="11673" spans="1:4" hidden="1" x14ac:dyDescent="0.3">
      <c r="A11673">
        <v>11671</v>
      </c>
      <c r="B11673" t="s">
        <v>15251</v>
      </c>
      <c r="C11673" t="s">
        <v>161</v>
      </c>
      <c r="D11673">
        <v>1.0203328181406</v>
      </c>
    </row>
    <row r="11674" spans="1:4" hidden="1" x14ac:dyDescent="0.3">
      <c r="A11674">
        <v>11672</v>
      </c>
      <c r="B11674" t="s">
        <v>15252</v>
      </c>
      <c r="C11674" t="s">
        <v>163</v>
      </c>
      <c r="D11674">
        <v>1.00652247619363</v>
      </c>
    </row>
    <row r="11675" spans="1:4" hidden="1" x14ac:dyDescent="0.3">
      <c r="A11675">
        <v>11673</v>
      </c>
      <c r="B11675" s="1" t="s">
        <v>15253</v>
      </c>
      <c r="C11675" t="s">
        <v>165</v>
      </c>
      <c r="D11675" s="1" t="s">
        <v>15254</v>
      </c>
    </row>
    <row r="11676" spans="1:4" hidden="1" x14ac:dyDescent="0.3">
      <c r="A11676">
        <v>11674</v>
      </c>
      <c r="B11676" t="s">
        <v>15255</v>
      </c>
      <c r="C11676" t="s">
        <v>168</v>
      </c>
      <c r="D11676">
        <v>0.99970046314535199</v>
      </c>
    </row>
    <row r="11677" spans="1:4" hidden="1" x14ac:dyDescent="0.3">
      <c r="A11677">
        <v>11675</v>
      </c>
      <c r="B11677" t="s">
        <v>15256</v>
      </c>
      <c r="C11677" t="s">
        <v>170</v>
      </c>
      <c r="D11677">
        <v>1.0068384363502001</v>
      </c>
    </row>
    <row r="11678" spans="1:4" hidden="1" x14ac:dyDescent="0.3">
      <c r="A11678">
        <v>11676</v>
      </c>
      <c r="B11678" s="1" t="s">
        <v>15257</v>
      </c>
      <c r="C11678" t="s">
        <v>172</v>
      </c>
      <c r="D11678" s="1" t="s">
        <v>15258</v>
      </c>
    </row>
    <row r="11679" spans="1:4" hidden="1" x14ac:dyDescent="0.3">
      <c r="A11679">
        <v>11677</v>
      </c>
      <c r="B11679" s="1" t="s">
        <v>15259</v>
      </c>
      <c r="C11679" t="s">
        <v>55</v>
      </c>
      <c r="D11679" s="1" t="s">
        <v>15260</v>
      </c>
    </row>
    <row r="11680" spans="1:4" hidden="1" x14ac:dyDescent="0.3">
      <c r="A11680">
        <v>11678</v>
      </c>
      <c r="B11680" s="1" t="s">
        <v>15261</v>
      </c>
      <c r="C11680" t="s">
        <v>52</v>
      </c>
      <c r="D11680" s="1" t="s">
        <v>15262</v>
      </c>
    </row>
    <row r="11681" spans="1:4" hidden="1" x14ac:dyDescent="0.3">
      <c r="A11681">
        <v>11679</v>
      </c>
      <c r="B11681" s="1" t="s">
        <v>15263</v>
      </c>
      <c r="C11681" t="s">
        <v>58</v>
      </c>
      <c r="D11681" s="1" t="s">
        <v>15264</v>
      </c>
    </row>
    <row r="11682" spans="1:4" hidden="1" x14ac:dyDescent="0.3">
      <c r="A11682">
        <v>11680</v>
      </c>
      <c r="B11682" t="s">
        <v>15265</v>
      </c>
      <c r="C11682" t="s">
        <v>61</v>
      </c>
      <c r="D11682">
        <v>143914646.39115301</v>
      </c>
    </row>
    <row r="11683" spans="1:4" hidden="1" x14ac:dyDescent="0.3">
      <c r="A11683">
        <v>11681</v>
      </c>
      <c r="B11683" t="s">
        <v>15266</v>
      </c>
      <c r="C11683" t="s">
        <v>63</v>
      </c>
      <c r="D11683">
        <v>80631096.8113814</v>
      </c>
    </row>
    <row r="11684" spans="1:4" hidden="1" x14ac:dyDescent="0.3">
      <c r="A11684">
        <v>11682</v>
      </c>
      <c r="B11684" t="s">
        <v>15267</v>
      </c>
      <c r="C11684" t="s">
        <v>65</v>
      </c>
      <c r="D11684">
        <v>34117981.365915097</v>
      </c>
    </row>
    <row r="11685" spans="1:4" hidden="1" x14ac:dyDescent="0.3">
      <c r="A11685">
        <v>11683</v>
      </c>
      <c r="B11685" s="1" t="s">
        <v>15268</v>
      </c>
      <c r="C11685" t="s">
        <v>67</v>
      </c>
      <c r="D11685" s="1" t="s">
        <v>15269</v>
      </c>
    </row>
    <row r="11686" spans="1:4" hidden="1" x14ac:dyDescent="0.3">
      <c r="A11686">
        <v>11684</v>
      </c>
      <c r="B11686" s="1" t="s">
        <v>15270</v>
      </c>
      <c r="C11686" t="s">
        <v>70</v>
      </c>
      <c r="D11686" s="1" t="s">
        <v>15271</v>
      </c>
    </row>
    <row r="11687" spans="1:4" hidden="1" x14ac:dyDescent="0.3">
      <c r="A11687">
        <v>11685</v>
      </c>
      <c r="B11687" t="s">
        <v>15272</v>
      </c>
      <c r="C11687" t="s">
        <v>73</v>
      </c>
      <c r="D11687">
        <v>0.9999283122807</v>
      </c>
    </row>
    <row r="11688" spans="1:4" hidden="1" x14ac:dyDescent="0.3">
      <c r="A11688">
        <v>11686</v>
      </c>
      <c r="B11688" t="s">
        <v>74</v>
      </c>
      <c r="C11688" t="s">
        <v>75</v>
      </c>
      <c r="D11688">
        <v>2.7397260273972599E-3</v>
      </c>
    </row>
    <row r="11689" spans="1:4" hidden="1" x14ac:dyDescent="0.3">
      <c r="A11689">
        <v>11687</v>
      </c>
      <c r="B11689" t="s">
        <v>76</v>
      </c>
      <c r="C11689" t="s">
        <v>77</v>
      </c>
      <c r="D11689">
        <v>0</v>
      </c>
    </row>
    <row r="11690" spans="1:4" hidden="1" x14ac:dyDescent="0.3">
      <c r="A11690">
        <v>11688</v>
      </c>
      <c r="B11690" t="s">
        <v>831</v>
      </c>
      <c r="C11690" t="s">
        <v>79</v>
      </c>
      <c r="D11690" s="2">
        <v>2.2204460492503101E-16</v>
      </c>
    </row>
    <row r="11691" spans="1:4" hidden="1" x14ac:dyDescent="0.3">
      <c r="A11691">
        <v>11689</v>
      </c>
      <c r="B11691" s="1" t="s">
        <v>15273</v>
      </c>
      <c r="C11691" t="s">
        <v>81</v>
      </c>
      <c r="D11691" s="1" t="s">
        <v>15274</v>
      </c>
    </row>
    <row r="11692" spans="1:4" hidden="1" x14ac:dyDescent="0.3">
      <c r="A11692">
        <v>11690</v>
      </c>
      <c r="B11692" t="s">
        <v>15275</v>
      </c>
      <c r="C11692" t="s">
        <v>84</v>
      </c>
      <c r="D11692">
        <v>0.99987026502433995</v>
      </c>
    </row>
    <row r="11693" spans="1:4" hidden="1" x14ac:dyDescent="0.3">
      <c r="A11693">
        <v>11691</v>
      </c>
      <c r="B11693" s="1" t="s">
        <v>15276</v>
      </c>
      <c r="C11693" t="s">
        <v>86</v>
      </c>
      <c r="D11693" s="1" t="s">
        <v>15277</v>
      </c>
    </row>
    <row r="11694" spans="1:4" hidden="1" x14ac:dyDescent="0.3">
      <c r="A11694">
        <v>11692</v>
      </c>
      <c r="B11694" t="s">
        <v>15278</v>
      </c>
      <c r="C11694" t="s">
        <v>89</v>
      </c>
      <c r="D11694">
        <v>104269291.06752101</v>
      </c>
    </row>
    <row r="11695" spans="1:4" hidden="1" x14ac:dyDescent="0.3">
      <c r="A11695">
        <v>11693</v>
      </c>
      <c r="B11695" s="1" t="s">
        <v>15279</v>
      </c>
      <c r="C11695" t="s">
        <v>91</v>
      </c>
      <c r="D11695" s="1" t="s">
        <v>15213</v>
      </c>
    </row>
    <row r="11696" spans="1:4" hidden="1" x14ac:dyDescent="0.3">
      <c r="A11696">
        <v>11694</v>
      </c>
      <c r="B11696" t="s">
        <v>15280</v>
      </c>
      <c r="C11696" t="s">
        <v>94</v>
      </c>
      <c r="D11696">
        <v>80631096.8113814</v>
      </c>
    </row>
    <row r="11697" spans="1:4" hidden="1" x14ac:dyDescent="0.3">
      <c r="A11697">
        <v>11695</v>
      </c>
      <c r="B11697" t="s">
        <v>15281</v>
      </c>
      <c r="C11697" t="s">
        <v>96</v>
      </c>
      <c r="D11697">
        <v>34117981.365915097</v>
      </c>
    </row>
    <row r="11698" spans="1:4" hidden="1" x14ac:dyDescent="0.3">
      <c r="A11698">
        <v>11696</v>
      </c>
      <c r="B11698" t="s">
        <v>15282</v>
      </c>
      <c r="C11698" t="s">
        <v>98</v>
      </c>
      <c r="D11698">
        <v>29165568.213856999</v>
      </c>
    </row>
    <row r="11699" spans="1:4" hidden="1" x14ac:dyDescent="0.3">
      <c r="A11699">
        <v>11697</v>
      </c>
      <c r="B11699" s="1" t="s">
        <v>15283</v>
      </c>
      <c r="C11699" t="s">
        <v>100</v>
      </c>
      <c r="D11699" s="1" t="s">
        <v>15284</v>
      </c>
    </row>
    <row r="11700" spans="1:4" hidden="1" x14ac:dyDescent="0.3">
      <c r="A11700">
        <v>11698</v>
      </c>
      <c r="B11700" t="s">
        <v>15285</v>
      </c>
      <c r="C11700" t="s">
        <v>103</v>
      </c>
      <c r="D11700">
        <v>9.8182844363147899E-3</v>
      </c>
    </row>
    <row r="11701" spans="1:4" hidden="1" x14ac:dyDescent="0.3">
      <c r="A11701">
        <v>11699</v>
      </c>
      <c r="B11701" t="s">
        <v>15286</v>
      </c>
      <c r="C11701" t="s">
        <v>105</v>
      </c>
      <c r="D11701">
        <v>2.6671215206543401E-3</v>
      </c>
    </row>
    <row r="11702" spans="1:4" hidden="1" x14ac:dyDescent="0.3">
      <c r="A11702">
        <v>11700</v>
      </c>
      <c r="B11702" t="s">
        <v>15287</v>
      </c>
      <c r="C11702" t="s">
        <v>107</v>
      </c>
      <c r="D11702">
        <v>2.4578187416927601E-2</v>
      </c>
    </row>
    <row r="11703" spans="1:4" hidden="1" x14ac:dyDescent="0.3">
      <c r="A11703">
        <v>11701</v>
      </c>
      <c r="B11703" s="1" t="s">
        <v>15288</v>
      </c>
      <c r="C11703" t="s">
        <v>109</v>
      </c>
      <c r="D11703" s="1" t="s">
        <v>15289</v>
      </c>
    </row>
    <row r="11704" spans="1:4" hidden="1" x14ac:dyDescent="0.3">
      <c r="A11704">
        <v>11702</v>
      </c>
      <c r="B11704" t="s">
        <v>15290</v>
      </c>
      <c r="C11704" t="s">
        <v>208</v>
      </c>
      <c r="D11704">
        <v>143912542.163984</v>
      </c>
    </row>
    <row r="11705" spans="1:4" hidden="1" x14ac:dyDescent="0.3">
      <c r="A11705">
        <v>11703</v>
      </c>
      <c r="B11705" t="s">
        <v>15291</v>
      </c>
      <c r="C11705" t="s">
        <v>210</v>
      </c>
      <c r="D11705">
        <v>4680.65107147656</v>
      </c>
    </row>
    <row r="11706" spans="1:4" hidden="1" x14ac:dyDescent="0.3">
      <c r="A11706">
        <v>11704</v>
      </c>
      <c r="B11706" t="s">
        <v>15292</v>
      </c>
      <c r="C11706" t="s">
        <v>212</v>
      </c>
      <c r="D11706">
        <v>1980.5832314100601</v>
      </c>
    </row>
    <row r="11707" spans="1:4" hidden="1" x14ac:dyDescent="0.3">
      <c r="A11707">
        <v>11705</v>
      </c>
      <c r="B11707" s="1" t="s">
        <v>15293</v>
      </c>
      <c r="C11707" t="s">
        <v>214</v>
      </c>
      <c r="D11707" s="1" t="s">
        <v>15294</v>
      </c>
    </row>
    <row r="11708" spans="1:4" hidden="1" x14ac:dyDescent="0.3">
      <c r="A11708">
        <v>11706</v>
      </c>
      <c r="B11708" t="s">
        <v>15295</v>
      </c>
      <c r="C11708" t="s">
        <v>217</v>
      </c>
      <c r="D11708">
        <v>80624720.629464298</v>
      </c>
    </row>
    <row r="11709" spans="1:4" hidden="1" x14ac:dyDescent="0.3">
      <c r="A11709">
        <v>11707</v>
      </c>
      <c r="B11709" t="s">
        <v>15296</v>
      </c>
      <c r="C11709" t="s">
        <v>219</v>
      </c>
      <c r="D11709">
        <v>34115760.238770299</v>
      </c>
    </row>
    <row r="11710" spans="1:4" hidden="1" x14ac:dyDescent="0.3">
      <c r="A11710">
        <v>11708</v>
      </c>
      <c r="B11710" t="s">
        <v>15297</v>
      </c>
      <c r="C11710" t="s">
        <v>221</v>
      </c>
      <c r="D11710">
        <v>29163706.968619</v>
      </c>
    </row>
    <row r="11711" spans="1:4" hidden="1" x14ac:dyDescent="0.3">
      <c r="A11711">
        <v>11709</v>
      </c>
      <c r="B11711" s="1" t="s">
        <v>15298</v>
      </c>
      <c r="C11711" t="s">
        <v>223</v>
      </c>
      <c r="D11711" s="1" t="s">
        <v>15299</v>
      </c>
    </row>
    <row r="11712" spans="1:4" hidden="1" x14ac:dyDescent="0.3">
      <c r="A11712">
        <v>11710</v>
      </c>
      <c r="B11712" t="s">
        <v>15300</v>
      </c>
      <c r="C11712" t="s">
        <v>226</v>
      </c>
      <c r="D11712">
        <v>104263238.087327</v>
      </c>
    </row>
    <row r="11713" spans="1:4" hidden="1" x14ac:dyDescent="0.3">
      <c r="A11713">
        <v>11711</v>
      </c>
      <c r="B11713" t="s">
        <v>15301</v>
      </c>
      <c r="C11713" t="s">
        <v>228</v>
      </c>
      <c r="D11713">
        <v>6052.9801934063398</v>
      </c>
    </row>
    <row r="11714" spans="1:4" hidden="1" x14ac:dyDescent="0.3">
      <c r="A11714">
        <v>11712</v>
      </c>
      <c r="B11714" s="1" t="s">
        <v>15302</v>
      </c>
      <c r="C11714" t="s">
        <v>230</v>
      </c>
      <c r="D11714" s="1" t="s">
        <v>15303</v>
      </c>
    </row>
    <row r="11715" spans="1:4" hidden="1" x14ac:dyDescent="0.3">
      <c r="A11715">
        <v>11713</v>
      </c>
      <c r="B11715" t="s">
        <v>15304</v>
      </c>
      <c r="C11715" t="s">
        <v>112</v>
      </c>
      <c r="D11715">
        <v>-1695.5308455822101</v>
      </c>
    </row>
    <row r="11716" spans="1:4" hidden="1" x14ac:dyDescent="0.3">
      <c r="A11716">
        <v>11714</v>
      </c>
      <c r="B11716" t="s">
        <v>15305</v>
      </c>
      <c r="C11716" t="s">
        <v>114</v>
      </c>
      <c r="D11716">
        <v>-240.543913332367</v>
      </c>
    </row>
    <row r="11717" spans="1:4" hidden="1" x14ac:dyDescent="0.3">
      <c r="A11717">
        <v>11715</v>
      </c>
      <c r="B11717" s="1" t="s">
        <v>15306</v>
      </c>
      <c r="C11717" t="s">
        <v>116</v>
      </c>
      <c r="D11717" s="1" t="s">
        <v>15307</v>
      </c>
    </row>
    <row r="11718" spans="1:4" hidden="1" x14ac:dyDescent="0.3">
      <c r="A11718">
        <v>11716</v>
      </c>
      <c r="B11718" t="s">
        <v>15308</v>
      </c>
      <c r="C11718" t="s">
        <v>119</v>
      </c>
      <c r="D11718">
        <v>80624720.629464298</v>
      </c>
    </row>
    <row r="11719" spans="1:4" hidden="1" x14ac:dyDescent="0.3">
      <c r="A11719">
        <v>11717</v>
      </c>
      <c r="B11719" t="s">
        <v>15309</v>
      </c>
      <c r="C11719" t="s">
        <v>121</v>
      </c>
      <c r="D11719">
        <v>34115760.238770299</v>
      </c>
    </row>
    <row r="11720" spans="1:4" hidden="1" x14ac:dyDescent="0.3">
      <c r="A11720">
        <v>11718</v>
      </c>
      <c r="B11720" s="1" t="s">
        <v>15310</v>
      </c>
      <c r="C11720" t="s">
        <v>123</v>
      </c>
      <c r="D11720" s="1" t="s">
        <v>15311</v>
      </c>
    </row>
    <row r="11721" spans="1:4" hidden="1" x14ac:dyDescent="0.3">
      <c r="A11721">
        <v>11719</v>
      </c>
      <c r="B11721" t="s">
        <v>15312</v>
      </c>
      <c r="C11721" t="s">
        <v>126</v>
      </c>
      <c r="D11721">
        <v>0.77338075540373197</v>
      </c>
    </row>
    <row r="11722" spans="1:4" hidden="1" x14ac:dyDescent="0.3">
      <c r="A11722">
        <v>11720</v>
      </c>
      <c r="B11722" t="s">
        <v>15313</v>
      </c>
      <c r="C11722" t="s">
        <v>128</v>
      </c>
      <c r="D11722">
        <v>0.32725040432562502</v>
      </c>
    </row>
    <row r="11723" spans="1:4" hidden="1" x14ac:dyDescent="0.3">
      <c r="A11723">
        <v>11721</v>
      </c>
      <c r="B11723" s="1" t="s">
        <v>15314</v>
      </c>
      <c r="C11723" t="s">
        <v>130</v>
      </c>
      <c r="D11723" s="1" t="s">
        <v>15315</v>
      </c>
    </row>
    <row r="11724" spans="1:4" ht="72" x14ac:dyDescent="0.3">
      <c r="A11724">
        <v>11722</v>
      </c>
      <c r="B11724" s="1" t="s">
        <v>15316</v>
      </c>
      <c r="C11724" t="s">
        <v>4</v>
      </c>
      <c r="D11724" t="s">
        <v>15317</v>
      </c>
    </row>
    <row r="11725" spans="1:4" hidden="1" x14ac:dyDescent="0.3">
      <c r="A11725">
        <v>11723</v>
      </c>
      <c r="B11725" t="s">
        <v>15318</v>
      </c>
      <c r="C11725" t="s">
        <v>7</v>
      </c>
      <c r="D11725">
        <v>1913.7</v>
      </c>
    </row>
    <row r="11726" spans="1:4" hidden="1" x14ac:dyDescent="0.3">
      <c r="A11726">
        <v>11724</v>
      </c>
      <c r="B11726" s="1" t="s">
        <v>15319</v>
      </c>
      <c r="C11726" t="s">
        <v>9</v>
      </c>
      <c r="D11726" s="1" t="s">
        <v>15320</v>
      </c>
    </row>
    <row r="11727" spans="1:4" hidden="1" x14ac:dyDescent="0.3">
      <c r="A11727">
        <v>11725</v>
      </c>
      <c r="B11727" t="s">
        <v>12275</v>
      </c>
      <c r="C11727" t="s">
        <v>14</v>
      </c>
      <c r="D11727">
        <v>90.80859375</v>
      </c>
    </row>
    <row r="11728" spans="1:4" hidden="1" x14ac:dyDescent="0.3">
      <c r="A11728">
        <v>11726</v>
      </c>
      <c r="B11728" t="s">
        <v>15321</v>
      </c>
      <c r="C11728" t="s">
        <v>16</v>
      </c>
      <c r="D11728">
        <v>4.2398294130047303</v>
      </c>
    </row>
    <row r="11729" spans="1:4" hidden="1" x14ac:dyDescent="0.3">
      <c r="A11729">
        <v>11727</v>
      </c>
      <c r="B11729" s="1" t="s">
        <v>15322</v>
      </c>
      <c r="C11729" t="s">
        <v>140</v>
      </c>
      <c r="D11729" s="1" t="s">
        <v>15323</v>
      </c>
    </row>
    <row r="11730" spans="1:4" hidden="1" x14ac:dyDescent="0.3">
      <c r="A11730">
        <v>11728</v>
      </c>
      <c r="B11730" t="s">
        <v>15324</v>
      </c>
      <c r="C11730" t="s">
        <v>22</v>
      </c>
      <c r="D11730">
        <v>48.7</v>
      </c>
    </row>
    <row r="11731" spans="1:4" hidden="1" x14ac:dyDescent="0.3">
      <c r="A11731">
        <v>11729</v>
      </c>
      <c r="B11731" t="s">
        <v>15325</v>
      </c>
      <c r="C11731" t="s">
        <v>24</v>
      </c>
      <c r="D11731">
        <v>4.76717706285371</v>
      </c>
    </row>
    <row r="11732" spans="1:4" hidden="1" x14ac:dyDescent="0.3">
      <c r="A11732">
        <v>11730</v>
      </c>
      <c r="B11732" s="1" t="s">
        <v>15326</v>
      </c>
      <c r="C11732" t="s">
        <v>145</v>
      </c>
      <c r="D11732" s="1" t="s">
        <v>15327</v>
      </c>
    </row>
    <row r="11733" spans="1:4" hidden="1" x14ac:dyDescent="0.3">
      <c r="A11733">
        <v>11731</v>
      </c>
      <c r="B11733" t="s">
        <v>15328</v>
      </c>
      <c r="C11733" t="s">
        <v>35</v>
      </c>
      <c r="D11733">
        <v>1.8293798389831699</v>
      </c>
    </row>
    <row r="11734" spans="1:4" hidden="1" x14ac:dyDescent="0.3">
      <c r="A11734">
        <v>11732</v>
      </c>
      <c r="B11734" t="s">
        <v>15329</v>
      </c>
      <c r="C11734" t="s">
        <v>149</v>
      </c>
      <c r="D11734">
        <v>0.55923121332265202</v>
      </c>
    </row>
    <row r="11735" spans="1:4" hidden="1" x14ac:dyDescent="0.3">
      <c r="A11735">
        <v>11733</v>
      </c>
      <c r="B11735" s="1" t="s">
        <v>15330</v>
      </c>
      <c r="C11735" t="s">
        <v>151</v>
      </c>
      <c r="D11735" s="1" t="s">
        <v>15331</v>
      </c>
    </row>
    <row r="11736" spans="1:4" hidden="1" x14ac:dyDescent="0.3">
      <c r="A11736">
        <v>11734</v>
      </c>
      <c r="B11736" t="s">
        <v>15332</v>
      </c>
      <c r="C11736" t="s">
        <v>30</v>
      </c>
      <c r="D11736">
        <v>-0.38234141406632899</v>
      </c>
    </row>
    <row r="11737" spans="1:4" hidden="1" x14ac:dyDescent="0.3">
      <c r="A11737">
        <v>11735</v>
      </c>
      <c r="B11737" t="s">
        <v>15333</v>
      </c>
      <c r="C11737" t="s">
        <v>32</v>
      </c>
      <c r="D11737">
        <v>0.380493499715927</v>
      </c>
    </row>
    <row r="11738" spans="1:4" hidden="1" x14ac:dyDescent="0.3">
      <c r="A11738">
        <v>11736</v>
      </c>
      <c r="B11738" s="1" t="s">
        <v>15334</v>
      </c>
      <c r="C11738" t="s">
        <v>155</v>
      </c>
      <c r="D11738" s="1" t="s">
        <v>15335</v>
      </c>
    </row>
    <row r="11739" spans="1:4" hidden="1" x14ac:dyDescent="0.3">
      <c r="A11739">
        <v>11737</v>
      </c>
      <c r="B11739" t="s">
        <v>15336</v>
      </c>
      <c r="C11739" t="s">
        <v>40</v>
      </c>
      <c r="D11739">
        <v>-0.44703842491684798</v>
      </c>
    </row>
    <row r="11740" spans="1:4" hidden="1" x14ac:dyDescent="0.3">
      <c r="A11740">
        <v>11738</v>
      </c>
      <c r="B11740" t="s">
        <v>15337</v>
      </c>
      <c r="C11740" t="s">
        <v>42</v>
      </c>
      <c r="D11740">
        <v>0.407675644238923</v>
      </c>
    </row>
    <row r="11741" spans="1:4" hidden="1" x14ac:dyDescent="0.3">
      <c r="A11741">
        <v>11739</v>
      </c>
      <c r="B11741" s="1" t="s">
        <v>15338</v>
      </c>
      <c r="C11741" t="s">
        <v>159</v>
      </c>
      <c r="D11741" s="1" t="s">
        <v>15339</v>
      </c>
    </row>
    <row r="11742" spans="1:4" hidden="1" x14ac:dyDescent="0.3">
      <c r="A11742">
        <v>11740</v>
      </c>
      <c r="B11742" t="s">
        <v>15340</v>
      </c>
      <c r="C11742" t="s">
        <v>161</v>
      </c>
      <c r="D11742">
        <v>1.0243220964962001</v>
      </c>
    </row>
    <row r="11743" spans="1:4" hidden="1" x14ac:dyDescent="0.3">
      <c r="A11743">
        <v>11741</v>
      </c>
      <c r="B11743" t="s">
        <v>15341</v>
      </c>
      <c r="C11743" t="s">
        <v>163</v>
      </c>
      <c r="D11743">
        <v>1.0121442829677401</v>
      </c>
    </row>
    <row r="11744" spans="1:4" hidden="1" x14ac:dyDescent="0.3">
      <c r="A11744">
        <v>11742</v>
      </c>
      <c r="B11744" s="1" t="s">
        <v>15342</v>
      </c>
      <c r="C11744" t="s">
        <v>165</v>
      </c>
      <c r="D11744" s="1" t="s">
        <v>15343</v>
      </c>
    </row>
    <row r="11745" spans="1:4" hidden="1" x14ac:dyDescent="0.3">
      <c r="A11745">
        <v>11743</v>
      </c>
      <c r="B11745" t="s">
        <v>15344</v>
      </c>
      <c r="C11745" t="s">
        <v>168</v>
      </c>
      <c r="D11745">
        <v>0.98483442654201203</v>
      </c>
    </row>
    <row r="11746" spans="1:4" hidden="1" x14ac:dyDescent="0.3">
      <c r="A11746">
        <v>11744</v>
      </c>
      <c r="B11746" t="s">
        <v>15345</v>
      </c>
      <c r="C11746" t="s">
        <v>170</v>
      </c>
      <c r="D11746">
        <v>1.0282192072837799</v>
      </c>
    </row>
    <row r="11747" spans="1:4" hidden="1" x14ac:dyDescent="0.3">
      <c r="A11747">
        <v>11745</v>
      </c>
      <c r="B11747" s="1" t="s">
        <v>15346</v>
      </c>
      <c r="C11747" t="s">
        <v>172</v>
      </c>
      <c r="D11747" s="1" t="s">
        <v>15347</v>
      </c>
    </row>
    <row r="11748" spans="1:4" hidden="1" x14ac:dyDescent="0.3">
      <c r="A11748">
        <v>11746</v>
      </c>
      <c r="B11748" s="1" t="s">
        <v>15348</v>
      </c>
      <c r="C11748" t="s">
        <v>55</v>
      </c>
      <c r="D11748" s="1" t="s">
        <v>15349</v>
      </c>
    </row>
    <row r="11749" spans="1:4" hidden="1" x14ac:dyDescent="0.3">
      <c r="A11749">
        <v>11747</v>
      </c>
      <c r="B11749" s="1" t="s">
        <v>15350</v>
      </c>
      <c r="C11749" t="s">
        <v>52</v>
      </c>
      <c r="D11749" s="1" t="s">
        <v>15351</v>
      </c>
    </row>
    <row r="11750" spans="1:4" hidden="1" x14ac:dyDescent="0.3">
      <c r="A11750">
        <v>11748</v>
      </c>
      <c r="B11750" s="1" t="s">
        <v>15352</v>
      </c>
      <c r="C11750" t="s">
        <v>58</v>
      </c>
      <c r="D11750" s="1" t="s">
        <v>15353</v>
      </c>
    </row>
    <row r="11751" spans="1:4" hidden="1" x14ac:dyDescent="0.3">
      <c r="A11751">
        <v>11749</v>
      </c>
      <c r="B11751" t="s">
        <v>15354</v>
      </c>
      <c r="C11751" t="s">
        <v>61</v>
      </c>
      <c r="D11751">
        <v>146934526.224738</v>
      </c>
    </row>
    <row r="11752" spans="1:4" hidden="1" x14ac:dyDescent="0.3">
      <c r="A11752">
        <v>11750</v>
      </c>
      <c r="B11752" t="s">
        <v>15355</v>
      </c>
      <c r="C11752" t="s">
        <v>63</v>
      </c>
      <c r="D11752">
        <v>82585682.8645937</v>
      </c>
    </row>
    <row r="11753" spans="1:4" hidden="1" x14ac:dyDescent="0.3">
      <c r="A11753">
        <v>11751</v>
      </c>
      <c r="B11753" t="s">
        <v>15356</v>
      </c>
      <c r="C11753" t="s">
        <v>65</v>
      </c>
      <c r="D11753">
        <v>34530071.684769601</v>
      </c>
    </row>
    <row r="11754" spans="1:4" hidden="1" x14ac:dyDescent="0.3">
      <c r="A11754">
        <v>11752</v>
      </c>
      <c r="B11754" s="1" t="s">
        <v>15357</v>
      </c>
      <c r="C11754" t="s">
        <v>67</v>
      </c>
      <c r="D11754" s="1" t="s">
        <v>15358</v>
      </c>
    </row>
    <row r="11755" spans="1:4" hidden="1" x14ac:dyDescent="0.3">
      <c r="A11755">
        <v>11753</v>
      </c>
      <c r="B11755" s="1" t="s">
        <v>15359</v>
      </c>
      <c r="C11755" t="s">
        <v>70</v>
      </c>
      <c r="D11755" s="1" t="s">
        <v>15360</v>
      </c>
    </row>
    <row r="11756" spans="1:4" hidden="1" x14ac:dyDescent="0.3">
      <c r="A11756">
        <v>11754</v>
      </c>
      <c r="B11756" t="s">
        <v>15361</v>
      </c>
      <c r="C11756" t="s">
        <v>73</v>
      </c>
      <c r="D11756">
        <v>0.99987026502433995</v>
      </c>
    </row>
    <row r="11757" spans="1:4" hidden="1" x14ac:dyDescent="0.3">
      <c r="A11757">
        <v>11755</v>
      </c>
      <c r="B11757" t="s">
        <v>74</v>
      </c>
      <c r="C11757" t="s">
        <v>75</v>
      </c>
      <c r="D11757">
        <v>2.7397260273972599E-3</v>
      </c>
    </row>
    <row r="11758" spans="1:4" hidden="1" x14ac:dyDescent="0.3">
      <c r="A11758">
        <v>11756</v>
      </c>
      <c r="B11758" t="s">
        <v>76</v>
      </c>
      <c r="C11758" t="s">
        <v>77</v>
      </c>
      <c r="D11758">
        <v>0</v>
      </c>
    </row>
    <row r="11759" spans="1:4" hidden="1" x14ac:dyDescent="0.3">
      <c r="A11759">
        <v>11757</v>
      </c>
      <c r="B11759" t="s">
        <v>78</v>
      </c>
      <c r="C11759" t="s">
        <v>79</v>
      </c>
      <c r="D11759">
        <v>0</v>
      </c>
    </row>
    <row r="11760" spans="1:4" hidden="1" x14ac:dyDescent="0.3">
      <c r="A11760">
        <v>11758</v>
      </c>
      <c r="B11760" s="1" t="s">
        <v>15362</v>
      </c>
      <c r="C11760" t="s">
        <v>81</v>
      </c>
      <c r="D11760" s="1" t="s">
        <v>15363</v>
      </c>
    </row>
    <row r="11761" spans="1:4" hidden="1" x14ac:dyDescent="0.3">
      <c r="A11761">
        <v>11759</v>
      </c>
      <c r="B11761" t="s">
        <v>15364</v>
      </c>
      <c r="C11761" t="s">
        <v>84</v>
      </c>
      <c r="D11761">
        <v>0.99986196667822202</v>
      </c>
    </row>
    <row r="11762" spans="1:4" hidden="1" x14ac:dyDescent="0.3">
      <c r="A11762">
        <v>11760</v>
      </c>
      <c r="B11762" s="1" t="s">
        <v>15365</v>
      </c>
      <c r="C11762" t="s">
        <v>86</v>
      </c>
      <c r="D11762" s="1" t="s">
        <v>15366</v>
      </c>
    </row>
    <row r="11763" spans="1:4" hidden="1" x14ac:dyDescent="0.3">
      <c r="A11763">
        <v>11761</v>
      </c>
      <c r="B11763" t="s">
        <v>15367</v>
      </c>
      <c r="C11763" t="s">
        <v>89</v>
      </c>
      <c r="D11763">
        <v>104270156.44963901</v>
      </c>
    </row>
    <row r="11764" spans="1:4" hidden="1" x14ac:dyDescent="0.3">
      <c r="A11764">
        <v>11762</v>
      </c>
      <c r="B11764" s="1" t="s">
        <v>15368</v>
      </c>
      <c r="C11764" t="s">
        <v>91</v>
      </c>
      <c r="D11764" s="1" t="s">
        <v>15303</v>
      </c>
    </row>
    <row r="11765" spans="1:4" hidden="1" x14ac:dyDescent="0.3">
      <c r="A11765">
        <v>11763</v>
      </c>
      <c r="B11765" t="s">
        <v>15369</v>
      </c>
      <c r="C11765" t="s">
        <v>94</v>
      </c>
      <c r="D11765">
        <v>82585682.8645937</v>
      </c>
    </row>
    <row r="11766" spans="1:4" hidden="1" x14ac:dyDescent="0.3">
      <c r="A11766">
        <v>11764</v>
      </c>
      <c r="B11766" t="s">
        <v>15370</v>
      </c>
      <c r="C11766" t="s">
        <v>96</v>
      </c>
      <c r="D11766">
        <v>34530071.684769601</v>
      </c>
    </row>
    <row r="11767" spans="1:4" hidden="1" x14ac:dyDescent="0.3">
      <c r="A11767">
        <v>11765</v>
      </c>
      <c r="B11767" t="s">
        <v>15371</v>
      </c>
      <c r="C11767" t="s">
        <v>98</v>
      </c>
      <c r="D11767">
        <v>29818771.675374899</v>
      </c>
    </row>
    <row r="11768" spans="1:4" hidden="1" x14ac:dyDescent="0.3">
      <c r="A11768">
        <v>11766</v>
      </c>
      <c r="B11768" s="1" t="s">
        <v>15372</v>
      </c>
      <c r="C11768" t="s">
        <v>100</v>
      </c>
      <c r="D11768" s="1" t="s">
        <v>15373</v>
      </c>
    </row>
    <row r="11769" spans="1:4" hidden="1" x14ac:dyDescent="0.3">
      <c r="A11769">
        <v>11767</v>
      </c>
      <c r="B11769" t="s">
        <v>15374</v>
      </c>
      <c r="C11769" t="s">
        <v>103</v>
      </c>
      <c r="D11769">
        <v>9.8467154658102105E-3</v>
      </c>
    </row>
    <row r="11770" spans="1:4" hidden="1" x14ac:dyDescent="0.3">
      <c r="A11770">
        <v>11768</v>
      </c>
      <c r="B11770" t="s">
        <v>15375</v>
      </c>
      <c r="C11770" t="s">
        <v>105</v>
      </c>
      <c r="D11770">
        <v>2.9437181580047799E-3</v>
      </c>
    </row>
    <row r="11771" spans="1:4" hidden="1" x14ac:dyDescent="0.3">
      <c r="A11771">
        <v>11769</v>
      </c>
      <c r="B11771" t="s">
        <v>15376</v>
      </c>
      <c r="C11771" t="s">
        <v>107</v>
      </c>
      <c r="D11771">
        <v>2.4564435463969001E-2</v>
      </c>
    </row>
    <row r="11772" spans="1:4" hidden="1" x14ac:dyDescent="0.3">
      <c r="A11772">
        <v>11770</v>
      </c>
      <c r="B11772" s="1" t="s">
        <v>15377</v>
      </c>
      <c r="C11772" t="s">
        <v>109</v>
      </c>
      <c r="D11772" s="1" t="s">
        <v>15378</v>
      </c>
    </row>
    <row r="11773" spans="1:4" hidden="1" x14ac:dyDescent="0.3">
      <c r="A11773">
        <v>11771</v>
      </c>
      <c r="B11773" t="s">
        <v>15379</v>
      </c>
      <c r="C11773" t="s">
        <v>208</v>
      </c>
      <c r="D11773">
        <v>146934226.61849999</v>
      </c>
    </row>
    <row r="11774" spans="1:4" hidden="1" x14ac:dyDescent="0.3">
      <c r="A11774">
        <v>11772</v>
      </c>
      <c r="B11774" t="s">
        <v>15380</v>
      </c>
      <c r="C11774" t="s">
        <v>210</v>
      </c>
      <c r="D11774">
        <v>685.41148473810097</v>
      </c>
    </row>
    <row r="11775" spans="1:4" hidden="1" x14ac:dyDescent="0.3">
      <c r="A11775">
        <v>11773</v>
      </c>
      <c r="B11775" t="s">
        <v>15381</v>
      </c>
      <c r="C11775" t="s">
        <v>212</v>
      </c>
      <c r="D11775">
        <v>286.57940228916198</v>
      </c>
    </row>
    <row r="11776" spans="1:4" hidden="1" x14ac:dyDescent="0.3">
      <c r="A11776">
        <v>11774</v>
      </c>
      <c r="B11776" s="1" t="s">
        <v>15382</v>
      </c>
      <c r="C11776" t="s">
        <v>214</v>
      </c>
      <c r="D11776" s="1" t="s">
        <v>15383</v>
      </c>
    </row>
    <row r="11777" spans="1:4" hidden="1" x14ac:dyDescent="0.3">
      <c r="A11777">
        <v>11775</v>
      </c>
      <c r="B11777" t="s">
        <v>15384</v>
      </c>
      <c r="C11777" t="s">
        <v>217</v>
      </c>
      <c r="D11777">
        <v>82584754.287315696</v>
      </c>
    </row>
    <row r="11778" spans="1:4" hidden="1" x14ac:dyDescent="0.3">
      <c r="A11778">
        <v>11776</v>
      </c>
      <c r="B11778" t="s">
        <v>15385</v>
      </c>
      <c r="C11778" t="s">
        <v>219</v>
      </c>
      <c r="D11778">
        <v>34529753.3654541</v>
      </c>
    </row>
    <row r="11779" spans="1:4" hidden="1" x14ac:dyDescent="0.3">
      <c r="A11779">
        <v>11777</v>
      </c>
      <c r="B11779" t="s">
        <v>15386</v>
      </c>
      <c r="C11779" t="s">
        <v>221</v>
      </c>
      <c r="D11779">
        <v>29818499.496454101</v>
      </c>
    </row>
    <row r="11780" spans="1:4" hidden="1" x14ac:dyDescent="0.3">
      <c r="A11780">
        <v>11778</v>
      </c>
      <c r="B11780" s="1" t="s">
        <v>15387</v>
      </c>
      <c r="C11780" t="s">
        <v>223</v>
      </c>
      <c r="D11780" s="1" t="s">
        <v>15388</v>
      </c>
    </row>
    <row r="11781" spans="1:4" hidden="1" x14ac:dyDescent="0.3">
      <c r="A11781">
        <v>11779</v>
      </c>
      <c r="B11781" t="s">
        <v>15389</v>
      </c>
      <c r="C11781" t="s">
        <v>226</v>
      </c>
      <c r="D11781">
        <v>104269291.06752101</v>
      </c>
    </row>
    <row r="11782" spans="1:4" hidden="1" x14ac:dyDescent="0.3">
      <c r="A11782">
        <v>11780</v>
      </c>
      <c r="B11782" t="s">
        <v>15390</v>
      </c>
      <c r="C11782" t="s">
        <v>228</v>
      </c>
      <c r="D11782">
        <v>865.38211828470196</v>
      </c>
    </row>
    <row r="11783" spans="1:4" hidden="1" x14ac:dyDescent="0.3">
      <c r="A11783">
        <v>11781</v>
      </c>
      <c r="B11783" s="1" t="s">
        <v>15391</v>
      </c>
      <c r="C11783" t="s">
        <v>230</v>
      </c>
      <c r="D11783" s="1" t="s">
        <v>15392</v>
      </c>
    </row>
    <row r="11784" spans="1:4" hidden="1" x14ac:dyDescent="0.3">
      <c r="A11784">
        <v>11782</v>
      </c>
      <c r="B11784" t="s">
        <v>15393</v>
      </c>
      <c r="C11784" t="s">
        <v>112</v>
      </c>
      <c r="D11784">
        <v>-243.16579326704701</v>
      </c>
    </row>
    <row r="11785" spans="1:4" hidden="1" x14ac:dyDescent="0.3">
      <c r="A11785">
        <v>11783</v>
      </c>
      <c r="B11785" t="s">
        <v>15394</v>
      </c>
      <c r="C11785" t="s">
        <v>114</v>
      </c>
      <c r="D11785">
        <v>-31.739913224365701</v>
      </c>
    </row>
    <row r="11786" spans="1:4" hidden="1" x14ac:dyDescent="0.3">
      <c r="A11786">
        <v>11784</v>
      </c>
      <c r="B11786" s="1" t="s">
        <v>15395</v>
      </c>
      <c r="C11786" t="s">
        <v>116</v>
      </c>
      <c r="D11786" s="1" t="s">
        <v>15396</v>
      </c>
    </row>
    <row r="11787" spans="1:4" hidden="1" x14ac:dyDescent="0.3">
      <c r="A11787">
        <v>11785</v>
      </c>
      <c r="B11787" t="s">
        <v>15397</v>
      </c>
      <c r="C11787" t="s">
        <v>119</v>
      </c>
      <c r="D11787">
        <v>82584754.287315696</v>
      </c>
    </row>
    <row r="11788" spans="1:4" hidden="1" x14ac:dyDescent="0.3">
      <c r="A11788">
        <v>11786</v>
      </c>
      <c r="B11788" t="s">
        <v>15398</v>
      </c>
      <c r="C11788" t="s">
        <v>121</v>
      </c>
      <c r="D11788">
        <v>34529753.3654541</v>
      </c>
    </row>
    <row r="11789" spans="1:4" hidden="1" x14ac:dyDescent="0.3">
      <c r="A11789">
        <v>11787</v>
      </c>
      <c r="B11789" s="1" t="s">
        <v>15399</v>
      </c>
      <c r="C11789" t="s">
        <v>123</v>
      </c>
      <c r="D11789" s="1" t="s">
        <v>15400</v>
      </c>
    </row>
    <row r="11790" spans="1:4" hidden="1" x14ac:dyDescent="0.3">
      <c r="A11790">
        <v>11788</v>
      </c>
      <c r="B11790" t="s">
        <v>15401</v>
      </c>
      <c r="C11790" t="s">
        <v>126</v>
      </c>
      <c r="D11790">
        <v>0.792142676557689</v>
      </c>
    </row>
    <row r="11791" spans="1:4" hidden="1" x14ac:dyDescent="0.3">
      <c r="A11791">
        <v>11789</v>
      </c>
      <c r="B11791" t="s">
        <v>15402</v>
      </c>
      <c r="C11791" t="s">
        <v>128</v>
      </c>
      <c r="D11791">
        <v>0.331205093335111</v>
      </c>
    </row>
    <row r="11792" spans="1:4" hidden="1" x14ac:dyDescent="0.3">
      <c r="A11792">
        <v>11790</v>
      </c>
      <c r="B11792" s="1" t="s">
        <v>15403</v>
      </c>
      <c r="C11792" t="s">
        <v>130</v>
      </c>
      <c r="D11792" s="1" t="s">
        <v>15404</v>
      </c>
    </row>
    <row r="11793" spans="1:4" ht="72" x14ac:dyDescent="0.3">
      <c r="A11793">
        <v>11791</v>
      </c>
      <c r="B11793" s="1" t="s">
        <v>15405</v>
      </c>
      <c r="C11793" t="s">
        <v>4</v>
      </c>
      <c r="D11793" t="s">
        <v>15406</v>
      </c>
    </row>
    <row r="11794" spans="1:4" hidden="1" x14ac:dyDescent="0.3">
      <c r="A11794">
        <v>11792</v>
      </c>
      <c r="B11794" t="s">
        <v>15407</v>
      </c>
      <c r="C11794" t="s">
        <v>7</v>
      </c>
      <c r="D11794">
        <v>1904.01</v>
      </c>
    </row>
    <row r="11795" spans="1:4" hidden="1" x14ac:dyDescent="0.3">
      <c r="A11795">
        <v>11793</v>
      </c>
      <c r="B11795" s="1" t="s">
        <v>15408</v>
      </c>
      <c r="C11795" t="s">
        <v>9</v>
      </c>
      <c r="D11795" s="1" t="s">
        <v>15409</v>
      </c>
    </row>
    <row r="11796" spans="1:4" hidden="1" x14ac:dyDescent="0.3">
      <c r="A11796">
        <v>11794</v>
      </c>
      <c r="B11796" t="s">
        <v>15410</v>
      </c>
      <c r="C11796" t="s">
        <v>14</v>
      </c>
      <c r="D11796">
        <v>90.26171875</v>
      </c>
    </row>
    <row r="11797" spans="1:4" hidden="1" x14ac:dyDescent="0.3">
      <c r="A11797">
        <v>11795</v>
      </c>
      <c r="B11797" t="s">
        <v>15411</v>
      </c>
      <c r="C11797" t="s">
        <v>16</v>
      </c>
      <c r="D11797">
        <v>4.2348276490105299</v>
      </c>
    </row>
    <row r="11798" spans="1:4" hidden="1" x14ac:dyDescent="0.3">
      <c r="A11798">
        <v>11796</v>
      </c>
      <c r="B11798" s="1" t="s">
        <v>15412</v>
      </c>
      <c r="C11798" t="s">
        <v>140</v>
      </c>
      <c r="D11798" s="1" t="s">
        <v>15413</v>
      </c>
    </row>
    <row r="11799" spans="1:4" hidden="1" x14ac:dyDescent="0.3">
      <c r="A11799">
        <v>11797</v>
      </c>
      <c r="B11799" t="s">
        <v>15414</v>
      </c>
      <c r="C11799" t="s">
        <v>22</v>
      </c>
      <c r="D11799">
        <v>48.65</v>
      </c>
    </row>
    <row r="11800" spans="1:4" hidden="1" x14ac:dyDescent="0.3">
      <c r="A11800">
        <v>11798</v>
      </c>
      <c r="B11800" t="s">
        <v>15415</v>
      </c>
      <c r="C11800" t="s">
        <v>24</v>
      </c>
      <c r="D11800">
        <v>4.7316738070649897</v>
      </c>
    </row>
    <row r="11801" spans="1:4" hidden="1" x14ac:dyDescent="0.3">
      <c r="A11801">
        <v>11799</v>
      </c>
      <c r="B11801" s="1" t="s">
        <v>15416</v>
      </c>
      <c r="C11801" t="s">
        <v>145</v>
      </c>
      <c r="D11801" s="1" t="s">
        <v>15417</v>
      </c>
    </row>
    <row r="11802" spans="1:4" hidden="1" x14ac:dyDescent="0.3">
      <c r="A11802">
        <v>11800</v>
      </c>
      <c r="B11802" t="s">
        <v>15418</v>
      </c>
      <c r="C11802" t="s">
        <v>35</v>
      </c>
      <c r="D11802">
        <v>-0.50973576659745701</v>
      </c>
    </row>
    <row r="11803" spans="1:4" hidden="1" x14ac:dyDescent="0.3">
      <c r="A11803">
        <v>11801</v>
      </c>
      <c r="B11803" t="s">
        <v>15419</v>
      </c>
      <c r="C11803" t="s">
        <v>149</v>
      </c>
      <c r="D11803">
        <v>0.55584602694935803</v>
      </c>
    </row>
    <row r="11804" spans="1:4" hidden="1" x14ac:dyDescent="0.3">
      <c r="A11804">
        <v>11802</v>
      </c>
      <c r="B11804" s="1" t="s">
        <v>15420</v>
      </c>
      <c r="C11804" t="s">
        <v>151</v>
      </c>
      <c r="D11804" s="1" t="s">
        <v>15421</v>
      </c>
    </row>
    <row r="11805" spans="1:4" hidden="1" x14ac:dyDescent="0.3">
      <c r="A11805">
        <v>11803</v>
      </c>
      <c r="B11805" t="s">
        <v>15422</v>
      </c>
      <c r="C11805" t="s">
        <v>30</v>
      </c>
      <c r="D11805">
        <v>0.67728413524947995</v>
      </c>
    </row>
    <row r="11806" spans="1:4" hidden="1" x14ac:dyDescent="0.3">
      <c r="A11806">
        <v>11804</v>
      </c>
      <c r="B11806" t="s">
        <v>15423</v>
      </c>
      <c r="C11806" t="s">
        <v>32</v>
      </c>
      <c r="D11806">
        <v>0.38229030310696399</v>
      </c>
    </row>
    <row r="11807" spans="1:4" hidden="1" x14ac:dyDescent="0.3">
      <c r="A11807">
        <v>11805</v>
      </c>
      <c r="B11807" s="1" t="s">
        <v>15424</v>
      </c>
      <c r="C11807" t="s">
        <v>155</v>
      </c>
      <c r="D11807" s="1" t="s">
        <v>15425</v>
      </c>
    </row>
    <row r="11808" spans="1:4" hidden="1" x14ac:dyDescent="0.3">
      <c r="A11808">
        <v>11806</v>
      </c>
      <c r="B11808" t="s">
        <v>15426</v>
      </c>
      <c r="C11808" t="s">
        <v>40</v>
      </c>
      <c r="D11808">
        <v>0.83245163134797795</v>
      </c>
    </row>
    <row r="11809" spans="1:4" hidden="1" x14ac:dyDescent="0.3">
      <c r="A11809">
        <v>11807</v>
      </c>
      <c r="B11809" t="s">
        <v>15427</v>
      </c>
      <c r="C11809" t="s">
        <v>42</v>
      </c>
      <c r="D11809">
        <v>0.416769061386986</v>
      </c>
    </row>
    <row r="11810" spans="1:4" hidden="1" x14ac:dyDescent="0.3">
      <c r="A11810">
        <v>11808</v>
      </c>
      <c r="B11810" s="1" t="s">
        <v>15428</v>
      </c>
      <c r="C11810" t="s">
        <v>159</v>
      </c>
      <c r="D11810" s="1" t="s">
        <v>15429</v>
      </c>
    </row>
    <row r="11811" spans="1:4" hidden="1" x14ac:dyDescent="0.3">
      <c r="A11811">
        <v>11809</v>
      </c>
      <c r="B11811" t="s">
        <v>15430</v>
      </c>
      <c r="C11811" t="s">
        <v>161</v>
      </c>
      <c r="D11811">
        <v>0.994936510424831</v>
      </c>
    </row>
    <row r="11812" spans="1:4" hidden="1" x14ac:dyDescent="0.3">
      <c r="A11812">
        <v>11810</v>
      </c>
      <c r="B11812" t="s">
        <v>15431</v>
      </c>
      <c r="C11812" t="s">
        <v>163</v>
      </c>
      <c r="D11812">
        <v>0.994193730462548</v>
      </c>
    </row>
    <row r="11813" spans="1:4" hidden="1" x14ac:dyDescent="0.3">
      <c r="A11813">
        <v>11811</v>
      </c>
      <c r="B11813" s="1" t="s">
        <v>15432</v>
      </c>
      <c r="C11813" t="s">
        <v>165</v>
      </c>
      <c r="D11813" s="1" t="s">
        <v>15433</v>
      </c>
    </row>
    <row r="11814" spans="1:4" hidden="1" x14ac:dyDescent="0.3">
      <c r="A11814">
        <v>11812</v>
      </c>
      <c r="B11814" t="s">
        <v>15434</v>
      </c>
      <c r="C11814" t="s">
        <v>168</v>
      </c>
      <c r="D11814">
        <v>0.99782893881012003</v>
      </c>
    </row>
    <row r="11815" spans="1:4" hidden="1" x14ac:dyDescent="0.3">
      <c r="A11815">
        <v>11813</v>
      </c>
      <c r="B11815" t="s">
        <v>15435</v>
      </c>
      <c r="C11815" t="s">
        <v>170</v>
      </c>
      <c r="D11815">
        <v>1.0013015659917299</v>
      </c>
    </row>
    <row r="11816" spans="1:4" hidden="1" x14ac:dyDescent="0.3">
      <c r="A11816">
        <v>11814</v>
      </c>
      <c r="B11816" s="1" t="s">
        <v>15436</v>
      </c>
      <c r="C11816" t="s">
        <v>172</v>
      </c>
      <c r="D11816" s="1" t="s">
        <v>15437</v>
      </c>
    </row>
    <row r="11817" spans="1:4" hidden="1" x14ac:dyDescent="0.3">
      <c r="A11817">
        <v>11815</v>
      </c>
      <c r="B11817" s="1" t="s">
        <v>15438</v>
      </c>
      <c r="C11817" t="s">
        <v>55</v>
      </c>
      <c r="D11817" s="1" t="s">
        <v>15439</v>
      </c>
    </row>
    <row r="11818" spans="1:4" hidden="1" x14ac:dyDescent="0.3">
      <c r="A11818">
        <v>11816</v>
      </c>
      <c r="B11818" s="1" t="s">
        <v>15440</v>
      </c>
      <c r="C11818" t="s">
        <v>52</v>
      </c>
      <c r="D11818" s="1" t="s">
        <v>15441</v>
      </c>
    </row>
    <row r="11819" spans="1:4" hidden="1" x14ac:dyDescent="0.3">
      <c r="A11819">
        <v>11817</v>
      </c>
      <c r="B11819" s="1" t="s">
        <v>15442</v>
      </c>
      <c r="C11819" t="s">
        <v>58</v>
      </c>
      <c r="D11819" s="1" t="s">
        <v>15443</v>
      </c>
    </row>
    <row r="11820" spans="1:4" hidden="1" x14ac:dyDescent="0.3">
      <c r="A11820">
        <v>11818</v>
      </c>
      <c r="B11820" t="s">
        <v>15444</v>
      </c>
      <c r="C11820" t="s">
        <v>61</v>
      </c>
      <c r="D11820">
        <v>146266666.11808899</v>
      </c>
    </row>
    <row r="11821" spans="1:4" hidden="1" x14ac:dyDescent="0.3">
      <c r="A11821">
        <v>11819</v>
      </c>
      <c r="B11821" t="s">
        <v>15445</v>
      </c>
      <c r="C11821" t="s">
        <v>63</v>
      </c>
      <c r="D11821">
        <v>82166587.2449141</v>
      </c>
    </row>
    <row r="11822" spans="1:4" hidden="1" x14ac:dyDescent="0.3">
      <c r="A11822">
        <v>11820</v>
      </c>
      <c r="B11822" t="s">
        <v>15446</v>
      </c>
      <c r="C11822" t="s">
        <v>65</v>
      </c>
      <c r="D11822">
        <v>34329264.310352497</v>
      </c>
    </row>
    <row r="11823" spans="1:4" hidden="1" x14ac:dyDescent="0.3">
      <c r="A11823">
        <v>11821</v>
      </c>
      <c r="B11823" s="1" t="s">
        <v>15447</v>
      </c>
      <c r="C11823" t="s">
        <v>67</v>
      </c>
      <c r="D11823" s="1" t="s">
        <v>15448</v>
      </c>
    </row>
    <row r="11824" spans="1:4" hidden="1" x14ac:dyDescent="0.3">
      <c r="A11824">
        <v>11822</v>
      </c>
      <c r="B11824" s="1" t="s">
        <v>15449</v>
      </c>
      <c r="C11824" t="s">
        <v>70</v>
      </c>
      <c r="D11824" s="1" t="s">
        <v>15450</v>
      </c>
    </row>
    <row r="11825" spans="1:4" hidden="1" x14ac:dyDescent="0.3">
      <c r="A11825">
        <v>11823</v>
      </c>
      <c r="B11825" t="s">
        <v>15451</v>
      </c>
      <c r="C11825" t="s">
        <v>73</v>
      </c>
      <c r="D11825">
        <v>0.99986196667822202</v>
      </c>
    </row>
    <row r="11826" spans="1:4" hidden="1" x14ac:dyDescent="0.3">
      <c r="A11826">
        <v>11824</v>
      </c>
      <c r="B11826" t="s">
        <v>74</v>
      </c>
      <c r="C11826" t="s">
        <v>75</v>
      </c>
      <c r="D11826">
        <v>2.7397260273972599E-3</v>
      </c>
    </row>
    <row r="11827" spans="1:4" hidden="1" x14ac:dyDescent="0.3">
      <c r="A11827">
        <v>11825</v>
      </c>
      <c r="B11827" t="s">
        <v>76</v>
      </c>
      <c r="C11827" t="s">
        <v>77</v>
      </c>
      <c r="D11827">
        <v>0</v>
      </c>
    </row>
    <row r="11828" spans="1:4" hidden="1" x14ac:dyDescent="0.3">
      <c r="A11828">
        <v>11826</v>
      </c>
      <c r="B11828" t="s">
        <v>78</v>
      </c>
      <c r="C11828" t="s">
        <v>79</v>
      </c>
      <c r="D11828">
        <v>0</v>
      </c>
    </row>
    <row r="11829" spans="1:4" hidden="1" x14ac:dyDescent="0.3">
      <c r="A11829">
        <v>11827</v>
      </c>
      <c r="B11829" s="1" t="s">
        <v>15452</v>
      </c>
      <c r="C11829" t="s">
        <v>81</v>
      </c>
      <c r="D11829" s="1" t="s">
        <v>15453</v>
      </c>
    </row>
    <row r="11830" spans="1:4" hidden="1" x14ac:dyDescent="0.3">
      <c r="A11830">
        <v>11828</v>
      </c>
      <c r="B11830" t="s">
        <v>15454</v>
      </c>
      <c r="C11830" t="s">
        <v>84</v>
      </c>
      <c r="D11830">
        <v>0.99985873317719598</v>
      </c>
    </row>
    <row r="11831" spans="1:4" hidden="1" x14ac:dyDescent="0.3">
      <c r="A11831">
        <v>11829</v>
      </c>
      <c r="B11831" s="1" t="s">
        <v>15455</v>
      </c>
      <c r="C11831" t="s">
        <v>86</v>
      </c>
      <c r="D11831" s="1" t="s">
        <v>15456</v>
      </c>
    </row>
    <row r="11832" spans="1:4" hidden="1" x14ac:dyDescent="0.3">
      <c r="A11832">
        <v>11830</v>
      </c>
      <c r="B11832" t="s">
        <v>15457</v>
      </c>
      <c r="C11832" t="s">
        <v>89</v>
      </c>
      <c r="D11832">
        <v>104270493.65493301</v>
      </c>
    </row>
    <row r="11833" spans="1:4" hidden="1" x14ac:dyDescent="0.3">
      <c r="A11833">
        <v>11831</v>
      </c>
      <c r="B11833" s="1" t="s">
        <v>15458</v>
      </c>
      <c r="C11833" t="s">
        <v>91</v>
      </c>
      <c r="D11833" s="1" t="s">
        <v>15392</v>
      </c>
    </row>
    <row r="11834" spans="1:4" hidden="1" x14ac:dyDescent="0.3">
      <c r="A11834">
        <v>11832</v>
      </c>
      <c r="B11834" t="s">
        <v>15459</v>
      </c>
      <c r="C11834" t="s">
        <v>94</v>
      </c>
      <c r="D11834">
        <v>82166587.2449141</v>
      </c>
    </row>
    <row r="11835" spans="1:4" hidden="1" x14ac:dyDescent="0.3">
      <c r="A11835">
        <v>11833</v>
      </c>
      <c r="B11835" t="s">
        <v>15460</v>
      </c>
      <c r="C11835" t="s">
        <v>96</v>
      </c>
      <c r="D11835">
        <v>34329264.310352497</v>
      </c>
    </row>
    <row r="11836" spans="1:4" hidden="1" x14ac:dyDescent="0.3">
      <c r="A11836">
        <v>11834</v>
      </c>
      <c r="B11836" t="s">
        <v>15461</v>
      </c>
      <c r="C11836" t="s">
        <v>98</v>
      </c>
      <c r="D11836">
        <v>29770814.562823098</v>
      </c>
    </row>
    <row r="11837" spans="1:4" hidden="1" x14ac:dyDescent="0.3">
      <c r="A11837">
        <v>11835</v>
      </c>
      <c r="B11837" s="1" t="s">
        <v>15462</v>
      </c>
      <c r="C11837" t="s">
        <v>100</v>
      </c>
      <c r="D11837" s="1" t="s">
        <v>15463</v>
      </c>
    </row>
    <row r="11838" spans="1:4" hidden="1" x14ac:dyDescent="0.3">
      <c r="A11838">
        <v>11836</v>
      </c>
      <c r="B11838" t="s">
        <v>15464</v>
      </c>
      <c r="C11838" t="s">
        <v>103</v>
      </c>
      <c r="D11838">
        <v>1.01132382749709E-2</v>
      </c>
    </row>
    <row r="11839" spans="1:4" hidden="1" x14ac:dyDescent="0.3">
      <c r="A11839">
        <v>11837</v>
      </c>
      <c r="B11839" t="s">
        <v>15465</v>
      </c>
      <c r="C11839" t="s">
        <v>105</v>
      </c>
      <c r="D11839">
        <v>3.0085638127903699E-3</v>
      </c>
    </row>
    <row r="11840" spans="1:4" hidden="1" x14ac:dyDescent="0.3">
      <c r="A11840">
        <v>11838</v>
      </c>
      <c r="B11840" t="s">
        <v>15466</v>
      </c>
      <c r="C11840" t="s">
        <v>107</v>
      </c>
      <c r="D11840">
        <v>2.4488646949989201E-2</v>
      </c>
    </row>
    <row r="11841" spans="1:4" hidden="1" x14ac:dyDescent="0.3">
      <c r="A11841">
        <v>11839</v>
      </c>
      <c r="B11841" s="1" t="s">
        <v>15467</v>
      </c>
      <c r="C11841" t="s">
        <v>109</v>
      </c>
      <c r="D11841" s="1" t="s">
        <v>15468</v>
      </c>
    </row>
    <row r="11842" spans="1:4" hidden="1" x14ac:dyDescent="0.3">
      <c r="A11842">
        <v>11840</v>
      </c>
      <c r="B11842" t="s">
        <v>15469</v>
      </c>
      <c r="C11842" t="s">
        <v>208</v>
      </c>
      <c r="D11842">
        <v>146266548.575387</v>
      </c>
    </row>
    <row r="11843" spans="1:4" hidden="1" x14ac:dyDescent="0.3">
      <c r="A11843">
        <v>11841</v>
      </c>
      <c r="B11843" t="s">
        <v>15470</v>
      </c>
      <c r="C11843" t="s">
        <v>210</v>
      </c>
      <c r="D11843">
        <v>265.72212912697199</v>
      </c>
    </row>
    <row r="11844" spans="1:4" hidden="1" x14ac:dyDescent="0.3">
      <c r="A11844">
        <v>11842</v>
      </c>
      <c r="B11844" t="s">
        <v>15471</v>
      </c>
      <c r="C11844" t="s">
        <v>212</v>
      </c>
      <c r="D11844">
        <v>111.01899421870699</v>
      </c>
    </row>
    <row r="11845" spans="1:4" hidden="1" x14ac:dyDescent="0.3">
      <c r="A11845">
        <v>11843</v>
      </c>
      <c r="B11845" s="1" t="s">
        <v>15472</v>
      </c>
      <c r="C11845" t="s">
        <v>214</v>
      </c>
      <c r="D11845" s="1" t="s">
        <v>15473</v>
      </c>
    </row>
    <row r="11846" spans="1:4" hidden="1" x14ac:dyDescent="0.3">
      <c r="A11846">
        <v>11844</v>
      </c>
      <c r="B11846" t="s">
        <v>15474</v>
      </c>
      <c r="C11846" t="s">
        <v>217</v>
      </c>
      <c r="D11846">
        <v>82166230.732568204</v>
      </c>
    </row>
    <row r="11847" spans="1:4" hidden="1" x14ac:dyDescent="0.3">
      <c r="A11847">
        <v>11845</v>
      </c>
      <c r="B11847" t="s">
        <v>15475</v>
      </c>
      <c r="C11847" t="s">
        <v>219</v>
      </c>
      <c r="D11847">
        <v>34329140.462039404</v>
      </c>
    </row>
    <row r="11848" spans="1:4" hidden="1" x14ac:dyDescent="0.3">
      <c r="A11848">
        <v>11846</v>
      </c>
      <c r="B11848" t="s">
        <v>15476</v>
      </c>
      <c r="C11848" t="s">
        <v>221</v>
      </c>
      <c r="D11848">
        <v>29770704.362452801</v>
      </c>
    </row>
    <row r="11849" spans="1:4" hidden="1" x14ac:dyDescent="0.3">
      <c r="A11849">
        <v>11847</v>
      </c>
      <c r="B11849" s="1" t="s">
        <v>15477</v>
      </c>
      <c r="C11849" t="s">
        <v>223</v>
      </c>
      <c r="D11849" s="1" t="s">
        <v>15478</v>
      </c>
    </row>
    <row r="11850" spans="1:4" hidden="1" x14ac:dyDescent="0.3">
      <c r="A11850">
        <v>11848</v>
      </c>
      <c r="B11850" t="s">
        <v>15479</v>
      </c>
      <c r="C11850" t="s">
        <v>226</v>
      </c>
      <c r="D11850">
        <v>104270156.44963901</v>
      </c>
    </row>
    <row r="11851" spans="1:4" hidden="1" x14ac:dyDescent="0.3">
      <c r="A11851">
        <v>11849</v>
      </c>
      <c r="B11851" t="s">
        <v>15480</v>
      </c>
      <c r="C11851" t="s">
        <v>228</v>
      </c>
      <c r="D11851">
        <v>337.205293819308</v>
      </c>
    </row>
    <row r="11852" spans="1:4" hidden="1" x14ac:dyDescent="0.3">
      <c r="A11852">
        <v>11850</v>
      </c>
      <c r="B11852" s="1" t="s">
        <v>15481</v>
      </c>
      <c r="C11852" t="s">
        <v>230</v>
      </c>
      <c r="D11852" s="1" t="s">
        <v>15482</v>
      </c>
    </row>
    <row r="11853" spans="1:4" hidden="1" x14ac:dyDescent="0.3">
      <c r="A11853">
        <v>11851</v>
      </c>
      <c r="B11853" t="s">
        <v>15483</v>
      </c>
      <c r="C11853" t="s">
        <v>112</v>
      </c>
      <c r="D11853">
        <v>-90.790216749897994</v>
      </c>
    </row>
    <row r="11854" spans="1:4" hidden="1" x14ac:dyDescent="0.3">
      <c r="A11854">
        <v>11852</v>
      </c>
      <c r="B11854" t="s">
        <v>15484</v>
      </c>
      <c r="C11854" t="s">
        <v>114</v>
      </c>
      <c r="D11854">
        <v>-12.8293188941892</v>
      </c>
    </row>
    <row r="11855" spans="1:4" hidden="1" x14ac:dyDescent="0.3">
      <c r="A11855">
        <v>11853</v>
      </c>
      <c r="B11855" s="1" t="s">
        <v>15485</v>
      </c>
      <c r="C11855" t="s">
        <v>116</v>
      </c>
      <c r="D11855" s="1" t="s">
        <v>15486</v>
      </c>
    </row>
    <row r="11856" spans="1:4" hidden="1" x14ac:dyDescent="0.3">
      <c r="A11856">
        <v>11854</v>
      </c>
      <c r="B11856" t="s">
        <v>15487</v>
      </c>
      <c r="C11856" t="s">
        <v>119</v>
      </c>
      <c r="D11856">
        <v>82166230.732568204</v>
      </c>
    </row>
    <row r="11857" spans="1:4" hidden="1" x14ac:dyDescent="0.3">
      <c r="A11857">
        <v>11855</v>
      </c>
      <c r="B11857" t="s">
        <v>15488</v>
      </c>
      <c r="C11857" t="s">
        <v>121</v>
      </c>
      <c r="D11857">
        <v>34329140.462039404</v>
      </c>
    </row>
    <row r="11858" spans="1:4" hidden="1" x14ac:dyDescent="0.3">
      <c r="A11858">
        <v>11856</v>
      </c>
      <c r="B11858" s="1" t="s">
        <v>15489</v>
      </c>
      <c r="C11858" t="s">
        <v>123</v>
      </c>
      <c r="D11858" s="1" t="s">
        <v>15490</v>
      </c>
    </row>
    <row r="11859" spans="1:4" hidden="1" x14ac:dyDescent="0.3">
      <c r="A11859">
        <v>11857</v>
      </c>
      <c r="B11859" t="s">
        <v>15491</v>
      </c>
      <c r="C11859" t="s">
        <v>126</v>
      </c>
      <c r="D11859">
        <v>0.78812425849368195</v>
      </c>
    </row>
    <row r="11860" spans="1:4" hidden="1" x14ac:dyDescent="0.3">
      <c r="A11860">
        <v>11858</v>
      </c>
      <c r="B11860" t="s">
        <v>15492</v>
      </c>
      <c r="C11860" t="s">
        <v>128</v>
      </c>
      <c r="D11860">
        <v>0.329279171384044</v>
      </c>
    </row>
    <row r="11861" spans="1:4" hidden="1" x14ac:dyDescent="0.3">
      <c r="A11861">
        <v>11859</v>
      </c>
      <c r="B11861" s="1" t="s">
        <v>15493</v>
      </c>
      <c r="C11861" t="s">
        <v>130</v>
      </c>
      <c r="D11861" s="1" t="s">
        <v>15494</v>
      </c>
    </row>
    <row r="11862" spans="1:4" ht="72" x14ac:dyDescent="0.3">
      <c r="A11862">
        <v>11860</v>
      </c>
      <c r="B11862" s="1" t="s">
        <v>15495</v>
      </c>
      <c r="C11862" t="s">
        <v>4</v>
      </c>
      <c r="D11862" t="s">
        <v>15496</v>
      </c>
    </row>
    <row r="11863" spans="1:4" hidden="1" x14ac:dyDescent="0.3">
      <c r="A11863">
        <v>11861</v>
      </c>
      <c r="B11863" t="s">
        <v>15497</v>
      </c>
      <c r="C11863" t="s">
        <v>7</v>
      </c>
      <c r="D11863">
        <v>1918.58</v>
      </c>
    </row>
    <row r="11864" spans="1:4" hidden="1" x14ac:dyDescent="0.3">
      <c r="A11864">
        <v>11862</v>
      </c>
      <c r="B11864" s="1" t="s">
        <v>15498</v>
      </c>
      <c r="C11864" t="s">
        <v>9</v>
      </c>
      <c r="D11864" s="1" t="s">
        <v>15499</v>
      </c>
    </row>
    <row r="11865" spans="1:4" hidden="1" x14ac:dyDescent="0.3">
      <c r="A11865">
        <v>11863</v>
      </c>
      <c r="B11865" t="s">
        <v>880</v>
      </c>
      <c r="C11865" t="s">
        <v>14</v>
      </c>
      <c r="D11865">
        <v>91.03125</v>
      </c>
    </row>
    <row r="11866" spans="1:4" hidden="1" x14ac:dyDescent="0.3">
      <c r="A11866">
        <v>11864</v>
      </c>
      <c r="B11866" t="s">
        <v>15500</v>
      </c>
      <c r="C11866" t="s">
        <v>16</v>
      </c>
      <c r="D11866">
        <v>4.24213544141905</v>
      </c>
    </row>
    <row r="11867" spans="1:4" hidden="1" x14ac:dyDescent="0.3">
      <c r="A11867">
        <v>11865</v>
      </c>
      <c r="B11867" s="1" t="s">
        <v>15501</v>
      </c>
      <c r="C11867" t="s">
        <v>140</v>
      </c>
      <c r="D11867" s="1" t="s">
        <v>15502</v>
      </c>
    </row>
    <row r="11868" spans="1:4" hidden="1" x14ac:dyDescent="0.3">
      <c r="A11868">
        <v>11866</v>
      </c>
      <c r="B11868" t="s">
        <v>15503</v>
      </c>
      <c r="C11868" t="s">
        <v>22</v>
      </c>
      <c r="D11868">
        <v>48.5</v>
      </c>
    </row>
    <row r="11869" spans="1:4" hidden="1" x14ac:dyDescent="0.3">
      <c r="A11869">
        <v>11867</v>
      </c>
      <c r="B11869" t="s">
        <v>15504</v>
      </c>
      <c r="C11869" t="s">
        <v>24</v>
      </c>
      <c r="D11869">
        <v>4.8134666398819697</v>
      </c>
    </row>
    <row r="11870" spans="1:4" hidden="1" x14ac:dyDescent="0.3">
      <c r="A11870">
        <v>11868</v>
      </c>
      <c r="B11870" s="1" t="s">
        <v>15505</v>
      </c>
      <c r="C11870" t="s">
        <v>145</v>
      </c>
      <c r="D11870" s="1" t="s">
        <v>15506</v>
      </c>
    </row>
    <row r="11871" spans="1:4" hidden="1" x14ac:dyDescent="0.3">
      <c r="A11871">
        <v>11869</v>
      </c>
      <c r="B11871" t="s">
        <v>15507</v>
      </c>
      <c r="C11871" t="s">
        <v>35</v>
      </c>
      <c r="D11871">
        <v>-0.67124849215513005</v>
      </c>
    </row>
    <row r="11872" spans="1:4" hidden="1" x14ac:dyDescent="0.3">
      <c r="A11872">
        <v>11870</v>
      </c>
      <c r="B11872" t="s">
        <v>15508</v>
      </c>
      <c r="C11872" t="s">
        <v>149</v>
      </c>
      <c r="D11872">
        <v>0.55285480946644905</v>
      </c>
    </row>
    <row r="11873" spans="1:4" hidden="1" x14ac:dyDescent="0.3">
      <c r="A11873">
        <v>11871</v>
      </c>
      <c r="B11873" s="1" t="s">
        <v>15509</v>
      </c>
      <c r="C11873" t="s">
        <v>151</v>
      </c>
      <c r="D11873" s="1" t="s">
        <v>15510</v>
      </c>
    </row>
    <row r="11874" spans="1:4" hidden="1" x14ac:dyDescent="0.3">
      <c r="A11874">
        <v>11872</v>
      </c>
      <c r="B11874" t="s">
        <v>15511</v>
      </c>
      <c r="C11874" t="s">
        <v>30</v>
      </c>
      <c r="D11874">
        <v>0.77600667042064098</v>
      </c>
    </row>
    <row r="11875" spans="1:4" hidden="1" x14ac:dyDescent="0.3">
      <c r="A11875">
        <v>11873</v>
      </c>
      <c r="B11875" t="s">
        <v>15512</v>
      </c>
      <c r="C11875" t="s">
        <v>32</v>
      </c>
      <c r="D11875">
        <v>0.39259882795814299</v>
      </c>
    </row>
    <row r="11876" spans="1:4" hidden="1" x14ac:dyDescent="0.3">
      <c r="A11876">
        <v>11874</v>
      </c>
      <c r="B11876" s="1" t="s">
        <v>15513</v>
      </c>
      <c r="C11876" t="s">
        <v>155</v>
      </c>
      <c r="D11876" s="1" t="s">
        <v>15514</v>
      </c>
    </row>
    <row r="11877" spans="1:4" hidden="1" x14ac:dyDescent="0.3">
      <c r="A11877">
        <v>11875</v>
      </c>
      <c r="B11877" t="s">
        <v>15515</v>
      </c>
      <c r="C11877" t="s">
        <v>40</v>
      </c>
      <c r="D11877">
        <v>0.89524182173448896</v>
      </c>
    </row>
    <row r="11878" spans="1:4" hidden="1" x14ac:dyDescent="0.3">
      <c r="A11878">
        <v>11876</v>
      </c>
      <c r="B11878" t="s">
        <v>15516</v>
      </c>
      <c r="C11878" t="s">
        <v>42</v>
      </c>
      <c r="D11878">
        <v>0.41619433595605299</v>
      </c>
    </row>
    <row r="11879" spans="1:4" hidden="1" x14ac:dyDescent="0.3">
      <c r="A11879">
        <v>11877</v>
      </c>
      <c r="B11879" s="1" t="s">
        <v>15517</v>
      </c>
      <c r="C11879" t="s">
        <v>159</v>
      </c>
      <c r="D11879" s="1" t="s">
        <v>15518</v>
      </c>
    </row>
    <row r="11880" spans="1:4" hidden="1" x14ac:dyDescent="0.3">
      <c r="A11880">
        <v>11878</v>
      </c>
      <c r="B11880" t="s">
        <v>15519</v>
      </c>
      <c r="C11880" t="s">
        <v>161</v>
      </c>
      <c r="D11880">
        <v>1.00765227073387</v>
      </c>
    </row>
    <row r="11881" spans="1:4" hidden="1" x14ac:dyDescent="0.3">
      <c r="A11881">
        <v>11879</v>
      </c>
      <c r="B11881" t="s">
        <v>15520</v>
      </c>
      <c r="C11881" t="s">
        <v>163</v>
      </c>
      <c r="D11881">
        <v>1.0082208194056901</v>
      </c>
    </row>
    <row r="11882" spans="1:4" hidden="1" x14ac:dyDescent="0.3">
      <c r="A11882">
        <v>11880</v>
      </c>
      <c r="B11882" s="1" t="s">
        <v>15521</v>
      </c>
      <c r="C11882" t="s">
        <v>165</v>
      </c>
      <c r="D11882" s="1" t="s">
        <v>15522</v>
      </c>
    </row>
    <row r="11883" spans="1:4" hidden="1" x14ac:dyDescent="0.3">
      <c r="A11883">
        <v>11881</v>
      </c>
      <c r="B11883" t="s">
        <v>15523</v>
      </c>
      <c r="C11883" t="s">
        <v>168</v>
      </c>
      <c r="D11883">
        <v>0.99807743347921496</v>
      </c>
    </row>
    <row r="11884" spans="1:4" hidden="1" x14ac:dyDescent="0.3">
      <c r="A11884">
        <v>11882</v>
      </c>
      <c r="B11884" t="s">
        <v>15524</v>
      </c>
      <c r="C11884" t="s">
        <v>170</v>
      </c>
      <c r="D11884">
        <v>1.00745756866557</v>
      </c>
    </row>
    <row r="11885" spans="1:4" hidden="1" x14ac:dyDescent="0.3">
      <c r="A11885">
        <v>11883</v>
      </c>
      <c r="B11885" s="1" t="s">
        <v>15525</v>
      </c>
      <c r="C11885" t="s">
        <v>172</v>
      </c>
      <c r="D11885" s="1" t="s">
        <v>15526</v>
      </c>
    </row>
    <row r="11886" spans="1:4" hidden="1" x14ac:dyDescent="0.3">
      <c r="A11886">
        <v>11884</v>
      </c>
      <c r="B11886" s="1" t="s">
        <v>15527</v>
      </c>
      <c r="C11886" t="s">
        <v>55</v>
      </c>
      <c r="D11886" s="1" t="s">
        <v>15528</v>
      </c>
    </row>
    <row r="11887" spans="1:4" hidden="1" x14ac:dyDescent="0.3">
      <c r="A11887">
        <v>11885</v>
      </c>
      <c r="B11887" s="1" t="s">
        <v>15529</v>
      </c>
      <c r="C11887" t="s">
        <v>52</v>
      </c>
      <c r="D11887" s="1" t="s">
        <v>15530</v>
      </c>
    </row>
    <row r="11888" spans="1:4" hidden="1" x14ac:dyDescent="0.3">
      <c r="A11888">
        <v>11886</v>
      </c>
      <c r="B11888" s="1" t="s">
        <v>15531</v>
      </c>
      <c r="C11888" t="s">
        <v>58</v>
      </c>
      <c r="D11888" s="1" t="s">
        <v>15532</v>
      </c>
    </row>
    <row r="11889" spans="1:4" hidden="1" x14ac:dyDescent="0.3">
      <c r="A11889">
        <v>11887</v>
      </c>
      <c r="B11889" t="s">
        <v>15533</v>
      </c>
      <c r="C11889" t="s">
        <v>61</v>
      </c>
      <c r="D11889">
        <v>147139008.65273401</v>
      </c>
    </row>
    <row r="11890" spans="1:4" hidden="1" x14ac:dyDescent="0.3">
      <c r="A11890">
        <v>11888</v>
      </c>
      <c r="B11890" t="s">
        <v>15534</v>
      </c>
      <c r="C11890" t="s">
        <v>63</v>
      </c>
      <c r="D11890">
        <v>82794988.975315601</v>
      </c>
    </row>
    <row r="11891" spans="1:4" hidden="1" x14ac:dyDescent="0.3">
      <c r="A11891">
        <v>11889</v>
      </c>
      <c r="B11891" t="s">
        <v>15535</v>
      </c>
      <c r="C11891" t="s">
        <v>65</v>
      </c>
      <c r="D11891">
        <v>34611354.1261307</v>
      </c>
    </row>
    <row r="11892" spans="1:4" hidden="1" x14ac:dyDescent="0.3">
      <c r="A11892">
        <v>11890</v>
      </c>
      <c r="B11892" s="1" t="s">
        <v>15536</v>
      </c>
      <c r="C11892" t="s">
        <v>67</v>
      </c>
      <c r="D11892" s="1" t="s">
        <v>15537</v>
      </c>
    </row>
    <row r="11893" spans="1:4" hidden="1" x14ac:dyDescent="0.3">
      <c r="A11893">
        <v>11891</v>
      </c>
      <c r="B11893" s="1" t="s">
        <v>15538</v>
      </c>
      <c r="C11893" t="s">
        <v>70</v>
      </c>
      <c r="D11893" s="1" t="s">
        <v>15539</v>
      </c>
    </row>
    <row r="11894" spans="1:4" hidden="1" x14ac:dyDescent="0.3">
      <c r="A11894">
        <v>11892</v>
      </c>
      <c r="B11894" t="s">
        <v>15540</v>
      </c>
      <c r="C11894" t="s">
        <v>73</v>
      </c>
      <c r="D11894">
        <v>0.99985873317719598</v>
      </c>
    </row>
    <row r="11895" spans="1:4" hidden="1" x14ac:dyDescent="0.3">
      <c r="A11895">
        <v>11893</v>
      </c>
      <c r="B11895" t="s">
        <v>74</v>
      </c>
      <c r="C11895" t="s">
        <v>75</v>
      </c>
      <c r="D11895">
        <v>2.7397260273972599E-3</v>
      </c>
    </row>
    <row r="11896" spans="1:4" hidden="1" x14ac:dyDescent="0.3">
      <c r="A11896">
        <v>11894</v>
      </c>
      <c r="B11896" t="s">
        <v>76</v>
      </c>
      <c r="C11896" t="s">
        <v>77</v>
      </c>
      <c r="D11896">
        <v>0</v>
      </c>
    </row>
    <row r="11897" spans="1:4" hidden="1" x14ac:dyDescent="0.3">
      <c r="A11897">
        <v>11895</v>
      </c>
      <c r="B11897" t="s">
        <v>188</v>
      </c>
      <c r="C11897" t="s">
        <v>79</v>
      </c>
      <c r="D11897" s="2">
        <v>-2.2204460492503101E-16</v>
      </c>
    </row>
    <row r="11898" spans="1:4" hidden="1" x14ac:dyDescent="0.3">
      <c r="A11898">
        <v>11896</v>
      </c>
      <c r="B11898" s="1" t="s">
        <v>15541</v>
      </c>
      <c r="C11898" t="s">
        <v>81</v>
      </c>
      <c r="D11898" s="1" t="s">
        <v>15542</v>
      </c>
    </row>
    <row r="11899" spans="1:4" hidden="1" x14ac:dyDescent="0.3">
      <c r="A11899">
        <v>11897</v>
      </c>
      <c r="B11899" t="s">
        <v>15543</v>
      </c>
      <c r="C11899" t="s">
        <v>84</v>
      </c>
      <c r="D11899">
        <v>0.99983458889222698</v>
      </c>
    </row>
    <row r="11900" spans="1:4" hidden="1" x14ac:dyDescent="0.3">
      <c r="A11900">
        <v>11898</v>
      </c>
      <c r="B11900" s="1" t="s">
        <v>15544</v>
      </c>
      <c r="C11900" t="s">
        <v>86</v>
      </c>
      <c r="D11900" s="1" t="s">
        <v>15545</v>
      </c>
    </row>
    <row r="11901" spans="1:4" hidden="1" x14ac:dyDescent="0.3">
      <c r="A11901">
        <v>11899</v>
      </c>
      <c r="B11901" t="s">
        <v>15546</v>
      </c>
      <c r="C11901" t="s">
        <v>89</v>
      </c>
      <c r="D11901">
        <v>104273011.607943</v>
      </c>
    </row>
    <row r="11902" spans="1:4" hidden="1" x14ac:dyDescent="0.3">
      <c r="A11902">
        <v>11900</v>
      </c>
      <c r="B11902" s="1" t="s">
        <v>15547</v>
      </c>
      <c r="C11902" t="s">
        <v>91</v>
      </c>
      <c r="D11902" s="1" t="s">
        <v>15482</v>
      </c>
    </row>
    <row r="11903" spans="1:4" hidden="1" x14ac:dyDescent="0.3">
      <c r="A11903">
        <v>11901</v>
      </c>
      <c r="B11903" t="s">
        <v>15548</v>
      </c>
      <c r="C11903" t="s">
        <v>94</v>
      </c>
      <c r="D11903">
        <v>82794988.975315601</v>
      </c>
    </row>
    <row r="11904" spans="1:4" hidden="1" x14ac:dyDescent="0.3">
      <c r="A11904">
        <v>11902</v>
      </c>
      <c r="B11904" t="s">
        <v>15549</v>
      </c>
      <c r="C11904" t="s">
        <v>96</v>
      </c>
      <c r="D11904">
        <v>34611354.1261307</v>
      </c>
    </row>
    <row r="11905" spans="1:4" hidden="1" x14ac:dyDescent="0.3">
      <c r="A11905">
        <v>11903</v>
      </c>
      <c r="B11905" t="s">
        <v>15550</v>
      </c>
      <c r="C11905" t="s">
        <v>98</v>
      </c>
      <c r="D11905">
        <v>29732665.551288102</v>
      </c>
    </row>
    <row r="11906" spans="1:4" hidden="1" x14ac:dyDescent="0.3">
      <c r="A11906">
        <v>11904</v>
      </c>
      <c r="B11906" s="1" t="s">
        <v>15551</v>
      </c>
      <c r="C11906" t="s">
        <v>100</v>
      </c>
      <c r="D11906" s="1" t="s">
        <v>15552</v>
      </c>
    </row>
    <row r="11907" spans="1:4" hidden="1" x14ac:dyDescent="0.3">
      <c r="A11907">
        <v>11905</v>
      </c>
      <c r="B11907" t="s">
        <v>15553</v>
      </c>
      <c r="C11907" t="s">
        <v>103</v>
      </c>
      <c r="D11907">
        <v>1.0119201527604E-2</v>
      </c>
    </row>
    <row r="11908" spans="1:4" hidden="1" x14ac:dyDescent="0.3">
      <c r="A11908">
        <v>11906</v>
      </c>
      <c r="B11908" t="s">
        <v>15554</v>
      </c>
      <c r="C11908" t="s">
        <v>105</v>
      </c>
      <c r="D11908">
        <v>3.0890131109412499E-3</v>
      </c>
    </row>
    <row r="11909" spans="1:4" hidden="1" x14ac:dyDescent="0.3">
      <c r="A11909">
        <v>11907</v>
      </c>
      <c r="B11909" t="s">
        <v>15555</v>
      </c>
      <c r="C11909" t="s">
        <v>107</v>
      </c>
      <c r="D11909">
        <v>2.4487711734129999E-2</v>
      </c>
    </row>
    <row r="11910" spans="1:4" hidden="1" x14ac:dyDescent="0.3">
      <c r="A11910">
        <v>11908</v>
      </c>
      <c r="B11910" s="1" t="s">
        <v>15556</v>
      </c>
      <c r="C11910" t="s">
        <v>109</v>
      </c>
      <c r="D11910" s="1" t="s">
        <v>15557</v>
      </c>
    </row>
    <row r="11911" spans="1:4" hidden="1" x14ac:dyDescent="0.3">
      <c r="A11911">
        <v>11909</v>
      </c>
      <c r="B11911" t="s">
        <v>15558</v>
      </c>
      <c r="C11911" t="s">
        <v>208</v>
      </c>
      <c r="D11911">
        <v>147138131.72346899</v>
      </c>
    </row>
    <row r="11912" spans="1:4" hidden="1" x14ac:dyDescent="0.3">
      <c r="A11912">
        <v>11910</v>
      </c>
      <c r="B11912" t="s">
        <v>15559</v>
      </c>
      <c r="C11912" t="s">
        <v>210</v>
      </c>
      <c r="D11912">
        <v>1999.29207523266</v>
      </c>
    </row>
    <row r="11913" spans="1:4" hidden="1" x14ac:dyDescent="0.3">
      <c r="A11913">
        <v>11911</v>
      </c>
      <c r="B11913" t="s">
        <v>15560</v>
      </c>
      <c r="C11913" t="s">
        <v>212</v>
      </c>
      <c r="D11913">
        <v>835.78113922320404</v>
      </c>
    </row>
    <row r="11914" spans="1:4" hidden="1" x14ac:dyDescent="0.3">
      <c r="A11914">
        <v>11912</v>
      </c>
      <c r="B11914" s="1" t="s">
        <v>15561</v>
      </c>
      <c r="C11914" t="s">
        <v>214</v>
      </c>
      <c r="D11914" s="1" t="s">
        <v>15562</v>
      </c>
    </row>
    <row r="11915" spans="1:4" hidden="1" x14ac:dyDescent="0.3">
      <c r="A11915">
        <v>11913</v>
      </c>
      <c r="B11915" t="s">
        <v>15563</v>
      </c>
      <c r="C11915" t="s">
        <v>217</v>
      </c>
      <c r="D11915">
        <v>82792320.116820604</v>
      </c>
    </row>
    <row r="11916" spans="1:4" hidden="1" x14ac:dyDescent="0.3">
      <c r="A11916">
        <v>11914</v>
      </c>
      <c r="B11916" t="s">
        <v>15564</v>
      </c>
      <c r="C11916" t="s">
        <v>219</v>
      </c>
      <c r="D11916">
        <v>34610380.585896</v>
      </c>
    </row>
    <row r="11917" spans="1:4" hidden="1" x14ac:dyDescent="0.3">
      <c r="A11917">
        <v>11915</v>
      </c>
      <c r="B11917" t="s">
        <v>15565</v>
      </c>
      <c r="C11917" t="s">
        <v>221</v>
      </c>
      <c r="D11917">
        <v>29731877.973843399</v>
      </c>
    </row>
    <row r="11918" spans="1:4" hidden="1" x14ac:dyDescent="0.3">
      <c r="A11918">
        <v>11916</v>
      </c>
      <c r="B11918" s="1" t="s">
        <v>15566</v>
      </c>
      <c r="C11918" t="s">
        <v>223</v>
      </c>
      <c r="D11918" s="1" t="s">
        <v>15567</v>
      </c>
    </row>
    <row r="11919" spans="1:4" hidden="1" x14ac:dyDescent="0.3">
      <c r="A11919">
        <v>11917</v>
      </c>
      <c r="B11919" t="s">
        <v>15568</v>
      </c>
      <c r="C11919" t="s">
        <v>226</v>
      </c>
      <c r="D11919">
        <v>104270493.65493301</v>
      </c>
    </row>
    <row r="11920" spans="1:4" hidden="1" x14ac:dyDescent="0.3">
      <c r="A11920">
        <v>11918</v>
      </c>
      <c r="B11920" t="s">
        <v>15569</v>
      </c>
      <c r="C11920" t="s">
        <v>228</v>
      </c>
      <c r="D11920">
        <v>2517.9530100226398</v>
      </c>
    </row>
    <row r="11921" spans="1:4" hidden="1" x14ac:dyDescent="0.3">
      <c r="A11921">
        <v>11919</v>
      </c>
      <c r="B11921" s="1" t="s">
        <v>15570</v>
      </c>
      <c r="C11921" t="s">
        <v>230</v>
      </c>
      <c r="D11921" s="1" t="s">
        <v>15571</v>
      </c>
    </row>
    <row r="11922" spans="1:4" hidden="1" x14ac:dyDescent="0.3">
      <c r="A11922">
        <v>11920</v>
      </c>
      <c r="B11922" t="s">
        <v>15572</v>
      </c>
      <c r="C11922" t="s">
        <v>112</v>
      </c>
      <c r="D11922">
        <v>-669.56641981439896</v>
      </c>
    </row>
    <row r="11923" spans="1:4" hidden="1" x14ac:dyDescent="0.3">
      <c r="A11923">
        <v>11921</v>
      </c>
      <c r="B11923" t="s">
        <v>15573</v>
      </c>
      <c r="C11923" t="s">
        <v>114</v>
      </c>
      <c r="D11923">
        <v>-137.75909542070599</v>
      </c>
    </row>
    <row r="11924" spans="1:4" hidden="1" x14ac:dyDescent="0.3">
      <c r="A11924">
        <v>11922</v>
      </c>
      <c r="B11924" s="1" t="s">
        <v>15574</v>
      </c>
      <c r="C11924" t="s">
        <v>116</v>
      </c>
      <c r="D11924" s="1" t="s">
        <v>15575</v>
      </c>
    </row>
    <row r="11925" spans="1:4" hidden="1" x14ac:dyDescent="0.3">
      <c r="A11925">
        <v>11923</v>
      </c>
      <c r="B11925" t="s">
        <v>15576</v>
      </c>
      <c r="C11925" t="s">
        <v>119</v>
      </c>
      <c r="D11925">
        <v>82792320.116820604</v>
      </c>
    </row>
    <row r="11926" spans="1:4" hidden="1" x14ac:dyDescent="0.3">
      <c r="A11926">
        <v>11924</v>
      </c>
      <c r="B11926" t="s">
        <v>15577</v>
      </c>
      <c r="C11926" t="s">
        <v>121</v>
      </c>
      <c r="D11926">
        <v>34610380.585896</v>
      </c>
    </row>
    <row r="11927" spans="1:4" hidden="1" x14ac:dyDescent="0.3">
      <c r="A11927">
        <v>11925</v>
      </c>
      <c r="B11927" s="1" t="s">
        <v>15578</v>
      </c>
      <c r="C11927" t="s">
        <v>123</v>
      </c>
      <c r="D11927" s="1" t="s">
        <v>15579</v>
      </c>
    </row>
    <row r="11928" spans="1:4" hidden="1" x14ac:dyDescent="0.3">
      <c r="A11928">
        <v>11926</v>
      </c>
      <c r="B11928" t="s">
        <v>15580</v>
      </c>
      <c r="C11928" t="s">
        <v>126</v>
      </c>
      <c r="D11928">
        <v>0.79414620809105596</v>
      </c>
    </row>
    <row r="11929" spans="1:4" hidden="1" x14ac:dyDescent="0.3">
      <c r="A11929">
        <v>11927</v>
      </c>
      <c r="B11929" t="s">
        <v>15581</v>
      </c>
      <c r="C11929" t="s">
        <v>128</v>
      </c>
      <c r="D11929">
        <v>0.33198372100328999</v>
      </c>
    </row>
    <row r="11930" spans="1:4" hidden="1" x14ac:dyDescent="0.3">
      <c r="A11930">
        <v>11928</v>
      </c>
      <c r="B11930" s="1" t="s">
        <v>15582</v>
      </c>
      <c r="C11930" t="s">
        <v>130</v>
      </c>
      <c r="D11930" s="1" t="s">
        <v>15583</v>
      </c>
    </row>
    <row r="11931" spans="1:4" ht="72" x14ac:dyDescent="0.3">
      <c r="A11931">
        <v>11929</v>
      </c>
      <c r="B11931" s="1" t="s">
        <v>15584</v>
      </c>
      <c r="C11931" t="s">
        <v>4</v>
      </c>
      <c r="D11931" t="s">
        <v>15585</v>
      </c>
    </row>
    <row r="11932" spans="1:4" hidden="1" x14ac:dyDescent="0.3">
      <c r="A11932">
        <v>11930</v>
      </c>
      <c r="B11932" t="s">
        <v>15586</v>
      </c>
      <c r="C11932" t="s">
        <v>7</v>
      </c>
      <c r="D11932">
        <v>1919.52</v>
      </c>
    </row>
    <row r="11933" spans="1:4" hidden="1" x14ac:dyDescent="0.3">
      <c r="A11933">
        <v>11931</v>
      </c>
      <c r="B11933" s="1" t="s">
        <v>15587</v>
      </c>
      <c r="C11933" t="s">
        <v>9</v>
      </c>
      <c r="D11933" s="1" t="s">
        <v>15588</v>
      </c>
    </row>
    <row r="11934" spans="1:4" hidden="1" x14ac:dyDescent="0.3">
      <c r="A11934">
        <v>11932</v>
      </c>
      <c r="B11934" t="s">
        <v>137</v>
      </c>
      <c r="C11934" t="s">
        <v>14</v>
      </c>
      <c r="D11934">
        <v>90.50390625</v>
      </c>
    </row>
    <row r="11935" spans="1:4" hidden="1" x14ac:dyDescent="0.3">
      <c r="A11935">
        <v>11933</v>
      </c>
      <c r="B11935" t="s">
        <v>15589</v>
      </c>
      <c r="C11935" t="s">
        <v>16</v>
      </c>
      <c r="D11935">
        <v>4.2399693444770001</v>
      </c>
    </row>
    <row r="11936" spans="1:4" hidden="1" x14ac:dyDescent="0.3">
      <c r="A11936">
        <v>11934</v>
      </c>
      <c r="B11936" s="1" t="s">
        <v>15590</v>
      </c>
      <c r="C11936" t="s">
        <v>140</v>
      </c>
      <c r="D11936" s="1" t="s">
        <v>15591</v>
      </c>
    </row>
    <row r="11937" spans="1:4" hidden="1" x14ac:dyDescent="0.3">
      <c r="A11937">
        <v>11935</v>
      </c>
      <c r="B11937" t="s">
        <v>15592</v>
      </c>
      <c r="C11937" t="s">
        <v>22</v>
      </c>
      <c r="D11937">
        <v>49.7</v>
      </c>
    </row>
    <row r="11938" spans="1:4" hidden="1" x14ac:dyDescent="0.3">
      <c r="A11938">
        <v>11936</v>
      </c>
      <c r="B11938" t="s">
        <v>15593</v>
      </c>
      <c r="C11938" t="s">
        <v>24</v>
      </c>
      <c r="D11938">
        <v>4.6717636055028899</v>
      </c>
    </row>
    <row r="11939" spans="1:4" hidden="1" x14ac:dyDescent="0.3">
      <c r="A11939">
        <v>11937</v>
      </c>
      <c r="B11939" s="1" t="s">
        <v>15594</v>
      </c>
      <c r="C11939" t="s">
        <v>145</v>
      </c>
      <c r="D11939" s="1" t="s">
        <v>15595</v>
      </c>
    </row>
    <row r="11940" spans="1:4" hidden="1" x14ac:dyDescent="0.3">
      <c r="A11940">
        <v>11938</v>
      </c>
      <c r="B11940" t="s">
        <v>15596</v>
      </c>
      <c r="C11940" t="s">
        <v>35</v>
      </c>
      <c r="D11940">
        <v>-0.40932084602421198</v>
      </c>
    </row>
    <row r="11941" spans="1:4" hidden="1" x14ac:dyDescent="0.3">
      <c r="A11941">
        <v>11939</v>
      </c>
      <c r="B11941" t="s">
        <v>15597</v>
      </c>
      <c r="C11941" t="s">
        <v>149</v>
      </c>
      <c r="D11941">
        <v>0.542980295820087</v>
      </c>
    </row>
    <row r="11942" spans="1:4" hidden="1" x14ac:dyDescent="0.3">
      <c r="A11942">
        <v>11940</v>
      </c>
      <c r="B11942" s="1" t="s">
        <v>15598</v>
      </c>
      <c r="C11942" t="s">
        <v>151</v>
      </c>
      <c r="D11942" s="1" t="s">
        <v>15599</v>
      </c>
    </row>
    <row r="11943" spans="1:4" hidden="1" x14ac:dyDescent="0.3">
      <c r="A11943">
        <v>11941</v>
      </c>
      <c r="B11943" t="s">
        <v>15600</v>
      </c>
      <c r="C11943" t="s">
        <v>30</v>
      </c>
      <c r="D11943">
        <v>0.62465781587513802</v>
      </c>
    </row>
    <row r="11944" spans="1:4" hidden="1" x14ac:dyDescent="0.3">
      <c r="A11944">
        <v>11942</v>
      </c>
      <c r="B11944" t="s">
        <v>15601</v>
      </c>
      <c r="C11944" t="s">
        <v>32</v>
      </c>
      <c r="D11944">
        <v>0.40242545603762903</v>
      </c>
    </row>
    <row r="11945" spans="1:4" hidden="1" x14ac:dyDescent="0.3">
      <c r="A11945">
        <v>11943</v>
      </c>
      <c r="B11945" s="1" t="s">
        <v>15602</v>
      </c>
      <c r="C11945" t="s">
        <v>155</v>
      </c>
      <c r="D11945" s="1" t="s">
        <v>15603</v>
      </c>
    </row>
    <row r="11946" spans="1:4" hidden="1" x14ac:dyDescent="0.3">
      <c r="A11946">
        <v>11944</v>
      </c>
      <c r="B11946" t="s">
        <v>15604</v>
      </c>
      <c r="C11946" t="s">
        <v>40</v>
      </c>
      <c r="D11946">
        <v>0.78466303014907401</v>
      </c>
    </row>
    <row r="11947" spans="1:4" hidden="1" x14ac:dyDescent="0.3">
      <c r="A11947">
        <v>11945</v>
      </c>
      <c r="B11947" t="s">
        <v>15605</v>
      </c>
      <c r="C11947" t="s">
        <v>42</v>
      </c>
      <c r="D11947">
        <v>0.43926200057560799</v>
      </c>
    </row>
    <row r="11948" spans="1:4" hidden="1" x14ac:dyDescent="0.3">
      <c r="A11948">
        <v>11946</v>
      </c>
      <c r="B11948" s="1" t="s">
        <v>15606</v>
      </c>
      <c r="C11948" t="s">
        <v>159</v>
      </c>
      <c r="D11948" s="1" t="s">
        <v>15607</v>
      </c>
    </row>
    <row r="11949" spans="1:4" hidden="1" x14ac:dyDescent="0.3">
      <c r="A11949">
        <v>11947</v>
      </c>
      <c r="B11949" t="s">
        <v>15608</v>
      </c>
      <c r="C11949" t="s">
        <v>161</v>
      </c>
      <c r="D11949">
        <v>1.00048994568899</v>
      </c>
    </row>
    <row r="11950" spans="1:4" hidden="1" x14ac:dyDescent="0.3">
      <c r="A11950">
        <v>11948</v>
      </c>
      <c r="B11950" t="s">
        <v>15609</v>
      </c>
      <c r="C11950" t="s">
        <v>163</v>
      </c>
      <c r="D11950">
        <v>0.99444220603173905</v>
      </c>
    </row>
    <row r="11951" spans="1:4" hidden="1" x14ac:dyDescent="0.3">
      <c r="A11951">
        <v>11949</v>
      </c>
      <c r="B11951" s="1" t="s">
        <v>15610</v>
      </c>
      <c r="C11951" t="s">
        <v>165</v>
      </c>
      <c r="D11951" s="1" t="s">
        <v>15611</v>
      </c>
    </row>
    <row r="11952" spans="1:4" hidden="1" x14ac:dyDescent="0.3">
      <c r="A11952">
        <v>11950</v>
      </c>
      <c r="B11952" t="s">
        <v>15612</v>
      </c>
      <c r="C11952" t="s">
        <v>168</v>
      </c>
      <c r="D11952">
        <v>0.99364105801381697</v>
      </c>
    </row>
    <row r="11953" spans="1:4" hidden="1" x14ac:dyDescent="0.3">
      <c r="A11953">
        <v>11951</v>
      </c>
      <c r="B11953" t="s">
        <v>15613</v>
      </c>
      <c r="C11953" t="s">
        <v>170</v>
      </c>
      <c r="D11953">
        <v>1.0070563236749901</v>
      </c>
    </row>
    <row r="11954" spans="1:4" hidden="1" x14ac:dyDescent="0.3">
      <c r="A11954">
        <v>11952</v>
      </c>
      <c r="B11954" s="1" t="s">
        <v>15614</v>
      </c>
      <c r="C11954" t="s">
        <v>172</v>
      </c>
      <c r="D11954" s="1" t="s">
        <v>15615</v>
      </c>
    </row>
    <row r="11955" spans="1:4" hidden="1" x14ac:dyDescent="0.3">
      <c r="A11955">
        <v>11953</v>
      </c>
      <c r="B11955" s="1" t="s">
        <v>15616</v>
      </c>
      <c r="C11955" t="s">
        <v>55</v>
      </c>
      <c r="D11955" s="1" t="s">
        <v>15617</v>
      </c>
    </row>
    <row r="11956" spans="1:4" hidden="1" x14ac:dyDescent="0.3">
      <c r="A11956">
        <v>11954</v>
      </c>
      <c r="B11956" s="1" t="s">
        <v>15618</v>
      </c>
      <c r="C11956" t="s">
        <v>52</v>
      </c>
      <c r="D11956" s="1" t="s">
        <v>15619</v>
      </c>
    </row>
    <row r="11957" spans="1:4" hidden="1" x14ac:dyDescent="0.3">
      <c r="A11957">
        <v>11955</v>
      </c>
      <c r="B11957" s="1" t="s">
        <v>15620</v>
      </c>
      <c r="C11957" t="s">
        <v>58</v>
      </c>
      <c r="D11957" s="1" t="s">
        <v>15621</v>
      </c>
    </row>
    <row r="11958" spans="1:4" hidden="1" x14ac:dyDescent="0.3">
      <c r="A11958">
        <v>11956</v>
      </c>
      <c r="B11958" t="s">
        <v>15622</v>
      </c>
      <c r="C11958" t="s">
        <v>61</v>
      </c>
      <c r="D11958">
        <v>147572976.57859999</v>
      </c>
    </row>
    <row r="11959" spans="1:4" hidden="1" x14ac:dyDescent="0.3">
      <c r="A11959">
        <v>11957</v>
      </c>
      <c r="B11959" t="s">
        <v>15623</v>
      </c>
      <c r="C11959" t="s">
        <v>63</v>
      </c>
      <c r="D11959">
        <v>82832883.857144102</v>
      </c>
    </row>
    <row r="11960" spans="1:4" hidden="1" x14ac:dyDescent="0.3">
      <c r="A11960">
        <v>11958</v>
      </c>
      <c r="B11960" t="s">
        <v>15624</v>
      </c>
      <c r="C11960" t="s">
        <v>65</v>
      </c>
      <c r="D11960">
        <v>34418023.221436501</v>
      </c>
    </row>
    <row r="11961" spans="1:4" hidden="1" x14ac:dyDescent="0.3">
      <c r="A11961">
        <v>11959</v>
      </c>
      <c r="B11961" s="1" t="s">
        <v>15625</v>
      </c>
      <c r="C11961" t="s">
        <v>67</v>
      </c>
      <c r="D11961" s="1" t="s">
        <v>15626</v>
      </c>
    </row>
    <row r="11962" spans="1:4" hidden="1" x14ac:dyDescent="0.3">
      <c r="A11962">
        <v>11960</v>
      </c>
      <c r="B11962" s="1" t="s">
        <v>15627</v>
      </c>
      <c r="C11962" t="s">
        <v>70</v>
      </c>
      <c r="D11962" s="1" t="s">
        <v>15628</v>
      </c>
    </row>
    <row r="11963" spans="1:4" hidden="1" x14ac:dyDescent="0.3">
      <c r="A11963">
        <v>11961</v>
      </c>
      <c r="B11963" t="s">
        <v>15629</v>
      </c>
      <c r="C11963" t="s">
        <v>73</v>
      </c>
      <c r="D11963">
        <v>0.99983458889222698</v>
      </c>
    </row>
    <row r="11964" spans="1:4" hidden="1" x14ac:dyDescent="0.3">
      <c r="A11964">
        <v>11962</v>
      </c>
      <c r="B11964" t="s">
        <v>74</v>
      </c>
      <c r="C11964" t="s">
        <v>75</v>
      </c>
      <c r="D11964">
        <v>2.7397260273972599E-3</v>
      </c>
    </row>
    <row r="11965" spans="1:4" hidden="1" x14ac:dyDescent="0.3">
      <c r="A11965">
        <v>11963</v>
      </c>
      <c r="B11965" t="s">
        <v>76</v>
      </c>
      <c r="C11965" t="s">
        <v>77</v>
      </c>
      <c r="D11965">
        <v>0</v>
      </c>
    </row>
    <row r="11966" spans="1:4" hidden="1" x14ac:dyDescent="0.3">
      <c r="A11966">
        <v>11964</v>
      </c>
      <c r="B11966" t="s">
        <v>78</v>
      </c>
      <c r="C11966" t="s">
        <v>79</v>
      </c>
      <c r="D11966">
        <v>0</v>
      </c>
    </row>
    <row r="11967" spans="1:4" hidden="1" x14ac:dyDescent="0.3">
      <c r="A11967">
        <v>11965</v>
      </c>
      <c r="B11967" s="1" t="s">
        <v>15630</v>
      </c>
      <c r="C11967" t="s">
        <v>81</v>
      </c>
      <c r="D11967" s="1" t="s">
        <v>15631</v>
      </c>
    </row>
    <row r="11968" spans="1:4" hidden="1" x14ac:dyDescent="0.3">
      <c r="A11968">
        <v>11966</v>
      </c>
      <c r="B11968" t="s">
        <v>15632</v>
      </c>
      <c r="C11968" t="s">
        <v>84</v>
      </c>
      <c r="D11968">
        <v>0.99981700858918898</v>
      </c>
    </row>
    <row r="11969" spans="1:4" hidden="1" x14ac:dyDescent="0.3">
      <c r="A11969">
        <v>11967</v>
      </c>
      <c r="B11969" s="1" t="s">
        <v>15633</v>
      </c>
      <c r="C11969" t="s">
        <v>86</v>
      </c>
      <c r="D11969" s="1" t="s">
        <v>15634</v>
      </c>
    </row>
    <row r="11970" spans="1:4" hidden="1" x14ac:dyDescent="0.3">
      <c r="A11970">
        <v>11968</v>
      </c>
      <c r="B11970" t="s">
        <v>15635</v>
      </c>
      <c r="C11970" t="s">
        <v>89</v>
      </c>
      <c r="D11970">
        <v>104274845.094598</v>
      </c>
    </row>
    <row r="11971" spans="1:4" hidden="1" x14ac:dyDescent="0.3">
      <c r="A11971">
        <v>11969</v>
      </c>
      <c r="B11971" s="1" t="s">
        <v>15636</v>
      </c>
      <c r="C11971" t="s">
        <v>91</v>
      </c>
      <c r="D11971" s="1" t="s">
        <v>15571</v>
      </c>
    </row>
    <row r="11972" spans="1:4" hidden="1" x14ac:dyDescent="0.3">
      <c r="A11972">
        <v>11970</v>
      </c>
      <c r="B11972" t="s">
        <v>15637</v>
      </c>
      <c r="C11972" t="s">
        <v>94</v>
      </c>
      <c r="D11972">
        <v>82832883.857144102</v>
      </c>
    </row>
    <row r="11973" spans="1:4" hidden="1" x14ac:dyDescent="0.3">
      <c r="A11973">
        <v>11971</v>
      </c>
      <c r="B11973" t="s">
        <v>15638</v>
      </c>
      <c r="C11973" t="s">
        <v>96</v>
      </c>
      <c r="D11973">
        <v>34418023.221436501</v>
      </c>
    </row>
    <row r="11974" spans="1:4" hidden="1" x14ac:dyDescent="0.3">
      <c r="A11974">
        <v>11972</v>
      </c>
      <c r="B11974" t="s">
        <v>15639</v>
      </c>
      <c r="C11974" t="s">
        <v>98</v>
      </c>
      <c r="D11974">
        <v>30322069.500019498</v>
      </c>
    </row>
    <row r="11975" spans="1:4" hidden="1" x14ac:dyDescent="0.3">
      <c r="A11975">
        <v>11973</v>
      </c>
      <c r="B11975" s="1" t="s">
        <v>15640</v>
      </c>
      <c r="C11975" t="s">
        <v>100</v>
      </c>
      <c r="D11975" s="1" t="s">
        <v>15641</v>
      </c>
    </row>
    <row r="11976" spans="1:4" hidden="1" x14ac:dyDescent="0.3">
      <c r="A11976">
        <v>11974</v>
      </c>
      <c r="B11976" t="s">
        <v>15642</v>
      </c>
      <c r="C11976" t="s">
        <v>103</v>
      </c>
      <c r="D11976">
        <v>1.00294035348649E-2</v>
      </c>
    </row>
    <row r="11977" spans="1:4" hidden="1" x14ac:dyDescent="0.3">
      <c r="A11977">
        <v>11975</v>
      </c>
      <c r="B11977" t="s">
        <v>15643</v>
      </c>
      <c r="C11977" t="s">
        <v>105</v>
      </c>
      <c r="D11977">
        <v>3.1449970307392801E-3</v>
      </c>
    </row>
    <row r="11978" spans="1:4" hidden="1" x14ac:dyDescent="0.3">
      <c r="A11978">
        <v>11976</v>
      </c>
      <c r="B11978" t="s">
        <v>15644</v>
      </c>
      <c r="C11978" t="s">
        <v>107</v>
      </c>
      <c r="D11978">
        <v>2.4594033797304401E-2</v>
      </c>
    </row>
    <row r="11979" spans="1:4" hidden="1" x14ac:dyDescent="0.3">
      <c r="A11979">
        <v>11977</v>
      </c>
      <c r="B11979" s="1" t="s">
        <v>15645</v>
      </c>
      <c r="C11979" t="s">
        <v>109</v>
      </c>
      <c r="D11979" s="1" t="s">
        <v>15646</v>
      </c>
    </row>
    <row r="11980" spans="1:4" hidden="1" x14ac:dyDescent="0.3">
      <c r="A11980">
        <v>11978</v>
      </c>
      <c r="B11980" t="s">
        <v>15647</v>
      </c>
      <c r="C11980" t="s">
        <v>208</v>
      </c>
      <c r="D11980">
        <v>147572338.917045</v>
      </c>
    </row>
    <row r="11981" spans="1:4" hidden="1" x14ac:dyDescent="0.3">
      <c r="A11981">
        <v>11979</v>
      </c>
      <c r="B11981" t="s">
        <v>15648</v>
      </c>
      <c r="C11981" t="s">
        <v>210</v>
      </c>
      <c r="D11981">
        <v>1456.45944560216</v>
      </c>
    </row>
    <row r="11982" spans="1:4" hidden="1" x14ac:dyDescent="0.3">
      <c r="A11982">
        <v>11980</v>
      </c>
      <c r="B11982" t="s">
        <v>15649</v>
      </c>
      <c r="C11982" t="s">
        <v>212</v>
      </c>
      <c r="D11982">
        <v>605.178179972615</v>
      </c>
    </row>
    <row r="11983" spans="1:4" hidden="1" x14ac:dyDescent="0.3">
      <c r="A11983">
        <v>11981</v>
      </c>
      <c r="B11983" s="1" t="s">
        <v>15650</v>
      </c>
      <c r="C11983" t="s">
        <v>214</v>
      </c>
      <c r="D11983" s="1" t="s">
        <v>15651</v>
      </c>
    </row>
    <row r="11984" spans="1:4" hidden="1" x14ac:dyDescent="0.3">
      <c r="A11984">
        <v>11982</v>
      </c>
      <c r="B11984" t="s">
        <v>15652</v>
      </c>
      <c r="C11984" t="s">
        <v>217</v>
      </c>
      <c r="D11984">
        <v>82830934.309035495</v>
      </c>
    </row>
    <row r="11985" spans="1:4" hidden="1" x14ac:dyDescent="0.3">
      <c r="A11985">
        <v>11983</v>
      </c>
      <c r="B11985" t="s">
        <v>15653</v>
      </c>
      <c r="C11985" t="s">
        <v>219</v>
      </c>
      <c r="D11985">
        <v>34417349.705091402</v>
      </c>
    </row>
    <row r="11986" spans="1:4" hidden="1" x14ac:dyDescent="0.3">
      <c r="A11986">
        <v>11984</v>
      </c>
      <c r="B11986" t="s">
        <v>15654</v>
      </c>
      <c r="C11986" t="s">
        <v>221</v>
      </c>
      <c r="D11986">
        <v>30321460.107272599</v>
      </c>
    </row>
    <row r="11987" spans="1:4" hidden="1" x14ac:dyDescent="0.3">
      <c r="A11987">
        <v>11985</v>
      </c>
      <c r="B11987" s="1" t="s">
        <v>15655</v>
      </c>
      <c r="C11987" t="s">
        <v>223</v>
      </c>
      <c r="D11987" s="1" t="s">
        <v>15656</v>
      </c>
    </row>
    <row r="11988" spans="1:4" hidden="1" x14ac:dyDescent="0.3">
      <c r="A11988">
        <v>11986</v>
      </c>
      <c r="B11988" t="s">
        <v>15657</v>
      </c>
      <c r="C11988" t="s">
        <v>226</v>
      </c>
      <c r="D11988">
        <v>104273011.607943</v>
      </c>
    </row>
    <row r="11989" spans="1:4" hidden="1" x14ac:dyDescent="0.3">
      <c r="A11989">
        <v>11987</v>
      </c>
      <c r="B11989" t="s">
        <v>15658</v>
      </c>
      <c r="C11989" t="s">
        <v>228</v>
      </c>
      <c r="D11989">
        <v>1833.4866550117699</v>
      </c>
    </row>
    <row r="11990" spans="1:4" hidden="1" x14ac:dyDescent="0.3">
      <c r="A11990">
        <v>11988</v>
      </c>
      <c r="B11990" s="1" t="s">
        <v>15659</v>
      </c>
      <c r="C11990" t="s">
        <v>230</v>
      </c>
      <c r="D11990" s="1" t="s">
        <v>15660</v>
      </c>
    </row>
    <row r="11991" spans="1:4" hidden="1" x14ac:dyDescent="0.3">
      <c r="A11991">
        <v>11989</v>
      </c>
      <c r="B11991" t="s">
        <v>15661</v>
      </c>
      <c r="C11991" t="s">
        <v>112</v>
      </c>
      <c r="D11991">
        <v>-493.08866301716603</v>
      </c>
    </row>
    <row r="11992" spans="1:4" hidden="1" x14ac:dyDescent="0.3">
      <c r="A11992">
        <v>11990</v>
      </c>
      <c r="B11992" t="s">
        <v>15662</v>
      </c>
      <c r="C11992" t="s">
        <v>114</v>
      </c>
      <c r="D11992">
        <v>-68.338165144644506</v>
      </c>
    </row>
    <row r="11993" spans="1:4" hidden="1" x14ac:dyDescent="0.3">
      <c r="A11993">
        <v>11991</v>
      </c>
      <c r="B11993" s="1" t="s">
        <v>15663</v>
      </c>
      <c r="C11993" t="s">
        <v>116</v>
      </c>
      <c r="D11993" s="1" t="s">
        <v>15664</v>
      </c>
    </row>
    <row r="11994" spans="1:4" hidden="1" x14ac:dyDescent="0.3">
      <c r="A11994">
        <v>11992</v>
      </c>
      <c r="B11994" t="s">
        <v>15665</v>
      </c>
      <c r="C11994" t="s">
        <v>119</v>
      </c>
      <c r="D11994">
        <v>82830934.309035495</v>
      </c>
    </row>
    <row r="11995" spans="1:4" hidden="1" x14ac:dyDescent="0.3">
      <c r="A11995">
        <v>11993</v>
      </c>
      <c r="B11995" t="s">
        <v>15666</v>
      </c>
      <c r="C11995" t="s">
        <v>121</v>
      </c>
      <c r="D11995">
        <v>34417349.705091402</v>
      </c>
    </row>
    <row r="11996" spans="1:4" hidden="1" x14ac:dyDescent="0.3">
      <c r="A11996">
        <v>11994</v>
      </c>
      <c r="B11996" s="1" t="s">
        <v>15667</v>
      </c>
      <c r="C11996" t="s">
        <v>123</v>
      </c>
      <c r="D11996" s="1" t="s">
        <v>15668</v>
      </c>
    </row>
    <row r="11997" spans="1:4" hidden="1" x14ac:dyDescent="0.3">
      <c r="A11997">
        <v>11995</v>
      </c>
      <c r="B11997" t="s">
        <v>15669</v>
      </c>
      <c r="C11997" t="s">
        <v>126</v>
      </c>
      <c r="D11997">
        <v>0.79451138079937</v>
      </c>
    </row>
    <row r="11998" spans="1:4" hidden="1" x14ac:dyDescent="0.3">
      <c r="A11998">
        <v>11996</v>
      </c>
      <c r="B11998" t="s">
        <v>15670</v>
      </c>
      <c r="C11998" t="s">
        <v>128</v>
      </c>
      <c r="D11998">
        <v>0.330129996308204</v>
      </c>
    </row>
    <row r="11999" spans="1:4" hidden="1" x14ac:dyDescent="0.3">
      <c r="A11999">
        <v>11997</v>
      </c>
      <c r="B11999" s="1" t="s">
        <v>15671</v>
      </c>
      <c r="C11999" t="s">
        <v>130</v>
      </c>
      <c r="D11999" s="1" t="s">
        <v>15672</v>
      </c>
    </row>
    <row r="12000" spans="1:4" ht="72" x14ac:dyDescent="0.3">
      <c r="A12000">
        <v>11998</v>
      </c>
      <c r="B12000" s="1" t="s">
        <v>15673</v>
      </c>
      <c r="C12000" t="s">
        <v>4</v>
      </c>
      <c r="D12000" t="s">
        <v>15674</v>
      </c>
    </row>
    <row r="12001" spans="1:4" hidden="1" x14ac:dyDescent="0.3">
      <c r="A12001">
        <v>11999</v>
      </c>
      <c r="B12001" t="s">
        <v>15675</v>
      </c>
      <c r="C12001" t="s">
        <v>7</v>
      </c>
      <c r="D12001">
        <v>1989.25</v>
      </c>
    </row>
    <row r="12002" spans="1:4" hidden="1" x14ac:dyDescent="0.3">
      <c r="A12002">
        <v>12000</v>
      </c>
      <c r="B12002" s="1" t="s">
        <v>15676</v>
      </c>
      <c r="C12002" t="s">
        <v>9</v>
      </c>
      <c r="D12002" s="1" t="s">
        <v>15677</v>
      </c>
    </row>
    <row r="12003" spans="1:4" hidden="1" x14ac:dyDescent="0.3">
      <c r="A12003">
        <v>12001</v>
      </c>
      <c r="B12003" t="s">
        <v>15678</v>
      </c>
      <c r="C12003" t="s">
        <v>14</v>
      </c>
      <c r="D12003">
        <v>91.26171875</v>
      </c>
    </row>
    <row r="12004" spans="1:4" hidden="1" x14ac:dyDescent="0.3">
      <c r="A12004">
        <v>12002</v>
      </c>
      <c r="B12004" t="s">
        <v>15679</v>
      </c>
      <c r="C12004" t="s">
        <v>16</v>
      </c>
      <c r="D12004">
        <v>4.2503339430951996</v>
      </c>
    </row>
    <row r="12005" spans="1:4" hidden="1" x14ac:dyDescent="0.3">
      <c r="A12005">
        <v>12003</v>
      </c>
      <c r="B12005" s="1" t="s">
        <v>15680</v>
      </c>
      <c r="C12005" t="s">
        <v>140</v>
      </c>
      <c r="D12005" s="1" t="s">
        <v>15681</v>
      </c>
    </row>
    <row r="12006" spans="1:4" hidden="1" x14ac:dyDescent="0.3">
      <c r="A12006">
        <v>12004</v>
      </c>
      <c r="B12006" t="s">
        <v>14338</v>
      </c>
      <c r="C12006" t="s">
        <v>22</v>
      </c>
      <c r="D12006">
        <v>50.1</v>
      </c>
    </row>
    <row r="12007" spans="1:4" hidden="1" x14ac:dyDescent="0.3">
      <c r="A12007">
        <v>12005</v>
      </c>
      <c r="B12007" t="s">
        <v>15682</v>
      </c>
      <c r="C12007" t="s">
        <v>24</v>
      </c>
      <c r="D12007">
        <v>4.7293405498029699</v>
      </c>
    </row>
    <row r="12008" spans="1:4" hidden="1" x14ac:dyDescent="0.3">
      <c r="A12008">
        <v>12006</v>
      </c>
      <c r="B12008" s="1" t="s">
        <v>15683</v>
      </c>
      <c r="C12008" t="s">
        <v>145</v>
      </c>
      <c r="D12008" s="1" t="s">
        <v>15684</v>
      </c>
    </row>
    <row r="12009" spans="1:4" hidden="1" x14ac:dyDescent="0.3">
      <c r="A12009">
        <v>12007</v>
      </c>
      <c r="B12009" t="s">
        <v>15685</v>
      </c>
      <c r="C12009" t="s">
        <v>35</v>
      </c>
      <c r="D12009">
        <v>5.9468542431664</v>
      </c>
    </row>
    <row r="12010" spans="1:4" hidden="1" x14ac:dyDescent="0.3">
      <c r="A12010">
        <v>12008</v>
      </c>
      <c r="B12010" t="s">
        <v>15686</v>
      </c>
      <c r="C12010" t="s">
        <v>149</v>
      </c>
      <c r="D12010">
        <v>0.53880202846002301</v>
      </c>
    </row>
    <row r="12011" spans="1:4" hidden="1" x14ac:dyDescent="0.3">
      <c r="A12011">
        <v>12009</v>
      </c>
      <c r="B12011" s="1" t="s">
        <v>15687</v>
      </c>
      <c r="C12011" t="s">
        <v>151</v>
      </c>
      <c r="D12011" s="1" t="s">
        <v>15688</v>
      </c>
    </row>
    <row r="12012" spans="1:4" hidden="1" x14ac:dyDescent="0.3">
      <c r="A12012">
        <v>12010</v>
      </c>
      <c r="B12012" t="s">
        <v>15689</v>
      </c>
      <c r="C12012" t="s">
        <v>30</v>
      </c>
      <c r="D12012">
        <v>-2.2839157022304399</v>
      </c>
    </row>
    <row r="12013" spans="1:4" hidden="1" x14ac:dyDescent="0.3">
      <c r="A12013">
        <v>12011</v>
      </c>
      <c r="B12013" t="s">
        <v>15690</v>
      </c>
      <c r="C12013" t="s">
        <v>32</v>
      </c>
      <c r="D12013">
        <v>0.414960776552315</v>
      </c>
    </row>
    <row r="12014" spans="1:4" hidden="1" x14ac:dyDescent="0.3">
      <c r="A12014">
        <v>12012</v>
      </c>
      <c r="B12014" s="1" t="s">
        <v>15691</v>
      </c>
      <c r="C12014" t="s">
        <v>155</v>
      </c>
      <c r="D12014" s="1" t="s">
        <v>15692</v>
      </c>
    </row>
    <row r="12015" spans="1:4" hidden="1" x14ac:dyDescent="0.3">
      <c r="A12015">
        <v>12013</v>
      </c>
      <c r="B12015" t="s">
        <v>15693</v>
      </c>
      <c r="C12015" t="s">
        <v>40</v>
      </c>
      <c r="D12015">
        <v>-2.6629385409359601</v>
      </c>
    </row>
    <row r="12016" spans="1:4" hidden="1" x14ac:dyDescent="0.3">
      <c r="A12016">
        <v>12014</v>
      </c>
      <c r="B12016" t="s">
        <v>15694</v>
      </c>
      <c r="C12016" t="s">
        <v>42</v>
      </c>
      <c r="D12016">
        <v>0.44100847964768303</v>
      </c>
    </row>
    <row r="12017" spans="1:4" hidden="1" x14ac:dyDescent="0.3">
      <c r="A12017">
        <v>12015</v>
      </c>
      <c r="B12017" s="1" t="s">
        <v>15695</v>
      </c>
      <c r="C12017" t="s">
        <v>159</v>
      </c>
      <c r="D12017" s="1" t="s">
        <v>15696</v>
      </c>
    </row>
    <row r="12018" spans="1:4" hidden="1" x14ac:dyDescent="0.3">
      <c r="A12018">
        <v>12016</v>
      </c>
      <c r="B12018" t="s">
        <v>15697</v>
      </c>
      <c r="C12018" t="s">
        <v>161</v>
      </c>
      <c r="D12018">
        <v>1.0363267900308399</v>
      </c>
    </row>
    <row r="12019" spans="1:4" hidden="1" x14ac:dyDescent="0.3">
      <c r="A12019">
        <v>12017</v>
      </c>
      <c r="B12019" t="s">
        <v>15698</v>
      </c>
      <c r="C12019" t="s">
        <v>163</v>
      </c>
      <c r="D12019">
        <v>1.0081079340885899</v>
      </c>
    </row>
    <row r="12020" spans="1:4" hidden="1" x14ac:dyDescent="0.3">
      <c r="A12020">
        <v>12018</v>
      </c>
      <c r="B12020" s="1" t="s">
        <v>15699</v>
      </c>
      <c r="C12020" t="s">
        <v>165</v>
      </c>
      <c r="D12020" s="1" t="s">
        <v>15700</v>
      </c>
    </row>
    <row r="12021" spans="1:4" hidden="1" x14ac:dyDescent="0.3">
      <c r="A12021">
        <v>12019</v>
      </c>
      <c r="B12021" t="s">
        <v>15701</v>
      </c>
      <c r="C12021" t="s">
        <v>168</v>
      </c>
      <c r="D12021">
        <v>0.99729207989798496</v>
      </c>
    </row>
    <row r="12022" spans="1:4" hidden="1" x14ac:dyDescent="0.3">
      <c r="A12022">
        <v>12020</v>
      </c>
      <c r="B12022" t="s">
        <v>15702</v>
      </c>
      <c r="C12022" t="s">
        <v>170</v>
      </c>
      <c r="D12022">
        <v>1.0089383150175399</v>
      </c>
    </row>
    <row r="12023" spans="1:4" hidden="1" x14ac:dyDescent="0.3">
      <c r="A12023">
        <v>12021</v>
      </c>
      <c r="B12023" s="1" t="s">
        <v>15703</v>
      </c>
      <c r="C12023" t="s">
        <v>172</v>
      </c>
      <c r="D12023" s="1" t="s">
        <v>15704</v>
      </c>
    </row>
    <row r="12024" spans="1:4" hidden="1" x14ac:dyDescent="0.3">
      <c r="A12024">
        <v>12022</v>
      </c>
      <c r="B12024" s="1" t="s">
        <v>15705</v>
      </c>
      <c r="C12024" t="s">
        <v>55</v>
      </c>
      <c r="D12024" s="1" t="s">
        <v>15706</v>
      </c>
    </row>
    <row r="12025" spans="1:4" hidden="1" x14ac:dyDescent="0.3">
      <c r="A12025">
        <v>12023</v>
      </c>
      <c r="B12025" s="1" t="s">
        <v>15707</v>
      </c>
      <c r="C12025" t="s">
        <v>52</v>
      </c>
      <c r="D12025" s="1" t="s">
        <v>15708</v>
      </c>
    </row>
    <row r="12026" spans="1:4" hidden="1" x14ac:dyDescent="0.3">
      <c r="A12026">
        <v>12024</v>
      </c>
      <c r="B12026" s="1" t="s">
        <v>15709</v>
      </c>
      <c r="C12026" t="s">
        <v>58</v>
      </c>
      <c r="D12026" s="1" t="s">
        <v>15710</v>
      </c>
    </row>
    <row r="12027" spans="1:4" hidden="1" x14ac:dyDescent="0.3">
      <c r="A12027">
        <v>12025</v>
      </c>
      <c r="B12027" t="s">
        <v>15711</v>
      </c>
      <c r="C12027" t="s">
        <v>61</v>
      </c>
      <c r="D12027">
        <v>151112956.269952</v>
      </c>
    </row>
    <row r="12028" spans="1:4" hidden="1" x14ac:dyDescent="0.3">
      <c r="A12028">
        <v>12026</v>
      </c>
      <c r="B12028" t="s">
        <v>15712</v>
      </c>
      <c r="C12028" t="s">
        <v>63</v>
      </c>
      <c r="D12028">
        <v>85839916.267738193</v>
      </c>
    </row>
    <row r="12029" spans="1:4" hidden="1" x14ac:dyDescent="0.3">
      <c r="A12029">
        <v>12027</v>
      </c>
      <c r="B12029" t="s">
        <v>15713</v>
      </c>
      <c r="C12029" t="s">
        <v>65</v>
      </c>
      <c r="D12029">
        <v>34696403.308004498</v>
      </c>
    </row>
    <row r="12030" spans="1:4" hidden="1" x14ac:dyDescent="0.3">
      <c r="A12030">
        <v>12028</v>
      </c>
      <c r="B12030" s="1" t="s">
        <v>15714</v>
      </c>
      <c r="C12030" t="s">
        <v>67</v>
      </c>
      <c r="D12030" s="1" t="s">
        <v>15715</v>
      </c>
    </row>
    <row r="12031" spans="1:4" hidden="1" x14ac:dyDescent="0.3">
      <c r="A12031">
        <v>12029</v>
      </c>
      <c r="B12031" s="1" t="s">
        <v>15716</v>
      </c>
      <c r="C12031" t="s">
        <v>70</v>
      </c>
      <c r="D12031" s="1" t="s">
        <v>15717</v>
      </c>
    </row>
    <row r="12032" spans="1:4" hidden="1" x14ac:dyDescent="0.3">
      <c r="A12032">
        <v>12030</v>
      </c>
      <c r="B12032" t="s">
        <v>15718</v>
      </c>
      <c r="C12032" t="s">
        <v>73</v>
      </c>
      <c r="D12032">
        <v>0.99981700858918898</v>
      </c>
    </row>
    <row r="12033" spans="1:4" hidden="1" x14ac:dyDescent="0.3">
      <c r="A12033">
        <v>12031</v>
      </c>
      <c r="B12033" t="s">
        <v>74</v>
      </c>
      <c r="C12033" t="s">
        <v>75</v>
      </c>
      <c r="D12033">
        <v>2.7397260273972599E-3</v>
      </c>
    </row>
    <row r="12034" spans="1:4" hidden="1" x14ac:dyDescent="0.3">
      <c r="A12034">
        <v>12032</v>
      </c>
      <c r="B12034" t="s">
        <v>76</v>
      </c>
      <c r="C12034" t="s">
        <v>77</v>
      </c>
      <c r="D12034">
        <v>0</v>
      </c>
    </row>
    <row r="12035" spans="1:4" hidden="1" x14ac:dyDescent="0.3">
      <c r="A12035">
        <v>12033</v>
      </c>
      <c r="B12035" t="s">
        <v>78</v>
      </c>
      <c r="C12035" t="s">
        <v>79</v>
      </c>
      <c r="D12035">
        <v>0</v>
      </c>
    </row>
    <row r="12036" spans="1:4" hidden="1" x14ac:dyDescent="0.3">
      <c r="A12036">
        <v>12034</v>
      </c>
      <c r="B12036" s="1" t="s">
        <v>15719</v>
      </c>
      <c r="C12036" t="s">
        <v>81</v>
      </c>
      <c r="D12036" s="1" t="s">
        <v>15720</v>
      </c>
    </row>
    <row r="12037" spans="1:4" hidden="1" x14ac:dyDescent="0.3">
      <c r="A12037">
        <v>12035</v>
      </c>
      <c r="B12037" t="s">
        <v>15721</v>
      </c>
      <c r="C12037" t="s">
        <v>84</v>
      </c>
      <c r="D12037">
        <v>0.99982388535817301</v>
      </c>
    </row>
    <row r="12038" spans="1:4" hidden="1" x14ac:dyDescent="0.3">
      <c r="A12038">
        <v>12036</v>
      </c>
      <c r="B12038" s="1" t="s">
        <v>15722</v>
      </c>
      <c r="C12038" t="s">
        <v>86</v>
      </c>
      <c r="D12038" s="1" t="s">
        <v>15723</v>
      </c>
    </row>
    <row r="12039" spans="1:4" hidden="1" x14ac:dyDescent="0.3">
      <c r="A12039">
        <v>12037</v>
      </c>
      <c r="B12039" t="s">
        <v>15724</v>
      </c>
      <c r="C12039" t="s">
        <v>89</v>
      </c>
      <c r="D12039">
        <v>104274127.89426801</v>
      </c>
    </row>
    <row r="12040" spans="1:4" hidden="1" x14ac:dyDescent="0.3">
      <c r="A12040">
        <v>12038</v>
      </c>
      <c r="B12040" s="1" t="s">
        <v>15725</v>
      </c>
      <c r="C12040" t="s">
        <v>91</v>
      </c>
      <c r="D12040" s="1" t="s">
        <v>15660</v>
      </c>
    </row>
    <row r="12041" spans="1:4" hidden="1" x14ac:dyDescent="0.3">
      <c r="A12041">
        <v>12039</v>
      </c>
      <c r="B12041" t="s">
        <v>15726</v>
      </c>
      <c r="C12041" t="s">
        <v>94</v>
      </c>
      <c r="D12041">
        <v>85839916.267738193</v>
      </c>
    </row>
    <row r="12042" spans="1:4" hidden="1" x14ac:dyDescent="0.3">
      <c r="A12042">
        <v>12040</v>
      </c>
      <c r="B12042" t="s">
        <v>15727</v>
      </c>
      <c r="C12042" t="s">
        <v>96</v>
      </c>
      <c r="D12042">
        <v>34696403.308004498</v>
      </c>
    </row>
    <row r="12043" spans="1:4" hidden="1" x14ac:dyDescent="0.3">
      <c r="A12043">
        <v>12041</v>
      </c>
      <c r="B12043" t="s">
        <v>15728</v>
      </c>
      <c r="C12043" t="s">
        <v>98</v>
      </c>
      <c r="D12043">
        <v>30576636.694209699</v>
      </c>
    </row>
    <row r="12044" spans="1:4" hidden="1" x14ac:dyDescent="0.3">
      <c r="A12044">
        <v>12042</v>
      </c>
      <c r="B12044" s="1" t="s">
        <v>15729</v>
      </c>
      <c r="C12044" t="s">
        <v>100</v>
      </c>
      <c r="D12044" s="1" t="s">
        <v>15730</v>
      </c>
    </row>
    <row r="12045" spans="1:4" hidden="1" x14ac:dyDescent="0.3">
      <c r="A12045">
        <v>12043</v>
      </c>
      <c r="B12045" t="s">
        <v>15731</v>
      </c>
      <c r="C12045" t="s">
        <v>103</v>
      </c>
      <c r="D12045">
        <v>1.00283782695537E-2</v>
      </c>
    </row>
    <row r="12046" spans="1:4" hidden="1" x14ac:dyDescent="0.3">
      <c r="A12046">
        <v>12044</v>
      </c>
      <c r="B12046" t="s">
        <v>15732</v>
      </c>
      <c r="C12046" t="s">
        <v>105</v>
      </c>
      <c r="D12046">
        <v>3.2427491492521198E-3</v>
      </c>
    </row>
    <row r="12047" spans="1:4" hidden="1" x14ac:dyDescent="0.3">
      <c r="A12047">
        <v>12045</v>
      </c>
      <c r="B12047" t="s">
        <v>15733</v>
      </c>
      <c r="C12047" t="s">
        <v>107</v>
      </c>
      <c r="D12047">
        <v>2.4594952950920301E-2</v>
      </c>
    </row>
    <row r="12048" spans="1:4" hidden="1" x14ac:dyDescent="0.3">
      <c r="A12048">
        <v>12046</v>
      </c>
      <c r="B12048" s="1" t="s">
        <v>15734</v>
      </c>
      <c r="C12048" t="s">
        <v>109</v>
      </c>
      <c r="D12048" s="1" t="s">
        <v>15735</v>
      </c>
    </row>
    <row r="12049" spans="1:4" hidden="1" x14ac:dyDescent="0.3">
      <c r="A12049">
        <v>12047</v>
      </c>
      <c r="B12049" t="s">
        <v>15736</v>
      </c>
      <c r="C12049" t="s">
        <v>208</v>
      </c>
      <c r="D12049">
        <v>151113205.76672301</v>
      </c>
    </row>
    <row r="12050" spans="1:4" hidden="1" x14ac:dyDescent="0.3">
      <c r="A12050">
        <v>12048</v>
      </c>
      <c r="B12050" t="s">
        <v>15737</v>
      </c>
      <c r="C12050" t="s">
        <v>210</v>
      </c>
      <c r="D12050">
        <v>-590.410589331957</v>
      </c>
    </row>
    <row r="12051" spans="1:4" hidden="1" x14ac:dyDescent="0.3">
      <c r="A12051">
        <v>12049</v>
      </c>
      <c r="B12051" t="s">
        <v>15738</v>
      </c>
      <c r="C12051" t="s">
        <v>212</v>
      </c>
      <c r="D12051">
        <v>-238.64307235511001</v>
      </c>
    </row>
    <row r="12052" spans="1:4" hidden="1" x14ac:dyDescent="0.3">
      <c r="A12052">
        <v>12050</v>
      </c>
      <c r="B12052" s="1" t="s">
        <v>15739</v>
      </c>
      <c r="C12052" t="s">
        <v>214</v>
      </c>
      <c r="D12052" s="1" t="s">
        <v>15740</v>
      </c>
    </row>
    <row r="12053" spans="1:4" hidden="1" x14ac:dyDescent="0.3">
      <c r="A12053">
        <v>12051</v>
      </c>
      <c r="B12053" t="s">
        <v>15741</v>
      </c>
      <c r="C12053" t="s">
        <v>217</v>
      </c>
      <c r="D12053">
        <v>85840692.163383394</v>
      </c>
    </row>
    <row r="12054" spans="1:4" hidden="1" x14ac:dyDescent="0.3">
      <c r="A12054">
        <v>12052</v>
      </c>
      <c r="B12054" t="s">
        <v>15742</v>
      </c>
      <c r="C12054" t="s">
        <v>219</v>
      </c>
      <c r="D12054">
        <v>34696678.686163001</v>
      </c>
    </row>
    <row r="12055" spans="1:4" hidden="1" x14ac:dyDescent="0.3">
      <c r="A12055">
        <v>12053</v>
      </c>
      <c r="B12055" t="s">
        <v>15743</v>
      </c>
      <c r="C12055" t="s">
        <v>221</v>
      </c>
      <c r="D12055">
        <v>30576874.277977001</v>
      </c>
    </row>
    <row r="12056" spans="1:4" hidden="1" x14ac:dyDescent="0.3">
      <c r="A12056">
        <v>12054</v>
      </c>
      <c r="B12056" s="1" t="s">
        <v>15744</v>
      </c>
      <c r="C12056" t="s">
        <v>223</v>
      </c>
      <c r="D12056" s="1" t="s">
        <v>15745</v>
      </c>
    </row>
    <row r="12057" spans="1:4" hidden="1" x14ac:dyDescent="0.3">
      <c r="A12057">
        <v>12055</v>
      </c>
      <c r="B12057" t="s">
        <v>15746</v>
      </c>
      <c r="C12057" t="s">
        <v>226</v>
      </c>
      <c r="D12057">
        <v>104274845.094598</v>
      </c>
    </row>
    <row r="12058" spans="1:4" hidden="1" x14ac:dyDescent="0.3">
      <c r="A12058">
        <v>12056</v>
      </c>
      <c r="B12058" t="s">
        <v>15747</v>
      </c>
      <c r="C12058" t="s">
        <v>228</v>
      </c>
      <c r="D12058">
        <v>-717.20032997429303</v>
      </c>
    </row>
    <row r="12059" spans="1:4" hidden="1" x14ac:dyDescent="0.3">
      <c r="A12059">
        <v>12057</v>
      </c>
      <c r="B12059" s="1" t="s">
        <v>15748</v>
      </c>
      <c r="C12059" t="s">
        <v>230</v>
      </c>
      <c r="D12059" s="1" t="s">
        <v>15749</v>
      </c>
    </row>
    <row r="12060" spans="1:4" hidden="1" x14ac:dyDescent="0.3">
      <c r="A12060">
        <v>12058</v>
      </c>
      <c r="B12060" t="s">
        <v>15750</v>
      </c>
      <c r="C12060" t="s">
        <v>112</v>
      </c>
      <c r="D12060">
        <v>185.48505591143501</v>
      </c>
    </row>
    <row r="12061" spans="1:4" hidden="1" x14ac:dyDescent="0.3">
      <c r="A12061">
        <v>12059</v>
      </c>
      <c r="B12061" t="s">
        <v>15751</v>
      </c>
      <c r="C12061" t="s">
        <v>114</v>
      </c>
      <c r="D12061">
        <v>36.7350862082587</v>
      </c>
    </row>
    <row r="12062" spans="1:4" hidden="1" x14ac:dyDescent="0.3">
      <c r="A12062">
        <v>12060</v>
      </c>
      <c r="B12062" s="1" t="s">
        <v>15752</v>
      </c>
      <c r="C12062" t="s">
        <v>116</v>
      </c>
      <c r="D12062" s="1" t="s">
        <v>15753</v>
      </c>
    </row>
    <row r="12063" spans="1:4" hidden="1" x14ac:dyDescent="0.3">
      <c r="A12063">
        <v>12061</v>
      </c>
      <c r="B12063" t="s">
        <v>15754</v>
      </c>
      <c r="C12063" t="s">
        <v>119</v>
      </c>
      <c r="D12063">
        <v>85840692.163383394</v>
      </c>
    </row>
    <row r="12064" spans="1:4" hidden="1" x14ac:dyDescent="0.3">
      <c r="A12064">
        <v>12062</v>
      </c>
      <c r="B12064" t="s">
        <v>15755</v>
      </c>
      <c r="C12064" t="s">
        <v>121</v>
      </c>
      <c r="D12064">
        <v>34696678.686163001</v>
      </c>
    </row>
    <row r="12065" spans="1:4" hidden="1" x14ac:dyDescent="0.3">
      <c r="A12065">
        <v>12063</v>
      </c>
      <c r="B12065" s="1" t="s">
        <v>15756</v>
      </c>
      <c r="C12065" t="s">
        <v>123</v>
      </c>
      <c r="D12065" s="1" t="s">
        <v>15757</v>
      </c>
    </row>
    <row r="12066" spans="1:4" hidden="1" x14ac:dyDescent="0.3">
      <c r="A12066">
        <v>12064</v>
      </c>
      <c r="B12066" t="s">
        <v>15758</v>
      </c>
      <c r="C12066" t="s">
        <v>126</v>
      </c>
      <c r="D12066">
        <v>0.82336073049242797</v>
      </c>
    </row>
    <row r="12067" spans="1:4" hidden="1" x14ac:dyDescent="0.3">
      <c r="A12067">
        <v>12065</v>
      </c>
      <c r="B12067" t="s">
        <v>15759</v>
      </c>
      <c r="C12067" t="s">
        <v>128</v>
      </c>
      <c r="D12067">
        <v>0.33280116910434598</v>
      </c>
    </row>
    <row r="12068" spans="1:4" hidden="1" x14ac:dyDescent="0.3">
      <c r="A12068">
        <v>12066</v>
      </c>
      <c r="B12068" s="1" t="s">
        <v>15760</v>
      </c>
      <c r="C12068" t="s">
        <v>130</v>
      </c>
      <c r="D12068" s="1" t="s">
        <v>15761</v>
      </c>
    </row>
    <row r="12069" spans="1:4" ht="72" x14ac:dyDescent="0.3">
      <c r="A12069">
        <v>12067</v>
      </c>
      <c r="B12069" s="1" t="s">
        <v>15762</v>
      </c>
      <c r="C12069" t="s">
        <v>4</v>
      </c>
      <c r="D12069" t="s">
        <v>15763</v>
      </c>
    </row>
    <row r="12070" spans="1:4" hidden="1" x14ac:dyDescent="0.3">
      <c r="A12070">
        <v>12068</v>
      </c>
      <c r="B12070" t="s">
        <v>15764</v>
      </c>
      <c r="C12070" t="s">
        <v>7</v>
      </c>
      <c r="D12070">
        <v>1978.84</v>
      </c>
    </row>
    <row r="12071" spans="1:4" hidden="1" x14ac:dyDescent="0.3">
      <c r="A12071">
        <v>12069</v>
      </c>
      <c r="B12071" s="1" t="s">
        <v>15765</v>
      </c>
      <c r="C12071" t="s">
        <v>9</v>
      </c>
      <c r="D12071" s="1" t="s">
        <v>15766</v>
      </c>
    </row>
    <row r="12072" spans="1:4" hidden="1" x14ac:dyDescent="0.3">
      <c r="A12072">
        <v>12070</v>
      </c>
      <c r="B12072" t="s">
        <v>15767</v>
      </c>
      <c r="C12072" t="s">
        <v>14</v>
      </c>
      <c r="D12072">
        <v>91.0390625</v>
      </c>
    </row>
    <row r="12073" spans="1:4" hidden="1" x14ac:dyDescent="0.3">
      <c r="A12073">
        <v>12071</v>
      </c>
      <c r="B12073" t="s">
        <v>15768</v>
      </c>
      <c r="C12073" t="s">
        <v>16</v>
      </c>
      <c r="D12073">
        <v>4.2450563255945699</v>
      </c>
    </row>
    <row r="12074" spans="1:4" hidden="1" x14ac:dyDescent="0.3">
      <c r="A12074">
        <v>12072</v>
      </c>
      <c r="B12074" s="1" t="s">
        <v>15769</v>
      </c>
      <c r="C12074" t="s">
        <v>140</v>
      </c>
      <c r="D12074" s="1" t="s">
        <v>15770</v>
      </c>
    </row>
    <row r="12075" spans="1:4" hidden="1" x14ac:dyDescent="0.3">
      <c r="A12075">
        <v>12073</v>
      </c>
      <c r="B12075" t="s">
        <v>15771</v>
      </c>
      <c r="C12075" t="s">
        <v>22</v>
      </c>
      <c r="D12075">
        <v>49.65</v>
      </c>
    </row>
    <row r="12076" spans="1:4" hidden="1" x14ac:dyDescent="0.3">
      <c r="A12076">
        <v>12074</v>
      </c>
      <c r="B12076" t="s">
        <v>15772</v>
      </c>
      <c r="C12076" t="s">
        <v>24</v>
      </c>
      <c r="D12076">
        <v>4.7269017834043199</v>
      </c>
    </row>
    <row r="12077" spans="1:4" hidden="1" x14ac:dyDescent="0.3">
      <c r="A12077">
        <v>12075</v>
      </c>
      <c r="B12077" s="1" t="s">
        <v>15773</v>
      </c>
      <c r="C12077" t="s">
        <v>145</v>
      </c>
      <c r="D12077" s="1" t="s">
        <v>15774</v>
      </c>
    </row>
    <row r="12078" spans="1:4" hidden="1" x14ac:dyDescent="0.3">
      <c r="A12078">
        <v>12076</v>
      </c>
      <c r="B12078" t="s">
        <v>15775</v>
      </c>
      <c r="C12078" t="s">
        <v>35</v>
      </c>
      <c r="D12078">
        <v>4.3614402852433702</v>
      </c>
    </row>
    <row r="12079" spans="1:4" hidden="1" x14ac:dyDescent="0.3">
      <c r="A12079">
        <v>12077</v>
      </c>
      <c r="B12079" t="s">
        <v>15776</v>
      </c>
      <c r="C12079" t="s">
        <v>149</v>
      </c>
      <c r="D12079">
        <v>0.54602341049800895</v>
      </c>
    </row>
    <row r="12080" spans="1:4" hidden="1" x14ac:dyDescent="0.3">
      <c r="A12080">
        <v>12078</v>
      </c>
      <c r="B12080" s="1" t="s">
        <v>15777</v>
      </c>
      <c r="C12080" t="s">
        <v>151</v>
      </c>
      <c r="D12080" s="1" t="s">
        <v>15778</v>
      </c>
    </row>
    <row r="12081" spans="1:4" hidden="1" x14ac:dyDescent="0.3">
      <c r="A12081">
        <v>12079</v>
      </c>
      <c r="B12081" t="s">
        <v>15779</v>
      </c>
      <c r="C12081" t="s">
        <v>30</v>
      </c>
      <c r="D12081">
        <v>-1.5393350176313201</v>
      </c>
    </row>
    <row r="12082" spans="1:4" hidden="1" x14ac:dyDescent="0.3">
      <c r="A12082">
        <v>12080</v>
      </c>
      <c r="B12082" t="s">
        <v>15780</v>
      </c>
      <c r="C12082" t="s">
        <v>32</v>
      </c>
      <c r="D12082">
        <v>0.40136292308959998</v>
      </c>
    </row>
    <row r="12083" spans="1:4" hidden="1" x14ac:dyDescent="0.3">
      <c r="A12083">
        <v>12081</v>
      </c>
      <c r="B12083" s="1" t="s">
        <v>15781</v>
      </c>
      <c r="C12083" t="s">
        <v>155</v>
      </c>
      <c r="D12083" s="1" t="s">
        <v>15782</v>
      </c>
    </row>
    <row r="12084" spans="1:4" hidden="1" x14ac:dyDescent="0.3">
      <c r="A12084">
        <v>12082</v>
      </c>
      <c r="B12084" t="s">
        <v>15783</v>
      </c>
      <c r="C12084" t="s">
        <v>40</v>
      </c>
      <c r="D12084">
        <v>-1.8221052676120499</v>
      </c>
    </row>
    <row r="12085" spans="1:4" hidden="1" x14ac:dyDescent="0.3">
      <c r="A12085">
        <v>12083</v>
      </c>
      <c r="B12085" t="s">
        <v>15784</v>
      </c>
      <c r="C12085" t="s">
        <v>42</v>
      </c>
      <c r="D12085">
        <v>0.430060383628939</v>
      </c>
    </row>
    <row r="12086" spans="1:4" hidden="1" x14ac:dyDescent="0.3">
      <c r="A12086">
        <v>12084</v>
      </c>
      <c r="B12086" s="1" t="s">
        <v>15785</v>
      </c>
      <c r="C12086" t="s">
        <v>159</v>
      </c>
      <c r="D12086" s="1" t="s">
        <v>15786</v>
      </c>
    </row>
    <row r="12087" spans="1:4" hidden="1" x14ac:dyDescent="0.3">
      <c r="A12087">
        <v>12085</v>
      </c>
      <c r="B12087" t="s">
        <v>15787</v>
      </c>
      <c r="C12087" t="s">
        <v>161</v>
      </c>
      <c r="D12087">
        <v>0.99476687193665903</v>
      </c>
    </row>
    <row r="12088" spans="1:4" hidden="1" x14ac:dyDescent="0.3">
      <c r="A12088">
        <v>12086</v>
      </c>
      <c r="B12088" t="s">
        <v>15788</v>
      </c>
      <c r="C12088" t="s">
        <v>163</v>
      </c>
      <c r="D12088">
        <v>0.99761355911559102</v>
      </c>
    </row>
    <row r="12089" spans="1:4" hidden="1" x14ac:dyDescent="0.3">
      <c r="A12089">
        <v>12087</v>
      </c>
      <c r="B12089" s="1" t="s">
        <v>15789</v>
      </c>
      <c r="C12089" t="s">
        <v>165</v>
      </c>
      <c r="D12089" s="1" t="s">
        <v>15790</v>
      </c>
    </row>
    <row r="12090" spans="1:4" hidden="1" x14ac:dyDescent="0.3">
      <c r="A12090">
        <v>12088</v>
      </c>
      <c r="B12090" t="s">
        <v>15791</v>
      </c>
      <c r="C12090" t="s">
        <v>168</v>
      </c>
      <c r="D12090">
        <v>1.00469285970802</v>
      </c>
    </row>
    <row r="12091" spans="1:4" hidden="1" x14ac:dyDescent="0.3">
      <c r="A12091">
        <v>12089</v>
      </c>
      <c r="B12091" t="s">
        <v>15792</v>
      </c>
      <c r="C12091" t="s">
        <v>170</v>
      </c>
      <c r="D12091">
        <v>0.99038994317860396</v>
      </c>
    </row>
    <row r="12092" spans="1:4" hidden="1" x14ac:dyDescent="0.3">
      <c r="A12092">
        <v>12090</v>
      </c>
      <c r="B12092" s="1" t="s">
        <v>15793</v>
      </c>
      <c r="C12092" t="s">
        <v>172</v>
      </c>
      <c r="D12092" s="1" t="s">
        <v>15794</v>
      </c>
    </row>
    <row r="12093" spans="1:4" hidden="1" x14ac:dyDescent="0.3">
      <c r="A12093">
        <v>12091</v>
      </c>
      <c r="B12093" s="1" t="s">
        <v>15795</v>
      </c>
      <c r="C12093" t="s">
        <v>55</v>
      </c>
      <c r="D12093" s="1" t="s">
        <v>15796</v>
      </c>
    </row>
    <row r="12094" spans="1:4" hidden="1" x14ac:dyDescent="0.3">
      <c r="A12094">
        <v>12092</v>
      </c>
      <c r="B12094" s="1" t="s">
        <v>15797</v>
      </c>
      <c r="C12094" t="s">
        <v>52</v>
      </c>
      <c r="D12094" s="1" t="s">
        <v>15798</v>
      </c>
    </row>
    <row r="12095" spans="1:4" hidden="1" x14ac:dyDescent="0.3">
      <c r="A12095">
        <v>12093</v>
      </c>
      <c r="B12095" s="1" t="s">
        <v>15799</v>
      </c>
      <c r="C12095" t="s">
        <v>58</v>
      </c>
      <c r="D12095" s="1" t="s">
        <v>15800</v>
      </c>
    </row>
    <row r="12096" spans="1:4" hidden="1" x14ac:dyDescent="0.3">
      <c r="A12096">
        <v>12094</v>
      </c>
      <c r="B12096" t="s">
        <v>15801</v>
      </c>
      <c r="C12096" t="s">
        <v>61</v>
      </c>
      <c r="D12096">
        <v>150329915.076161</v>
      </c>
    </row>
    <row r="12097" spans="1:4" hidden="1" x14ac:dyDescent="0.3">
      <c r="A12097">
        <v>12095</v>
      </c>
      <c r="B12097" t="s">
        <v>15802</v>
      </c>
      <c r="C12097" t="s">
        <v>63</v>
      </c>
      <c r="D12097">
        <v>85391476.828246593</v>
      </c>
    </row>
    <row r="12098" spans="1:4" hidden="1" x14ac:dyDescent="0.3">
      <c r="A12098">
        <v>12096</v>
      </c>
      <c r="B12098" t="s">
        <v>15803</v>
      </c>
      <c r="C12098" t="s">
        <v>65</v>
      </c>
      <c r="D12098">
        <v>34613877.113593198</v>
      </c>
    </row>
    <row r="12099" spans="1:4" hidden="1" x14ac:dyDescent="0.3">
      <c r="A12099">
        <v>12097</v>
      </c>
      <c r="B12099" s="1" t="s">
        <v>15804</v>
      </c>
      <c r="C12099" t="s">
        <v>67</v>
      </c>
      <c r="D12099" s="1" t="s">
        <v>15805</v>
      </c>
    </row>
    <row r="12100" spans="1:4" hidden="1" x14ac:dyDescent="0.3">
      <c r="A12100">
        <v>12098</v>
      </c>
      <c r="B12100" s="1" t="s">
        <v>15806</v>
      </c>
      <c r="C12100" t="s">
        <v>70</v>
      </c>
      <c r="D12100" s="1" t="s">
        <v>15807</v>
      </c>
    </row>
    <row r="12101" spans="1:4" hidden="1" x14ac:dyDescent="0.3">
      <c r="A12101">
        <v>12099</v>
      </c>
      <c r="B12101" t="s">
        <v>15808</v>
      </c>
      <c r="C12101" t="s">
        <v>73</v>
      </c>
      <c r="D12101">
        <v>0.99982388535817301</v>
      </c>
    </row>
    <row r="12102" spans="1:4" hidden="1" x14ac:dyDescent="0.3">
      <c r="A12102">
        <v>12100</v>
      </c>
      <c r="B12102" t="s">
        <v>74</v>
      </c>
      <c r="C12102" t="s">
        <v>75</v>
      </c>
      <c r="D12102">
        <v>2.7397260273972599E-3</v>
      </c>
    </row>
    <row r="12103" spans="1:4" hidden="1" x14ac:dyDescent="0.3">
      <c r="A12103">
        <v>12101</v>
      </c>
      <c r="B12103" t="s">
        <v>76</v>
      </c>
      <c r="C12103" t="s">
        <v>77</v>
      </c>
      <c r="D12103">
        <v>0</v>
      </c>
    </row>
    <row r="12104" spans="1:4" hidden="1" x14ac:dyDescent="0.3">
      <c r="A12104">
        <v>12102</v>
      </c>
      <c r="B12104" t="s">
        <v>78</v>
      </c>
      <c r="C12104" t="s">
        <v>79</v>
      </c>
      <c r="D12104">
        <v>0</v>
      </c>
    </row>
    <row r="12105" spans="1:4" hidden="1" x14ac:dyDescent="0.3">
      <c r="A12105">
        <v>12103</v>
      </c>
      <c r="B12105" s="1" t="s">
        <v>15809</v>
      </c>
      <c r="C12105" t="s">
        <v>81</v>
      </c>
      <c r="D12105" s="1" t="s">
        <v>15810</v>
      </c>
    </row>
    <row r="12106" spans="1:4" hidden="1" x14ac:dyDescent="0.3">
      <c r="A12106">
        <v>12104</v>
      </c>
      <c r="B12106" t="s">
        <v>15811</v>
      </c>
      <c r="C12106" t="s">
        <v>84</v>
      </c>
      <c r="D12106">
        <v>0.99980822353280596</v>
      </c>
    </row>
    <row r="12107" spans="1:4" hidden="1" x14ac:dyDescent="0.3">
      <c r="A12107">
        <v>12105</v>
      </c>
      <c r="B12107" s="1" t="s">
        <v>15812</v>
      </c>
      <c r="C12107" t="s">
        <v>86</v>
      </c>
      <c r="D12107" s="1" t="s">
        <v>15813</v>
      </c>
    </row>
    <row r="12108" spans="1:4" hidden="1" x14ac:dyDescent="0.3">
      <c r="A12108">
        <v>12106</v>
      </c>
      <c r="B12108" t="s">
        <v>15814</v>
      </c>
      <c r="C12108" t="s">
        <v>89</v>
      </c>
      <c r="D12108">
        <v>104275761.330704</v>
      </c>
    </row>
    <row r="12109" spans="1:4" hidden="1" x14ac:dyDescent="0.3">
      <c r="A12109">
        <v>12107</v>
      </c>
      <c r="B12109" s="1" t="s">
        <v>15815</v>
      </c>
      <c r="C12109" t="s">
        <v>91</v>
      </c>
      <c r="D12109" s="1" t="s">
        <v>15749</v>
      </c>
    </row>
    <row r="12110" spans="1:4" hidden="1" x14ac:dyDescent="0.3">
      <c r="A12110">
        <v>12108</v>
      </c>
      <c r="B12110" t="s">
        <v>15816</v>
      </c>
      <c r="C12110" t="s">
        <v>94</v>
      </c>
      <c r="D12110">
        <v>85391476.828246593</v>
      </c>
    </row>
    <row r="12111" spans="1:4" hidden="1" x14ac:dyDescent="0.3">
      <c r="A12111">
        <v>12109</v>
      </c>
      <c r="B12111" t="s">
        <v>15817</v>
      </c>
      <c r="C12111" t="s">
        <v>96</v>
      </c>
      <c r="D12111">
        <v>34613877.113593198</v>
      </c>
    </row>
    <row r="12112" spans="1:4" hidden="1" x14ac:dyDescent="0.3">
      <c r="A12112">
        <v>12110</v>
      </c>
      <c r="B12112" t="s">
        <v>15818</v>
      </c>
      <c r="C12112" t="s">
        <v>98</v>
      </c>
      <c r="D12112">
        <v>30324561.134321898</v>
      </c>
    </row>
    <row r="12113" spans="1:4" hidden="1" x14ac:dyDescent="0.3">
      <c r="A12113">
        <v>12111</v>
      </c>
      <c r="B12113" s="1" t="s">
        <v>15819</v>
      </c>
      <c r="C12113" t="s">
        <v>100</v>
      </c>
      <c r="D12113" s="1" t="s">
        <v>15820</v>
      </c>
    </row>
    <row r="12114" spans="1:4" hidden="1" x14ac:dyDescent="0.3">
      <c r="A12114">
        <v>12112</v>
      </c>
      <c r="B12114" t="s">
        <v>15821</v>
      </c>
      <c r="C12114" t="s">
        <v>103</v>
      </c>
      <c r="D12114">
        <v>1.06183359390589E-2</v>
      </c>
    </row>
    <row r="12115" spans="1:4" hidden="1" x14ac:dyDescent="0.3">
      <c r="A12115">
        <v>12113</v>
      </c>
      <c r="B12115" t="s">
        <v>15822</v>
      </c>
      <c r="C12115" t="s">
        <v>105</v>
      </c>
      <c r="D12115">
        <v>3.2548810402392402E-3</v>
      </c>
    </row>
    <row r="12116" spans="1:4" hidden="1" x14ac:dyDescent="0.3">
      <c r="A12116">
        <v>12114</v>
      </c>
      <c r="B12116" t="s">
        <v>15823</v>
      </c>
      <c r="C12116" t="s">
        <v>107</v>
      </c>
      <c r="D12116">
        <v>2.45726745593014E-2</v>
      </c>
    </row>
    <row r="12117" spans="1:4" hidden="1" x14ac:dyDescent="0.3">
      <c r="A12117">
        <v>12115</v>
      </c>
      <c r="B12117" s="1" t="s">
        <v>15824</v>
      </c>
      <c r="C12117" t="s">
        <v>109</v>
      </c>
      <c r="D12117" s="1" t="s">
        <v>15825</v>
      </c>
    </row>
    <row r="12118" spans="1:4" hidden="1" x14ac:dyDescent="0.3">
      <c r="A12118">
        <v>12116</v>
      </c>
      <c r="B12118" t="s">
        <v>15826</v>
      </c>
      <c r="C12118" t="s">
        <v>208</v>
      </c>
      <c r="D12118">
        <v>150329343.07372901</v>
      </c>
    </row>
    <row r="12119" spans="1:4" hidden="1" x14ac:dyDescent="0.3">
      <c r="A12119">
        <v>12117</v>
      </c>
      <c r="B12119" t="s">
        <v>15827</v>
      </c>
      <c r="C12119" t="s">
        <v>210</v>
      </c>
      <c r="D12119">
        <v>1337.6150965798399</v>
      </c>
    </row>
    <row r="12120" spans="1:4" hidden="1" x14ac:dyDescent="0.3">
      <c r="A12120">
        <v>12118</v>
      </c>
      <c r="B12120" t="s">
        <v>15828</v>
      </c>
      <c r="C12120" t="s">
        <v>212</v>
      </c>
      <c r="D12120">
        <v>542.21061812599498</v>
      </c>
    </row>
    <row r="12121" spans="1:4" hidden="1" x14ac:dyDescent="0.3">
      <c r="A12121">
        <v>12119</v>
      </c>
      <c r="B12121" s="1" t="s">
        <v>15829</v>
      </c>
      <c r="C12121" t="s">
        <v>214</v>
      </c>
      <c r="D12121" s="1" t="s">
        <v>15830</v>
      </c>
    </row>
    <row r="12122" spans="1:4" hidden="1" x14ac:dyDescent="0.3">
      <c r="A12122">
        <v>12120</v>
      </c>
      <c r="B12122" t="s">
        <v>15831</v>
      </c>
      <c r="C12122" t="s">
        <v>217</v>
      </c>
      <c r="D12122">
        <v>85389700.2518363</v>
      </c>
    </row>
    <row r="12123" spans="1:4" hidden="1" x14ac:dyDescent="0.3">
      <c r="A12123">
        <v>12121</v>
      </c>
      <c r="B12123" t="s">
        <v>15832</v>
      </c>
      <c r="C12123" t="s">
        <v>219</v>
      </c>
      <c r="D12123">
        <v>34613247.318697602</v>
      </c>
    </row>
    <row r="12124" spans="1:4" hidden="1" x14ac:dyDescent="0.3">
      <c r="A12124">
        <v>12122</v>
      </c>
      <c r="B12124" t="s">
        <v>15833</v>
      </c>
      <c r="C12124" t="s">
        <v>221</v>
      </c>
      <c r="D12124">
        <v>30324040.656553801</v>
      </c>
    </row>
    <row r="12125" spans="1:4" hidden="1" x14ac:dyDescent="0.3">
      <c r="A12125">
        <v>12123</v>
      </c>
      <c r="B12125" s="1" t="s">
        <v>15834</v>
      </c>
      <c r="C12125" t="s">
        <v>223</v>
      </c>
      <c r="D12125" s="1" t="s">
        <v>15835</v>
      </c>
    </row>
    <row r="12126" spans="1:4" hidden="1" x14ac:dyDescent="0.3">
      <c r="A12126">
        <v>12124</v>
      </c>
      <c r="B12126" t="s">
        <v>15836</v>
      </c>
      <c r="C12126" t="s">
        <v>226</v>
      </c>
      <c r="D12126">
        <v>104274127.89426801</v>
      </c>
    </row>
    <row r="12127" spans="1:4" hidden="1" x14ac:dyDescent="0.3">
      <c r="A12127">
        <v>12125</v>
      </c>
      <c r="B12127" t="s">
        <v>15837</v>
      </c>
      <c r="C12127" t="s">
        <v>228</v>
      </c>
      <c r="D12127">
        <v>1633.43643604218</v>
      </c>
    </row>
    <row r="12128" spans="1:4" hidden="1" x14ac:dyDescent="0.3">
      <c r="A12128">
        <v>12126</v>
      </c>
      <c r="B12128" s="1" t="s">
        <v>15838</v>
      </c>
      <c r="C12128" t="s">
        <v>230</v>
      </c>
      <c r="D12128" s="1" t="s">
        <v>15839</v>
      </c>
    </row>
    <row r="12129" spans="1:4" hidden="1" x14ac:dyDescent="0.3">
      <c r="A12129">
        <v>12127</v>
      </c>
      <c r="B12129" t="s">
        <v>15840</v>
      </c>
      <c r="C12129" t="s">
        <v>112</v>
      </c>
      <c r="D12129">
        <v>-438.96131375368401</v>
      </c>
    </row>
    <row r="12130" spans="1:4" hidden="1" x14ac:dyDescent="0.3">
      <c r="A12130">
        <v>12128</v>
      </c>
      <c r="B12130" t="s">
        <v>15841</v>
      </c>
      <c r="C12130" t="s">
        <v>114</v>
      </c>
      <c r="D12130">
        <v>-87.584277453518197</v>
      </c>
    </row>
    <row r="12131" spans="1:4" hidden="1" x14ac:dyDescent="0.3">
      <c r="A12131">
        <v>12129</v>
      </c>
      <c r="B12131" s="1" t="s">
        <v>15842</v>
      </c>
      <c r="C12131" t="s">
        <v>116</v>
      </c>
      <c r="D12131" s="1" t="s">
        <v>15843</v>
      </c>
    </row>
    <row r="12132" spans="1:4" hidden="1" x14ac:dyDescent="0.3">
      <c r="A12132">
        <v>12130</v>
      </c>
      <c r="B12132" t="s">
        <v>15844</v>
      </c>
      <c r="C12132" t="s">
        <v>119</v>
      </c>
      <c r="D12132">
        <v>85389700.2518363</v>
      </c>
    </row>
    <row r="12133" spans="1:4" hidden="1" x14ac:dyDescent="0.3">
      <c r="A12133">
        <v>12131</v>
      </c>
      <c r="B12133" t="s">
        <v>15845</v>
      </c>
      <c r="C12133" t="s">
        <v>121</v>
      </c>
      <c r="D12133">
        <v>34613247.318697602</v>
      </c>
    </row>
    <row r="12134" spans="1:4" hidden="1" x14ac:dyDescent="0.3">
      <c r="A12134">
        <v>12132</v>
      </c>
      <c r="B12134" s="1" t="s">
        <v>15846</v>
      </c>
      <c r="C12134" t="s">
        <v>123</v>
      </c>
      <c r="D12134" s="1" t="s">
        <v>15847</v>
      </c>
    </row>
    <row r="12135" spans="1:4" hidden="1" x14ac:dyDescent="0.3">
      <c r="A12135">
        <v>12133</v>
      </c>
      <c r="B12135" t="s">
        <v>15848</v>
      </c>
      <c r="C12135" t="s">
        <v>126</v>
      </c>
      <c r="D12135">
        <v>0.81905340138225002</v>
      </c>
    </row>
    <row r="12136" spans="1:4" hidden="1" x14ac:dyDescent="0.3">
      <c r="A12136">
        <v>12134</v>
      </c>
      <c r="B12136" t="s">
        <v>15849</v>
      </c>
      <c r="C12136" t="s">
        <v>128</v>
      </c>
      <c r="D12136">
        <v>0.33200840225053502</v>
      </c>
    </row>
    <row r="12137" spans="1:4" hidden="1" x14ac:dyDescent="0.3">
      <c r="A12137">
        <v>12135</v>
      </c>
      <c r="B12137" s="1" t="s">
        <v>15850</v>
      </c>
      <c r="C12137" t="s">
        <v>130</v>
      </c>
      <c r="D12137" s="1" t="s">
        <v>15851</v>
      </c>
    </row>
    <row r="12138" spans="1:4" ht="72" x14ac:dyDescent="0.3">
      <c r="A12138">
        <v>12136</v>
      </c>
      <c r="B12138" s="1" t="s">
        <v>15852</v>
      </c>
      <c r="C12138" t="s">
        <v>4</v>
      </c>
      <c r="D12138" t="s">
        <v>15853</v>
      </c>
    </row>
    <row r="12139" spans="1:4" hidden="1" x14ac:dyDescent="0.3">
      <c r="A12139">
        <v>12137</v>
      </c>
      <c r="B12139" t="s">
        <v>15854</v>
      </c>
      <c r="C12139" t="s">
        <v>7</v>
      </c>
      <c r="D12139">
        <v>1940.07</v>
      </c>
    </row>
    <row r="12140" spans="1:4" hidden="1" x14ac:dyDescent="0.3">
      <c r="A12140">
        <v>12138</v>
      </c>
      <c r="B12140" s="1" t="s">
        <v>15855</v>
      </c>
      <c r="C12140" t="s">
        <v>9</v>
      </c>
      <c r="D12140" s="1" t="s">
        <v>15856</v>
      </c>
    </row>
    <row r="12141" spans="1:4" hidden="1" x14ac:dyDescent="0.3">
      <c r="A12141">
        <v>12139</v>
      </c>
      <c r="B12141" t="s">
        <v>15857</v>
      </c>
      <c r="C12141" t="s">
        <v>14</v>
      </c>
      <c r="D12141">
        <v>90.6171875</v>
      </c>
    </row>
    <row r="12142" spans="1:4" hidden="1" x14ac:dyDescent="0.3">
      <c r="A12142">
        <v>12140</v>
      </c>
      <c r="B12142" t="s">
        <v>15858</v>
      </c>
      <c r="C12142" t="s">
        <v>16</v>
      </c>
      <c r="D12142">
        <v>4.2374472785259201</v>
      </c>
    </row>
    <row r="12143" spans="1:4" hidden="1" x14ac:dyDescent="0.3">
      <c r="A12143">
        <v>12141</v>
      </c>
      <c r="B12143" s="1" t="s">
        <v>15859</v>
      </c>
      <c r="C12143" t="s">
        <v>140</v>
      </c>
      <c r="D12143" s="1" t="s">
        <v>15860</v>
      </c>
    </row>
    <row r="12144" spans="1:4" hidden="1" x14ac:dyDescent="0.3">
      <c r="A12144">
        <v>12142</v>
      </c>
      <c r="B12144" t="s">
        <v>15861</v>
      </c>
      <c r="C12144" t="s">
        <v>22</v>
      </c>
      <c r="D12144">
        <v>49.4</v>
      </c>
    </row>
    <row r="12145" spans="1:4" hidden="1" x14ac:dyDescent="0.3">
      <c r="A12145">
        <v>12143</v>
      </c>
      <c r="B12145" t="s">
        <v>15862</v>
      </c>
      <c r="C12145" t="s">
        <v>24</v>
      </c>
      <c r="D12145">
        <v>4.6910667136114901</v>
      </c>
    </row>
    <row r="12146" spans="1:4" hidden="1" x14ac:dyDescent="0.3">
      <c r="A12146">
        <v>12144</v>
      </c>
      <c r="B12146" s="1" t="s">
        <v>15863</v>
      </c>
      <c r="C12146" t="s">
        <v>145</v>
      </c>
      <c r="D12146" s="1" t="s">
        <v>15864</v>
      </c>
    </row>
    <row r="12147" spans="1:4" hidden="1" x14ac:dyDescent="0.3">
      <c r="A12147">
        <v>12145</v>
      </c>
      <c r="B12147" t="s">
        <v>15865</v>
      </c>
      <c r="C12147" t="s">
        <v>35</v>
      </c>
      <c r="D12147">
        <v>0.41546211132494199</v>
      </c>
    </row>
    <row r="12148" spans="1:4" hidden="1" x14ac:dyDescent="0.3">
      <c r="A12148">
        <v>12146</v>
      </c>
      <c r="B12148" t="s">
        <v>15866</v>
      </c>
      <c r="C12148" t="s">
        <v>149</v>
      </c>
      <c r="D12148">
        <v>0.54001123183171995</v>
      </c>
    </row>
    <row r="12149" spans="1:4" hidden="1" x14ac:dyDescent="0.3">
      <c r="A12149">
        <v>12147</v>
      </c>
      <c r="B12149" s="1" t="s">
        <v>15867</v>
      </c>
      <c r="C12149" t="s">
        <v>151</v>
      </c>
      <c r="D12149" s="1" t="s">
        <v>15868</v>
      </c>
    </row>
    <row r="12150" spans="1:4" hidden="1" x14ac:dyDescent="0.3">
      <c r="A12150">
        <v>12148</v>
      </c>
      <c r="B12150" t="s">
        <v>15869</v>
      </c>
      <c r="C12150" t="s">
        <v>30</v>
      </c>
      <c r="D12150">
        <v>0.26631653969290697</v>
      </c>
    </row>
    <row r="12151" spans="1:4" hidden="1" x14ac:dyDescent="0.3">
      <c r="A12151">
        <v>12149</v>
      </c>
      <c r="B12151" t="s">
        <v>15870</v>
      </c>
      <c r="C12151" t="s">
        <v>32</v>
      </c>
      <c r="D12151">
        <v>0.40742477934836302</v>
      </c>
    </row>
    <row r="12152" spans="1:4" hidden="1" x14ac:dyDescent="0.3">
      <c r="A12152">
        <v>12150</v>
      </c>
      <c r="B12152" s="1" t="s">
        <v>15871</v>
      </c>
      <c r="C12152" t="s">
        <v>155</v>
      </c>
      <c r="D12152" s="1" t="s">
        <v>15872</v>
      </c>
    </row>
    <row r="12153" spans="1:4" hidden="1" x14ac:dyDescent="0.3">
      <c r="A12153">
        <v>12151</v>
      </c>
      <c r="B12153" t="s">
        <v>15873</v>
      </c>
      <c r="C12153" t="s">
        <v>40</v>
      </c>
      <c r="D12153">
        <v>0.31822134898214999</v>
      </c>
    </row>
    <row r="12154" spans="1:4" hidden="1" x14ac:dyDescent="0.3">
      <c r="A12154">
        <v>12152</v>
      </c>
      <c r="B12154" t="s">
        <v>15874</v>
      </c>
      <c r="C12154" t="s">
        <v>42</v>
      </c>
      <c r="D12154">
        <v>0.44438855536320399</v>
      </c>
    </row>
    <row r="12155" spans="1:4" hidden="1" x14ac:dyDescent="0.3">
      <c r="A12155">
        <v>12153</v>
      </c>
      <c r="B12155" s="1" t="s">
        <v>15875</v>
      </c>
      <c r="C12155" t="s">
        <v>159</v>
      </c>
      <c r="D12155" s="1" t="s">
        <v>15876</v>
      </c>
    </row>
    <row r="12156" spans="1:4" hidden="1" x14ac:dyDescent="0.3">
      <c r="A12156">
        <v>12154</v>
      </c>
      <c r="B12156" t="s">
        <v>15877</v>
      </c>
      <c r="C12156" t="s">
        <v>161</v>
      </c>
      <c r="D12156">
        <v>0.98040771360999301</v>
      </c>
    </row>
    <row r="12157" spans="1:4" hidden="1" x14ac:dyDescent="0.3">
      <c r="A12157">
        <v>12155</v>
      </c>
      <c r="B12157" t="s">
        <v>15878</v>
      </c>
      <c r="C12157" t="s">
        <v>163</v>
      </c>
      <c r="D12157">
        <v>0.99549259569839998</v>
      </c>
    </row>
    <row r="12158" spans="1:4" hidden="1" x14ac:dyDescent="0.3">
      <c r="A12158">
        <v>12156</v>
      </c>
      <c r="B12158" s="1" t="s">
        <v>15879</v>
      </c>
      <c r="C12158" t="s">
        <v>165</v>
      </c>
      <c r="D12158" s="1" t="s">
        <v>15880</v>
      </c>
    </row>
    <row r="12159" spans="1:4" hidden="1" x14ac:dyDescent="0.3">
      <c r="A12159">
        <v>12157</v>
      </c>
      <c r="B12159" t="s">
        <v>15881</v>
      </c>
      <c r="C12159" t="s">
        <v>168</v>
      </c>
      <c r="D12159">
        <v>0.99611119817108495</v>
      </c>
    </row>
    <row r="12160" spans="1:4" hidden="1" x14ac:dyDescent="0.3">
      <c r="A12160">
        <v>12158</v>
      </c>
      <c r="B12160" t="s">
        <v>15882</v>
      </c>
      <c r="C12160" t="s">
        <v>170</v>
      </c>
      <c r="D12160">
        <v>1.0043256862008201</v>
      </c>
    </row>
    <row r="12161" spans="1:4" hidden="1" x14ac:dyDescent="0.3">
      <c r="A12161">
        <v>12159</v>
      </c>
      <c r="B12161" s="1" t="s">
        <v>15883</v>
      </c>
      <c r="C12161" t="s">
        <v>172</v>
      </c>
      <c r="D12161" s="1" t="s">
        <v>15884</v>
      </c>
    </row>
    <row r="12162" spans="1:4" hidden="1" x14ac:dyDescent="0.3">
      <c r="A12162">
        <v>12160</v>
      </c>
      <c r="B12162" s="1" t="s">
        <v>15885</v>
      </c>
      <c r="C12162" t="s">
        <v>55</v>
      </c>
      <c r="D12162" s="1" t="s">
        <v>15886</v>
      </c>
    </row>
    <row r="12163" spans="1:4" hidden="1" x14ac:dyDescent="0.3">
      <c r="A12163">
        <v>12161</v>
      </c>
      <c r="B12163" s="1" t="s">
        <v>15887</v>
      </c>
      <c r="C12163" t="s">
        <v>52</v>
      </c>
      <c r="D12163" s="1" t="s">
        <v>15888</v>
      </c>
    </row>
    <row r="12164" spans="1:4" hidden="1" x14ac:dyDescent="0.3">
      <c r="A12164">
        <v>12162</v>
      </c>
      <c r="B12164" s="1" t="s">
        <v>15889</v>
      </c>
      <c r="C12164" t="s">
        <v>58</v>
      </c>
      <c r="D12164" s="1" t="s">
        <v>15890</v>
      </c>
    </row>
    <row r="12165" spans="1:4" hidden="1" x14ac:dyDescent="0.3">
      <c r="A12165">
        <v>12163</v>
      </c>
      <c r="B12165" t="s">
        <v>15891</v>
      </c>
      <c r="C12165" t="s">
        <v>61</v>
      </c>
      <c r="D12165">
        <v>148338592.93625101</v>
      </c>
    </row>
    <row r="12166" spans="1:4" hidden="1" x14ac:dyDescent="0.3">
      <c r="A12166">
        <v>12164</v>
      </c>
      <c r="B12166" t="s">
        <v>15892</v>
      </c>
      <c r="C12166" t="s">
        <v>63</v>
      </c>
      <c r="D12166">
        <v>83716720.789745495</v>
      </c>
    </row>
    <row r="12167" spans="1:4" hidden="1" x14ac:dyDescent="0.3">
      <c r="A12167">
        <v>12165</v>
      </c>
      <c r="B12167" t="s">
        <v>15893</v>
      </c>
      <c r="C12167" t="s">
        <v>65</v>
      </c>
      <c r="D12167">
        <v>34457231.418840997</v>
      </c>
    </row>
    <row r="12168" spans="1:4" hidden="1" x14ac:dyDescent="0.3">
      <c r="A12168">
        <v>12166</v>
      </c>
      <c r="B12168" s="1" t="s">
        <v>15894</v>
      </c>
      <c r="C12168" t="s">
        <v>67</v>
      </c>
      <c r="D12168" s="1" t="s">
        <v>15895</v>
      </c>
    </row>
    <row r="12169" spans="1:4" hidden="1" x14ac:dyDescent="0.3">
      <c r="A12169">
        <v>12167</v>
      </c>
      <c r="B12169" s="1" t="s">
        <v>15896</v>
      </c>
      <c r="C12169" t="s">
        <v>70</v>
      </c>
      <c r="D12169" s="1" t="s">
        <v>15897</v>
      </c>
    </row>
    <row r="12170" spans="1:4" hidden="1" x14ac:dyDescent="0.3">
      <c r="A12170">
        <v>12168</v>
      </c>
      <c r="B12170" t="s">
        <v>15898</v>
      </c>
      <c r="C12170" t="s">
        <v>73</v>
      </c>
      <c r="D12170">
        <v>0.99980822353280596</v>
      </c>
    </row>
    <row r="12171" spans="1:4" hidden="1" x14ac:dyDescent="0.3">
      <c r="A12171">
        <v>12169</v>
      </c>
      <c r="B12171" t="s">
        <v>74</v>
      </c>
      <c r="C12171" t="s">
        <v>75</v>
      </c>
      <c r="D12171">
        <v>2.7397260273972599E-3</v>
      </c>
    </row>
    <row r="12172" spans="1:4" hidden="1" x14ac:dyDescent="0.3">
      <c r="A12172">
        <v>12170</v>
      </c>
      <c r="B12172" t="s">
        <v>76</v>
      </c>
      <c r="C12172" t="s">
        <v>77</v>
      </c>
      <c r="D12172">
        <v>0</v>
      </c>
    </row>
    <row r="12173" spans="1:4" hidden="1" x14ac:dyDescent="0.3">
      <c r="A12173">
        <v>12171</v>
      </c>
      <c r="B12173" t="s">
        <v>78</v>
      </c>
      <c r="C12173" t="s">
        <v>79</v>
      </c>
      <c r="D12173">
        <v>0</v>
      </c>
    </row>
    <row r="12174" spans="1:4" hidden="1" x14ac:dyDescent="0.3">
      <c r="A12174">
        <v>12172</v>
      </c>
      <c r="B12174" s="1" t="s">
        <v>15899</v>
      </c>
      <c r="C12174" t="s">
        <v>81</v>
      </c>
      <c r="D12174" s="1" t="s">
        <v>15900</v>
      </c>
    </row>
    <row r="12175" spans="1:4" hidden="1" x14ac:dyDescent="0.3">
      <c r="A12175">
        <v>12173</v>
      </c>
      <c r="B12175" t="s">
        <v>15901</v>
      </c>
      <c r="C12175" t="s">
        <v>84</v>
      </c>
      <c r="D12175">
        <v>0.99979114788831103</v>
      </c>
    </row>
    <row r="12176" spans="1:4" hidden="1" x14ac:dyDescent="0.3">
      <c r="A12176">
        <v>12174</v>
      </c>
      <c r="B12176" s="1" t="s">
        <v>15902</v>
      </c>
      <c r="C12176" t="s">
        <v>86</v>
      </c>
      <c r="D12176" s="1" t="s">
        <v>15903</v>
      </c>
    </row>
    <row r="12177" spans="1:4" hidden="1" x14ac:dyDescent="0.3">
      <c r="A12177">
        <v>12175</v>
      </c>
      <c r="B12177" t="s">
        <v>15904</v>
      </c>
      <c r="C12177" t="s">
        <v>89</v>
      </c>
      <c r="D12177">
        <v>104277542.27848899</v>
      </c>
    </row>
    <row r="12178" spans="1:4" hidden="1" x14ac:dyDescent="0.3">
      <c r="A12178">
        <v>12176</v>
      </c>
      <c r="B12178" s="1" t="s">
        <v>15905</v>
      </c>
      <c r="C12178" t="s">
        <v>91</v>
      </c>
      <c r="D12178" s="1" t="s">
        <v>15839</v>
      </c>
    </row>
    <row r="12179" spans="1:4" hidden="1" x14ac:dyDescent="0.3">
      <c r="A12179">
        <v>12177</v>
      </c>
      <c r="B12179" t="s">
        <v>15906</v>
      </c>
      <c r="C12179" t="s">
        <v>94</v>
      </c>
      <c r="D12179">
        <v>83716720.789745495</v>
      </c>
    </row>
    <row r="12180" spans="1:4" hidden="1" x14ac:dyDescent="0.3">
      <c r="A12180">
        <v>12178</v>
      </c>
      <c r="B12180" t="s">
        <v>15907</v>
      </c>
      <c r="C12180" t="s">
        <v>96</v>
      </c>
      <c r="D12180">
        <v>34457231.418840997</v>
      </c>
    </row>
    <row r="12181" spans="1:4" hidden="1" x14ac:dyDescent="0.3">
      <c r="A12181">
        <v>12179</v>
      </c>
      <c r="B12181" t="s">
        <v>15908</v>
      </c>
      <c r="C12181" t="s">
        <v>98</v>
      </c>
      <c r="D12181">
        <v>30164640.727665</v>
      </c>
    </row>
    <row r="12182" spans="1:4" hidden="1" x14ac:dyDescent="0.3">
      <c r="A12182">
        <v>12180</v>
      </c>
      <c r="B12182" s="1" t="s">
        <v>15909</v>
      </c>
      <c r="C12182" t="s">
        <v>100</v>
      </c>
      <c r="D12182" s="1" t="s">
        <v>15910</v>
      </c>
    </row>
    <row r="12183" spans="1:4" hidden="1" x14ac:dyDescent="0.3">
      <c r="A12183">
        <v>12181</v>
      </c>
      <c r="B12183" t="s">
        <v>15911</v>
      </c>
      <c r="C12183" t="s">
        <v>103</v>
      </c>
      <c r="D12183">
        <v>1.05233234981492E-2</v>
      </c>
    </row>
    <row r="12184" spans="1:4" hidden="1" x14ac:dyDescent="0.3">
      <c r="A12184">
        <v>12182</v>
      </c>
      <c r="B12184" t="s">
        <v>15912</v>
      </c>
      <c r="C12184" t="s">
        <v>105</v>
      </c>
      <c r="D12184">
        <v>3.2641299677922402E-3</v>
      </c>
    </row>
    <row r="12185" spans="1:4" hidden="1" x14ac:dyDescent="0.3">
      <c r="A12185">
        <v>12183</v>
      </c>
      <c r="B12185" t="s">
        <v>15913</v>
      </c>
      <c r="C12185" t="s">
        <v>107</v>
      </c>
      <c r="D12185">
        <v>2.4504672654383199E-2</v>
      </c>
    </row>
    <row r="12186" spans="1:4" hidden="1" x14ac:dyDescent="0.3">
      <c r="A12186">
        <v>12184</v>
      </c>
      <c r="B12186" s="1" t="s">
        <v>15914</v>
      </c>
      <c r="C12186" t="s">
        <v>109</v>
      </c>
      <c r="D12186" s="1" t="s">
        <v>15915</v>
      </c>
    </row>
    <row r="12187" spans="1:4" hidden="1" x14ac:dyDescent="0.3">
      <c r="A12187">
        <v>12185</v>
      </c>
      <c r="B12187" t="s">
        <v>15916</v>
      </c>
      <c r="C12187" t="s">
        <v>208</v>
      </c>
      <c r="D12187">
        <v>148337970.905395</v>
      </c>
    </row>
    <row r="12188" spans="1:4" hidden="1" x14ac:dyDescent="0.3">
      <c r="A12188">
        <v>12186</v>
      </c>
      <c r="B12188" t="s">
        <v>15917</v>
      </c>
      <c r="C12188" t="s">
        <v>210</v>
      </c>
      <c r="D12188">
        <v>1429.7833842764501</v>
      </c>
    </row>
    <row r="12189" spans="1:4" hidden="1" x14ac:dyDescent="0.3">
      <c r="A12189">
        <v>12187</v>
      </c>
      <c r="B12189" t="s">
        <v>15918</v>
      </c>
      <c r="C12189" t="s">
        <v>212</v>
      </c>
      <c r="D12189">
        <v>588.49063944350996</v>
      </c>
    </row>
    <row r="12190" spans="1:4" hidden="1" x14ac:dyDescent="0.3">
      <c r="A12190">
        <v>12188</v>
      </c>
      <c r="B12190" s="1" t="s">
        <v>15919</v>
      </c>
      <c r="C12190" t="s">
        <v>214</v>
      </c>
      <c r="D12190" s="1" t="s">
        <v>15920</v>
      </c>
    </row>
    <row r="12191" spans="1:4" hidden="1" x14ac:dyDescent="0.3">
      <c r="A12191">
        <v>12189</v>
      </c>
      <c r="B12191" t="s">
        <v>15921</v>
      </c>
      <c r="C12191" t="s">
        <v>217</v>
      </c>
      <c r="D12191">
        <v>83714835.559703901</v>
      </c>
    </row>
    <row r="12192" spans="1:4" hidden="1" x14ac:dyDescent="0.3">
      <c r="A12192">
        <v>12190</v>
      </c>
      <c r="B12192" t="s">
        <v>15922</v>
      </c>
      <c r="C12192" t="s">
        <v>219</v>
      </c>
      <c r="D12192">
        <v>34456546.111262299</v>
      </c>
    </row>
    <row r="12193" spans="1:4" hidden="1" x14ac:dyDescent="0.3">
      <c r="A12193">
        <v>12191</v>
      </c>
      <c r="B12193" t="s">
        <v>15923</v>
      </c>
      <c r="C12193" t="s">
        <v>221</v>
      </c>
      <c r="D12193">
        <v>30164055.7821161</v>
      </c>
    </row>
    <row r="12194" spans="1:4" hidden="1" x14ac:dyDescent="0.3">
      <c r="A12194">
        <v>12192</v>
      </c>
      <c r="B12194" s="1" t="s">
        <v>15924</v>
      </c>
      <c r="C12194" t="s">
        <v>223</v>
      </c>
      <c r="D12194" s="1" t="s">
        <v>15925</v>
      </c>
    </row>
    <row r="12195" spans="1:4" hidden="1" x14ac:dyDescent="0.3">
      <c r="A12195">
        <v>12193</v>
      </c>
      <c r="B12195" t="s">
        <v>15926</v>
      </c>
      <c r="C12195" t="s">
        <v>226</v>
      </c>
      <c r="D12195">
        <v>104275761.330704</v>
      </c>
    </row>
    <row r="12196" spans="1:4" hidden="1" x14ac:dyDescent="0.3">
      <c r="A12196">
        <v>12194</v>
      </c>
      <c r="B12196" t="s">
        <v>15927</v>
      </c>
      <c r="C12196" t="s">
        <v>228</v>
      </c>
      <c r="D12196">
        <v>1780.9477846622401</v>
      </c>
    </row>
    <row r="12197" spans="1:4" hidden="1" x14ac:dyDescent="0.3">
      <c r="A12197">
        <v>12195</v>
      </c>
      <c r="B12197" s="1" t="s">
        <v>15928</v>
      </c>
      <c r="C12197" t="s">
        <v>230</v>
      </c>
      <c r="D12197" s="1" t="s">
        <v>15929</v>
      </c>
    </row>
    <row r="12198" spans="1:4" hidden="1" x14ac:dyDescent="0.3">
      <c r="A12198">
        <v>12196</v>
      </c>
      <c r="B12198" t="s">
        <v>15930</v>
      </c>
      <c r="C12198" t="s">
        <v>112</v>
      </c>
      <c r="D12198">
        <v>-455.44665735735401</v>
      </c>
    </row>
    <row r="12199" spans="1:4" hidden="1" x14ac:dyDescent="0.3">
      <c r="A12199">
        <v>12197</v>
      </c>
      <c r="B12199" t="s">
        <v>15931</v>
      </c>
      <c r="C12199" t="s">
        <v>114</v>
      </c>
      <c r="D12199">
        <v>-96.8169392620552</v>
      </c>
    </row>
    <row r="12200" spans="1:4" hidden="1" x14ac:dyDescent="0.3">
      <c r="A12200">
        <v>12198</v>
      </c>
      <c r="B12200" s="1" t="s">
        <v>15932</v>
      </c>
      <c r="C12200" t="s">
        <v>116</v>
      </c>
      <c r="D12200" s="1" t="s">
        <v>15933</v>
      </c>
    </row>
    <row r="12201" spans="1:4" hidden="1" x14ac:dyDescent="0.3">
      <c r="A12201">
        <v>12199</v>
      </c>
      <c r="B12201" t="s">
        <v>15934</v>
      </c>
      <c r="C12201" t="s">
        <v>119</v>
      </c>
      <c r="D12201">
        <v>83714835.559703901</v>
      </c>
    </row>
    <row r="12202" spans="1:4" hidden="1" x14ac:dyDescent="0.3">
      <c r="A12202">
        <v>12200</v>
      </c>
      <c r="B12202" t="s">
        <v>15935</v>
      </c>
      <c r="C12202" t="s">
        <v>121</v>
      </c>
      <c r="D12202">
        <v>34456546.111262299</v>
      </c>
    </row>
    <row r="12203" spans="1:4" hidden="1" x14ac:dyDescent="0.3">
      <c r="A12203">
        <v>12201</v>
      </c>
      <c r="B12203" s="1" t="s">
        <v>15936</v>
      </c>
      <c r="C12203" t="s">
        <v>123</v>
      </c>
      <c r="D12203" s="1" t="s">
        <v>15937</v>
      </c>
    </row>
    <row r="12204" spans="1:4" hidden="1" x14ac:dyDescent="0.3">
      <c r="A12204">
        <v>12202</v>
      </c>
      <c r="B12204" t="s">
        <v>15938</v>
      </c>
      <c r="C12204" t="s">
        <v>126</v>
      </c>
      <c r="D12204">
        <v>0.80298932526299605</v>
      </c>
    </row>
    <row r="12205" spans="1:4" hidden="1" x14ac:dyDescent="0.3">
      <c r="A12205">
        <v>12203</v>
      </c>
      <c r="B12205" t="s">
        <v>15939</v>
      </c>
      <c r="C12205" t="s">
        <v>128</v>
      </c>
      <c r="D12205">
        <v>0.33050580017018999</v>
      </c>
    </row>
    <row r="12206" spans="1:4" hidden="1" x14ac:dyDescent="0.3">
      <c r="A12206">
        <v>12204</v>
      </c>
      <c r="B12206" s="1" t="s">
        <v>15940</v>
      </c>
      <c r="C12206" t="s">
        <v>130</v>
      </c>
      <c r="D12206" s="1" t="s">
        <v>15941</v>
      </c>
    </row>
    <row r="12207" spans="1:4" ht="72" x14ac:dyDescent="0.3">
      <c r="A12207">
        <v>12205</v>
      </c>
      <c r="B12207" s="1" t="s">
        <v>15942</v>
      </c>
      <c r="C12207" t="s">
        <v>4</v>
      </c>
      <c r="D12207" t="s">
        <v>15943</v>
      </c>
    </row>
    <row r="12208" spans="1:4" hidden="1" x14ac:dyDescent="0.3">
      <c r="A12208">
        <v>12206</v>
      </c>
      <c r="B12208" t="s">
        <v>15944</v>
      </c>
      <c r="C12208" t="s">
        <v>7</v>
      </c>
      <c r="D12208">
        <v>1970.11</v>
      </c>
    </row>
    <row r="12209" spans="1:4" hidden="1" x14ac:dyDescent="0.3">
      <c r="A12209">
        <v>12207</v>
      </c>
      <c r="B12209" s="1" t="s">
        <v>15945</v>
      </c>
      <c r="C12209" t="s">
        <v>9</v>
      </c>
      <c r="D12209" s="1" t="s">
        <v>15946</v>
      </c>
    </row>
    <row r="12210" spans="1:4" hidden="1" x14ac:dyDescent="0.3">
      <c r="A12210">
        <v>12208</v>
      </c>
      <c r="B12210" t="s">
        <v>15947</v>
      </c>
      <c r="C12210" t="s">
        <v>14</v>
      </c>
      <c r="D12210">
        <v>91.2734375</v>
      </c>
    </row>
    <row r="12211" spans="1:4" hidden="1" x14ac:dyDescent="0.3">
      <c r="A12211">
        <v>12209</v>
      </c>
      <c r="B12211" t="s">
        <v>15948</v>
      </c>
      <c r="C12211" t="s">
        <v>16</v>
      </c>
      <c r="D12211">
        <v>4.2436635215570702</v>
      </c>
    </row>
    <row r="12212" spans="1:4" hidden="1" x14ac:dyDescent="0.3">
      <c r="A12212">
        <v>12210</v>
      </c>
      <c r="B12212" s="1" t="s">
        <v>15949</v>
      </c>
      <c r="C12212" t="s">
        <v>140</v>
      </c>
      <c r="D12212" s="1" t="s">
        <v>15950</v>
      </c>
    </row>
    <row r="12213" spans="1:4" hidden="1" x14ac:dyDescent="0.3">
      <c r="A12213">
        <v>12211</v>
      </c>
      <c r="B12213" t="s">
        <v>14966</v>
      </c>
      <c r="C12213" t="s">
        <v>22</v>
      </c>
      <c r="D12213">
        <v>50</v>
      </c>
    </row>
    <row r="12214" spans="1:4" hidden="1" x14ac:dyDescent="0.3">
      <c r="A12214">
        <v>12212</v>
      </c>
      <c r="B12214" t="s">
        <v>15951</v>
      </c>
      <c r="C12214" t="s">
        <v>24</v>
      </c>
      <c r="D12214">
        <v>4.69821635529033</v>
      </c>
    </row>
    <row r="12215" spans="1:4" hidden="1" x14ac:dyDescent="0.3">
      <c r="A12215">
        <v>12213</v>
      </c>
      <c r="B12215" s="1" t="s">
        <v>15952</v>
      </c>
      <c r="C12215" t="s">
        <v>145</v>
      </c>
      <c r="D12215" s="1" t="s">
        <v>15953</v>
      </c>
    </row>
    <row r="12216" spans="1:4" hidden="1" x14ac:dyDescent="0.3">
      <c r="A12216">
        <v>12214</v>
      </c>
      <c r="B12216" t="s">
        <v>15954</v>
      </c>
      <c r="C12216" t="s">
        <v>35</v>
      </c>
      <c r="D12216">
        <v>0.38254579351467399</v>
      </c>
    </row>
    <row r="12217" spans="1:4" hidden="1" x14ac:dyDescent="0.3">
      <c r="A12217">
        <v>12215</v>
      </c>
      <c r="B12217" t="s">
        <v>15955</v>
      </c>
      <c r="C12217" t="s">
        <v>149</v>
      </c>
      <c r="D12217">
        <v>0.54491748981649502</v>
      </c>
    </row>
    <row r="12218" spans="1:4" hidden="1" x14ac:dyDescent="0.3">
      <c r="A12218">
        <v>12216</v>
      </c>
      <c r="B12218" s="1" t="s">
        <v>15956</v>
      </c>
      <c r="C12218" t="s">
        <v>151</v>
      </c>
      <c r="D12218" s="1" t="s">
        <v>15957</v>
      </c>
    </row>
    <row r="12219" spans="1:4" hidden="1" x14ac:dyDescent="0.3">
      <c r="A12219">
        <v>12217</v>
      </c>
      <c r="B12219" t="s">
        <v>15958</v>
      </c>
      <c r="C12219" t="s">
        <v>30</v>
      </c>
      <c r="D12219">
        <v>0.28886651794698798</v>
      </c>
    </row>
    <row r="12220" spans="1:4" hidden="1" x14ac:dyDescent="0.3">
      <c r="A12220">
        <v>12218</v>
      </c>
      <c r="B12220" t="s">
        <v>15959</v>
      </c>
      <c r="C12220" t="s">
        <v>32</v>
      </c>
      <c r="D12220">
        <v>0.40274841229035202</v>
      </c>
    </row>
    <row r="12221" spans="1:4" hidden="1" x14ac:dyDescent="0.3">
      <c r="A12221">
        <v>12219</v>
      </c>
      <c r="B12221" s="1" t="s">
        <v>15960</v>
      </c>
      <c r="C12221" t="s">
        <v>155</v>
      </c>
      <c r="D12221" s="1" t="s">
        <v>15961</v>
      </c>
    </row>
    <row r="12222" spans="1:4" hidden="1" x14ac:dyDescent="0.3">
      <c r="A12222">
        <v>12220</v>
      </c>
      <c r="B12222" t="s">
        <v>15962</v>
      </c>
      <c r="C12222" t="s">
        <v>40</v>
      </c>
      <c r="D12222">
        <v>0.32858768853833697</v>
      </c>
    </row>
    <row r="12223" spans="1:4" hidden="1" x14ac:dyDescent="0.3">
      <c r="A12223">
        <v>12221</v>
      </c>
      <c r="B12223" t="s">
        <v>15963</v>
      </c>
      <c r="C12223" t="s">
        <v>42</v>
      </c>
      <c r="D12223">
        <v>0.43239180377567199</v>
      </c>
    </row>
    <row r="12224" spans="1:4" hidden="1" x14ac:dyDescent="0.3">
      <c r="A12224">
        <v>12222</v>
      </c>
      <c r="B12224" s="1" t="s">
        <v>15964</v>
      </c>
      <c r="C12224" t="s">
        <v>159</v>
      </c>
      <c r="D12224" s="1" t="s">
        <v>15965</v>
      </c>
    </row>
    <row r="12225" spans="1:4" hidden="1" x14ac:dyDescent="0.3">
      <c r="A12225">
        <v>12223</v>
      </c>
      <c r="B12225" t="s">
        <v>15966</v>
      </c>
      <c r="C12225" t="s">
        <v>161</v>
      </c>
      <c r="D12225">
        <v>1.0154839773822499</v>
      </c>
    </row>
    <row r="12226" spans="1:4" hidden="1" x14ac:dyDescent="0.3">
      <c r="A12226">
        <v>12224</v>
      </c>
      <c r="B12226" t="s">
        <v>15967</v>
      </c>
      <c r="C12226" t="s">
        <v>163</v>
      </c>
      <c r="D12226">
        <v>1.0069840155367999</v>
      </c>
    </row>
    <row r="12227" spans="1:4" hidden="1" x14ac:dyDescent="0.3">
      <c r="A12227">
        <v>12225</v>
      </c>
      <c r="B12227" s="1" t="s">
        <v>15968</v>
      </c>
      <c r="C12227" t="s">
        <v>165</v>
      </c>
      <c r="D12227" s="1" t="s">
        <v>15969</v>
      </c>
    </row>
    <row r="12228" spans="1:4" hidden="1" x14ac:dyDescent="0.3">
      <c r="A12228">
        <v>12226</v>
      </c>
      <c r="B12228" t="s">
        <v>15970</v>
      </c>
      <c r="C12228" t="s">
        <v>168</v>
      </c>
      <c r="D12228">
        <v>1.0031858585725599</v>
      </c>
    </row>
    <row r="12229" spans="1:4" hidden="1" x14ac:dyDescent="0.3">
      <c r="A12229">
        <v>12227</v>
      </c>
      <c r="B12229" t="s">
        <v>15971</v>
      </c>
      <c r="C12229" t="s">
        <v>170</v>
      </c>
      <c r="D12229">
        <v>0.99667735915508304</v>
      </c>
    </row>
    <row r="12230" spans="1:4" hidden="1" x14ac:dyDescent="0.3">
      <c r="A12230">
        <v>12228</v>
      </c>
      <c r="B12230" s="1" t="s">
        <v>15972</v>
      </c>
      <c r="C12230" t="s">
        <v>172</v>
      </c>
      <c r="D12230" s="1" t="s">
        <v>15973</v>
      </c>
    </row>
    <row r="12231" spans="1:4" hidden="1" x14ac:dyDescent="0.3">
      <c r="A12231">
        <v>12229</v>
      </c>
      <c r="B12231" s="1" t="s">
        <v>15974</v>
      </c>
      <c r="C12231" t="s">
        <v>55</v>
      </c>
      <c r="D12231" s="1" t="s">
        <v>15975</v>
      </c>
    </row>
    <row r="12232" spans="1:4" hidden="1" x14ac:dyDescent="0.3">
      <c r="A12232">
        <v>12230</v>
      </c>
      <c r="B12232" s="1" t="s">
        <v>15976</v>
      </c>
      <c r="C12232" t="s">
        <v>52</v>
      </c>
      <c r="D12232" s="1" t="s">
        <v>15977</v>
      </c>
    </row>
    <row r="12233" spans="1:4" hidden="1" x14ac:dyDescent="0.3">
      <c r="A12233">
        <v>12231</v>
      </c>
      <c r="B12233" s="1" t="s">
        <v>15978</v>
      </c>
      <c r="C12233" t="s">
        <v>58</v>
      </c>
      <c r="D12233" s="1" t="s">
        <v>15979</v>
      </c>
    </row>
    <row r="12234" spans="1:4" hidden="1" x14ac:dyDescent="0.3">
      <c r="A12234">
        <v>12232</v>
      </c>
      <c r="B12234" t="s">
        <v>15980</v>
      </c>
      <c r="C12234" t="s">
        <v>61</v>
      </c>
      <c r="D12234">
        <v>150210900.059962</v>
      </c>
    </row>
    <row r="12235" spans="1:4" hidden="1" x14ac:dyDescent="0.3">
      <c r="A12235">
        <v>12233</v>
      </c>
      <c r="B12235" t="s">
        <v>15981</v>
      </c>
      <c r="C12235" t="s">
        <v>63</v>
      </c>
      <c r="D12235">
        <v>85011074.180069894</v>
      </c>
    </row>
    <row r="12236" spans="1:4" hidden="1" x14ac:dyDescent="0.3">
      <c r="A12236">
        <v>12234</v>
      </c>
      <c r="B12236" t="s">
        <v>15982</v>
      </c>
      <c r="C12236" t="s">
        <v>65</v>
      </c>
      <c r="D12236">
        <v>34697191.1646479</v>
      </c>
    </row>
    <row r="12237" spans="1:4" hidden="1" x14ac:dyDescent="0.3">
      <c r="A12237">
        <v>12235</v>
      </c>
      <c r="B12237" s="1" t="s">
        <v>15983</v>
      </c>
      <c r="C12237" t="s">
        <v>67</v>
      </c>
      <c r="D12237" s="1" t="s">
        <v>15984</v>
      </c>
    </row>
    <row r="12238" spans="1:4" hidden="1" x14ac:dyDescent="0.3">
      <c r="A12238">
        <v>12236</v>
      </c>
      <c r="B12238" s="1" t="s">
        <v>15985</v>
      </c>
      <c r="C12238" t="s">
        <v>70</v>
      </c>
      <c r="D12238" s="1" t="s">
        <v>15986</v>
      </c>
    </row>
    <row r="12239" spans="1:4" hidden="1" x14ac:dyDescent="0.3">
      <c r="A12239">
        <v>12237</v>
      </c>
      <c r="B12239" t="s">
        <v>15987</v>
      </c>
      <c r="C12239" t="s">
        <v>73</v>
      </c>
      <c r="D12239">
        <v>0.99979114788831103</v>
      </c>
    </row>
    <row r="12240" spans="1:4" hidden="1" x14ac:dyDescent="0.3">
      <c r="A12240">
        <v>12238</v>
      </c>
      <c r="B12240" t="s">
        <v>74</v>
      </c>
      <c r="C12240" t="s">
        <v>75</v>
      </c>
      <c r="D12240">
        <v>2.7397260273972599E-3</v>
      </c>
    </row>
    <row r="12241" spans="1:4" hidden="1" x14ac:dyDescent="0.3">
      <c r="A12241">
        <v>12239</v>
      </c>
      <c r="B12241" t="s">
        <v>76</v>
      </c>
      <c r="C12241" t="s">
        <v>77</v>
      </c>
      <c r="D12241">
        <v>0</v>
      </c>
    </row>
    <row r="12242" spans="1:4" hidden="1" x14ac:dyDescent="0.3">
      <c r="A12242">
        <v>12240</v>
      </c>
      <c r="B12242" t="s">
        <v>78</v>
      </c>
      <c r="C12242" t="s">
        <v>79</v>
      </c>
      <c r="D12242">
        <v>0</v>
      </c>
    </row>
    <row r="12243" spans="1:4" hidden="1" x14ac:dyDescent="0.3">
      <c r="A12243">
        <v>12241</v>
      </c>
      <c r="B12243" s="1" t="s">
        <v>15988</v>
      </c>
      <c r="C12243" t="s">
        <v>81</v>
      </c>
      <c r="D12243" s="1" t="s">
        <v>15989</v>
      </c>
    </row>
    <row r="12244" spans="1:4" hidden="1" x14ac:dyDescent="0.3">
      <c r="A12244">
        <v>12242</v>
      </c>
      <c r="B12244" t="s">
        <v>15990</v>
      </c>
      <c r="C12244" t="s">
        <v>84</v>
      </c>
      <c r="D12244">
        <v>0.99978625479695804</v>
      </c>
    </row>
    <row r="12245" spans="1:4" hidden="1" x14ac:dyDescent="0.3">
      <c r="A12245">
        <v>12243</v>
      </c>
      <c r="B12245" s="1" t="s">
        <v>15991</v>
      </c>
      <c r="C12245" t="s">
        <v>86</v>
      </c>
      <c r="D12245" s="1" t="s">
        <v>15992</v>
      </c>
    </row>
    <row r="12246" spans="1:4" hidden="1" x14ac:dyDescent="0.3">
      <c r="A12246">
        <v>12244</v>
      </c>
      <c r="B12246" t="s">
        <v>15993</v>
      </c>
      <c r="C12246" t="s">
        <v>89</v>
      </c>
      <c r="D12246">
        <v>104278052.627114</v>
      </c>
    </row>
    <row r="12247" spans="1:4" hidden="1" x14ac:dyDescent="0.3">
      <c r="A12247">
        <v>12245</v>
      </c>
      <c r="B12247" s="1" t="s">
        <v>15994</v>
      </c>
      <c r="C12247" t="s">
        <v>91</v>
      </c>
      <c r="D12247" s="1" t="s">
        <v>15929</v>
      </c>
    </row>
    <row r="12248" spans="1:4" hidden="1" x14ac:dyDescent="0.3">
      <c r="A12248">
        <v>12246</v>
      </c>
      <c r="B12248" t="s">
        <v>15995</v>
      </c>
      <c r="C12248" t="s">
        <v>94</v>
      </c>
      <c r="D12248">
        <v>85011074.180069894</v>
      </c>
    </row>
    <row r="12249" spans="1:4" hidden="1" x14ac:dyDescent="0.3">
      <c r="A12249">
        <v>12247</v>
      </c>
      <c r="B12249" t="s">
        <v>15996</v>
      </c>
      <c r="C12249" t="s">
        <v>96</v>
      </c>
      <c r="D12249">
        <v>34697191.1646479</v>
      </c>
    </row>
    <row r="12250" spans="1:4" hidden="1" x14ac:dyDescent="0.3">
      <c r="A12250">
        <v>12248</v>
      </c>
      <c r="B12250" t="s">
        <v>15997</v>
      </c>
      <c r="C12250" t="s">
        <v>98</v>
      </c>
      <c r="D12250">
        <v>30502634.7152449</v>
      </c>
    </row>
    <row r="12251" spans="1:4" hidden="1" x14ac:dyDescent="0.3">
      <c r="A12251">
        <v>12249</v>
      </c>
      <c r="B12251" s="1" t="s">
        <v>15998</v>
      </c>
      <c r="C12251" t="s">
        <v>100</v>
      </c>
      <c r="D12251" s="1" t="s">
        <v>15999</v>
      </c>
    </row>
    <row r="12252" spans="1:4" hidden="1" x14ac:dyDescent="0.3">
      <c r="A12252">
        <v>12250</v>
      </c>
      <c r="B12252" t="s">
        <v>16000</v>
      </c>
      <c r="C12252" t="s">
        <v>103</v>
      </c>
      <c r="D12252">
        <v>1.0742075098195801E-2</v>
      </c>
    </row>
    <row r="12253" spans="1:4" hidden="1" x14ac:dyDescent="0.3">
      <c r="A12253">
        <v>12251</v>
      </c>
      <c r="B12253" t="s">
        <v>16001</v>
      </c>
      <c r="C12253" t="s">
        <v>105</v>
      </c>
      <c r="D12253">
        <v>3.3239298477301098E-3</v>
      </c>
    </row>
    <row r="12254" spans="1:4" hidden="1" x14ac:dyDescent="0.3">
      <c r="A12254">
        <v>12252</v>
      </c>
      <c r="B12254" t="s">
        <v>16002</v>
      </c>
      <c r="C12254" t="s">
        <v>107</v>
      </c>
      <c r="D12254">
        <v>2.4507333489032002E-2</v>
      </c>
    </row>
    <row r="12255" spans="1:4" hidden="1" x14ac:dyDescent="0.3">
      <c r="A12255">
        <v>12253</v>
      </c>
      <c r="B12255" s="1" t="s">
        <v>16003</v>
      </c>
      <c r="C12255" t="s">
        <v>109</v>
      </c>
      <c r="D12255" s="1" t="s">
        <v>16004</v>
      </c>
    </row>
    <row r="12256" spans="1:4" hidden="1" x14ac:dyDescent="0.3">
      <c r="A12256">
        <v>12254</v>
      </c>
      <c r="B12256" t="s">
        <v>16005</v>
      </c>
      <c r="C12256" t="s">
        <v>208</v>
      </c>
      <c r="D12256">
        <v>150210722.00061899</v>
      </c>
    </row>
    <row r="12257" spans="1:4" hidden="1" x14ac:dyDescent="0.3">
      <c r="A12257">
        <v>12255</v>
      </c>
      <c r="B12257" t="s">
        <v>16006</v>
      </c>
      <c r="C12257" t="s">
        <v>210</v>
      </c>
      <c r="D12257">
        <v>416.05313902078501</v>
      </c>
    </row>
    <row r="12258" spans="1:4" hidden="1" x14ac:dyDescent="0.3">
      <c r="A12258">
        <v>12256</v>
      </c>
      <c r="B12258" t="s">
        <v>16007</v>
      </c>
      <c r="C12258" t="s">
        <v>212</v>
      </c>
      <c r="D12258">
        <v>169.81190058367901</v>
      </c>
    </row>
    <row r="12259" spans="1:4" hidden="1" x14ac:dyDescent="0.3">
      <c r="A12259">
        <v>12257</v>
      </c>
      <c r="B12259" s="1" t="s">
        <v>16008</v>
      </c>
      <c r="C12259" t="s">
        <v>214</v>
      </c>
      <c r="D12259" s="1" t="s">
        <v>16009</v>
      </c>
    </row>
    <row r="12260" spans="1:4" hidden="1" x14ac:dyDescent="0.3">
      <c r="A12260">
        <v>12258</v>
      </c>
      <c r="B12260" t="s">
        <v>16010</v>
      </c>
      <c r="C12260" t="s">
        <v>217</v>
      </c>
      <c r="D12260">
        <v>85010513.742523104</v>
      </c>
    </row>
    <row r="12261" spans="1:4" hidden="1" x14ac:dyDescent="0.3">
      <c r="A12261">
        <v>12259</v>
      </c>
      <c r="B12261" t="s">
        <v>16011</v>
      </c>
      <c r="C12261" t="s">
        <v>219</v>
      </c>
      <c r="D12261">
        <v>34697002.748708203</v>
      </c>
    </row>
    <row r="12262" spans="1:4" hidden="1" x14ac:dyDescent="0.3">
      <c r="A12262">
        <v>12260</v>
      </c>
      <c r="B12262" t="s">
        <v>16012</v>
      </c>
      <c r="C12262" t="s">
        <v>221</v>
      </c>
      <c r="D12262">
        <v>30502470.3610663</v>
      </c>
    </row>
    <row r="12263" spans="1:4" hidden="1" x14ac:dyDescent="0.3">
      <c r="A12263">
        <v>12261</v>
      </c>
      <c r="B12263" s="1" t="s">
        <v>16013</v>
      </c>
      <c r="C12263" t="s">
        <v>223</v>
      </c>
      <c r="D12263" s="1" t="s">
        <v>16014</v>
      </c>
    </row>
    <row r="12264" spans="1:4" hidden="1" x14ac:dyDescent="0.3">
      <c r="A12264">
        <v>12262</v>
      </c>
      <c r="B12264" t="s">
        <v>16015</v>
      </c>
      <c r="C12264" t="s">
        <v>226</v>
      </c>
      <c r="D12264">
        <v>104277542.27848899</v>
      </c>
    </row>
    <row r="12265" spans="1:4" hidden="1" x14ac:dyDescent="0.3">
      <c r="A12265">
        <v>12263</v>
      </c>
      <c r="B12265" t="s">
        <v>16016</v>
      </c>
      <c r="C12265" t="s">
        <v>228</v>
      </c>
      <c r="D12265">
        <v>510.34862494468598</v>
      </c>
    </row>
    <row r="12266" spans="1:4" hidden="1" x14ac:dyDescent="0.3">
      <c r="A12266">
        <v>12264</v>
      </c>
      <c r="B12266" s="1" t="s">
        <v>16017</v>
      </c>
      <c r="C12266" t="s">
        <v>230</v>
      </c>
      <c r="D12266" s="1" t="s">
        <v>16018</v>
      </c>
    </row>
    <row r="12267" spans="1:4" hidden="1" x14ac:dyDescent="0.3">
      <c r="A12267">
        <v>12265</v>
      </c>
      <c r="B12267" t="s">
        <v>16019</v>
      </c>
      <c r="C12267" t="s">
        <v>112</v>
      </c>
      <c r="D12267">
        <v>-144.38440781698301</v>
      </c>
    </row>
    <row r="12268" spans="1:4" hidden="1" x14ac:dyDescent="0.3">
      <c r="A12268">
        <v>12266</v>
      </c>
      <c r="B12268" t="s">
        <v>16020</v>
      </c>
      <c r="C12268" t="s">
        <v>114</v>
      </c>
      <c r="D12268">
        <v>-18.604039154611801</v>
      </c>
    </row>
    <row r="12269" spans="1:4" hidden="1" x14ac:dyDescent="0.3">
      <c r="A12269">
        <v>12267</v>
      </c>
      <c r="B12269" s="1" t="s">
        <v>16021</v>
      </c>
      <c r="C12269" t="s">
        <v>116</v>
      </c>
      <c r="D12269" s="1" t="s">
        <v>16022</v>
      </c>
    </row>
    <row r="12270" spans="1:4" hidden="1" x14ac:dyDescent="0.3">
      <c r="A12270">
        <v>12268</v>
      </c>
      <c r="B12270" t="s">
        <v>16023</v>
      </c>
      <c r="C12270" t="s">
        <v>119</v>
      </c>
      <c r="D12270">
        <v>85010513.742523104</v>
      </c>
    </row>
    <row r="12271" spans="1:4" hidden="1" x14ac:dyDescent="0.3">
      <c r="A12271">
        <v>12269</v>
      </c>
      <c r="B12271" t="s">
        <v>16024</v>
      </c>
      <c r="C12271" t="s">
        <v>121</v>
      </c>
      <c r="D12271">
        <v>34697002.748708203</v>
      </c>
    </row>
    <row r="12272" spans="1:4" hidden="1" x14ac:dyDescent="0.3">
      <c r="A12272">
        <v>12270</v>
      </c>
      <c r="B12272" s="1" t="s">
        <v>16025</v>
      </c>
      <c r="C12272" t="s">
        <v>123</v>
      </c>
      <c r="D12272" s="1" t="s">
        <v>16026</v>
      </c>
    </row>
    <row r="12273" spans="1:4" hidden="1" x14ac:dyDescent="0.3">
      <c r="A12273">
        <v>12271</v>
      </c>
      <c r="B12273" t="s">
        <v>16027</v>
      </c>
      <c r="C12273" t="s">
        <v>126</v>
      </c>
      <c r="D12273">
        <v>0.815407482367279</v>
      </c>
    </row>
    <row r="12274" spans="1:4" hidden="1" x14ac:dyDescent="0.3">
      <c r="A12274">
        <v>12272</v>
      </c>
      <c r="B12274" t="s">
        <v>16028</v>
      </c>
      <c r="C12274" t="s">
        <v>128</v>
      </c>
      <c r="D12274">
        <v>0.33280819526282501</v>
      </c>
    </row>
    <row r="12275" spans="1:4" hidden="1" x14ac:dyDescent="0.3">
      <c r="A12275">
        <v>12273</v>
      </c>
      <c r="B12275" s="1" t="s">
        <v>16029</v>
      </c>
      <c r="C12275" t="s">
        <v>130</v>
      </c>
      <c r="D12275" s="1" t="s">
        <v>16030</v>
      </c>
    </row>
    <row r="12276" spans="1:4" ht="72" x14ac:dyDescent="0.3">
      <c r="A12276">
        <v>12274</v>
      </c>
      <c r="B12276" s="1" t="s">
        <v>16031</v>
      </c>
      <c r="C12276" t="s">
        <v>4</v>
      </c>
      <c r="D12276" t="s">
        <v>16032</v>
      </c>
    </row>
    <row r="12277" spans="1:4" hidden="1" x14ac:dyDescent="0.3">
      <c r="A12277">
        <v>12275</v>
      </c>
      <c r="B12277" t="s">
        <v>16033</v>
      </c>
      <c r="C12277" t="s">
        <v>7</v>
      </c>
      <c r="D12277">
        <v>1993.4</v>
      </c>
    </row>
    <row r="12278" spans="1:4" hidden="1" x14ac:dyDescent="0.3">
      <c r="A12278">
        <v>12276</v>
      </c>
      <c r="B12278" s="1" t="s">
        <v>16034</v>
      </c>
      <c r="C12278" t="s">
        <v>9</v>
      </c>
      <c r="D12278" s="1" t="s">
        <v>16035</v>
      </c>
    </row>
    <row r="12279" spans="1:4" hidden="1" x14ac:dyDescent="0.3">
      <c r="A12279">
        <v>12277</v>
      </c>
      <c r="B12279" t="s">
        <v>16036</v>
      </c>
      <c r="C12279" t="s">
        <v>14</v>
      </c>
      <c r="D12279">
        <v>91.53125</v>
      </c>
    </row>
    <row r="12280" spans="1:4" hidden="1" x14ac:dyDescent="0.3">
      <c r="A12280">
        <v>12278</v>
      </c>
      <c r="B12280" t="s">
        <v>16037</v>
      </c>
      <c r="C12280" t="s">
        <v>16</v>
      </c>
      <c r="D12280">
        <v>4.25033753470868</v>
      </c>
    </row>
    <row r="12281" spans="1:4" hidden="1" x14ac:dyDescent="0.3">
      <c r="A12281">
        <v>12279</v>
      </c>
      <c r="B12281" s="1" t="s">
        <v>16038</v>
      </c>
      <c r="C12281" t="s">
        <v>140</v>
      </c>
      <c r="D12281" s="1" t="s">
        <v>16039</v>
      </c>
    </row>
    <row r="12282" spans="1:4" hidden="1" x14ac:dyDescent="0.3">
      <c r="A12282">
        <v>12280</v>
      </c>
      <c r="B12282" t="s">
        <v>14338</v>
      </c>
      <c r="C12282" t="s">
        <v>22</v>
      </c>
      <c r="D12282">
        <v>50.1</v>
      </c>
    </row>
    <row r="12283" spans="1:4" hidden="1" x14ac:dyDescent="0.3">
      <c r="A12283">
        <v>12281</v>
      </c>
      <c r="B12283" t="s">
        <v>16040</v>
      </c>
      <c r="C12283" t="s">
        <v>24</v>
      </c>
      <c r="D12283">
        <v>4.7931302301228396</v>
      </c>
    </row>
    <row r="12284" spans="1:4" hidden="1" x14ac:dyDescent="0.3">
      <c r="A12284">
        <v>12282</v>
      </c>
      <c r="B12284" s="1" t="s">
        <v>16041</v>
      </c>
      <c r="C12284" t="s">
        <v>145</v>
      </c>
      <c r="D12284" s="1" t="s">
        <v>16042</v>
      </c>
    </row>
    <row r="12285" spans="1:4" hidden="1" x14ac:dyDescent="0.3">
      <c r="A12285">
        <v>12283</v>
      </c>
      <c r="B12285" t="s">
        <v>16043</v>
      </c>
      <c r="C12285" t="s">
        <v>35</v>
      </c>
      <c r="D12285">
        <v>-14.137821663516499</v>
      </c>
    </row>
    <row r="12286" spans="1:4" hidden="1" x14ac:dyDescent="0.3">
      <c r="A12286">
        <v>12284</v>
      </c>
      <c r="B12286" t="s">
        <v>16044</v>
      </c>
      <c r="C12286" t="s">
        <v>149</v>
      </c>
      <c r="D12286">
        <v>0.54700410770105201</v>
      </c>
    </row>
    <row r="12287" spans="1:4" hidden="1" x14ac:dyDescent="0.3">
      <c r="A12287">
        <v>12285</v>
      </c>
      <c r="B12287" s="1" t="s">
        <v>16045</v>
      </c>
      <c r="C12287" t="s">
        <v>151</v>
      </c>
      <c r="D12287" s="1" t="s">
        <v>16046</v>
      </c>
    </row>
    <row r="12288" spans="1:4" hidden="1" x14ac:dyDescent="0.3">
      <c r="A12288">
        <v>12286</v>
      </c>
      <c r="B12288" t="s">
        <v>16047</v>
      </c>
      <c r="C12288" t="s">
        <v>30</v>
      </c>
      <c r="D12288">
        <v>6.7650246028207004</v>
      </c>
    </row>
    <row r="12289" spans="1:4" hidden="1" x14ac:dyDescent="0.3">
      <c r="A12289">
        <v>12287</v>
      </c>
      <c r="B12289" t="s">
        <v>16048</v>
      </c>
      <c r="C12289" t="s">
        <v>32</v>
      </c>
      <c r="D12289">
        <v>0.40140801340494198</v>
      </c>
    </row>
    <row r="12290" spans="1:4" hidden="1" x14ac:dyDescent="0.3">
      <c r="A12290">
        <v>12288</v>
      </c>
      <c r="B12290" s="1" t="s">
        <v>16049</v>
      </c>
      <c r="C12290" t="s">
        <v>155</v>
      </c>
      <c r="D12290" s="1" t="s">
        <v>16050</v>
      </c>
    </row>
    <row r="12291" spans="1:4" hidden="1" x14ac:dyDescent="0.3">
      <c r="A12291">
        <v>12289</v>
      </c>
      <c r="B12291" t="s">
        <v>16051</v>
      </c>
      <c r="C12291" t="s">
        <v>40</v>
      </c>
      <c r="D12291">
        <v>8.3727970606958095</v>
      </c>
    </row>
    <row r="12292" spans="1:4" hidden="1" x14ac:dyDescent="0.3">
      <c r="A12292">
        <v>12290</v>
      </c>
      <c r="B12292" t="s">
        <v>16052</v>
      </c>
      <c r="C12292" t="s">
        <v>42</v>
      </c>
      <c r="D12292">
        <v>0.42673182306319202</v>
      </c>
    </row>
    <row r="12293" spans="1:4" hidden="1" x14ac:dyDescent="0.3">
      <c r="A12293">
        <v>12291</v>
      </c>
      <c r="B12293" s="1" t="s">
        <v>16053</v>
      </c>
      <c r="C12293" t="s">
        <v>159</v>
      </c>
      <c r="D12293" s="1" t="s">
        <v>16054</v>
      </c>
    </row>
    <row r="12294" spans="1:4" hidden="1" x14ac:dyDescent="0.3">
      <c r="A12294">
        <v>12292</v>
      </c>
      <c r="B12294" t="s">
        <v>16055</v>
      </c>
      <c r="C12294" t="s">
        <v>161</v>
      </c>
      <c r="D12294">
        <v>1.01182167493185</v>
      </c>
    </row>
    <row r="12295" spans="1:4" hidden="1" x14ac:dyDescent="0.3">
      <c r="A12295">
        <v>12293</v>
      </c>
      <c r="B12295" t="s">
        <v>16056</v>
      </c>
      <c r="C12295" t="s">
        <v>163</v>
      </c>
      <c r="D12295">
        <v>1.0027689964448501</v>
      </c>
    </row>
    <row r="12296" spans="1:4" hidden="1" x14ac:dyDescent="0.3">
      <c r="A12296">
        <v>12294</v>
      </c>
      <c r="B12296" s="1" t="s">
        <v>16057</v>
      </c>
      <c r="C12296" t="s">
        <v>165</v>
      </c>
      <c r="D12296" s="1" t="s">
        <v>16058</v>
      </c>
    </row>
    <row r="12297" spans="1:4" hidden="1" x14ac:dyDescent="0.3">
      <c r="A12297">
        <v>12295</v>
      </c>
      <c r="B12297" t="s">
        <v>16059</v>
      </c>
      <c r="C12297" t="s">
        <v>168</v>
      </c>
      <c r="D12297">
        <v>1.0013506338677001</v>
      </c>
    </row>
    <row r="12298" spans="1:4" hidden="1" x14ac:dyDescent="0.3">
      <c r="A12298">
        <v>12296</v>
      </c>
      <c r="B12298" t="s">
        <v>16060</v>
      </c>
      <c r="C12298" t="s">
        <v>170</v>
      </c>
      <c r="D12298">
        <v>0.99904444811794701</v>
      </c>
    </row>
    <row r="12299" spans="1:4" hidden="1" x14ac:dyDescent="0.3">
      <c r="A12299">
        <v>12297</v>
      </c>
      <c r="B12299" s="1" t="s">
        <v>16061</v>
      </c>
      <c r="C12299" t="s">
        <v>172</v>
      </c>
      <c r="D12299" s="1" t="s">
        <v>16062</v>
      </c>
    </row>
    <row r="12300" spans="1:4" hidden="1" x14ac:dyDescent="0.3">
      <c r="A12300">
        <v>12298</v>
      </c>
      <c r="B12300" s="1" t="s">
        <v>16063</v>
      </c>
      <c r="C12300" t="s">
        <v>55</v>
      </c>
      <c r="D12300" s="1" t="s">
        <v>16064</v>
      </c>
    </row>
    <row r="12301" spans="1:4" hidden="1" x14ac:dyDescent="0.3">
      <c r="A12301">
        <v>12299</v>
      </c>
      <c r="B12301" s="1" t="s">
        <v>16065</v>
      </c>
      <c r="C12301" t="s">
        <v>52</v>
      </c>
      <c r="D12301" s="1" t="s">
        <v>16066</v>
      </c>
    </row>
    <row r="12302" spans="1:4" hidden="1" x14ac:dyDescent="0.3">
      <c r="A12302">
        <v>12300</v>
      </c>
      <c r="B12302" s="1" t="s">
        <v>16067</v>
      </c>
      <c r="C12302" t="s">
        <v>58</v>
      </c>
      <c r="D12302" s="1" t="s">
        <v>16068</v>
      </c>
    </row>
    <row r="12303" spans="1:4" hidden="1" x14ac:dyDescent="0.3">
      <c r="A12303">
        <v>12301</v>
      </c>
      <c r="B12303" t="s">
        <v>16069</v>
      </c>
      <c r="C12303" t="s">
        <v>61</v>
      </c>
      <c r="D12303">
        <v>151419723.14678201</v>
      </c>
    </row>
    <row r="12304" spans="1:4" hidden="1" x14ac:dyDescent="0.3">
      <c r="A12304">
        <v>12302</v>
      </c>
      <c r="B12304" t="s">
        <v>16070</v>
      </c>
      <c r="C12304" t="s">
        <v>63</v>
      </c>
      <c r="D12304">
        <v>86015480.401777297</v>
      </c>
    </row>
    <row r="12305" spans="1:4" hidden="1" x14ac:dyDescent="0.3">
      <c r="A12305">
        <v>12303</v>
      </c>
      <c r="B12305" t="s">
        <v>16071</v>
      </c>
      <c r="C12305" t="s">
        <v>65</v>
      </c>
      <c r="D12305">
        <v>34793078.625966497</v>
      </c>
    </row>
    <row r="12306" spans="1:4" hidden="1" x14ac:dyDescent="0.3">
      <c r="A12306">
        <v>12304</v>
      </c>
      <c r="B12306" s="1" t="s">
        <v>16072</v>
      </c>
      <c r="C12306" t="s">
        <v>67</v>
      </c>
      <c r="D12306" s="1" t="s">
        <v>16073</v>
      </c>
    </row>
    <row r="12307" spans="1:4" hidden="1" x14ac:dyDescent="0.3">
      <c r="A12307">
        <v>12305</v>
      </c>
      <c r="B12307" s="1" t="s">
        <v>16074</v>
      </c>
      <c r="C12307" t="s">
        <v>70</v>
      </c>
      <c r="D12307" s="1" t="s">
        <v>16075</v>
      </c>
    </row>
    <row r="12308" spans="1:4" hidden="1" x14ac:dyDescent="0.3">
      <c r="A12308">
        <v>12306</v>
      </c>
      <c r="B12308" t="s">
        <v>16076</v>
      </c>
      <c r="C12308" t="s">
        <v>73</v>
      </c>
      <c r="D12308">
        <v>0.99978625479695804</v>
      </c>
    </row>
    <row r="12309" spans="1:4" hidden="1" x14ac:dyDescent="0.3">
      <c r="A12309">
        <v>12307</v>
      </c>
      <c r="B12309" t="s">
        <v>74</v>
      </c>
      <c r="C12309" t="s">
        <v>75</v>
      </c>
      <c r="D12309">
        <v>2.7397260273972599E-3</v>
      </c>
    </row>
    <row r="12310" spans="1:4" hidden="1" x14ac:dyDescent="0.3">
      <c r="A12310">
        <v>12308</v>
      </c>
      <c r="B12310" t="s">
        <v>76</v>
      </c>
      <c r="C12310" t="s">
        <v>77</v>
      </c>
      <c r="D12310">
        <v>0</v>
      </c>
    </row>
    <row r="12311" spans="1:4" hidden="1" x14ac:dyDescent="0.3">
      <c r="A12311">
        <v>12309</v>
      </c>
      <c r="B12311" t="s">
        <v>78</v>
      </c>
      <c r="C12311" t="s">
        <v>79</v>
      </c>
      <c r="D12311">
        <v>0</v>
      </c>
    </row>
    <row r="12312" spans="1:4" hidden="1" x14ac:dyDescent="0.3">
      <c r="A12312">
        <v>12310</v>
      </c>
      <c r="B12312" s="1" t="s">
        <v>16077</v>
      </c>
      <c r="C12312" t="s">
        <v>81</v>
      </c>
      <c r="D12312" s="1" t="s">
        <v>16078</v>
      </c>
    </row>
    <row r="12313" spans="1:4" hidden="1" x14ac:dyDescent="0.3">
      <c r="A12313">
        <v>12311</v>
      </c>
      <c r="B12313" t="s">
        <v>16079</v>
      </c>
      <c r="C12313" t="s">
        <v>84</v>
      </c>
      <c r="D12313">
        <v>0.99976630549478696</v>
      </c>
    </row>
    <row r="12314" spans="1:4" hidden="1" x14ac:dyDescent="0.3">
      <c r="A12314">
        <v>12312</v>
      </c>
      <c r="B12314" s="1" t="s">
        <v>16080</v>
      </c>
      <c r="C12314" t="s">
        <v>86</v>
      </c>
      <c r="D12314" s="1" t="s">
        <v>16081</v>
      </c>
    </row>
    <row r="12315" spans="1:4" hidden="1" x14ac:dyDescent="0.3">
      <c r="A12315">
        <v>12313</v>
      </c>
      <c r="B12315" t="s">
        <v>16082</v>
      </c>
      <c r="C12315" t="s">
        <v>89</v>
      </c>
      <c r="D12315">
        <v>104280133.387758</v>
      </c>
    </row>
    <row r="12316" spans="1:4" hidden="1" x14ac:dyDescent="0.3">
      <c r="A12316">
        <v>12314</v>
      </c>
      <c r="B12316" s="1" t="s">
        <v>16083</v>
      </c>
      <c r="C12316" t="s">
        <v>91</v>
      </c>
      <c r="D12316" s="1" t="s">
        <v>16018</v>
      </c>
    </row>
    <row r="12317" spans="1:4" hidden="1" x14ac:dyDescent="0.3">
      <c r="A12317">
        <v>12315</v>
      </c>
      <c r="B12317" t="s">
        <v>16084</v>
      </c>
      <c r="C12317" t="s">
        <v>94</v>
      </c>
      <c r="D12317">
        <v>86015480.401777297</v>
      </c>
    </row>
    <row r="12318" spans="1:4" hidden="1" x14ac:dyDescent="0.3">
      <c r="A12318">
        <v>12316</v>
      </c>
      <c r="B12318" t="s">
        <v>16085</v>
      </c>
      <c r="C12318" t="s">
        <v>96</v>
      </c>
      <c r="D12318">
        <v>34793078.625966497</v>
      </c>
    </row>
    <row r="12319" spans="1:4" hidden="1" x14ac:dyDescent="0.3">
      <c r="A12319">
        <v>12317</v>
      </c>
      <c r="B12319" t="s">
        <v>16086</v>
      </c>
      <c r="C12319" t="s">
        <v>98</v>
      </c>
      <c r="D12319">
        <v>30611164.1190386</v>
      </c>
    </row>
    <row r="12320" spans="1:4" hidden="1" x14ac:dyDescent="0.3">
      <c r="A12320">
        <v>12318</v>
      </c>
      <c r="B12320" s="1" t="s">
        <v>16087</v>
      </c>
      <c r="C12320" t="s">
        <v>100</v>
      </c>
      <c r="D12320" s="1" t="s">
        <v>16088</v>
      </c>
    </row>
    <row r="12321" spans="1:4" hidden="1" x14ac:dyDescent="0.3">
      <c r="A12321">
        <v>12319</v>
      </c>
      <c r="B12321" t="s">
        <v>16089</v>
      </c>
      <c r="C12321" t="s">
        <v>103</v>
      </c>
      <c r="D12321">
        <v>1.07029015093089E-2</v>
      </c>
    </row>
    <row r="12322" spans="1:4" hidden="1" x14ac:dyDescent="0.3">
      <c r="A12322">
        <v>12320</v>
      </c>
      <c r="B12322" t="s">
        <v>16090</v>
      </c>
      <c r="C12322" t="s">
        <v>105</v>
      </c>
      <c r="D12322">
        <v>3.3050050823909302E-3</v>
      </c>
    </row>
    <row r="12323" spans="1:4" hidden="1" x14ac:dyDescent="0.3">
      <c r="A12323">
        <v>12321</v>
      </c>
      <c r="B12323" t="s">
        <v>16091</v>
      </c>
      <c r="C12323" t="s">
        <v>107</v>
      </c>
      <c r="D12323">
        <v>2.40401481155334E-2</v>
      </c>
    </row>
    <row r="12324" spans="1:4" hidden="1" x14ac:dyDescent="0.3">
      <c r="A12324">
        <v>12322</v>
      </c>
      <c r="B12324" s="1" t="s">
        <v>16092</v>
      </c>
      <c r="C12324" t="s">
        <v>109</v>
      </c>
      <c r="D12324" s="1" t="s">
        <v>16093</v>
      </c>
    </row>
    <row r="12325" spans="1:4" hidden="1" x14ac:dyDescent="0.3">
      <c r="A12325">
        <v>12323</v>
      </c>
      <c r="B12325" t="s">
        <v>16094</v>
      </c>
      <c r="C12325" t="s">
        <v>208</v>
      </c>
      <c r="D12325">
        <v>151418996.597592</v>
      </c>
    </row>
    <row r="12326" spans="1:4" hidden="1" x14ac:dyDescent="0.3">
      <c r="A12326">
        <v>12324</v>
      </c>
      <c r="B12326" t="s">
        <v>16095</v>
      </c>
      <c r="C12326" t="s">
        <v>210</v>
      </c>
      <c r="D12326">
        <v>1716.30387420082</v>
      </c>
    </row>
    <row r="12327" spans="1:4" hidden="1" x14ac:dyDescent="0.3">
      <c r="A12327">
        <v>12325</v>
      </c>
      <c r="B12327" t="s">
        <v>16096</v>
      </c>
      <c r="C12327" t="s">
        <v>212</v>
      </c>
      <c r="D12327">
        <v>694.24453450916701</v>
      </c>
    </row>
    <row r="12328" spans="1:4" hidden="1" x14ac:dyDescent="0.3">
      <c r="A12328">
        <v>12326</v>
      </c>
      <c r="B12328" s="1" t="s">
        <v>16097</v>
      </c>
      <c r="C12328" t="s">
        <v>214</v>
      </c>
      <c r="D12328" s="1" t="s">
        <v>16098</v>
      </c>
    </row>
    <row r="12329" spans="1:4" hidden="1" x14ac:dyDescent="0.3">
      <c r="A12329">
        <v>12327</v>
      </c>
      <c r="B12329" t="s">
        <v>16099</v>
      </c>
      <c r="C12329" t="s">
        <v>217</v>
      </c>
      <c r="D12329">
        <v>86013173.225832194</v>
      </c>
    </row>
    <row r="12330" spans="1:4" hidden="1" x14ac:dyDescent="0.3">
      <c r="A12330">
        <v>12328</v>
      </c>
      <c r="B12330" t="s">
        <v>16100</v>
      </c>
      <c r="C12330" t="s">
        <v>219</v>
      </c>
      <c r="D12330">
        <v>34792309.395461403</v>
      </c>
    </row>
    <row r="12331" spans="1:4" hidden="1" x14ac:dyDescent="0.3">
      <c r="A12331">
        <v>12329</v>
      </c>
      <c r="B12331" t="s">
        <v>16101</v>
      </c>
      <c r="C12331" t="s">
        <v>221</v>
      </c>
      <c r="D12331">
        <v>30610492.6271827</v>
      </c>
    </row>
    <row r="12332" spans="1:4" hidden="1" x14ac:dyDescent="0.3">
      <c r="A12332">
        <v>12330</v>
      </c>
      <c r="B12332" s="1" t="s">
        <v>16102</v>
      </c>
      <c r="C12332" t="s">
        <v>223</v>
      </c>
      <c r="D12332" s="1" t="s">
        <v>16103</v>
      </c>
    </row>
    <row r="12333" spans="1:4" hidden="1" x14ac:dyDescent="0.3">
      <c r="A12333">
        <v>12331</v>
      </c>
      <c r="B12333" t="s">
        <v>16104</v>
      </c>
      <c r="C12333" t="s">
        <v>226</v>
      </c>
      <c r="D12333">
        <v>104278052.627114</v>
      </c>
    </row>
    <row r="12334" spans="1:4" hidden="1" x14ac:dyDescent="0.3">
      <c r="A12334">
        <v>12332</v>
      </c>
      <c r="B12334" t="s">
        <v>16105</v>
      </c>
      <c r="C12334" t="s">
        <v>228</v>
      </c>
      <c r="D12334">
        <v>2080.7606440484501</v>
      </c>
    </row>
    <row r="12335" spans="1:4" hidden="1" x14ac:dyDescent="0.3">
      <c r="A12335">
        <v>12333</v>
      </c>
      <c r="B12335" s="1" t="s">
        <v>16106</v>
      </c>
      <c r="C12335" t="s">
        <v>230</v>
      </c>
      <c r="D12335" s="1" t="s">
        <v>16107</v>
      </c>
    </row>
    <row r="12336" spans="1:4" hidden="1" x14ac:dyDescent="0.3">
      <c r="A12336">
        <v>12334</v>
      </c>
      <c r="B12336" t="s">
        <v>16108</v>
      </c>
      <c r="C12336" t="s">
        <v>112</v>
      </c>
      <c r="D12336">
        <v>-590.87207092297501</v>
      </c>
    </row>
    <row r="12337" spans="1:4" hidden="1" x14ac:dyDescent="0.3">
      <c r="A12337">
        <v>12335</v>
      </c>
      <c r="B12337" t="s">
        <v>16109</v>
      </c>
      <c r="C12337" t="s">
        <v>114</v>
      </c>
      <c r="D12337">
        <v>-74.985970650118105</v>
      </c>
    </row>
    <row r="12338" spans="1:4" hidden="1" x14ac:dyDescent="0.3">
      <c r="A12338">
        <v>12336</v>
      </c>
      <c r="B12338" s="1" t="s">
        <v>16110</v>
      </c>
      <c r="C12338" t="s">
        <v>116</v>
      </c>
      <c r="D12338" s="1" t="s">
        <v>16111</v>
      </c>
    </row>
    <row r="12339" spans="1:4" hidden="1" x14ac:dyDescent="0.3">
      <c r="A12339">
        <v>12337</v>
      </c>
      <c r="B12339" t="s">
        <v>16112</v>
      </c>
      <c r="C12339" t="s">
        <v>119</v>
      </c>
      <c r="D12339">
        <v>86013173.225832194</v>
      </c>
    </row>
    <row r="12340" spans="1:4" hidden="1" x14ac:dyDescent="0.3">
      <c r="A12340">
        <v>12338</v>
      </c>
      <c r="B12340" t="s">
        <v>16113</v>
      </c>
      <c r="C12340" t="s">
        <v>121</v>
      </c>
      <c r="D12340">
        <v>34792309.395461403</v>
      </c>
    </row>
    <row r="12341" spans="1:4" hidden="1" x14ac:dyDescent="0.3">
      <c r="A12341">
        <v>12339</v>
      </c>
      <c r="B12341" s="1" t="s">
        <v>16114</v>
      </c>
      <c r="C12341" t="s">
        <v>123</v>
      </c>
      <c r="D12341" s="1" t="s">
        <v>16115</v>
      </c>
    </row>
    <row r="12342" spans="1:4" hidden="1" x14ac:dyDescent="0.3">
      <c r="A12342">
        <v>12340</v>
      </c>
      <c r="B12342" t="s">
        <v>16116</v>
      </c>
      <c r="C12342" t="s">
        <v>126</v>
      </c>
      <c r="D12342">
        <v>0.82503725916307402</v>
      </c>
    </row>
    <row r="12343" spans="1:4" hidden="1" x14ac:dyDescent="0.3">
      <c r="A12343">
        <v>12341</v>
      </c>
      <c r="B12343" t="s">
        <v>16117</v>
      </c>
      <c r="C12343" t="s">
        <v>128</v>
      </c>
      <c r="D12343">
        <v>0.33372738741098101</v>
      </c>
    </row>
    <row r="12344" spans="1:4" hidden="1" x14ac:dyDescent="0.3">
      <c r="A12344">
        <v>12342</v>
      </c>
      <c r="B12344" s="1" t="s">
        <v>16118</v>
      </c>
      <c r="C12344" t="s">
        <v>130</v>
      </c>
      <c r="D12344" s="1" t="s">
        <v>16119</v>
      </c>
    </row>
    <row r="12345" spans="1:4" ht="72" x14ac:dyDescent="0.3">
      <c r="A12345">
        <v>12343</v>
      </c>
      <c r="B12345" s="1" t="s">
        <v>16120</v>
      </c>
      <c r="C12345" t="s">
        <v>4</v>
      </c>
      <c r="D12345" t="s">
        <v>16121</v>
      </c>
    </row>
    <row r="12346" spans="1:4" hidden="1" x14ac:dyDescent="0.3">
      <c r="A12346">
        <v>12344</v>
      </c>
      <c r="B12346" t="s">
        <v>16122</v>
      </c>
      <c r="C12346" t="s">
        <v>7</v>
      </c>
      <c r="D12346">
        <v>1978.21</v>
      </c>
    </row>
    <row r="12347" spans="1:4" hidden="1" x14ac:dyDescent="0.3">
      <c r="A12347">
        <v>12345</v>
      </c>
      <c r="B12347" s="1" t="s">
        <v>16123</v>
      </c>
      <c r="C12347" t="s">
        <v>9</v>
      </c>
      <c r="D12347" s="1" t="s">
        <v>16124</v>
      </c>
    </row>
    <row r="12348" spans="1:4" hidden="1" x14ac:dyDescent="0.3">
      <c r="A12348">
        <v>12346</v>
      </c>
      <c r="B12348" t="s">
        <v>16125</v>
      </c>
      <c r="C12348" t="s">
        <v>14</v>
      </c>
      <c r="D12348">
        <v>91.66796875</v>
      </c>
    </row>
    <row r="12349" spans="1:4" hidden="1" x14ac:dyDescent="0.3">
      <c r="A12349">
        <v>12347</v>
      </c>
      <c r="B12349" t="s">
        <v>16126</v>
      </c>
      <c r="C12349" t="s">
        <v>16</v>
      </c>
      <c r="D12349">
        <v>4.2499652735211901</v>
      </c>
    </row>
    <row r="12350" spans="1:4" hidden="1" x14ac:dyDescent="0.3">
      <c r="A12350">
        <v>12348</v>
      </c>
      <c r="B12350" s="1" t="s">
        <v>16127</v>
      </c>
      <c r="C12350" t="s">
        <v>140</v>
      </c>
      <c r="D12350" s="1" t="s">
        <v>16128</v>
      </c>
    </row>
    <row r="12351" spans="1:4" hidden="1" x14ac:dyDescent="0.3">
      <c r="A12351">
        <v>12349</v>
      </c>
      <c r="B12351" t="s">
        <v>14338</v>
      </c>
      <c r="C12351" t="s">
        <v>22</v>
      </c>
      <c r="D12351">
        <v>50.1</v>
      </c>
    </row>
    <row r="12352" spans="1:4" hidden="1" x14ac:dyDescent="0.3">
      <c r="A12352">
        <v>12350</v>
      </c>
      <c r="B12352" t="s">
        <v>16129</v>
      </c>
      <c r="C12352" t="s">
        <v>24</v>
      </c>
      <c r="D12352">
        <v>4.7996221050435297</v>
      </c>
    </row>
    <row r="12353" spans="1:4" hidden="1" x14ac:dyDescent="0.3">
      <c r="A12353">
        <v>12351</v>
      </c>
      <c r="B12353" s="1" t="s">
        <v>16130</v>
      </c>
      <c r="C12353" t="s">
        <v>145</v>
      </c>
      <c r="D12353" s="1" t="s">
        <v>16131</v>
      </c>
    </row>
    <row r="12354" spans="1:4" hidden="1" x14ac:dyDescent="0.3">
      <c r="A12354">
        <v>12352</v>
      </c>
      <c r="B12354" t="s">
        <v>16132</v>
      </c>
      <c r="C12354" t="s">
        <v>35</v>
      </c>
      <c r="D12354">
        <v>-3.1860614534140401</v>
      </c>
    </row>
    <row r="12355" spans="1:4" hidden="1" x14ac:dyDescent="0.3">
      <c r="A12355">
        <v>12353</v>
      </c>
      <c r="B12355" t="s">
        <v>16133</v>
      </c>
      <c r="C12355" t="s">
        <v>149</v>
      </c>
      <c r="D12355">
        <v>0.54843593886726105</v>
      </c>
    </row>
    <row r="12356" spans="1:4" hidden="1" x14ac:dyDescent="0.3">
      <c r="A12356">
        <v>12354</v>
      </c>
      <c r="B12356" s="1" t="s">
        <v>16134</v>
      </c>
      <c r="C12356" t="s">
        <v>151</v>
      </c>
      <c r="D12356" s="1" t="s">
        <v>16135</v>
      </c>
    </row>
    <row r="12357" spans="1:4" hidden="1" x14ac:dyDescent="0.3">
      <c r="A12357">
        <v>12355</v>
      </c>
      <c r="B12357" t="s">
        <v>16136</v>
      </c>
      <c r="C12357" t="s">
        <v>30</v>
      </c>
      <c r="D12357">
        <v>1.9280962451413799</v>
      </c>
    </row>
    <row r="12358" spans="1:4" hidden="1" x14ac:dyDescent="0.3">
      <c r="A12358">
        <v>12356</v>
      </c>
      <c r="B12358" t="s">
        <v>16137</v>
      </c>
      <c r="C12358" t="s">
        <v>32</v>
      </c>
      <c r="D12358">
        <v>0.39950361586666999</v>
      </c>
    </row>
    <row r="12359" spans="1:4" hidden="1" x14ac:dyDescent="0.3">
      <c r="A12359">
        <v>12357</v>
      </c>
      <c r="B12359" s="1" t="s">
        <v>16138</v>
      </c>
      <c r="C12359" t="s">
        <v>155</v>
      </c>
      <c r="D12359" s="1" t="s">
        <v>16139</v>
      </c>
    </row>
    <row r="12360" spans="1:4" hidden="1" x14ac:dyDescent="0.3">
      <c r="A12360">
        <v>12358</v>
      </c>
      <c r="B12360" t="s">
        <v>16140</v>
      </c>
      <c r="C12360" t="s">
        <v>40</v>
      </c>
      <c r="D12360">
        <v>2.25796520827266</v>
      </c>
    </row>
    <row r="12361" spans="1:4" hidden="1" x14ac:dyDescent="0.3">
      <c r="A12361">
        <v>12359</v>
      </c>
      <c r="B12361" t="s">
        <v>16141</v>
      </c>
      <c r="C12361" t="s">
        <v>42</v>
      </c>
      <c r="D12361">
        <v>0.42386339772729398</v>
      </c>
    </row>
    <row r="12362" spans="1:4" hidden="1" x14ac:dyDescent="0.3">
      <c r="A12362">
        <v>12360</v>
      </c>
      <c r="B12362" s="1" t="s">
        <v>16142</v>
      </c>
      <c r="C12362" t="s">
        <v>159</v>
      </c>
      <c r="D12362" s="1" t="s">
        <v>16143</v>
      </c>
    </row>
    <row r="12363" spans="1:4" hidden="1" x14ac:dyDescent="0.3">
      <c r="A12363">
        <v>12361</v>
      </c>
      <c r="B12363" t="s">
        <v>16144</v>
      </c>
      <c r="C12363" t="s">
        <v>161</v>
      </c>
      <c r="D12363">
        <v>0.99237985351660396</v>
      </c>
    </row>
    <row r="12364" spans="1:4" hidden="1" x14ac:dyDescent="0.3">
      <c r="A12364">
        <v>12362</v>
      </c>
      <c r="B12364" t="s">
        <v>16145</v>
      </c>
      <c r="C12364" t="s">
        <v>163</v>
      </c>
      <c r="D12364">
        <v>1.00142351460569</v>
      </c>
    </row>
    <row r="12365" spans="1:4" hidden="1" x14ac:dyDescent="0.3">
      <c r="A12365">
        <v>12363</v>
      </c>
      <c r="B12365" s="1" t="s">
        <v>16146</v>
      </c>
      <c r="C12365" t="s">
        <v>165</v>
      </c>
      <c r="D12365" s="1" t="s">
        <v>16147</v>
      </c>
    </row>
    <row r="12366" spans="1:4" hidden="1" x14ac:dyDescent="0.3">
      <c r="A12366">
        <v>12364</v>
      </c>
      <c r="B12366" t="s">
        <v>16148</v>
      </c>
      <c r="C12366" t="s">
        <v>168</v>
      </c>
      <c r="D12366">
        <v>1.0009255509788699</v>
      </c>
    </row>
    <row r="12367" spans="1:4" hidden="1" x14ac:dyDescent="0.3">
      <c r="A12367">
        <v>12365</v>
      </c>
      <c r="B12367" t="s">
        <v>16149</v>
      </c>
      <c r="C12367" t="s">
        <v>170</v>
      </c>
      <c r="D12367">
        <v>0.99864108273960395</v>
      </c>
    </row>
    <row r="12368" spans="1:4" hidden="1" x14ac:dyDescent="0.3">
      <c r="A12368">
        <v>12366</v>
      </c>
      <c r="B12368" s="1" t="s">
        <v>16150</v>
      </c>
      <c r="C12368" t="s">
        <v>172</v>
      </c>
      <c r="D12368" s="1" t="s">
        <v>16151</v>
      </c>
    </row>
    <row r="12369" spans="1:4" hidden="1" x14ac:dyDescent="0.3">
      <c r="A12369">
        <v>12367</v>
      </c>
      <c r="B12369" s="1" t="s">
        <v>16152</v>
      </c>
      <c r="C12369" t="s">
        <v>55</v>
      </c>
      <c r="D12369" s="1" t="s">
        <v>16153</v>
      </c>
    </row>
    <row r="12370" spans="1:4" hidden="1" x14ac:dyDescent="0.3">
      <c r="A12370">
        <v>12368</v>
      </c>
      <c r="B12370" s="1" t="s">
        <v>16154</v>
      </c>
      <c r="C12370" t="s">
        <v>52</v>
      </c>
      <c r="D12370" s="1" t="s">
        <v>16155</v>
      </c>
    </row>
    <row r="12371" spans="1:4" hidden="1" x14ac:dyDescent="0.3">
      <c r="A12371">
        <v>12369</v>
      </c>
      <c r="B12371" s="1" t="s">
        <v>16156</v>
      </c>
      <c r="C12371" t="s">
        <v>58</v>
      </c>
      <c r="D12371" s="1" t="s">
        <v>16157</v>
      </c>
    </row>
    <row r="12372" spans="1:4" hidden="1" x14ac:dyDescent="0.3">
      <c r="A12372">
        <v>12370</v>
      </c>
      <c r="B12372" t="s">
        <v>16158</v>
      </c>
      <c r="C12372" t="s">
        <v>61</v>
      </c>
      <c r="D12372">
        <v>150813689.745408</v>
      </c>
    </row>
    <row r="12373" spans="1:4" hidden="1" x14ac:dyDescent="0.3">
      <c r="A12373">
        <v>12371</v>
      </c>
      <c r="B12373" t="s">
        <v>16159</v>
      </c>
      <c r="C12373" t="s">
        <v>63</v>
      </c>
      <c r="D12373">
        <v>85357740.246349707</v>
      </c>
    </row>
    <row r="12374" spans="1:4" hidden="1" x14ac:dyDescent="0.3">
      <c r="A12374">
        <v>12372</v>
      </c>
      <c r="B12374" t="s">
        <v>16160</v>
      </c>
      <c r="C12374" t="s">
        <v>65</v>
      </c>
      <c r="D12374">
        <v>34841836.756051697</v>
      </c>
    </row>
    <row r="12375" spans="1:4" hidden="1" x14ac:dyDescent="0.3">
      <c r="A12375">
        <v>12373</v>
      </c>
      <c r="B12375" s="1" t="s">
        <v>16161</v>
      </c>
      <c r="C12375" t="s">
        <v>67</v>
      </c>
      <c r="D12375" s="1" t="s">
        <v>16162</v>
      </c>
    </row>
    <row r="12376" spans="1:4" hidden="1" x14ac:dyDescent="0.3">
      <c r="A12376">
        <v>12374</v>
      </c>
      <c r="B12376" s="1" t="s">
        <v>16163</v>
      </c>
      <c r="C12376" t="s">
        <v>70</v>
      </c>
      <c r="D12376" s="1" t="s">
        <v>16164</v>
      </c>
    </row>
    <row r="12377" spans="1:4" hidden="1" x14ac:dyDescent="0.3">
      <c r="A12377">
        <v>12375</v>
      </c>
      <c r="B12377" t="s">
        <v>16165</v>
      </c>
      <c r="C12377" t="s">
        <v>73</v>
      </c>
      <c r="D12377">
        <v>0.99976630549478696</v>
      </c>
    </row>
    <row r="12378" spans="1:4" hidden="1" x14ac:dyDescent="0.3">
      <c r="A12378">
        <v>12376</v>
      </c>
      <c r="B12378" t="s">
        <v>74</v>
      </c>
      <c r="C12378" t="s">
        <v>75</v>
      </c>
      <c r="D12378">
        <v>2.7397260273972599E-3</v>
      </c>
    </row>
    <row r="12379" spans="1:4" hidden="1" x14ac:dyDescent="0.3">
      <c r="A12379">
        <v>12377</v>
      </c>
      <c r="B12379" t="s">
        <v>76</v>
      </c>
      <c r="C12379" t="s">
        <v>77</v>
      </c>
      <c r="D12379">
        <v>0</v>
      </c>
    </row>
    <row r="12380" spans="1:4" hidden="1" x14ac:dyDescent="0.3">
      <c r="A12380">
        <v>12378</v>
      </c>
      <c r="B12380" t="s">
        <v>78</v>
      </c>
      <c r="C12380" t="s">
        <v>79</v>
      </c>
      <c r="D12380">
        <v>0</v>
      </c>
    </row>
    <row r="12381" spans="1:4" hidden="1" x14ac:dyDescent="0.3">
      <c r="A12381">
        <v>12379</v>
      </c>
      <c r="B12381" s="1" t="s">
        <v>16166</v>
      </c>
      <c r="C12381" t="s">
        <v>81</v>
      </c>
      <c r="D12381" s="1" t="s">
        <v>16167</v>
      </c>
    </row>
    <row r="12382" spans="1:4" hidden="1" x14ac:dyDescent="0.3">
      <c r="A12382">
        <v>12380</v>
      </c>
      <c r="B12382" t="s">
        <v>16168</v>
      </c>
      <c r="C12382" t="s">
        <v>84</v>
      </c>
      <c r="D12382">
        <v>0.99977586668602003</v>
      </c>
    </row>
    <row r="12383" spans="1:4" hidden="1" x14ac:dyDescent="0.3">
      <c r="A12383">
        <v>12381</v>
      </c>
      <c r="B12383" s="1" t="s">
        <v>16169</v>
      </c>
      <c r="C12383" t="s">
        <v>86</v>
      </c>
      <c r="D12383" s="1" t="s">
        <v>16170</v>
      </c>
    </row>
    <row r="12384" spans="1:4" hidden="1" x14ac:dyDescent="0.3">
      <c r="A12384">
        <v>12382</v>
      </c>
      <c r="B12384" t="s">
        <v>16171</v>
      </c>
      <c r="C12384" t="s">
        <v>89</v>
      </c>
      <c r="D12384">
        <v>104279136.12194</v>
      </c>
    </row>
    <row r="12385" spans="1:4" hidden="1" x14ac:dyDescent="0.3">
      <c r="A12385">
        <v>12383</v>
      </c>
      <c r="B12385" s="1" t="s">
        <v>16172</v>
      </c>
      <c r="C12385" t="s">
        <v>91</v>
      </c>
      <c r="D12385" s="1" t="s">
        <v>16107</v>
      </c>
    </row>
    <row r="12386" spans="1:4" hidden="1" x14ac:dyDescent="0.3">
      <c r="A12386">
        <v>12384</v>
      </c>
      <c r="B12386" t="s">
        <v>16173</v>
      </c>
      <c r="C12386" t="s">
        <v>94</v>
      </c>
      <c r="D12386">
        <v>85357740.246349707</v>
      </c>
    </row>
    <row r="12387" spans="1:4" hidden="1" x14ac:dyDescent="0.3">
      <c r="A12387">
        <v>12385</v>
      </c>
      <c r="B12387" t="s">
        <v>16174</v>
      </c>
      <c r="C12387" t="s">
        <v>96</v>
      </c>
      <c r="D12387">
        <v>34841836.756051697</v>
      </c>
    </row>
    <row r="12388" spans="1:4" hidden="1" x14ac:dyDescent="0.3">
      <c r="A12388">
        <v>12386</v>
      </c>
      <c r="B12388" t="s">
        <v>16175</v>
      </c>
      <c r="C12388" t="s">
        <v>98</v>
      </c>
      <c r="D12388">
        <v>30614112.743007101</v>
      </c>
    </row>
    <row r="12389" spans="1:4" hidden="1" x14ac:dyDescent="0.3">
      <c r="A12389">
        <v>12387</v>
      </c>
      <c r="B12389" s="1" t="s">
        <v>16176</v>
      </c>
      <c r="C12389" t="s">
        <v>100</v>
      </c>
      <c r="D12389" s="1" t="s">
        <v>16177</v>
      </c>
    </row>
    <row r="12390" spans="1:4" hidden="1" x14ac:dyDescent="0.3">
      <c r="A12390">
        <v>12388</v>
      </c>
      <c r="B12390" t="s">
        <v>16178</v>
      </c>
      <c r="C12390" t="s">
        <v>103</v>
      </c>
      <c r="D12390">
        <v>1.0728498176428E-2</v>
      </c>
    </row>
    <row r="12391" spans="1:4" hidden="1" x14ac:dyDescent="0.3">
      <c r="A12391">
        <v>12389</v>
      </c>
      <c r="B12391" t="s">
        <v>16179</v>
      </c>
      <c r="C12391" t="s">
        <v>105</v>
      </c>
      <c r="D12391">
        <v>3.30593180790128E-3</v>
      </c>
    </row>
    <row r="12392" spans="1:4" hidden="1" x14ac:dyDescent="0.3">
      <c r="A12392">
        <v>12390</v>
      </c>
      <c r="B12392" t="s">
        <v>16180</v>
      </c>
      <c r="C12392" t="s">
        <v>107</v>
      </c>
      <c r="D12392">
        <v>2.39783979595256E-2</v>
      </c>
    </row>
    <row r="12393" spans="1:4" hidden="1" x14ac:dyDescent="0.3">
      <c r="A12393">
        <v>12391</v>
      </c>
      <c r="B12393" s="1" t="s">
        <v>16181</v>
      </c>
      <c r="C12393" t="s">
        <v>109</v>
      </c>
      <c r="D12393" s="1" t="s">
        <v>16182</v>
      </c>
    </row>
    <row r="12394" spans="1:4" hidden="1" x14ac:dyDescent="0.3">
      <c r="A12394">
        <v>12392</v>
      </c>
      <c r="B12394" t="s">
        <v>16183</v>
      </c>
      <c r="C12394" t="s">
        <v>208</v>
      </c>
      <c r="D12394">
        <v>150814038.30929801</v>
      </c>
    </row>
    <row r="12395" spans="1:4" hidden="1" x14ac:dyDescent="0.3">
      <c r="A12395">
        <v>12393</v>
      </c>
      <c r="B12395" t="s">
        <v>16184</v>
      </c>
      <c r="C12395" t="s">
        <v>210</v>
      </c>
      <c r="D12395">
        <v>-816.31514382135504</v>
      </c>
    </row>
    <row r="12396" spans="1:4" hidden="1" x14ac:dyDescent="0.3">
      <c r="A12396">
        <v>12394</v>
      </c>
      <c r="B12396" t="s">
        <v>16185</v>
      </c>
      <c r="C12396" t="s">
        <v>212</v>
      </c>
      <c r="D12396">
        <v>-333.20768456311998</v>
      </c>
    </row>
    <row r="12397" spans="1:4" hidden="1" x14ac:dyDescent="0.3">
      <c r="A12397">
        <v>12395</v>
      </c>
      <c r="B12397" s="1" t="s">
        <v>16186</v>
      </c>
      <c r="C12397" t="s">
        <v>214</v>
      </c>
      <c r="D12397" s="1" t="s">
        <v>16187</v>
      </c>
    </row>
    <row r="12398" spans="1:4" hidden="1" x14ac:dyDescent="0.3">
      <c r="A12398">
        <v>12396</v>
      </c>
      <c r="B12398" t="s">
        <v>16188</v>
      </c>
      <c r="C12398" t="s">
        <v>217</v>
      </c>
      <c r="D12398">
        <v>85358838.712482899</v>
      </c>
    </row>
    <row r="12399" spans="1:4" hidden="1" x14ac:dyDescent="0.3">
      <c r="A12399">
        <v>12397</v>
      </c>
      <c r="B12399" t="s">
        <v>16189</v>
      </c>
      <c r="C12399" t="s">
        <v>219</v>
      </c>
      <c r="D12399">
        <v>34842206.737999298</v>
      </c>
    </row>
    <row r="12400" spans="1:4" hidden="1" x14ac:dyDescent="0.3">
      <c r="A12400">
        <v>12398</v>
      </c>
      <c r="B12400" t="s">
        <v>16190</v>
      </c>
      <c r="C12400" t="s">
        <v>221</v>
      </c>
      <c r="D12400">
        <v>30614435.1577342</v>
      </c>
    </row>
    <row r="12401" spans="1:4" hidden="1" x14ac:dyDescent="0.3">
      <c r="A12401">
        <v>12399</v>
      </c>
      <c r="B12401" s="1" t="s">
        <v>16191</v>
      </c>
      <c r="C12401" t="s">
        <v>223</v>
      </c>
      <c r="D12401" s="1" t="s">
        <v>16192</v>
      </c>
    </row>
    <row r="12402" spans="1:4" hidden="1" x14ac:dyDescent="0.3">
      <c r="A12402">
        <v>12400</v>
      </c>
      <c r="B12402" t="s">
        <v>16193</v>
      </c>
      <c r="C12402" t="s">
        <v>226</v>
      </c>
      <c r="D12402">
        <v>104280133.387758</v>
      </c>
    </row>
    <row r="12403" spans="1:4" hidden="1" x14ac:dyDescent="0.3">
      <c r="A12403">
        <v>12401</v>
      </c>
      <c r="B12403" t="s">
        <v>16194</v>
      </c>
      <c r="C12403" t="s">
        <v>228</v>
      </c>
      <c r="D12403">
        <v>-997.26581767201401</v>
      </c>
    </row>
    <row r="12404" spans="1:4" hidden="1" x14ac:dyDescent="0.3">
      <c r="A12404">
        <v>12402</v>
      </c>
      <c r="B12404" s="1" t="s">
        <v>16195</v>
      </c>
      <c r="C12404" t="s">
        <v>230</v>
      </c>
      <c r="D12404" s="1" t="s">
        <v>16196</v>
      </c>
    </row>
    <row r="12405" spans="1:4" hidden="1" x14ac:dyDescent="0.3">
      <c r="A12405">
        <v>12403</v>
      </c>
      <c r="B12405" t="s">
        <v>16197</v>
      </c>
      <c r="C12405" t="s">
        <v>112</v>
      </c>
      <c r="D12405">
        <v>282.15098931172201</v>
      </c>
    </row>
    <row r="12406" spans="1:4" hidden="1" x14ac:dyDescent="0.3">
      <c r="A12406">
        <v>12404</v>
      </c>
      <c r="B12406" t="s">
        <v>16198</v>
      </c>
      <c r="C12406" t="s">
        <v>114</v>
      </c>
      <c r="D12406">
        <v>36.774262972328998</v>
      </c>
    </row>
    <row r="12407" spans="1:4" hidden="1" x14ac:dyDescent="0.3">
      <c r="A12407">
        <v>12405</v>
      </c>
      <c r="B12407" s="1" t="s">
        <v>16199</v>
      </c>
      <c r="C12407" t="s">
        <v>116</v>
      </c>
      <c r="D12407" s="1" t="s">
        <v>16200</v>
      </c>
    </row>
    <row r="12408" spans="1:4" hidden="1" x14ac:dyDescent="0.3">
      <c r="A12408">
        <v>12406</v>
      </c>
      <c r="B12408" t="s">
        <v>16201</v>
      </c>
      <c r="C12408" t="s">
        <v>119</v>
      </c>
      <c r="D12408">
        <v>85358838.712482899</v>
      </c>
    </row>
    <row r="12409" spans="1:4" hidden="1" x14ac:dyDescent="0.3">
      <c r="A12409">
        <v>12407</v>
      </c>
      <c r="B12409" t="s">
        <v>16202</v>
      </c>
      <c r="C12409" t="s">
        <v>121</v>
      </c>
      <c r="D12409">
        <v>34842206.737999298</v>
      </c>
    </row>
    <row r="12410" spans="1:4" hidden="1" x14ac:dyDescent="0.3">
      <c r="A12410">
        <v>12408</v>
      </c>
      <c r="B12410" s="1" t="s">
        <v>16203</v>
      </c>
      <c r="C12410" t="s">
        <v>123</v>
      </c>
      <c r="D12410" s="1" t="s">
        <v>16204</v>
      </c>
    </row>
    <row r="12411" spans="1:4" hidden="1" x14ac:dyDescent="0.3">
      <c r="A12411">
        <v>12409</v>
      </c>
      <c r="B12411" t="s">
        <v>16205</v>
      </c>
      <c r="C12411" t="s">
        <v>126</v>
      </c>
      <c r="D12411">
        <v>0.81873672373850004</v>
      </c>
    </row>
    <row r="12412" spans="1:4" hidden="1" x14ac:dyDescent="0.3">
      <c r="A12412">
        <v>12410</v>
      </c>
      <c r="B12412" t="s">
        <v>16206</v>
      </c>
      <c r="C12412" t="s">
        <v>128</v>
      </c>
      <c r="D12412">
        <v>0.33419613742141102</v>
      </c>
    </row>
    <row r="12413" spans="1:4" hidden="1" x14ac:dyDescent="0.3">
      <c r="A12413">
        <v>12411</v>
      </c>
      <c r="B12413" s="1" t="s">
        <v>16207</v>
      </c>
      <c r="C12413" t="s">
        <v>130</v>
      </c>
      <c r="D12413" s="1" t="s">
        <v>16208</v>
      </c>
    </row>
  </sheetData>
  <autoFilter ref="A1:D12413" xr:uid="{1D68656F-9F8C-4913-85A6-10852EA8D9A6}">
    <filterColumn colId="2">
      <filters>
        <filter val="date i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E24E-F393-4AC2-83CB-4BFF938638C2}">
  <dimension ref="A1:Q187"/>
  <sheetViews>
    <sheetView tabSelected="1" workbookViewId="0">
      <selection activeCell="L1" sqref="L1:L5"/>
    </sheetView>
  </sheetViews>
  <sheetFormatPr defaultRowHeight="14.4" x14ac:dyDescent="0.3"/>
  <cols>
    <col min="2" max="2" width="10" bestFit="1" customWidth="1"/>
    <col min="5" max="5" width="15.44140625" customWidth="1"/>
    <col min="13" max="15" width="12" bestFit="1" customWidth="1"/>
    <col min="16" max="16" width="9" bestFit="1" customWidth="1"/>
    <col min="17" max="17" width="12.6640625" bestFit="1" customWidth="1"/>
    <col min="18" max="19" width="9" bestFit="1" customWidth="1"/>
  </cols>
  <sheetData>
    <row r="1" spans="1:17" x14ac:dyDescent="0.3">
      <c r="A1" t="s">
        <v>2</v>
      </c>
      <c r="B1" t="s">
        <v>91</v>
      </c>
      <c r="C1" t="s">
        <v>86</v>
      </c>
      <c r="D1" t="s">
        <v>70</v>
      </c>
      <c r="E1" t="s">
        <v>208</v>
      </c>
      <c r="L1" t="s">
        <v>2</v>
      </c>
      <c r="M1" t="s">
        <v>16209</v>
      </c>
      <c r="N1" t="s">
        <v>16210</v>
      </c>
      <c r="O1" t="s">
        <v>16211</v>
      </c>
      <c r="P1" t="s">
        <v>16212</v>
      </c>
      <c r="Q1" t="s">
        <v>16213</v>
      </c>
    </row>
    <row r="2" spans="1:17" x14ac:dyDescent="0.3">
      <c r="A2" t="s">
        <v>5</v>
      </c>
      <c r="B2">
        <v>100000000</v>
      </c>
      <c r="C2">
        <v>1</v>
      </c>
      <c r="D2">
        <v>1.54138358943454</v>
      </c>
      <c r="E2">
        <v>154138358.943454</v>
      </c>
      <c r="L2" t="s">
        <v>91</v>
      </c>
      <c r="M2">
        <v>100000000</v>
      </c>
      <c r="N2">
        <v>104286995.3493</v>
      </c>
      <c r="O2">
        <v>103291389.18646075</v>
      </c>
      <c r="P2">
        <v>18240.521156091847</v>
      </c>
      <c r="Q2">
        <v>-35751.421465940017</v>
      </c>
    </row>
    <row r="3" spans="1:17" x14ac:dyDescent="0.3">
      <c r="A3" t="s">
        <v>133</v>
      </c>
      <c r="B3">
        <v>102759692.34907199</v>
      </c>
      <c r="C3">
        <v>0.99999234732264997</v>
      </c>
      <c r="D3">
        <v>1.5027889528626901</v>
      </c>
      <c r="E3">
        <v>154424683.10344401</v>
      </c>
      <c r="F3">
        <f>STDEV(B2:B3)</f>
        <v>1951397.1740174401</v>
      </c>
      <c r="G3">
        <f t="shared" ref="G3:H3" si="0">STDEV(C2:C3)</f>
        <v>5.4112600484417786E-6</v>
      </c>
      <c r="H3">
        <f t="shared" si="0"/>
        <v>2.7290529237385404E-2</v>
      </c>
      <c r="I3">
        <f>STDEV(E2:E3)</f>
        <v>202461.7551464799</v>
      </c>
      <c r="L3" t="s">
        <v>86</v>
      </c>
      <c r="M3">
        <v>0.999688290530102</v>
      </c>
      <c r="N3">
        <v>1</v>
      </c>
      <c r="O3">
        <v>0.99983695440223752</v>
      </c>
      <c r="P3">
        <v>1.3973165331104947E-5</v>
      </c>
      <c r="Q3">
        <v>-2.7387404048965696E-5</v>
      </c>
    </row>
    <row r="4" spans="1:17" x14ac:dyDescent="0.3">
      <c r="A4" t="s">
        <v>245</v>
      </c>
      <c r="B4">
        <v>102951529.177783</v>
      </c>
      <c r="C4">
        <v>0.99998481435365305</v>
      </c>
      <c r="D4">
        <v>1.4984886549918399</v>
      </c>
      <c r="E4">
        <v>154269483.56988201</v>
      </c>
      <c r="F4">
        <f t="shared" ref="F4:F67" si="1">STDEV(B3:B4)</f>
        <v>135649.12246287244</v>
      </c>
      <c r="G4">
        <f t="shared" ref="G4:G67" si="2">STDEV(C3:C4)</f>
        <v>5.3266134601866379E-6</v>
      </c>
      <c r="H4">
        <f t="shared" ref="H4:H67" si="3">STDEV(D3:D4)</f>
        <v>3.0407697856002333E-3</v>
      </c>
      <c r="I4">
        <f t="shared" ref="I4:I67" si="4">STDEV(E3:E4)</f>
        <v>109742.6426186826</v>
      </c>
      <c r="L4" t="s">
        <v>70</v>
      </c>
      <c r="M4">
        <v>1.3081364420792101</v>
      </c>
      <c r="N4">
        <v>1.54138358943454</v>
      </c>
      <c r="O4">
        <v>1.424746500216022</v>
      </c>
      <c r="P4">
        <v>6.1528751339166342E-3</v>
      </c>
      <c r="Q4">
        <v>-1.2059635262476602E-2</v>
      </c>
    </row>
    <row r="5" spans="1:17" x14ac:dyDescent="0.3">
      <c r="A5" t="s">
        <v>335</v>
      </c>
      <c r="B5">
        <v>102951156.34930401</v>
      </c>
      <c r="C5">
        <v>0.99998843570993401</v>
      </c>
      <c r="D5">
        <v>1.49788861253043</v>
      </c>
      <c r="E5">
        <v>154206370.02063799</v>
      </c>
      <c r="F5">
        <f t="shared" si="1"/>
        <v>263.62954571469908</v>
      </c>
      <c r="G5">
        <f t="shared" si="2"/>
        <v>2.5606855833581723E-6</v>
      </c>
      <c r="H5">
        <f t="shared" si="3"/>
        <v>4.2429409346279168E-4</v>
      </c>
      <c r="I5">
        <f t="shared" si="4"/>
        <v>44628.018655195105</v>
      </c>
      <c r="L5" t="s">
        <v>208</v>
      </c>
      <c r="M5">
        <v>134729281.508331</v>
      </c>
      <c r="N5">
        <v>156382928.81406599</v>
      </c>
      <c r="O5">
        <v>147138135.60752615</v>
      </c>
      <c r="P5">
        <v>613829.01177059964</v>
      </c>
      <c r="Q5">
        <v>-1203104.8630703753</v>
      </c>
    </row>
    <row r="6" spans="1:17" x14ac:dyDescent="0.3">
      <c r="A6" t="s">
        <v>425</v>
      </c>
      <c r="B6">
        <v>102954689.677178</v>
      </c>
      <c r="C6">
        <v>0.99995411685544799</v>
      </c>
      <c r="D6">
        <v>1.4894638960523301</v>
      </c>
      <c r="E6">
        <v>153340497.78852701</v>
      </c>
      <c r="F6">
        <f t="shared" si="1"/>
        <v>2498.4400998537335</v>
      </c>
      <c r="G6">
        <f t="shared" si="2"/>
        <v>2.4267094729615662E-5</v>
      </c>
      <c r="H6">
        <f t="shared" si="3"/>
        <v>5.9571741512385208E-3</v>
      </c>
      <c r="I6">
        <f t="shared" si="4"/>
        <v>612264.12696680427</v>
      </c>
    </row>
    <row r="7" spans="1:17" x14ac:dyDescent="0.3">
      <c r="A7" t="s">
        <v>515</v>
      </c>
      <c r="B7">
        <v>102953988.10676</v>
      </c>
      <c r="C7">
        <v>0.99996093095017902</v>
      </c>
      <c r="D7">
        <v>1.47257513191912</v>
      </c>
      <c r="E7">
        <v>151601795.207524</v>
      </c>
      <c r="F7">
        <f t="shared" si="1"/>
        <v>496.08520004783713</v>
      </c>
      <c r="G7">
        <f t="shared" si="2"/>
        <v>4.8182925919535033E-6</v>
      </c>
      <c r="H7">
        <f t="shared" si="3"/>
        <v>1.1942159644452974E-2</v>
      </c>
      <c r="I7">
        <f t="shared" si="4"/>
        <v>1229448.385493781</v>
      </c>
    </row>
    <row r="8" spans="1:17" x14ac:dyDescent="0.3">
      <c r="A8" t="s">
        <v>605</v>
      </c>
      <c r="B8">
        <v>102953300.11184999</v>
      </c>
      <c r="C8">
        <v>0.99996761328120098</v>
      </c>
      <c r="D8">
        <v>1.4631257153361299</v>
      </c>
      <c r="E8">
        <v>150627568.59614</v>
      </c>
      <c r="F8">
        <f t="shared" si="1"/>
        <v>486.48586628406923</v>
      </c>
      <c r="G8">
        <f t="shared" si="2"/>
        <v>4.7251215797665872E-6</v>
      </c>
      <c r="H8">
        <f t="shared" si="3"/>
        <v>6.6817465440889455E-3</v>
      </c>
      <c r="I8">
        <f t="shared" si="4"/>
        <v>688882.24332202086</v>
      </c>
    </row>
    <row r="9" spans="1:17" x14ac:dyDescent="0.3">
      <c r="A9" t="s">
        <v>695</v>
      </c>
      <c r="B9">
        <v>102956729.33712</v>
      </c>
      <c r="C9">
        <v>0.99993430691812202</v>
      </c>
      <c r="D9">
        <v>1.4647542010675301</v>
      </c>
      <c r="E9">
        <v>150794427.83335</v>
      </c>
      <c r="F9">
        <f t="shared" si="1"/>
        <v>2424.8284426354476</v>
      </c>
      <c r="G9">
        <f t="shared" si="2"/>
        <v>2.3551155189798473E-5</v>
      </c>
      <c r="H9">
        <f t="shared" si="3"/>
        <v>1.1515133037385988E-3</v>
      </c>
      <c r="I9">
        <f t="shared" si="4"/>
        <v>117987.29813480961</v>
      </c>
    </row>
    <row r="10" spans="1:17" x14ac:dyDescent="0.3">
      <c r="A10" t="s">
        <v>785</v>
      </c>
      <c r="B10">
        <v>102962489.35991199</v>
      </c>
      <c r="C10">
        <v>0.99987836766846006</v>
      </c>
      <c r="D10">
        <v>1.46485189638799</v>
      </c>
      <c r="E10">
        <v>150806304.19616801</v>
      </c>
      <c r="F10">
        <f t="shared" si="1"/>
        <v>4072.9511760098653</v>
      </c>
      <c r="G10">
        <f t="shared" si="2"/>
        <v>3.9555022770461057E-5</v>
      </c>
      <c r="H10">
        <f t="shared" si="3"/>
        <v>6.9081023587380799E-5</v>
      </c>
      <c r="I10">
        <f t="shared" si="4"/>
        <v>8397.8566844414854</v>
      </c>
    </row>
    <row r="11" spans="1:17" x14ac:dyDescent="0.3">
      <c r="A11" t="s">
        <v>876</v>
      </c>
      <c r="B11">
        <v>102962923.91698</v>
      </c>
      <c r="C11">
        <v>0.99987414766192295</v>
      </c>
      <c r="D11">
        <v>1.4585271044079999</v>
      </c>
      <c r="E11">
        <v>150156046.57581401</v>
      </c>
      <c r="F11">
        <f t="shared" si="1"/>
        <v>307.27824959902358</v>
      </c>
      <c r="G11">
        <f t="shared" si="2"/>
        <v>2.983995239037385E-6</v>
      </c>
      <c r="H11">
        <f t="shared" si="3"/>
        <v>4.4723032986452409E-3</v>
      </c>
      <c r="I11">
        <f t="shared" si="4"/>
        <v>459801.57287053869</v>
      </c>
    </row>
    <row r="12" spans="1:17" x14ac:dyDescent="0.3">
      <c r="A12" t="s">
        <v>966</v>
      </c>
      <c r="B12">
        <v>102960786.12775899</v>
      </c>
      <c r="C12">
        <v>0.99989490818886795</v>
      </c>
      <c r="D12">
        <v>1.4543437692750401</v>
      </c>
      <c r="E12">
        <v>149725600.690516</v>
      </c>
      <c r="F12">
        <f t="shared" si="1"/>
        <v>1511.645254919189</v>
      </c>
      <c r="G12">
        <f t="shared" si="2"/>
        <v>1.4679909383812847E-5</v>
      </c>
      <c r="H12">
        <f t="shared" si="3"/>
        <v>2.9580646404918556E-3</v>
      </c>
      <c r="I12">
        <f t="shared" si="4"/>
        <v>304371.20442807232</v>
      </c>
    </row>
    <row r="13" spans="1:17" x14ac:dyDescent="0.3">
      <c r="A13" t="s">
        <v>1056</v>
      </c>
      <c r="B13">
        <v>102957977.69835301</v>
      </c>
      <c r="C13">
        <v>0.99992218275589095</v>
      </c>
      <c r="D13">
        <v>1.4627721947377601</v>
      </c>
      <c r="E13">
        <v>150592087.78710699</v>
      </c>
      <c r="F13">
        <f t="shared" si="1"/>
        <v>1985.859477457301</v>
      </c>
      <c r="G13">
        <f t="shared" si="2"/>
        <v>1.9286031295894304E-5</v>
      </c>
      <c r="H13">
        <f t="shared" si="3"/>
        <v>5.9597967994147088E-3</v>
      </c>
      <c r="I13">
        <f t="shared" si="4"/>
        <v>612698.90181013616</v>
      </c>
    </row>
    <row r="14" spans="1:17" x14ac:dyDescent="0.3">
      <c r="A14" t="s">
        <v>1145</v>
      </c>
      <c r="B14">
        <v>102958738.97564401</v>
      </c>
      <c r="C14">
        <v>0.999914789327634</v>
      </c>
      <c r="D14">
        <v>1.4489605029925601</v>
      </c>
      <c r="E14">
        <v>149170048.06161901</v>
      </c>
      <c r="F14">
        <f t="shared" si="1"/>
        <v>538.30433482934643</v>
      </c>
      <c r="G14">
        <f t="shared" si="2"/>
        <v>5.2279432567070698E-6</v>
      </c>
      <c r="H14">
        <f t="shared" si="3"/>
        <v>9.7663408926892004E-3</v>
      </c>
      <c r="I14">
        <f t="shared" si="4"/>
        <v>1005533.9330092053</v>
      </c>
    </row>
    <row r="15" spans="1:17" x14ac:dyDescent="0.3">
      <c r="A15" t="s">
        <v>1235</v>
      </c>
      <c r="B15">
        <v>102959874.519447</v>
      </c>
      <c r="C15">
        <v>0.99990376127376601</v>
      </c>
      <c r="D15">
        <v>1.4472401079718999</v>
      </c>
      <c r="E15">
        <v>148993239.18906501</v>
      </c>
      <c r="F15">
        <f t="shared" si="1"/>
        <v>802.95072342965727</v>
      </c>
      <c r="G15">
        <f t="shared" si="2"/>
        <v>7.7980116733460248E-6</v>
      </c>
      <c r="H15">
        <f t="shared" si="3"/>
        <v>1.2165029854283456E-3</v>
      </c>
      <c r="I15">
        <f t="shared" si="4"/>
        <v>125022.75275688441</v>
      </c>
    </row>
    <row r="16" spans="1:17" x14ac:dyDescent="0.3">
      <c r="A16" t="s">
        <v>1324</v>
      </c>
      <c r="B16">
        <v>102960110.091002</v>
      </c>
      <c r="C16">
        <v>0.99990147350538605</v>
      </c>
      <c r="D16">
        <v>1.45132148073407</v>
      </c>
      <c r="E16">
        <v>149414137.78337201</v>
      </c>
      <c r="F16">
        <f t="shared" si="1"/>
        <v>166.57424399765145</v>
      </c>
      <c r="G16">
        <f t="shared" si="2"/>
        <v>1.6176965352542141E-6</v>
      </c>
      <c r="H16">
        <f t="shared" si="3"/>
        <v>2.8859663566804922E-3</v>
      </c>
      <c r="I16">
        <f t="shared" si="4"/>
        <v>297620.25022636913</v>
      </c>
    </row>
    <row r="17" spans="1:9" x14ac:dyDescent="0.3">
      <c r="A17" t="s">
        <v>1413</v>
      </c>
      <c r="B17">
        <v>102958230.25748099</v>
      </c>
      <c r="C17">
        <v>0.99991972992162903</v>
      </c>
      <c r="D17">
        <v>1.44897288573684</v>
      </c>
      <c r="E17">
        <v>149172789.427286</v>
      </c>
      <c r="F17">
        <f t="shared" si="1"/>
        <v>1329.2430302068885</v>
      </c>
      <c r="G17">
        <f t="shared" si="2"/>
        <v>1.2909235725574544E-5</v>
      </c>
      <c r="H17">
        <f t="shared" si="3"/>
        <v>1.6607074488020964E-3</v>
      </c>
      <c r="I17">
        <f t="shared" si="4"/>
        <v>170659.05921664726</v>
      </c>
    </row>
    <row r="18" spans="1:9" x14ac:dyDescent="0.3">
      <c r="A18" t="s">
        <v>1503</v>
      </c>
      <c r="B18">
        <v>102955064.339931</v>
      </c>
      <c r="C18">
        <v>0.99995047793234904</v>
      </c>
      <c r="D18">
        <v>1.4423266608218499</v>
      </c>
      <c r="E18">
        <v>148487209.05459201</v>
      </c>
      <c r="F18">
        <f t="shared" si="1"/>
        <v>2238.641768280781</v>
      </c>
      <c r="G18">
        <f t="shared" si="2"/>
        <v>2.1742126888112423E-5</v>
      </c>
      <c r="H18">
        <f t="shared" si="3"/>
        <v>4.699590706680498E-3</v>
      </c>
      <c r="I18">
        <f t="shared" si="4"/>
        <v>484778.53058031789</v>
      </c>
    </row>
    <row r="19" spans="1:9" x14ac:dyDescent="0.3">
      <c r="A19" t="s">
        <v>1592</v>
      </c>
      <c r="B19">
        <v>102955861.539968</v>
      </c>
      <c r="C19">
        <v>0.99994273519146704</v>
      </c>
      <c r="D19">
        <v>1.44894380885744</v>
      </c>
      <c r="E19">
        <v>149168028.97437701</v>
      </c>
      <c r="F19">
        <f t="shared" si="1"/>
        <v>563.70555212667921</v>
      </c>
      <c r="G19">
        <f t="shared" si="2"/>
        <v>5.4749445826322737E-6</v>
      </c>
      <c r="H19">
        <f t="shared" si="3"/>
        <v>4.6790302480810043E-3</v>
      </c>
      <c r="I19">
        <f t="shared" si="4"/>
        <v>481412.38204684982</v>
      </c>
    </row>
    <row r="20" spans="1:9" x14ac:dyDescent="0.3">
      <c r="A20" t="s">
        <v>1682</v>
      </c>
      <c r="B20">
        <v>102957876.732333</v>
      </c>
      <c r="C20">
        <v>0.99992316333325804</v>
      </c>
      <c r="D20">
        <v>1.4576629962563801</v>
      </c>
      <c r="E20">
        <v>150066053.51526901</v>
      </c>
      <c r="F20">
        <f t="shared" si="1"/>
        <v>1424.9561866908248</v>
      </c>
      <c r="G20">
        <f t="shared" si="2"/>
        <v>1.3839393660005405E-5</v>
      </c>
      <c r="H20">
        <f t="shared" si="3"/>
        <v>6.1653965362268148E-3</v>
      </c>
      <c r="I20">
        <f t="shared" si="4"/>
        <v>634999.24253667274</v>
      </c>
    </row>
    <row r="21" spans="1:9" x14ac:dyDescent="0.3">
      <c r="A21" t="s">
        <v>1772</v>
      </c>
      <c r="B21">
        <v>102958762.39938501</v>
      </c>
      <c r="C21">
        <v>0.99991456184096705</v>
      </c>
      <c r="D21">
        <v>1.4566240291129999</v>
      </c>
      <c r="E21">
        <v>149959337.62837601</v>
      </c>
      <c r="F21">
        <f t="shared" si="1"/>
        <v>626.26117834323668</v>
      </c>
      <c r="G21">
        <f t="shared" si="2"/>
        <v>6.0821735272776974E-6</v>
      </c>
      <c r="H21">
        <f t="shared" si="3"/>
        <v>7.3466071251411503E-4</v>
      </c>
      <c r="I21">
        <f t="shared" si="4"/>
        <v>75459.527282379859</v>
      </c>
    </row>
    <row r="22" spans="1:9" x14ac:dyDescent="0.3">
      <c r="A22" t="s">
        <v>1861</v>
      </c>
      <c r="B22">
        <v>102958927.459813</v>
      </c>
      <c r="C22">
        <v>0.99991295881023301</v>
      </c>
      <c r="D22">
        <v>1.4572851624540499</v>
      </c>
      <c r="E22">
        <v>150027955.34596601</v>
      </c>
      <c r="F22">
        <f t="shared" si="1"/>
        <v>116.71534793978314</v>
      </c>
      <c r="G22">
        <f t="shared" si="2"/>
        <v>1.1335139024923316E-6</v>
      </c>
      <c r="H22">
        <f t="shared" si="3"/>
        <v>4.6749186872497482E-4</v>
      </c>
      <c r="I22">
        <f t="shared" si="4"/>
        <v>48520.053417435411</v>
      </c>
    </row>
    <row r="23" spans="1:9" x14ac:dyDescent="0.3">
      <c r="A23" t="s">
        <v>1950</v>
      </c>
      <c r="B23">
        <v>102957468.323735</v>
      </c>
      <c r="C23">
        <v>0.99992712979847898</v>
      </c>
      <c r="D23">
        <v>1.4650505504992499</v>
      </c>
      <c r="E23">
        <v>150826685.92577299</v>
      </c>
      <c r="F23">
        <f t="shared" si="1"/>
        <v>1031.7650154277917</v>
      </c>
      <c r="G23">
        <f t="shared" si="2"/>
        <v>1.0020401884836766E-5</v>
      </c>
      <c r="H23">
        <f t="shared" si="3"/>
        <v>5.4909585453058645E-3</v>
      </c>
      <c r="I23">
        <f t="shared" si="4"/>
        <v>564787.80932258093</v>
      </c>
    </row>
    <row r="24" spans="1:9" x14ac:dyDescent="0.3">
      <c r="A24" t="s">
        <v>2039</v>
      </c>
      <c r="B24">
        <v>102958107.953399</v>
      </c>
      <c r="C24">
        <v>0.99992091772769198</v>
      </c>
      <c r="D24">
        <v>1.4783942116354101</v>
      </c>
      <c r="E24">
        <v>152200018.497251</v>
      </c>
      <c r="F24">
        <f t="shared" si="1"/>
        <v>452.28647286519458</v>
      </c>
      <c r="G24">
        <f t="shared" si="2"/>
        <v>4.3925973786934749E-6</v>
      </c>
      <c r="H24">
        <f t="shared" si="3"/>
        <v>9.4353932752342298E-3</v>
      </c>
      <c r="I24">
        <f t="shared" si="4"/>
        <v>971092.7741164593</v>
      </c>
    </row>
    <row r="25" spans="1:9" x14ac:dyDescent="0.3">
      <c r="A25" t="s">
        <v>2129</v>
      </c>
      <c r="B25">
        <v>102959911.92199101</v>
      </c>
      <c r="C25">
        <v>0.99990339803584305</v>
      </c>
      <c r="D25">
        <v>1.4856992722632001</v>
      </c>
      <c r="E25">
        <v>152953155.716883</v>
      </c>
      <c r="F25">
        <f t="shared" si="1"/>
        <v>1275.5984244528611</v>
      </c>
      <c r="G25">
        <f t="shared" si="2"/>
        <v>1.2388292910679118E-5</v>
      </c>
      <c r="H25">
        <f t="shared" si="3"/>
        <v>5.1654579068891784E-3</v>
      </c>
      <c r="I25">
        <f t="shared" si="4"/>
        <v>532548.43516576919</v>
      </c>
    </row>
    <row r="26" spans="1:9" x14ac:dyDescent="0.3">
      <c r="A26" t="s">
        <v>2219</v>
      </c>
      <c r="B26">
        <v>102958546.403391</v>
      </c>
      <c r="C26">
        <v>0.99991665955453501</v>
      </c>
      <c r="D26">
        <v>1.4917891012565001</v>
      </c>
      <c r="E26">
        <v>153579432.75498301</v>
      </c>
      <c r="F26">
        <f t="shared" si="1"/>
        <v>965.56746189772628</v>
      </c>
      <c r="G26">
        <f t="shared" si="2"/>
        <v>9.3773097959205351E-6</v>
      </c>
      <c r="H26">
        <f t="shared" si="3"/>
        <v>4.306159377428888E-3</v>
      </c>
      <c r="I26">
        <f t="shared" si="4"/>
        <v>442844.74054193875</v>
      </c>
    </row>
    <row r="27" spans="1:9" x14ac:dyDescent="0.3">
      <c r="A27" t="s">
        <v>2309</v>
      </c>
      <c r="B27">
        <v>102959144.424642</v>
      </c>
      <c r="C27">
        <v>0.99991085170313199</v>
      </c>
      <c r="D27">
        <v>1.47685575657607</v>
      </c>
      <c r="E27">
        <v>152043427.713312</v>
      </c>
      <c r="F27">
        <f t="shared" si="1"/>
        <v>422.86488187082216</v>
      </c>
      <c r="G27">
        <f t="shared" si="2"/>
        <v>4.1067711112048856E-6</v>
      </c>
      <c r="H27">
        <f t="shared" si="3"/>
        <v>1.0559469289328152E-2</v>
      </c>
      <c r="I27">
        <f t="shared" si="4"/>
        <v>1086119.5809022952</v>
      </c>
    </row>
    <row r="28" spans="1:9" x14ac:dyDescent="0.3">
      <c r="A28" t="s">
        <v>2399</v>
      </c>
      <c r="B28">
        <v>102955698.248197</v>
      </c>
      <c r="C28">
        <v>0.99994432113981802</v>
      </c>
      <c r="D28">
        <v>1.47740113057098</v>
      </c>
      <c r="E28">
        <v>152096690.32632601</v>
      </c>
      <c r="F28">
        <f t="shared" si="1"/>
        <v>2436.8147334194914</v>
      </c>
      <c r="G28">
        <f t="shared" si="2"/>
        <v>2.3666465643184818E-5</v>
      </c>
      <c r="H28">
        <f t="shared" si="3"/>
        <v>3.8563765008362179E-4</v>
      </c>
      <c r="I28">
        <f t="shared" si="4"/>
        <v>37662.354845923146</v>
      </c>
    </row>
    <row r="29" spans="1:9" x14ac:dyDescent="0.3">
      <c r="A29" t="s">
        <v>2489</v>
      </c>
      <c r="B29">
        <v>102960690.473974</v>
      </c>
      <c r="C29">
        <v>0.99989583712332497</v>
      </c>
      <c r="D29">
        <v>1.4941612471858501</v>
      </c>
      <c r="E29">
        <v>153824989.728257</v>
      </c>
      <c r="F29">
        <f t="shared" si="1"/>
        <v>3530.0367001311147</v>
      </c>
      <c r="G29">
        <f t="shared" si="2"/>
        <v>3.4283376841392147E-5</v>
      </c>
      <c r="H29">
        <f t="shared" si="3"/>
        <v>1.1851192111851965E-2</v>
      </c>
      <c r="I29">
        <f t="shared" si="4"/>
        <v>1222092.227026056</v>
      </c>
    </row>
    <row r="30" spans="1:9" x14ac:dyDescent="0.3">
      <c r="A30" t="s">
        <v>2579</v>
      </c>
      <c r="B30">
        <v>102957347.98890799</v>
      </c>
      <c r="C30">
        <v>0.99992829849658604</v>
      </c>
      <c r="D30">
        <v>1.4875394508437201</v>
      </c>
      <c r="E30">
        <v>153141335.03286201</v>
      </c>
      <c r="F30">
        <f t="shared" si="1"/>
        <v>2363.4938561915305</v>
      </c>
      <c r="G30">
        <f t="shared" si="2"/>
        <v>2.2953657159531929E-5</v>
      </c>
      <c r="H30">
        <f t="shared" si="3"/>
        <v>4.6823170971564019E-3</v>
      </c>
      <c r="I30">
        <f t="shared" si="4"/>
        <v>483416.87110382301</v>
      </c>
    </row>
    <row r="31" spans="1:9" x14ac:dyDescent="0.3">
      <c r="A31" t="s">
        <v>2669</v>
      </c>
      <c r="B31">
        <v>102959690.53925601</v>
      </c>
      <c r="C31">
        <v>0.99990554801654996</v>
      </c>
      <c r="D31">
        <v>1.49412235769507</v>
      </c>
      <c r="E31">
        <v>153819537.071821</v>
      </c>
      <c r="F31">
        <f t="shared" si="1"/>
        <v>1656.4332363513513</v>
      </c>
      <c r="G31">
        <f t="shared" si="2"/>
        <v>1.6087018708762939E-5</v>
      </c>
      <c r="H31">
        <f t="shared" si="3"/>
        <v>4.6548180745088832E-3</v>
      </c>
      <c r="I31">
        <f t="shared" si="4"/>
        <v>479561.26076244953</v>
      </c>
    </row>
    <row r="32" spans="1:9" x14ac:dyDescent="0.3">
      <c r="A32" t="s">
        <v>2758</v>
      </c>
      <c r="B32">
        <v>102960593.982962</v>
      </c>
      <c r="C32">
        <v>0.99989677419019496</v>
      </c>
      <c r="D32">
        <v>1.4927340287406301</v>
      </c>
      <c r="E32">
        <v>153677580.60832301</v>
      </c>
      <c r="F32">
        <f t="shared" si="1"/>
        <v>638.83117092647842</v>
      </c>
      <c r="G32">
        <f t="shared" si="2"/>
        <v>6.2040321125750928E-6</v>
      </c>
      <c r="H32">
        <f t="shared" si="3"/>
        <v>9.816968182020506E-4</v>
      </c>
      <c r="I32">
        <f t="shared" si="4"/>
        <v>100378.37797269381</v>
      </c>
    </row>
    <row r="33" spans="1:9" x14ac:dyDescent="0.3">
      <c r="A33" t="s">
        <v>2848</v>
      </c>
      <c r="B33">
        <v>102958648.247006</v>
      </c>
      <c r="C33">
        <v>0.99991567046688901</v>
      </c>
      <c r="D33">
        <v>1.4900178929635901</v>
      </c>
      <c r="E33">
        <v>153397629.87879899</v>
      </c>
      <c r="F33">
        <f t="shared" si="1"/>
        <v>1375.8430888848889</v>
      </c>
      <c r="G33">
        <f t="shared" si="2"/>
        <v>1.3361685389537972E-5</v>
      </c>
      <c r="H33">
        <f t="shared" si="3"/>
        <v>1.9205980265683739E-3</v>
      </c>
      <c r="I33">
        <f t="shared" si="4"/>
        <v>197955.05924455301</v>
      </c>
    </row>
    <row r="34" spans="1:9" x14ac:dyDescent="0.3">
      <c r="A34" t="s">
        <v>2936</v>
      </c>
      <c r="B34">
        <v>102957658.69614001</v>
      </c>
      <c r="C34">
        <v>0.99992528089733201</v>
      </c>
      <c r="D34">
        <v>1.49388229009082</v>
      </c>
      <c r="E34">
        <v>153793530.13098001</v>
      </c>
      <c r="F34">
        <f t="shared" si="1"/>
        <v>699.7181276726028</v>
      </c>
      <c r="G34">
        <f t="shared" si="2"/>
        <v>6.7956005363724514E-6</v>
      </c>
      <c r="H34">
        <f t="shared" si="3"/>
        <v>2.7325414138620456E-3</v>
      </c>
      <c r="I34">
        <f t="shared" si="4"/>
        <v>279943.75299066585</v>
      </c>
    </row>
    <row r="35" spans="1:9" x14ac:dyDescent="0.3">
      <c r="A35" t="s">
        <v>3026</v>
      </c>
      <c r="B35">
        <v>102962339.65803</v>
      </c>
      <c r="C35">
        <v>0.99987982143955501</v>
      </c>
      <c r="D35">
        <v>1.5006330439532201</v>
      </c>
      <c r="E35">
        <v>154490351.89504701</v>
      </c>
      <c r="F35">
        <f t="shared" si="1"/>
        <v>3309.9398948927646</v>
      </c>
      <c r="G35">
        <f t="shared" si="2"/>
        <v>3.2144690863186201E-5</v>
      </c>
      <c r="H35">
        <f t="shared" si="3"/>
        <v>4.7735038342243841E-3</v>
      </c>
      <c r="I35">
        <f t="shared" si="4"/>
        <v>492727.3946501441</v>
      </c>
    </row>
    <row r="36" spans="1:9" x14ac:dyDescent="0.3">
      <c r="A36" t="s">
        <v>3116</v>
      </c>
      <c r="B36">
        <v>103005115.52818</v>
      </c>
      <c r="C36">
        <v>0.99988639560636605</v>
      </c>
      <c r="D36">
        <v>1.4874738030265</v>
      </c>
      <c r="E36">
        <v>153200340.436414</v>
      </c>
      <c r="F36">
        <f t="shared" si="1"/>
        <v>30247.107854220118</v>
      </c>
      <c r="G36">
        <f t="shared" si="2"/>
        <v>4.648637932742442E-6</v>
      </c>
      <c r="H36">
        <f t="shared" si="3"/>
        <v>9.3049884945512959E-3</v>
      </c>
      <c r="I36">
        <f t="shared" si="4"/>
        <v>912175.85020774778</v>
      </c>
    </row>
    <row r="37" spans="1:9" x14ac:dyDescent="0.3">
      <c r="A37" t="s">
        <v>3206</v>
      </c>
      <c r="B37">
        <v>103004135.428643</v>
      </c>
      <c r="C37">
        <v>0.99989590967285702</v>
      </c>
      <c r="D37">
        <v>1.4802740718881799</v>
      </c>
      <c r="E37">
        <v>152458689.52751401</v>
      </c>
      <c r="F37">
        <f t="shared" si="1"/>
        <v>693.03502885053808</v>
      </c>
      <c r="G37">
        <f t="shared" si="2"/>
        <v>6.7274609324229216E-6</v>
      </c>
      <c r="H37">
        <f t="shared" si="3"/>
        <v>5.0909787106260583E-3</v>
      </c>
      <c r="I37">
        <f t="shared" si="4"/>
        <v>524426.38695635123</v>
      </c>
    </row>
    <row r="38" spans="1:9" x14ac:dyDescent="0.3">
      <c r="A38" t="s">
        <v>3296</v>
      </c>
      <c r="B38">
        <v>103003522.719451</v>
      </c>
      <c r="C38">
        <v>0.99990185748317695</v>
      </c>
      <c r="D38">
        <v>1.47393620183276</v>
      </c>
      <c r="E38">
        <v>151804156.52543101</v>
      </c>
      <c r="F38">
        <f t="shared" si="1"/>
        <v>433.25082456403169</v>
      </c>
      <c r="G38">
        <f t="shared" si="2"/>
        <v>4.2057370104327106E-6</v>
      </c>
      <c r="H38">
        <f t="shared" si="3"/>
        <v>4.4815508944666205E-3</v>
      </c>
      <c r="I38">
        <f t="shared" si="4"/>
        <v>462824.72428328043</v>
      </c>
    </row>
    <row r="39" spans="1:9" x14ac:dyDescent="0.3">
      <c r="A39" t="s">
        <v>3385</v>
      </c>
      <c r="B39">
        <v>103008094.07766899</v>
      </c>
      <c r="C39">
        <v>0.99985748320740298</v>
      </c>
      <c r="D39">
        <v>1.46853934912865</v>
      </c>
      <c r="E39">
        <v>151250243.526833</v>
      </c>
      <c r="F39">
        <f t="shared" si="1"/>
        <v>3232.4383951801847</v>
      </c>
      <c r="G39">
        <f t="shared" si="2"/>
        <v>3.137735131001818E-5</v>
      </c>
      <c r="H39">
        <f t="shared" si="3"/>
        <v>3.8161511441410978E-3</v>
      </c>
      <c r="I39">
        <f t="shared" si="4"/>
        <v>391675.63749602699</v>
      </c>
    </row>
    <row r="40" spans="1:9" x14ac:dyDescent="0.3">
      <c r="A40" t="s">
        <v>3475</v>
      </c>
      <c r="B40">
        <v>103007033.04407801</v>
      </c>
      <c r="C40">
        <v>0.99986778233305096</v>
      </c>
      <c r="D40">
        <v>1.458196200213</v>
      </c>
      <c r="E40">
        <v>150183861.25998601</v>
      </c>
      <c r="F40">
        <f t="shared" si="1"/>
        <v>750.264047253851</v>
      </c>
      <c r="G40">
        <f t="shared" si="2"/>
        <v>7.2825815859813639E-6</v>
      </c>
      <c r="H40">
        <f t="shared" si="3"/>
        <v>7.3137107370784184E-3</v>
      </c>
      <c r="I40">
        <f t="shared" si="4"/>
        <v>754046.13222458528</v>
      </c>
    </row>
    <row r="41" spans="1:9" x14ac:dyDescent="0.3">
      <c r="A41" t="s">
        <v>3565</v>
      </c>
      <c r="B41">
        <v>103009203.70934901</v>
      </c>
      <c r="C41">
        <v>0.99984671258207702</v>
      </c>
      <c r="D41">
        <v>1.45156342412515</v>
      </c>
      <c r="E41">
        <v>149501901.065649</v>
      </c>
      <c r="F41">
        <f t="shared" si="1"/>
        <v>1534.8921328095801</v>
      </c>
      <c r="G41">
        <f t="shared" si="2"/>
        <v>1.4898563791580862E-5</v>
      </c>
      <c r="H41">
        <f t="shared" si="3"/>
        <v>4.6900809498106842E-3</v>
      </c>
      <c r="I41">
        <f t="shared" si="4"/>
        <v>482218.67791499582</v>
      </c>
    </row>
    <row r="42" spans="1:9" x14ac:dyDescent="0.3">
      <c r="A42" t="s">
        <v>3655</v>
      </c>
      <c r="B42">
        <v>103007949.492313</v>
      </c>
      <c r="C42">
        <v>0.99985888664035205</v>
      </c>
      <c r="D42">
        <v>1.4500241871894199</v>
      </c>
      <c r="E42">
        <v>149344338.400273</v>
      </c>
      <c r="F42">
        <f t="shared" si="1"/>
        <v>886.86537124153938</v>
      </c>
      <c r="G42">
        <f t="shared" si="2"/>
        <v>8.6083591608320613E-6</v>
      </c>
      <c r="H42">
        <f t="shared" si="3"/>
        <v>1.0884048751075585E-3</v>
      </c>
      <c r="I42">
        <f t="shared" si="4"/>
        <v>111413.62914920179</v>
      </c>
    </row>
    <row r="43" spans="1:9" x14ac:dyDescent="0.3">
      <c r="A43" t="s">
        <v>3745</v>
      </c>
      <c r="B43">
        <v>103003860.777784</v>
      </c>
      <c r="C43">
        <v>0.99989857580855801</v>
      </c>
      <c r="D43">
        <v>1.4468963611630199</v>
      </c>
      <c r="E43">
        <v>149020540.861283</v>
      </c>
      <c r="F43">
        <f t="shared" si="1"/>
        <v>2891.1577697867497</v>
      </c>
      <c r="G43">
        <f t="shared" si="2"/>
        <v>2.8064479978086831E-5</v>
      </c>
      <c r="H43">
        <f t="shared" si="3"/>
        <v>2.2117069936392476E-3</v>
      </c>
      <c r="I43">
        <f t="shared" si="4"/>
        <v>228959.4355513381</v>
      </c>
    </row>
    <row r="44" spans="1:9" x14ac:dyDescent="0.3">
      <c r="A44" t="s">
        <v>3835</v>
      </c>
      <c r="B44">
        <v>103004604.999814</v>
      </c>
      <c r="C44">
        <v>0.99989135140778895</v>
      </c>
      <c r="D44">
        <v>1.4537107504937701</v>
      </c>
      <c r="E44">
        <v>149722847.36475801</v>
      </c>
      <c r="F44">
        <f t="shared" si="1"/>
        <v>526.24444412063929</v>
      </c>
      <c r="G44">
        <f t="shared" si="2"/>
        <v>5.1084227738094776E-6</v>
      </c>
      <c r="H44">
        <f t="shared" si="3"/>
        <v>4.8185009054187121E-3</v>
      </c>
      <c r="I44">
        <f t="shared" si="4"/>
        <v>496605.69107859349</v>
      </c>
    </row>
    <row r="45" spans="1:9" x14ac:dyDescent="0.3">
      <c r="A45" t="s">
        <v>3925</v>
      </c>
      <c r="B45">
        <v>103003977.822896</v>
      </c>
      <c r="C45">
        <v>0.99989743960738198</v>
      </c>
      <c r="D45">
        <v>1.44554610472552</v>
      </c>
      <c r="E45">
        <v>148880461.99025899</v>
      </c>
      <c r="F45">
        <f t="shared" si="1"/>
        <v>443.48105172146711</v>
      </c>
      <c r="G45">
        <f t="shared" si="2"/>
        <v>4.3050072174444345E-6</v>
      </c>
      <c r="H45">
        <f t="shared" si="3"/>
        <v>5.7732763887156551E-3</v>
      </c>
      <c r="I45">
        <f t="shared" si="4"/>
        <v>595656.4106806285</v>
      </c>
    </row>
    <row r="46" spans="1:9" x14ac:dyDescent="0.3">
      <c r="A46" t="s">
        <v>4015</v>
      </c>
      <c r="B46">
        <v>103007679.133176</v>
      </c>
      <c r="C46">
        <v>0.99986151092029296</v>
      </c>
      <c r="D46">
        <v>1.4434378611551399</v>
      </c>
      <c r="E46">
        <v>148664786.485502</v>
      </c>
      <c r="F46">
        <f t="shared" si="1"/>
        <v>2617.2215982600869</v>
      </c>
      <c r="G46">
        <f t="shared" si="2"/>
        <v>2.5405418279772206E-5</v>
      </c>
      <c r="H46">
        <f t="shared" si="3"/>
        <v>1.4907533250086973E-3</v>
      </c>
      <c r="I46">
        <f t="shared" si="4"/>
        <v>152505.61194949705</v>
      </c>
    </row>
    <row r="47" spans="1:9" x14ac:dyDescent="0.3">
      <c r="A47" t="s">
        <v>4105</v>
      </c>
      <c r="B47">
        <v>103007112.56484</v>
      </c>
      <c r="C47">
        <v>0.99986701044219595</v>
      </c>
      <c r="D47">
        <v>1.4367483579656499</v>
      </c>
      <c r="E47">
        <v>147975332.72278199</v>
      </c>
      <c r="F47">
        <f t="shared" si="1"/>
        <v>400.62431238769801</v>
      </c>
      <c r="G47">
        <f t="shared" si="2"/>
        <v>3.8887492308847765E-6</v>
      </c>
      <c r="H47">
        <f t="shared" si="3"/>
        <v>4.7301930680574318E-3</v>
      </c>
      <c r="I47">
        <f t="shared" si="4"/>
        <v>487517.43093390606</v>
      </c>
    </row>
    <row r="48" spans="1:9" x14ac:dyDescent="0.3">
      <c r="A48" t="s">
        <v>4195</v>
      </c>
      <c r="B48">
        <v>103007946.282621</v>
      </c>
      <c r="C48">
        <v>0.99985891779560798</v>
      </c>
      <c r="D48">
        <v>1.42767280508924</v>
      </c>
      <c r="E48">
        <v>147039399.329321</v>
      </c>
      <c r="F48">
        <f t="shared" si="1"/>
        <v>589.52749653551894</v>
      </c>
      <c r="G48">
        <f t="shared" si="2"/>
        <v>5.7223652800961822E-6</v>
      </c>
      <c r="H48">
        <f t="shared" si="3"/>
        <v>6.4173849819265391E-3</v>
      </c>
      <c r="I48">
        <f t="shared" si="4"/>
        <v>661804.84925520245</v>
      </c>
    </row>
    <row r="49" spans="1:9" x14ac:dyDescent="0.3">
      <c r="A49" t="s">
        <v>4285</v>
      </c>
      <c r="B49">
        <v>103012322.467868</v>
      </c>
      <c r="C49">
        <v>0.99981644163605199</v>
      </c>
      <c r="D49">
        <v>1.42101635317969</v>
      </c>
      <c r="E49">
        <v>146354360.943654</v>
      </c>
      <c r="F49">
        <f t="shared" si="1"/>
        <v>3094.4302638850777</v>
      </c>
      <c r="G49">
        <f t="shared" si="2"/>
        <v>3.0035180460804455E-5</v>
      </c>
      <c r="H49">
        <f t="shared" si="3"/>
        <v>4.7068222838849471E-3</v>
      </c>
      <c r="I49">
        <f t="shared" si="4"/>
        <v>484395.28787821846</v>
      </c>
    </row>
    <row r="50" spans="1:9" x14ac:dyDescent="0.3">
      <c r="A50" t="s">
        <v>4375</v>
      </c>
      <c r="B50">
        <v>103015142.505164</v>
      </c>
      <c r="C50">
        <v>0.999789071682604</v>
      </c>
      <c r="D50">
        <v>1.4341951274825</v>
      </c>
      <c r="E50">
        <v>147711775.21531701</v>
      </c>
      <c r="F50">
        <f t="shared" si="1"/>
        <v>1994.0674951985548</v>
      </c>
      <c r="G50">
        <f t="shared" si="2"/>
        <v>1.9353479683831409E-5</v>
      </c>
      <c r="H50">
        <f t="shared" si="3"/>
        <v>9.3188006772439696E-3</v>
      </c>
      <c r="I50">
        <f t="shared" si="4"/>
        <v>959836.83637231286</v>
      </c>
    </row>
    <row r="51" spans="1:9" x14ac:dyDescent="0.3">
      <c r="A51" t="s">
        <v>4465</v>
      </c>
      <c r="B51">
        <v>103017715.07577001</v>
      </c>
      <c r="C51">
        <v>0.99976410483126499</v>
      </c>
      <c r="D51">
        <v>1.4268856062651101</v>
      </c>
      <c r="E51">
        <v>146960290.56720701</v>
      </c>
      <c r="F51">
        <f t="shared" si="1"/>
        <v>1819.0821205895643</v>
      </c>
      <c r="G51">
        <f t="shared" si="2"/>
        <v>1.7654229886693544E-5</v>
      </c>
      <c r="H51">
        <f t="shared" si="3"/>
        <v>5.168612020043364E-3</v>
      </c>
      <c r="I51">
        <f t="shared" si="4"/>
        <v>531379.890636169</v>
      </c>
    </row>
    <row r="52" spans="1:9" x14ac:dyDescent="0.3">
      <c r="A52" t="s">
        <v>4554</v>
      </c>
      <c r="B52">
        <v>103016336.14466999</v>
      </c>
      <c r="C52">
        <v>0.99977748723126203</v>
      </c>
      <c r="D52">
        <v>1.4366570356569801</v>
      </c>
      <c r="E52">
        <v>147966068.540672</v>
      </c>
      <c r="F52">
        <f t="shared" si="1"/>
        <v>975.05153160671284</v>
      </c>
      <c r="G52">
        <f t="shared" si="2"/>
        <v>9.4627857864590302E-6</v>
      </c>
      <c r="H52">
        <f t="shared" si="3"/>
        <v>6.9094439848768436E-3</v>
      </c>
      <c r="I52">
        <f t="shared" si="4"/>
        <v>711192.4254051618</v>
      </c>
    </row>
    <row r="53" spans="1:9" x14ac:dyDescent="0.3">
      <c r="A53" t="s">
        <v>4644</v>
      </c>
      <c r="B53">
        <v>103016757.969954</v>
      </c>
      <c r="C53">
        <v>0.99977339341749105</v>
      </c>
      <c r="D53">
        <v>1.4325183181313199</v>
      </c>
      <c r="E53">
        <v>147539971.22869399</v>
      </c>
      <c r="F53">
        <f t="shared" si="1"/>
        <v>298.27551879531921</v>
      </c>
      <c r="G53">
        <f t="shared" si="2"/>
        <v>2.8947634783733015E-6</v>
      </c>
      <c r="H53">
        <f t="shared" si="3"/>
        <v>2.9265152278099334E-3</v>
      </c>
      <c r="I53">
        <f t="shared" si="4"/>
        <v>301296.29874501243</v>
      </c>
    </row>
    <row r="54" spans="1:9" x14ac:dyDescent="0.3">
      <c r="A54" t="s">
        <v>4734</v>
      </c>
      <c r="B54">
        <v>103016701.01338699</v>
      </c>
      <c r="C54">
        <v>0.999773946178936</v>
      </c>
      <c r="D54">
        <v>1.4362391855486401</v>
      </c>
      <c r="E54">
        <v>147923116.21860999</v>
      </c>
      <c r="F54">
        <f t="shared" si="1"/>
        <v>40.274374761862759</v>
      </c>
      <c r="G54">
        <f t="shared" si="2"/>
        <v>3.9086136610236877E-7</v>
      </c>
      <c r="H54">
        <f t="shared" si="3"/>
        <v>2.6310505826831459E-3</v>
      </c>
      <c r="I54">
        <f t="shared" si="4"/>
        <v>270924.4205472527</v>
      </c>
    </row>
    <row r="55" spans="1:9" x14ac:dyDescent="0.3">
      <c r="A55" t="s">
        <v>4824</v>
      </c>
      <c r="B55">
        <v>103016877.955676</v>
      </c>
      <c r="C55">
        <v>0.99977222896236095</v>
      </c>
      <c r="D55">
        <v>1.4309502708503401</v>
      </c>
      <c r="E55">
        <v>147377610.097121</v>
      </c>
      <c r="F55">
        <f t="shared" si="1"/>
        <v>125.11709243742192</v>
      </c>
      <c r="G55">
        <f t="shared" si="2"/>
        <v>1.2142554849822826E-6</v>
      </c>
      <c r="H55">
        <f t="shared" si="3"/>
        <v>3.7398274482850985E-3</v>
      </c>
      <c r="I55">
        <f t="shared" si="4"/>
        <v>385731.07768363634</v>
      </c>
    </row>
    <row r="56" spans="1:9" x14ac:dyDescent="0.3">
      <c r="A56" t="s">
        <v>4914</v>
      </c>
      <c r="B56">
        <v>103019346.598869</v>
      </c>
      <c r="C56">
        <v>0.99974827151175405</v>
      </c>
      <c r="D56">
        <v>1.42104731146934</v>
      </c>
      <c r="E56">
        <v>146358186.94463599</v>
      </c>
      <c r="F56">
        <f t="shared" si="1"/>
        <v>1745.5943420943813</v>
      </c>
      <c r="G56">
        <f t="shared" si="2"/>
        <v>1.69404757840836E-5</v>
      </c>
      <c r="H56">
        <f t="shared" si="3"/>
        <v>7.0024497321200738E-3</v>
      </c>
      <c r="I56">
        <f t="shared" si="4"/>
        <v>720841.02402072051</v>
      </c>
    </row>
    <row r="57" spans="1:9" x14ac:dyDescent="0.3">
      <c r="A57" t="s">
        <v>5003</v>
      </c>
      <c r="B57">
        <v>103020302.46899299</v>
      </c>
      <c r="C57">
        <v>0.99973899538382804</v>
      </c>
      <c r="D57">
        <v>1.4050903485817401</v>
      </c>
      <c r="E57">
        <v>144714338.23711199</v>
      </c>
      <c r="F57">
        <f t="shared" si="1"/>
        <v>675.90224661213858</v>
      </c>
      <c r="G57">
        <f t="shared" si="2"/>
        <v>6.5592129596324853E-6</v>
      </c>
      <c r="H57">
        <f t="shared" si="3"/>
        <v>1.1283276664964002E-2</v>
      </c>
      <c r="I57">
        <f t="shared" si="4"/>
        <v>1162376.5683349632</v>
      </c>
    </row>
    <row r="58" spans="1:9" x14ac:dyDescent="0.3">
      <c r="A58" t="s">
        <v>5093</v>
      </c>
      <c r="B58">
        <v>103022395.59044001</v>
      </c>
      <c r="C58">
        <v>0.99971868353687698</v>
      </c>
      <c r="D58">
        <v>1.41268008386643</v>
      </c>
      <c r="E58">
        <v>145496401.106278</v>
      </c>
      <c r="F58">
        <f t="shared" si="1"/>
        <v>1480.0603690290627</v>
      </c>
      <c r="G58">
        <f t="shared" si="2"/>
        <v>1.436264471751777E-5</v>
      </c>
      <c r="H58">
        <f t="shared" si="3"/>
        <v>5.3667532872150184E-3</v>
      </c>
      <c r="I58">
        <f t="shared" si="4"/>
        <v>553001.95810149808</v>
      </c>
    </row>
    <row r="59" spans="1:9" x14ac:dyDescent="0.3">
      <c r="A59" t="s">
        <v>5183</v>
      </c>
      <c r="B59">
        <v>103023400.634826</v>
      </c>
      <c r="C59">
        <v>0.99970893078512701</v>
      </c>
      <c r="D59">
        <v>1.41536181684324</v>
      </c>
      <c r="E59">
        <v>145772219.67759699</v>
      </c>
      <c r="F59">
        <f t="shared" si="1"/>
        <v>710.67370073367488</v>
      </c>
      <c r="G59">
        <f t="shared" si="2"/>
        <v>6.8962368976324656E-6</v>
      </c>
      <c r="H59">
        <f t="shared" si="3"/>
        <v>1.8962715732339865E-3</v>
      </c>
      <c r="I59">
        <f t="shared" si="4"/>
        <v>195033.182156839</v>
      </c>
    </row>
    <row r="60" spans="1:9" x14ac:dyDescent="0.3">
      <c r="A60" t="s">
        <v>5272</v>
      </c>
      <c r="B60">
        <v>103025527.72712301</v>
      </c>
      <c r="C60">
        <v>0.999688290530102</v>
      </c>
      <c r="D60">
        <v>1.4134503597705299</v>
      </c>
      <c r="E60">
        <v>145576886.39888299</v>
      </c>
      <c r="F60">
        <f t="shared" si="1"/>
        <v>1504.0813874202599</v>
      </c>
      <c r="G60">
        <f t="shared" si="2"/>
        <v>1.4594864293609459E-5</v>
      </c>
      <c r="H60">
        <f t="shared" si="3"/>
        <v>1.3516042580603142E-3</v>
      </c>
      <c r="I60">
        <f t="shared" si="4"/>
        <v>138121.48597007213</v>
      </c>
    </row>
    <row r="61" spans="1:9" x14ac:dyDescent="0.3">
      <c r="A61" t="s">
        <v>5361</v>
      </c>
      <c r="B61">
        <v>103023152.201258</v>
      </c>
      <c r="C61">
        <v>0.99971134151758301</v>
      </c>
      <c r="D61">
        <v>1.41226841408354</v>
      </c>
      <c r="E61">
        <v>145453894.14456201</v>
      </c>
      <c r="F61">
        <f t="shared" si="1"/>
        <v>1679.7504480279904</v>
      </c>
      <c r="G61">
        <f t="shared" si="2"/>
        <v>1.6299509560868602E-5</v>
      </c>
      <c r="H61">
        <f t="shared" si="3"/>
        <v>8.3576181026476985E-4</v>
      </c>
      <c r="I61">
        <f t="shared" si="4"/>
        <v>86968.657063784791</v>
      </c>
    </row>
    <row r="62" spans="1:9" x14ac:dyDescent="0.3">
      <c r="A62" t="s">
        <v>5450</v>
      </c>
      <c r="B62">
        <v>103024473.919966</v>
      </c>
      <c r="C62">
        <v>0.99969851604871995</v>
      </c>
      <c r="D62">
        <v>1.4053806713653201</v>
      </c>
      <c r="E62">
        <v>144744920.37662199</v>
      </c>
      <c r="F62">
        <f t="shared" si="1"/>
        <v>934.5962612434156</v>
      </c>
      <c r="G62">
        <f t="shared" si="2"/>
        <v>9.0689760049621054E-6</v>
      </c>
      <c r="H62">
        <f t="shared" si="3"/>
        <v>4.8703695831215565E-3</v>
      </c>
      <c r="I62">
        <f t="shared" si="4"/>
        <v>501320.15899376199</v>
      </c>
    </row>
    <row r="63" spans="1:9" x14ac:dyDescent="0.3">
      <c r="A63" t="s">
        <v>5540</v>
      </c>
      <c r="B63">
        <v>103024569.29938599</v>
      </c>
      <c r="C63">
        <v>0.99969759053487195</v>
      </c>
      <c r="D63">
        <v>1.3910712481933201</v>
      </c>
      <c r="E63">
        <v>143272030.672414</v>
      </c>
      <c r="F63">
        <f t="shared" si="1"/>
        <v>67.443434665755007</v>
      </c>
      <c r="G63">
        <f t="shared" si="2"/>
        <v>6.5443711800614745E-7</v>
      </c>
      <c r="H63">
        <f t="shared" si="3"/>
        <v>1.0118290159789127E-2</v>
      </c>
      <c r="I63">
        <f t="shared" si="4"/>
        <v>1041490.2977853154</v>
      </c>
    </row>
    <row r="64" spans="1:9" x14ac:dyDescent="0.3">
      <c r="A64" t="s">
        <v>5630</v>
      </c>
      <c r="B64">
        <v>103022057.086404</v>
      </c>
      <c r="C64">
        <v>0.99972196835586302</v>
      </c>
      <c r="D64">
        <v>1.3699823190719</v>
      </c>
      <c r="E64">
        <v>141099015.59435901</v>
      </c>
      <c r="F64">
        <f t="shared" si="1"/>
        <v>1776.4028353563147</v>
      </c>
      <c r="G64">
        <f t="shared" si="2"/>
        <v>1.7237722533339323E-5</v>
      </c>
      <c r="H64">
        <f t="shared" si="3"/>
        <v>1.4912124789718555E-2</v>
      </c>
      <c r="I64">
        <f t="shared" si="4"/>
        <v>1536553.6973133015</v>
      </c>
    </row>
    <row r="65" spans="1:9" x14ac:dyDescent="0.3">
      <c r="A65" t="s">
        <v>5720</v>
      </c>
      <c r="B65">
        <v>103022467.827363</v>
      </c>
      <c r="C65">
        <v>0.99971798255772304</v>
      </c>
      <c r="D65">
        <v>1.35947554780524</v>
      </c>
      <c r="E65">
        <v>140017045.74626201</v>
      </c>
      <c r="F65">
        <f t="shared" si="1"/>
        <v>290.43771742248845</v>
      </c>
      <c r="G65">
        <f t="shared" si="2"/>
        <v>2.8183848932224788E-6</v>
      </c>
      <c r="H65">
        <f t="shared" si="3"/>
        <v>7.4294092110312555E-3</v>
      </c>
      <c r="I65">
        <f t="shared" si="4"/>
        <v>765068.21662876499</v>
      </c>
    </row>
    <row r="66" spans="1:9" x14ac:dyDescent="0.3">
      <c r="A66" t="s">
        <v>5810</v>
      </c>
      <c r="B66">
        <v>103022414.404102</v>
      </c>
      <c r="C66">
        <v>0.99971850097107295</v>
      </c>
      <c r="D66">
        <v>1.3646629780412101</v>
      </c>
      <c r="E66">
        <v>140552055.711481</v>
      </c>
      <c r="F66">
        <f t="shared" si="1"/>
        <v>37.775950127405231</v>
      </c>
      <c r="G66">
        <f t="shared" si="2"/>
        <v>3.6657359518236074E-7</v>
      </c>
      <c r="H66">
        <f t="shared" si="3"/>
        <v>3.6680670967865294E-3</v>
      </c>
      <c r="I66">
        <f t="shared" si="4"/>
        <v>378309.1744087275</v>
      </c>
    </row>
    <row r="67" spans="1:9" x14ac:dyDescent="0.3">
      <c r="A67" t="s">
        <v>5900</v>
      </c>
      <c r="B67">
        <v>103020198.229111</v>
      </c>
      <c r="C67">
        <v>0.999740006959004</v>
      </c>
      <c r="D67">
        <v>1.3628024993099801</v>
      </c>
      <c r="E67">
        <v>140359680.493604</v>
      </c>
      <c r="F67">
        <f t="shared" si="1"/>
        <v>1567.0723644298155</v>
      </c>
      <c r="G67">
        <f t="shared" si="2"/>
        <v>1.5207029902159752E-5</v>
      </c>
      <c r="H67">
        <f t="shared" si="3"/>
        <v>1.3155571271060518E-3</v>
      </c>
      <c r="I67">
        <f t="shared" si="4"/>
        <v>136029.82109306665</v>
      </c>
    </row>
    <row r="68" spans="1:9" x14ac:dyDescent="0.3">
      <c r="A68" t="s">
        <v>5990</v>
      </c>
      <c r="B68">
        <v>103020201.44572701</v>
      </c>
      <c r="C68">
        <v>0.999739975743966</v>
      </c>
      <c r="D68">
        <v>1.3652435724332801</v>
      </c>
      <c r="E68">
        <v>140611991.78013399</v>
      </c>
      <c r="F68">
        <f t="shared" ref="F68:F131" si="5">STDEV(B67:B68)</f>
        <v>2.2744909894003884</v>
      </c>
      <c r="G68">
        <f t="shared" ref="G68:G131" si="6">STDEV(C67:C68)</f>
        <v>2.2072365043986244E-8</v>
      </c>
      <c r="H68">
        <f t="shared" ref="H68:H131" si="7">STDEV(D67:D68)</f>
        <v>1.7260993588576533E-3</v>
      </c>
      <c r="I68">
        <f t="shared" ref="I68:I131" si="8">STDEV(E67:E68)</f>
        <v>178411.02167525655</v>
      </c>
    </row>
    <row r="69" spans="1:9" x14ac:dyDescent="0.3">
      <c r="A69" t="s">
        <v>6080</v>
      </c>
      <c r="B69">
        <v>103017584.56896099</v>
      </c>
      <c r="C69">
        <v>0.99976537137254196</v>
      </c>
      <c r="D69">
        <v>1.3835775460367801</v>
      </c>
      <c r="E69">
        <v>142499953.55435899</v>
      </c>
      <c r="F69">
        <f t="shared" si="5"/>
        <v>1850.4113067759845</v>
      </c>
      <c r="G69">
        <f t="shared" si="6"/>
        <v>1.7957421178551004E-5</v>
      </c>
      <c r="H69">
        <f t="shared" si="7"/>
        <v>1.2964077061129996E-2</v>
      </c>
      <c r="I69">
        <f t="shared" si="8"/>
        <v>1334990.5731754806</v>
      </c>
    </row>
    <row r="70" spans="1:9" x14ac:dyDescent="0.3">
      <c r="A70" t="s">
        <v>6170</v>
      </c>
      <c r="B70">
        <v>103015891.084189</v>
      </c>
      <c r="C70">
        <v>0.99978180657894</v>
      </c>
      <c r="D70">
        <v>1.39599472504915</v>
      </c>
      <c r="E70">
        <v>143778166.43173999</v>
      </c>
      <c r="F70">
        <f t="shared" si="5"/>
        <v>1197.4745661150466</v>
      </c>
      <c r="G70">
        <f t="shared" si="6"/>
        <v>1.1621445894259305E-5</v>
      </c>
      <c r="H70">
        <f t="shared" si="7"/>
        <v>8.7802714828540615E-3</v>
      </c>
      <c r="I70">
        <f t="shared" si="8"/>
        <v>903832.99339607183</v>
      </c>
    </row>
    <row r="71" spans="1:9" x14ac:dyDescent="0.3">
      <c r="A71" t="s">
        <v>6260</v>
      </c>
      <c r="B71">
        <v>103016170.73857901</v>
      </c>
      <c r="C71">
        <v>0.99977909250629104</v>
      </c>
      <c r="D71">
        <v>1.38768283984289</v>
      </c>
      <c r="E71">
        <v>142922432.272432</v>
      </c>
      <c r="F71">
        <f t="shared" si="5"/>
        <v>197.74551556271922</v>
      </c>
      <c r="G71">
        <f t="shared" si="6"/>
        <v>1.9191391747105564E-6</v>
      </c>
      <c r="H71">
        <f t="shared" si="7"/>
        <v>5.8773903937906109E-3</v>
      </c>
      <c r="I71">
        <f t="shared" si="8"/>
        <v>605095.4269396466</v>
      </c>
    </row>
    <row r="72" spans="1:9" x14ac:dyDescent="0.3">
      <c r="A72" t="s">
        <v>6350</v>
      </c>
      <c r="B72">
        <v>103015471.83393601</v>
      </c>
      <c r="C72">
        <v>0.99978587547041897</v>
      </c>
      <c r="D72">
        <v>1.37886912061147</v>
      </c>
      <c r="E72">
        <v>142013092.721659</v>
      </c>
      <c r="F72">
        <f t="shared" si="5"/>
        <v>494.2002124674778</v>
      </c>
      <c r="G72">
        <f t="shared" si="6"/>
        <v>4.7962799314023604E-6</v>
      </c>
      <c r="H72">
        <f t="shared" si="7"/>
        <v>6.2322406360113235E-3</v>
      </c>
      <c r="I72">
        <f t="shared" si="8"/>
        <v>643000.16275271343</v>
      </c>
    </row>
    <row r="73" spans="1:9" x14ac:dyDescent="0.3">
      <c r="A73" t="s">
        <v>6440</v>
      </c>
      <c r="B73">
        <v>103019391.301057</v>
      </c>
      <c r="C73">
        <v>0.99974783770085096</v>
      </c>
      <c r="D73">
        <v>1.3584580689911001</v>
      </c>
      <c r="E73">
        <v>139911984.17962399</v>
      </c>
      <c r="F73">
        <f t="shared" si="5"/>
        <v>2771.4817798898544</v>
      </c>
      <c r="G73">
        <f t="shared" si="6"/>
        <v>2.6896764802752007E-5</v>
      </c>
      <c r="H73">
        <f t="shared" si="7"/>
        <v>1.443279301191225E-2</v>
      </c>
      <c r="I73">
        <f t="shared" si="8"/>
        <v>1485708.0980819382</v>
      </c>
    </row>
    <row r="74" spans="1:9" x14ac:dyDescent="0.3">
      <c r="A74" t="s">
        <v>6530</v>
      </c>
      <c r="B74">
        <v>103020118.546022</v>
      </c>
      <c r="C74">
        <v>0.99974078022905399</v>
      </c>
      <c r="D74">
        <v>1.35661062482645</v>
      </c>
      <c r="E74">
        <v>139722063.158369</v>
      </c>
      <c r="F74">
        <f t="shared" si="5"/>
        <v>514.23984633664566</v>
      </c>
      <c r="G74">
        <f t="shared" si="6"/>
        <v>4.9903861656684312E-6</v>
      </c>
      <c r="H74">
        <f t="shared" si="7"/>
        <v>1.3063402966876042E-3</v>
      </c>
      <c r="I74">
        <f t="shared" si="8"/>
        <v>134294.44201927542</v>
      </c>
    </row>
    <row r="75" spans="1:9" x14ac:dyDescent="0.3">
      <c r="A75" t="s">
        <v>6620</v>
      </c>
      <c r="B75">
        <v>103019816.139659</v>
      </c>
      <c r="C75">
        <v>0.99974371488749902</v>
      </c>
      <c r="D75">
        <v>1.35121199407618</v>
      </c>
      <c r="E75">
        <v>139166985.193838</v>
      </c>
      <c r="F75">
        <f t="shared" si="5"/>
        <v>213.83358994808245</v>
      </c>
      <c r="G75">
        <f t="shared" si="6"/>
        <v>2.0751168869475867E-6</v>
      </c>
      <c r="H75">
        <f t="shared" si="7"/>
        <v>3.8174084126381558E-3</v>
      </c>
      <c r="I75">
        <f t="shared" si="8"/>
        <v>392499.39280709915</v>
      </c>
    </row>
    <row r="76" spans="1:9" x14ac:dyDescent="0.3">
      <c r="A76" t="s">
        <v>6710</v>
      </c>
      <c r="B76">
        <v>103016757.30633</v>
      </c>
      <c r="C76">
        <v>0.99977339985793601</v>
      </c>
      <c r="D76">
        <v>1.3386343022853999</v>
      </c>
      <c r="E76">
        <v>137868898.17497301</v>
      </c>
      <c r="F76">
        <f t="shared" si="5"/>
        <v>2162.9217894602925</v>
      </c>
      <c r="G76">
        <f t="shared" si="6"/>
        <v>2.099044389531274E-5</v>
      </c>
      <c r="H76">
        <f t="shared" si="7"/>
        <v>8.8937711569349476E-3</v>
      </c>
      <c r="I76">
        <f t="shared" si="8"/>
        <v>917886.1336096637</v>
      </c>
    </row>
    <row r="77" spans="1:9" x14ac:dyDescent="0.3">
      <c r="A77" t="s">
        <v>6800</v>
      </c>
      <c r="B77">
        <v>103021466.338062</v>
      </c>
      <c r="C77">
        <v>0.99972770098728103</v>
      </c>
      <c r="D77">
        <v>1.34351924254447</v>
      </c>
      <c r="E77">
        <v>138373367.52699599</v>
      </c>
      <c r="F77">
        <f t="shared" si="5"/>
        <v>3329.7882705253915</v>
      </c>
      <c r="G77">
        <f t="shared" si="6"/>
        <v>3.2313981332700072E-5</v>
      </c>
      <c r="H77">
        <f t="shared" si="7"/>
        <v>3.4541743828796008E-3</v>
      </c>
      <c r="I77">
        <f t="shared" si="8"/>
        <v>356713.69971622969</v>
      </c>
    </row>
    <row r="78" spans="1:9" x14ac:dyDescent="0.3">
      <c r="A78" t="s">
        <v>6890</v>
      </c>
      <c r="B78">
        <v>103022241.32248101</v>
      </c>
      <c r="C78">
        <v>0.999720180539454</v>
      </c>
      <c r="D78">
        <v>1.34804917418176</v>
      </c>
      <c r="E78">
        <v>138841843.04752499</v>
      </c>
      <c r="F78">
        <f t="shared" si="5"/>
        <v>547.99673799102925</v>
      </c>
      <c r="G78">
        <f t="shared" si="6"/>
        <v>5.3177596560570133E-6</v>
      </c>
      <c r="H78">
        <f t="shared" si="7"/>
        <v>3.2031453790392289E-3</v>
      </c>
      <c r="I78">
        <f t="shared" si="8"/>
        <v>331262.21738595492</v>
      </c>
    </row>
    <row r="79" spans="1:9" x14ac:dyDescent="0.3">
      <c r="A79" t="s">
        <v>6980</v>
      </c>
      <c r="B79">
        <v>103017403.631965</v>
      </c>
      <c r="C79">
        <v>0.99976712733353801</v>
      </c>
      <c r="D79">
        <v>1.3317531048320901</v>
      </c>
      <c r="E79">
        <v>137162808.77426001</v>
      </c>
      <c r="F79">
        <f t="shared" si="5"/>
        <v>3420.7637691524678</v>
      </c>
      <c r="G79">
        <f t="shared" si="6"/>
        <v>3.319639645177403E-5</v>
      </c>
      <c r="H79">
        <f t="shared" si="7"/>
        <v>1.152306114383782E-2</v>
      </c>
      <c r="I79">
        <f t="shared" si="8"/>
        <v>1187256.52047029</v>
      </c>
    </row>
    <row r="80" spans="1:9" x14ac:dyDescent="0.3">
      <c r="A80" t="s">
        <v>7070</v>
      </c>
      <c r="B80">
        <v>103014458.7975</v>
      </c>
      <c r="C80">
        <v>0.99979570728948497</v>
      </c>
      <c r="D80">
        <v>1.32703462850371</v>
      </c>
      <c r="E80">
        <v>136675934.37074301</v>
      </c>
      <c r="F80">
        <f t="shared" si="5"/>
        <v>2082.3124196712747</v>
      </c>
      <c r="G80">
        <f t="shared" si="6"/>
        <v>2.0209080656109117E-5</v>
      </c>
      <c r="H80">
        <f t="shared" si="7"/>
        <v>3.3364666086657521E-3</v>
      </c>
      <c r="I80">
        <f t="shared" si="8"/>
        <v>344272.1923130317</v>
      </c>
    </row>
    <row r="81" spans="1:9" x14ac:dyDescent="0.3">
      <c r="A81" t="s">
        <v>7160</v>
      </c>
      <c r="B81">
        <v>103014144.13902199</v>
      </c>
      <c r="C81">
        <v>0.99979876118269095</v>
      </c>
      <c r="D81">
        <v>1.3285437059810501</v>
      </c>
      <c r="E81">
        <v>136831532.705872</v>
      </c>
      <c r="F81">
        <f t="shared" si="5"/>
        <v>222.4971435563902</v>
      </c>
      <c r="G81">
        <f t="shared" si="6"/>
        <v>2.159428594970996E-6</v>
      </c>
      <c r="H81">
        <f t="shared" si="7"/>
        <v>1.0670789175630604E-3</v>
      </c>
      <c r="I81">
        <f t="shared" si="8"/>
        <v>110024.6379110478</v>
      </c>
    </row>
    <row r="82" spans="1:9" x14ac:dyDescent="0.3">
      <c r="A82" t="s">
        <v>7250</v>
      </c>
      <c r="B82">
        <v>103013325.555943</v>
      </c>
      <c r="C82">
        <v>0.99980670596404497</v>
      </c>
      <c r="D82">
        <v>1.32088290960125</v>
      </c>
      <c r="E82">
        <v>136042871.65582001</v>
      </c>
      <c r="F82">
        <f t="shared" si="5"/>
        <v>578.82564612217323</v>
      </c>
      <c r="G82">
        <f t="shared" si="6"/>
        <v>5.6178087704712714E-6</v>
      </c>
      <c r="H82">
        <f t="shared" si="7"/>
        <v>5.4170010694460083E-3</v>
      </c>
      <c r="I82">
        <f t="shared" si="8"/>
        <v>557667.57654946332</v>
      </c>
    </row>
    <row r="83" spans="1:9" x14ac:dyDescent="0.3">
      <c r="A83" t="s">
        <v>7340</v>
      </c>
      <c r="B83">
        <v>103011492.82888</v>
      </c>
      <c r="C83">
        <v>0.99982449400650297</v>
      </c>
      <c r="D83">
        <v>1.3202375617384501</v>
      </c>
      <c r="E83">
        <v>135975565.18802601</v>
      </c>
      <c r="F83">
        <f t="shared" si="5"/>
        <v>1295.9337343115478</v>
      </c>
      <c r="G83">
        <f t="shared" si="6"/>
        <v>1.2578045446086123E-5</v>
      </c>
      <c r="H83">
        <f t="shared" si="7"/>
        <v>4.5632985001005881E-4</v>
      </c>
      <c r="I83">
        <f t="shared" si="8"/>
        <v>47592.859794852142</v>
      </c>
    </row>
    <row r="84" spans="1:9" x14ac:dyDescent="0.3">
      <c r="A84" t="s">
        <v>7430</v>
      </c>
      <c r="B84">
        <v>103012097.294534</v>
      </c>
      <c r="C84">
        <v>0.99981862712696201</v>
      </c>
      <c r="D84">
        <v>1.33081167431896</v>
      </c>
      <c r="E84">
        <v>137064298.00141501</v>
      </c>
      <c r="F84">
        <f t="shared" si="5"/>
        <v>427.42176293821382</v>
      </c>
      <c r="G84">
        <f t="shared" si="6"/>
        <v>4.1485103078182139E-6</v>
      </c>
      <c r="H84">
        <f t="shared" si="7"/>
        <v>7.4770267107085236E-3</v>
      </c>
      <c r="I84">
        <f t="shared" si="8"/>
        <v>769850.3552476723</v>
      </c>
    </row>
    <row r="85" spans="1:9" x14ac:dyDescent="0.3">
      <c r="A85" t="s">
        <v>7520</v>
      </c>
      <c r="B85">
        <v>103013665.95218</v>
      </c>
      <c r="C85">
        <v>0.99980340222335395</v>
      </c>
      <c r="D85">
        <v>1.33094672950463</v>
      </c>
      <c r="E85">
        <v>137078516.83372501</v>
      </c>
      <c r="F85">
        <f t="shared" si="5"/>
        <v>1109.2084588469991</v>
      </c>
      <c r="G85">
        <f t="shared" si="6"/>
        <v>1.0765632584169074E-5</v>
      </c>
      <c r="H85">
        <f t="shared" si="7"/>
        <v>9.5498437621686406E-5</v>
      </c>
      <c r="I85">
        <f t="shared" si="8"/>
        <v>10054.232746949103</v>
      </c>
    </row>
    <row r="86" spans="1:9" x14ac:dyDescent="0.3">
      <c r="A86" t="s">
        <v>7610</v>
      </c>
      <c r="B86">
        <v>103014334.83767501</v>
      </c>
      <c r="C86">
        <v>0.99979691036962604</v>
      </c>
      <c r="D86">
        <v>1.3245658541024401</v>
      </c>
      <c r="E86">
        <v>136421329.38592201</v>
      </c>
      <c r="F86">
        <f t="shared" si="5"/>
        <v>472.97346935679724</v>
      </c>
      <c r="G86">
        <f t="shared" si="6"/>
        <v>4.5904337934827285E-6</v>
      </c>
      <c r="H86">
        <f t="shared" si="7"/>
        <v>4.5119602667949175E-3</v>
      </c>
      <c r="I86">
        <f t="shared" si="8"/>
        <v>464701.70085217495</v>
      </c>
    </row>
    <row r="87" spans="1:9" x14ac:dyDescent="0.3">
      <c r="A87" t="s">
        <v>7699</v>
      </c>
      <c r="B87">
        <v>103015002.20773</v>
      </c>
      <c r="C87">
        <v>0.999790433307991</v>
      </c>
      <c r="D87">
        <v>1.3081364420792101</v>
      </c>
      <c r="E87">
        <v>134729281.508331</v>
      </c>
      <c r="F87">
        <f t="shared" si="5"/>
        <v>471.9018914443057</v>
      </c>
      <c r="G87">
        <f t="shared" si="6"/>
        <v>4.5799742042965761E-6</v>
      </c>
      <c r="H87">
        <f t="shared" si="7"/>
        <v>1.1617348652533733E-2</v>
      </c>
      <c r="I87">
        <f t="shared" si="8"/>
        <v>1196458.5283369112</v>
      </c>
    </row>
    <row r="88" spans="1:9" x14ac:dyDescent="0.3">
      <c r="A88" t="s">
        <v>7789</v>
      </c>
      <c r="B88">
        <v>103015455.69853</v>
      </c>
      <c r="C88">
        <v>0.99978603206780503</v>
      </c>
      <c r="D88">
        <v>1.3213513513900399</v>
      </c>
      <c r="E88">
        <v>136091919.214605</v>
      </c>
      <c r="F88">
        <f t="shared" si="5"/>
        <v>320.66641989149497</v>
      </c>
      <c r="G88">
        <f t="shared" si="6"/>
        <v>3.112146781129729E-6</v>
      </c>
      <c r="H88">
        <f t="shared" si="7"/>
        <v>9.3443519864529982E-3</v>
      </c>
      <c r="I88">
        <f t="shared" si="8"/>
        <v>963530.3624068303</v>
      </c>
    </row>
    <row r="89" spans="1:9" x14ac:dyDescent="0.3">
      <c r="A89" t="s">
        <v>7878</v>
      </c>
      <c r="B89">
        <v>103011282.84566399</v>
      </c>
      <c r="C89">
        <v>0.99982653209745198</v>
      </c>
      <c r="D89">
        <v>1.3221638061601899</v>
      </c>
      <c r="E89">
        <v>136174237.700993</v>
      </c>
      <c r="F89">
        <f t="shared" si="5"/>
        <v>2950.6525584485971</v>
      </c>
      <c r="G89">
        <f t="shared" si="6"/>
        <v>2.8637845601614867E-5</v>
      </c>
      <c r="H89">
        <f t="shared" si="7"/>
        <v>5.7449227738043504E-4</v>
      </c>
      <c r="I89">
        <f t="shared" si="8"/>
        <v>58207.959941965797</v>
      </c>
    </row>
    <row r="90" spans="1:9" x14ac:dyDescent="0.3">
      <c r="A90" t="s">
        <v>7968</v>
      </c>
      <c r="B90">
        <v>103011067.89671899</v>
      </c>
      <c r="C90">
        <v>0.99982861839422299</v>
      </c>
      <c r="D90">
        <v>1.3163652710698499</v>
      </c>
      <c r="E90">
        <v>135575743.89346099</v>
      </c>
      <c r="F90">
        <f t="shared" si="5"/>
        <v>151.99185661893711</v>
      </c>
      <c r="G90">
        <f t="shared" si="6"/>
        <v>1.4752345943479986E-6</v>
      </c>
      <c r="H90">
        <f t="shared" si="7"/>
        <v>4.1001834833275692E-3</v>
      </c>
      <c r="I90">
        <f t="shared" si="8"/>
        <v>423199.02980404242</v>
      </c>
    </row>
    <row r="91" spans="1:9" x14ac:dyDescent="0.3">
      <c r="A91" t="s">
        <v>8058</v>
      </c>
      <c r="B91">
        <v>103014586.93167099</v>
      </c>
      <c r="C91">
        <v>0.99979446369867198</v>
      </c>
      <c r="D91">
        <v>1.34401195899985</v>
      </c>
      <c r="E91">
        <v>138424774.17143101</v>
      </c>
      <c r="F91">
        <f t="shared" si="5"/>
        <v>2488.3334777915238</v>
      </c>
      <c r="G91">
        <f t="shared" si="6"/>
        <v>2.41510168334841E-5</v>
      </c>
      <c r="H91">
        <f t="shared" si="7"/>
        <v>1.9549160512651372E-2</v>
      </c>
      <c r="I91">
        <f t="shared" si="8"/>
        <v>2014568.6293583927</v>
      </c>
    </row>
    <row r="92" spans="1:9" x14ac:dyDescent="0.3">
      <c r="A92" t="s">
        <v>8148</v>
      </c>
      <c r="B92">
        <v>103013435.549582</v>
      </c>
      <c r="C92">
        <v>0.999805638410314</v>
      </c>
      <c r="D92">
        <v>1.35030675443306</v>
      </c>
      <c r="E92">
        <v>139071999.89289299</v>
      </c>
      <c r="F92">
        <f t="shared" si="5"/>
        <v>814.15008286086845</v>
      </c>
      <c r="G92">
        <f t="shared" si="6"/>
        <v>7.9017143798806812E-6</v>
      </c>
      <c r="H92">
        <f t="shared" si="7"/>
        <v>4.4510925370048931E-3</v>
      </c>
      <c r="I92">
        <f t="shared" si="8"/>
        <v>457657.6966041227</v>
      </c>
    </row>
    <row r="93" spans="1:9" x14ac:dyDescent="0.3">
      <c r="A93" t="s">
        <v>8238</v>
      </c>
      <c r="B93">
        <v>103015475.517076</v>
      </c>
      <c r="C93">
        <v>0.99978583972480695</v>
      </c>
      <c r="D93">
        <v>1.3675188662848301</v>
      </c>
      <c r="E93">
        <v>140845376.82170099</v>
      </c>
      <c r="F93">
        <f t="shared" si="5"/>
        <v>1442.4748484047163</v>
      </c>
      <c r="G93">
        <f t="shared" si="6"/>
        <v>1.3999784780618639E-5</v>
      </c>
      <c r="H93">
        <f t="shared" si="7"/>
        <v>1.2170801008927963E-2</v>
      </c>
      <c r="I93">
        <f t="shared" si="8"/>
        <v>1253966.8519599126</v>
      </c>
    </row>
    <row r="94" spans="1:9" x14ac:dyDescent="0.3">
      <c r="A94" t="s">
        <v>8328</v>
      </c>
      <c r="B94">
        <v>103015649.30095001</v>
      </c>
      <c r="C94">
        <v>0.99978415312031799</v>
      </c>
      <c r="D94">
        <v>1.3552522756962999</v>
      </c>
      <c r="E94">
        <v>139580829.93787199</v>
      </c>
      <c r="F94">
        <f t="shared" si="5"/>
        <v>122.88375576986013</v>
      </c>
      <c r="G94">
        <f t="shared" si="6"/>
        <v>1.1926094713230266E-6</v>
      </c>
      <c r="H94">
        <f t="shared" si="7"/>
        <v>8.6737893871887805E-3</v>
      </c>
      <c r="I94">
        <f t="shared" si="8"/>
        <v>894169.67668380158</v>
      </c>
    </row>
    <row r="95" spans="1:9" x14ac:dyDescent="0.3">
      <c r="A95" t="s">
        <v>8417</v>
      </c>
      <c r="B95">
        <v>103019204.92835701</v>
      </c>
      <c r="C95">
        <v>0.99974964635103003</v>
      </c>
      <c r="D95">
        <v>1.38561634498763</v>
      </c>
      <c r="E95">
        <v>142710692.419752</v>
      </c>
      <c r="F95">
        <f t="shared" si="5"/>
        <v>2514.2082508620647</v>
      </c>
      <c r="G95">
        <f t="shared" si="6"/>
        <v>2.4399970560353648E-5</v>
      </c>
      <c r="H95">
        <f t="shared" si="7"/>
        <v>2.1470639300317694E-2</v>
      </c>
      <c r="I95">
        <f t="shared" si="8"/>
        <v>2213146.9851187123</v>
      </c>
    </row>
    <row r="96" spans="1:9" x14ac:dyDescent="0.3">
      <c r="A96" t="s">
        <v>8507</v>
      </c>
      <c r="B96">
        <v>103015318.68204001</v>
      </c>
      <c r="C96">
        <v>0.99978736184257699</v>
      </c>
      <c r="D96">
        <v>1.41152044445807</v>
      </c>
      <c r="E96">
        <v>145375391.236027</v>
      </c>
      <c r="F96">
        <f t="shared" si="5"/>
        <v>2747.9911241113773</v>
      </c>
      <c r="G96">
        <f t="shared" si="6"/>
        <v>2.6668879828641816E-5</v>
      </c>
      <c r="H96">
        <f t="shared" si="7"/>
        <v>1.8316964396079004E-2</v>
      </c>
      <c r="I96">
        <f t="shared" si="8"/>
        <v>1884226.6028078191</v>
      </c>
    </row>
    <row r="97" spans="1:9" x14ac:dyDescent="0.3">
      <c r="A97" t="s">
        <v>8597</v>
      </c>
      <c r="B97">
        <v>103020905.597894</v>
      </c>
      <c r="C97">
        <v>0.999733142479726</v>
      </c>
      <c r="D97">
        <v>1.4234814854375499</v>
      </c>
      <c r="E97">
        <v>146610016.92595899</v>
      </c>
      <c r="F97">
        <f t="shared" si="5"/>
        <v>3950.5460862764485</v>
      </c>
      <c r="G97">
        <f t="shared" si="6"/>
        <v>3.833887914355148E-5</v>
      </c>
      <c r="H97">
        <f t="shared" si="7"/>
        <v>8.457733186640436E-3</v>
      </c>
      <c r="I97">
        <f t="shared" si="8"/>
        <v>873012.19757802901</v>
      </c>
    </row>
    <row r="98" spans="1:9" x14ac:dyDescent="0.3">
      <c r="A98" t="s">
        <v>8687</v>
      </c>
      <c r="B98">
        <v>103018577.632341</v>
      </c>
      <c r="C98">
        <v>0.99975573398090201</v>
      </c>
      <c r="D98">
        <v>1.4199427118646899</v>
      </c>
      <c r="E98">
        <v>146244953.52916101</v>
      </c>
      <c r="F98">
        <f t="shared" si="5"/>
        <v>1646.1202288953937</v>
      </c>
      <c r="G98">
        <f t="shared" si="6"/>
        <v>1.597460367873759E-5</v>
      </c>
      <c r="H98">
        <f t="shared" si="7"/>
        <v>2.5022907904530757E-3</v>
      </c>
      <c r="I98">
        <f t="shared" si="8"/>
        <v>258138.80343885045</v>
      </c>
    </row>
    <row r="99" spans="1:9" x14ac:dyDescent="0.3">
      <c r="A99" t="s">
        <v>8777</v>
      </c>
      <c r="B99">
        <v>103017978.08636101</v>
      </c>
      <c r="C99">
        <v>0.99976155237825903</v>
      </c>
      <c r="D99">
        <v>1.4114222095875</v>
      </c>
      <c r="E99">
        <v>145367989.348506</v>
      </c>
      <c r="F99">
        <f t="shared" si="5"/>
        <v>423.94302808516284</v>
      </c>
      <c r="G99">
        <f t="shared" si="6"/>
        <v>4.1142282267916336E-6</v>
      </c>
      <c r="H99">
        <f t="shared" si="7"/>
        <v>6.0249049393164148E-3</v>
      </c>
      <c r="I99">
        <f t="shared" si="8"/>
        <v>620107.31899885682</v>
      </c>
    </row>
    <row r="100" spans="1:9" x14ac:dyDescent="0.3">
      <c r="A100" t="s">
        <v>8867</v>
      </c>
      <c r="B100">
        <v>103015660.527711</v>
      </c>
      <c r="C100">
        <v>0.99978404416273103</v>
      </c>
      <c r="D100">
        <v>1.4031665200115599</v>
      </c>
      <c r="E100">
        <v>144517544.913297</v>
      </c>
      <c r="F100">
        <f t="shared" si="5"/>
        <v>1638.7614372138723</v>
      </c>
      <c r="G100">
        <f t="shared" si="6"/>
        <v>1.590409332113801E-5</v>
      </c>
      <c r="H100">
        <f t="shared" si="7"/>
        <v>5.8376540825182868E-3</v>
      </c>
      <c r="I100">
        <f t="shared" si="8"/>
        <v>601355.02715865162</v>
      </c>
    </row>
    <row r="101" spans="1:9" x14ac:dyDescent="0.3">
      <c r="A101" t="s">
        <v>8957</v>
      </c>
      <c r="B101">
        <v>103013814.694374</v>
      </c>
      <c r="C101">
        <v>0.99980195860191001</v>
      </c>
      <c r="D101">
        <v>1.3883780307617299</v>
      </c>
      <c r="E101">
        <v>142995089.67911801</v>
      </c>
      <c r="F101">
        <f t="shared" si="5"/>
        <v>1305.2012695392245</v>
      </c>
      <c r="G101">
        <f t="shared" si="6"/>
        <v>1.2667421424609823E-5</v>
      </c>
      <c r="H101">
        <f t="shared" si="7"/>
        <v>1.0457041032059156E-2</v>
      </c>
      <c r="I101">
        <f t="shared" si="8"/>
        <v>1076538.4201409172</v>
      </c>
    </row>
    <row r="102" spans="1:9" x14ac:dyDescent="0.3">
      <c r="A102" t="s">
        <v>9046</v>
      </c>
      <c r="B102">
        <v>103010050.44484</v>
      </c>
      <c r="C102">
        <v>0.99983849391124102</v>
      </c>
      <c r="D102">
        <v>1.3892701881168401</v>
      </c>
      <c r="E102">
        <v>143087027.50018501</v>
      </c>
      <c r="F102">
        <f t="shared" si="5"/>
        <v>2661.7263715668632</v>
      </c>
      <c r="G102">
        <f t="shared" si="6"/>
        <v>2.5834364980704934E-5</v>
      </c>
      <c r="H102">
        <f t="shared" si="7"/>
        <v>6.3085051568385452E-4</v>
      </c>
      <c r="I102">
        <f t="shared" si="8"/>
        <v>65009.856723994941</v>
      </c>
    </row>
    <row r="103" spans="1:9" x14ac:dyDescent="0.3">
      <c r="A103" t="s">
        <v>9136</v>
      </c>
      <c r="B103">
        <v>103006133.197393</v>
      </c>
      <c r="C103">
        <v>0.99987651703341696</v>
      </c>
      <c r="D103">
        <v>1.3811312174835599</v>
      </c>
      <c r="E103">
        <v>142246674.69530499</v>
      </c>
      <c r="F103">
        <f t="shared" si="5"/>
        <v>2769.9122333586511</v>
      </c>
      <c r="G103">
        <f t="shared" si="6"/>
        <v>2.6886407532487652E-5</v>
      </c>
      <c r="H103">
        <f t="shared" si="7"/>
        <v>5.7551213266705797E-3</v>
      </c>
      <c r="I103">
        <f t="shared" si="8"/>
        <v>594219.16691979987</v>
      </c>
    </row>
    <row r="104" spans="1:9" x14ac:dyDescent="0.3">
      <c r="A104" t="s">
        <v>9226</v>
      </c>
      <c r="B104">
        <v>103008290.81590401</v>
      </c>
      <c r="C104">
        <v>0.99985557355338495</v>
      </c>
      <c r="D104">
        <v>1.3897518060516501</v>
      </c>
      <c r="E104">
        <v>143135616.12033701</v>
      </c>
      <c r="F104">
        <f t="shared" si="5"/>
        <v>1525.666680346131</v>
      </c>
      <c r="G104">
        <f t="shared" si="6"/>
        <v>1.4809276752279061E-5</v>
      </c>
      <c r="H104">
        <f t="shared" si="7"/>
        <v>6.0956766343157505E-3</v>
      </c>
      <c r="I104">
        <f t="shared" si="8"/>
        <v>628576.509717774</v>
      </c>
    </row>
    <row r="105" spans="1:9" x14ac:dyDescent="0.3">
      <c r="A105" t="s">
        <v>9314</v>
      </c>
      <c r="B105">
        <v>103007323.123826</v>
      </c>
      <c r="C105">
        <v>0.999864966597377</v>
      </c>
      <c r="D105">
        <v>1.3795140826605401</v>
      </c>
      <c r="E105">
        <v>142080458.58609399</v>
      </c>
      <c r="F105">
        <f t="shared" si="5"/>
        <v>684.26163046084059</v>
      </c>
      <c r="G105">
        <f t="shared" si="6"/>
        <v>6.6418851027666583E-6</v>
      </c>
      <c r="H105">
        <f t="shared" si="7"/>
        <v>7.2391636337659849E-3</v>
      </c>
      <c r="I105">
        <f t="shared" si="8"/>
        <v>746109.04768331442</v>
      </c>
    </row>
    <row r="106" spans="1:9" x14ac:dyDescent="0.3">
      <c r="A106" t="s">
        <v>9403</v>
      </c>
      <c r="B106">
        <v>103008498.703889</v>
      </c>
      <c r="C106">
        <v>0.99985355568142997</v>
      </c>
      <c r="D106">
        <v>1.3907265830911599</v>
      </c>
      <c r="E106">
        <v>143235156.229132</v>
      </c>
      <c r="F106">
        <f t="shared" si="5"/>
        <v>831.26063437523601</v>
      </c>
      <c r="G106">
        <f t="shared" si="6"/>
        <v>8.068736045694571E-6</v>
      </c>
      <c r="H106">
        <f t="shared" si="7"/>
        <v>7.9284350885483676E-3</v>
      </c>
      <c r="I106">
        <f t="shared" si="8"/>
        <v>816494.53361229657</v>
      </c>
    </row>
    <row r="107" spans="1:9" x14ac:dyDescent="0.3">
      <c r="A107" t="s">
        <v>9492</v>
      </c>
      <c r="B107">
        <v>103010019.119908</v>
      </c>
      <c r="C107">
        <v>0.99983879795809705</v>
      </c>
      <c r="D107">
        <v>1.4003528259281901</v>
      </c>
      <c r="E107">
        <v>144226381.78239</v>
      </c>
      <c r="F107">
        <f t="shared" si="5"/>
        <v>1075.0964772649029</v>
      </c>
      <c r="G107">
        <f t="shared" si="6"/>
        <v>1.0435286243586533E-5</v>
      </c>
      <c r="H107">
        <f t="shared" si="7"/>
        <v>6.8067815874124664E-3</v>
      </c>
      <c r="I107">
        <f t="shared" si="8"/>
        <v>700902.3103941204</v>
      </c>
    </row>
    <row r="108" spans="1:9" x14ac:dyDescent="0.3">
      <c r="A108" t="s">
        <v>9582</v>
      </c>
      <c r="B108">
        <v>103012159.121833</v>
      </c>
      <c r="C108">
        <v>0.99981802704163403</v>
      </c>
      <c r="D108">
        <v>1.4203648281916299</v>
      </c>
      <c r="E108">
        <v>146289147.39243501</v>
      </c>
      <c r="F108">
        <f t="shared" si="5"/>
        <v>1513.2098729138313</v>
      </c>
      <c r="G108">
        <f t="shared" si="6"/>
        <v>1.468725588246065E-5</v>
      </c>
      <c r="H108">
        <f t="shared" si="7"/>
        <v>1.415062250559882E-2</v>
      </c>
      <c r="I108">
        <f t="shared" si="8"/>
        <v>1458595.5508612362</v>
      </c>
    </row>
    <row r="109" spans="1:9" x14ac:dyDescent="0.3">
      <c r="A109" t="s">
        <v>9671</v>
      </c>
      <c r="B109">
        <v>103009470.99602</v>
      </c>
      <c r="C109">
        <v>0.99984411820219399</v>
      </c>
      <c r="D109">
        <v>1.4114626958594201</v>
      </c>
      <c r="E109">
        <v>145371030.765874</v>
      </c>
      <c r="F109">
        <f t="shared" si="5"/>
        <v>1900.791991049565</v>
      </c>
      <c r="G109">
        <f t="shared" si="6"/>
        <v>1.8449236560974771E-5</v>
      </c>
      <c r="H109">
        <f t="shared" si="7"/>
        <v>6.294758139125581E-3</v>
      </c>
      <c r="I109">
        <f t="shared" si="8"/>
        <v>649206.49256141135</v>
      </c>
    </row>
    <row r="110" spans="1:9" x14ac:dyDescent="0.3">
      <c r="A110" t="s">
        <v>9761</v>
      </c>
      <c r="B110">
        <v>103010426.61189</v>
      </c>
      <c r="C110">
        <v>0.99983484276339796</v>
      </c>
      <c r="D110">
        <v>1.4005970916130901</v>
      </c>
      <c r="E110">
        <v>144251955.41320899</v>
      </c>
      <c r="F110">
        <f t="shared" si="5"/>
        <v>675.72246188572694</v>
      </c>
      <c r="G110">
        <f t="shared" si="6"/>
        <v>6.5587256711538263E-6</v>
      </c>
      <c r="H110">
        <f t="shared" si="7"/>
        <v>7.6831424442692781E-3</v>
      </c>
      <c r="I110">
        <f t="shared" si="8"/>
        <v>791305.77052815375</v>
      </c>
    </row>
    <row r="111" spans="1:9" x14ac:dyDescent="0.3">
      <c r="A111" t="s">
        <v>9849</v>
      </c>
      <c r="B111">
        <v>103011354.927275</v>
      </c>
      <c r="C111">
        <v>0.99982583247450696</v>
      </c>
      <c r="D111">
        <v>1.40477430646891</v>
      </c>
      <c r="E111">
        <v>144683860.44020501</v>
      </c>
      <c r="F111">
        <f t="shared" si="5"/>
        <v>656.41810381253526</v>
      </c>
      <c r="G111">
        <f t="shared" si="6"/>
        <v>6.3712363752746424E-6</v>
      </c>
      <c r="H111">
        <f t="shared" si="7"/>
        <v>2.9537369510234373E-3</v>
      </c>
      <c r="I111">
        <f t="shared" si="8"/>
        <v>305402.97341744212</v>
      </c>
    </row>
    <row r="112" spans="1:9" x14ac:dyDescent="0.3">
      <c r="A112" t="s">
        <v>9938</v>
      </c>
      <c r="B112">
        <v>103007412.250082</v>
      </c>
      <c r="C112">
        <v>0.99986410147302196</v>
      </c>
      <c r="D112">
        <v>1.40955504274761</v>
      </c>
      <c r="E112">
        <v>145174668.71795401</v>
      </c>
      <c r="F112">
        <f t="shared" si="5"/>
        <v>2787.8937792004876</v>
      </c>
      <c r="G112">
        <f t="shared" si="6"/>
        <v>2.7060268359175036E-5</v>
      </c>
      <c r="H112">
        <f t="shared" si="7"/>
        <v>3.380491041733321E-3</v>
      </c>
      <c r="I112">
        <f t="shared" si="8"/>
        <v>347053.86145880976</v>
      </c>
    </row>
    <row r="113" spans="1:9" x14ac:dyDescent="0.3">
      <c r="A113" t="s">
        <v>10027</v>
      </c>
      <c r="B113">
        <v>103008041.73717199</v>
      </c>
      <c r="C113">
        <v>0.99985799125548602</v>
      </c>
      <c r="D113">
        <v>1.4193967028341601</v>
      </c>
      <c r="E113">
        <v>146188584.822633</v>
      </c>
      <c r="F113">
        <f t="shared" si="5"/>
        <v>445.1145900024253</v>
      </c>
      <c r="G113">
        <f t="shared" si="6"/>
        <v>4.3205762541862382E-6</v>
      </c>
      <c r="H113">
        <f t="shared" si="7"/>
        <v>6.9591045853325418E-3</v>
      </c>
      <c r="I113">
        <f t="shared" si="8"/>
        <v>716946.95317276206</v>
      </c>
    </row>
    <row r="114" spans="1:9" x14ac:dyDescent="0.3">
      <c r="A114" t="s">
        <v>10117</v>
      </c>
      <c r="B114">
        <v>103007829.389781</v>
      </c>
      <c r="C114">
        <v>0.99986005243119203</v>
      </c>
      <c r="D114">
        <v>1.4276883996229499</v>
      </c>
      <c r="E114">
        <v>147040781.772957</v>
      </c>
      <c r="F114">
        <f t="shared" si="5"/>
        <v>150.15228013943238</v>
      </c>
      <c r="G114">
        <f t="shared" si="6"/>
        <v>1.4574713189316547E-6</v>
      </c>
      <c r="H114">
        <f t="shared" si="7"/>
        <v>5.8631150268960066E-3</v>
      </c>
      <c r="I114">
        <f t="shared" si="8"/>
        <v>602594.24248059501</v>
      </c>
    </row>
    <row r="115" spans="1:9" x14ac:dyDescent="0.3">
      <c r="A115" t="s">
        <v>10207</v>
      </c>
      <c r="B115">
        <v>103012833.437564</v>
      </c>
      <c r="C115">
        <v>0.99981148229374095</v>
      </c>
      <c r="D115">
        <v>1.41996304577012</v>
      </c>
      <c r="E115">
        <v>146247752.05023301</v>
      </c>
      <c r="F115">
        <f t="shared" si="5"/>
        <v>3538.3961207424054</v>
      </c>
      <c r="G115">
        <f t="shared" si="6"/>
        <v>3.434427355481859E-5</v>
      </c>
      <c r="H115">
        <f t="shared" si="7"/>
        <v>5.46265009640165E-3</v>
      </c>
      <c r="I115">
        <f t="shared" si="8"/>
        <v>560756.69462062127</v>
      </c>
    </row>
    <row r="116" spans="1:9" x14ac:dyDescent="0.3">
      <c r="A116" t="s">
        <v>10296</v>
      </c>
      <c r="B116">
        <v>103010190.54289301</v>
      </c>
      <c r="C116">
        <v>0.99983713409018304</v>
      </c>
      <c r="D116">
        <v>1.44494106143802</v>
      </c>
      <c r="E116">
        <v>148819761.631322</v>
      </c>
      <c r="F116">
        <f t="shared" si="5"/>
        <v>1868.8087438210032</v>
      </c>
      <c r="G116">
        <f t="shared" si="6"/>
        <v>1.8138559213821877E-5</v>
      </c>
      <c r="H116">
        <f t="shared" si="7"/>
        <v>1.7662124259355944E-2</v>
      </c>
      <c r="I116">
        <f t="shared" si="8"/>
        <v>1818685.4160647963</v>
      </c>
    </row>
    <row r="117" spans="1:9" x14ac:dyDescent="0.3">
      <c r="A117" t="s">
        <v>10386</v>
      </c>
      <c r="B117">
        <v>103009172.28065901</v>
      </c>
      <c r="C117">
        <v>0.999847017641049</v>
      </c>
      <c r="D117">
        <v>1.4405693471807599</v>
      </c>
      <c r="E117">
        <v>148369277.14640599</v>
      </c>
      <c r="F117">
        <f t="shared" si="5"/>
        <v>720.02013068922599</v>
      </c>
      <c r="G117">
        <f t="shared" si="6"/>
        <v>6.9887258395170263E-6</v>
      </c>
      <c r="H117">
        <f t="shared" si="7"/>
        <v>3.0912687967185478E-3</v>
      </c>
      <c r="I117">
        <f t="shared" si="8"/>
        <v>318540.63410343369</v>
      </c>
    </row>
    <row r="118" spans="1:9" x14ac:dyDescent="0.3">
      <c r="A118" t="s">
        <v>10476</v>
      </c>
      <c r="B118">
        <v>103008816.992624</v>
      </c>
      <c r="C118">
        <v>0.99985046621654705</v>
      </c>
      <c r="D118">
        <v>1.42170774169658</v>
      </c>
      <c r="E118">
        <v>146426245.033627</v>
      </c>
      <c r="F118">
        <f t="shared" si="5"/>
        <v>251.22657882671305</v>
      </c>
      <c r="G118">
        <f t="shared" si="6"/>
        <v>2.4385111201085415E-6</v>
      </c>
      <c r="H118">
        <f t="shared" si="7"/>
        <v>1.3337169141928996E-2</v>
      </c>
      <c r="I118">
        <f t="shared" si="8"/>
        <v>1373931.1830092494</v>
      </c>
    </row>
    <row r="119" spans="1:9" x14ac:dyDescent="0.3">
      <c r="A119" t="s">
        <v>10565</v>
      </c>
      <c r="B119">
        <v>103009652.98615301</v>
      </c>
      <c r="C119">
        <v>0.99984235174866898</v>
      </c>
      <c r="D119">
        <v>1.4283477068069601</v>
      </c>
      <c r="E119">
        <v>147110277.05897599</v>
      </c>
      <c r="F119">
        <f t="shared" si="5"/>
        <v>591.13669338880834</v>
      </c>
      <c r="G119">
        <f t="shared" si="6"/>
        <v>5.7377952623059241E-6</v>
      </c>
      <c r="H119">
        <f t="shared" si="7"/>
        <v>4.6951643563918647E-3</v>
      </c>
      <c r="I119">
        <f t="shared" si="8"/>
        <v>483683.68367304001</v>
      </c>
    </row>
    <row r="120" spans="1:9" x14ac:dyDescent="0.3">
      <c r="A120" t="s">
        <v>10655</v>
      </c>
      <c r="B120">
        <v>103010028.141412</v>
      </c>
      <c r="C120">
        <v>0.99983871039332195</v>
      </c>
      <c r="D120">
        <v>1.4233683651159801</v>
      </c>
      <c r="E120">
        <v>146596483.233071</v>
      </c>
      <c r="F120">
        <f t="shared" si="5"/>
        <v>265.27482763547567</v>
      </c>
      <c r="G120">
        <f t="shared" si="6"/>
        <v>2.574827058593571E-6</v>
      </c>
      <c r="H120">
        <f t="shared" si="7"/>
        <v>3.5209262755368635E-3</v>
      </c>
      <c r="I120">
        <f t="shared" si="8"/>
        <v>363307.09842920257</v>
      </c>
    </row>
    <row r="121" spans="1:9" x14ac:dyDescent="0.3">
      <c r="A121" t="s">
        <v>10745</v>
      </c>
      <c r="B121">
        <v>103013175.567664</v>
      </c>
      <c r="C121">
        <v>0.99980816169324005</v>
      </c>
      <c r="D121">
        <v>1.43382135819648</v>
      </c>
      <c r="E121">
        <v>147673458.43618</v>
      </c>
      <c r="F121">
        <f t="shared" si="5"/>
        <v>2225.5664460685148</v>
      </c>
      <c r="G121">
        <f t="shared" si="6"/>
        <v>2.1601192984345862E-5</v>
      </c>
      <c r="H121">
        <f t="shared" si="7"/>
        <v>7.3913822909175819E-3</v>
      </c>
      <c r="I121">
        <f t="shared" si="8"/>
        <v>761536.46928813052</v>
      </c>
    </row>
    <row r="122" spans="1:9" x14ac:dyDescent="0.3">
      <c r="A122" t="s">
        <v>10834</v>
      </c>
      <c r="B122">
        <v>103015203.78650799</v>
      </c>
      <c r="C122">
        <v>0.99978847693138795</v>
      </c>
      <c r="D122">
        <v>1.4333346690009301</v>
      </c>
      <c r="E122">
        <v>147625551.53944099</v>
      </c>
      <c r="F122">
        <f t="shared" si="5"/>
        <v>1434.167298320283</v>
      </c>
      <c r="G122">
        <f t="shared" si="6"/>
        <v>1.3919228591663034E-5</v>
      </c>
      <c r="H122">
        <f t="shared" si="7"/>
        <v>3.4414123050359512E-4</v>
      </c>
      <c r="I122">
        <f t="shared" si="8"/>
        <v>33875.291549754875</v>
      </c>
    </row>
    <row r="123" spans="1:9" x14ac:dyDescent="0.3">
      <c r="A123" t="s">
        <v>10924</v>
      </c>
      <c r="B123">
        <v>103010793.83174001</v>
      </c>
      <c r="C123">
        <v>0.99983127848447995</v>
      </c>
      <c r="D123">
        <v>1.4298044057408701</v>
      </c>
      <c r="E123">
        <v>147261685.32024199</v>
      </c>
      <c r="F123">
        <f t="shared" si="5"/>
        <v>3118.3089211696492</v>
      </c>
      <c r="G123">
        <f t="shared" si="6"/>
        <v>3.0265268436667716E-5</v>
      </c>
      <c r="H123">
        <f t="shared" si="7"/>
        <v>2.4962730905621591E-3</v>
      </c>
      <c r="I123">
        <f t="shared" si="8"/>
        <v>257292.27104032491</v>
      </c>
    </row>
    <row r="124" spans="1:9" x14ac:dyDescent="0.3">
      <c r="A124" t="s">
        <v>11014</v>
      </c>
      <c r="B124">
        <v>103007170.98735601</v>
      </c>
      <c r="C124">
        <v>0.99986644334821595</v>
      </c>
      <c r="D124">
        <v>1.43111014749537</v>
      </c>
      <c r="E124">
        <v>147395885.525186</v>
      </c>
      <c r="F124">
        <f t="shared" si="5"/>
        <v>2561.7378311097923</v>
      </c>
      <c r="G124">
        <f t="shared" si="6"/>
        <v>2.4865313607229046E-5</v>
      </c>
      <c r="H124">
        <f t="shared" si="7"/>
        <v>9.2329884908532345E-4</v>
      </c>
      <c r="I124">
        <f t="shared" si="8"/>
        <v>94893.874952537124</v>
      </c>
    </row>
    <row r="125" spans="1:9" x14ac:dyDescent="0.3">
      <c r="A125" t="s">
        <v>11104</v>
      </c>
      <c r="B125">
        <v>103004363.665472</v>
      </c>
      <c r="C125">
        <v>0.99989369410582996</v>
      </c>
      <c r="D125">
        <v>1.43429031762709</v>
      </c>
      <c r="E125">
        <v>147722555.91437399</v>
      </c>
      <c r="F125">
        <f t="shared" si="5"/>
        <v>1985.0763411542221</v>
      </c>
      <c r="G125">
        <f t="shared" si="6"/>
        <v>1.9269195501334408E-5</v>
      </c>
      <c r="H125">
        <f t="shared" si="7"/>
        <v>2.2487198654661321E-3</v>
      </c>
      <c r="I125">
        <f t="shared" si="8"/>
        <v>230990.8474076775</v>
      </c>
    </row>
    <row r="126" spans="1:9" x14ac:dyDescent="0.3">
      <c r="A126" t="s">
        <v>11194</v>
      </c>
      <c r="B126">
        <v>103004073.297076</v>
      </c>
      <c r="C126">
        <v>0.999896512805314</v>
      </c>
      <c r="D126">
        <v>1.4400837461814999</v>
      </c>
      <c r="E126">
        <v>148320480.24219799</v>
      </c>
      <c r="F126">
        <f t="shared" si="5"/>
        <v>205.32146185320599</v>
      </c>
      <c r="G126">
        <f t="shared" si="6"/>
        <v>1.9931215192929703E-6</v>
      </c>
      <c r="H126">
        <f t="shared" si="7"/>
        <v>4.0965726171430152E-3</v>
      </c>
      <c r="I126">
        <f t="shared" si="8"/>
        <v>422796.34684075625</v>
      </c>
    </row>
    <row r="127" spans="1:9" x14ac:dyDescent="0.3">
      <c r="A127" t="s">
        <v>11284</v>
      </c>
      <c r="B127">
        <v>103000190.40290099</v>
      </c>
      <c r="C127">
        <v>0.99993420683607903</v>
      </c>
      <c r="D127">
        <v>1.4459502725418001</v>
      </c>
      <c r="E127">
        <v>148924267.068537</v>
      </c>
      <c r="F127">
        <f t="shared" si="5"/>
        <v>2745.620801777859</v>
      </c>
      <c r="G127">
        <f t="shared" si="6"/>
        <v>2.6653704764210021E-5</v>
      </c>
      <c r="H127">
        <f t="shared" si="7"/>
        <v>4.1482605713778799E-3</v>
      </c>
      <c r="I127">
        <f t="shared" si="8"/>
        <v>426941.75929541577</v>
      </c>
    </row>
    <row r="128" spans="1:9" x14ac:dyDescent="0.3">
      <c r="A128" t="s">
        <v>11374</v>
      </c>
      <c r="B128">
        <v>102997539.075312</v>
      </c>
      <c r="C128">
        <v>0.99995994680203504</v>
      </c>
      <c r="D128">
        <v>1.4581013978819599</v>
      </c>
      <c r="E128">
        <v>150173984.70519999</v>
      </c>
      <c r="F128">
        <f t="shared" si="5"/>
        <v>1874.7717173220424</v>
      </c>
      <c r="G128">
        <f t="shared" si="6"/>
        <v>1.8200904475003051E-5</v>
      </c>
      <c r="H128">
        <f t="shared" si="7"/>
        <v>8.5921431270747101E-3</v>
      </c>
      <c r="I128">
        <f t="shared" si="8"/>
        <v>883683.81545282609</v>
      </c>
    </row>
    <row r="129" spans="1:9" x14ac:dyDescent="0.3">
      <c r="A129" t="s">
        <v>11464</v>
      </c>
      <c r="B129">
        <v>103000025.22546899</v>
      </c>
      <c r="C129">
        <v>0.99993581039455703</v>
      </c>
      <c r="D129">
        <v>1.4742366515774299</v>
      </c>
      <c r="E129">
        <v>151836024.539325</v>
      </c>
      <c r="F129">
        <f t="shared" si="5"/>
        <v>1757.9736350554122</v>
      </c>
      <c r="G129">
        <f t="shared" si="6"/>
        <v>1.7067017401178125E-5</v>
      </c>
      <c r="H129">
        <f t="shared" si="7"/>
        <v>1.1409347304232121E-2</v>
      </c>
      <c r="I129">
        <f t="shared" si="8"/>
        <v>1175239.6373119608</v>
      </c>
    </row>
    <row r="130" spans="1:9" x14ac:dyDescent="0.3">
      <c r="A130" t="s">
        <v>11554</v>
      </c>
      <c r="B130">
        <v>103001885.922593</v>
      </c>
      <c r="C130">
        <v>0.99991774686426504</v>
      </c>
      <c r="D130">
        <v>1.4682812730838199</v>
      </c>
      <c r="E130">
        <v>151223801.18722799</v>
      </c>
      <c r="F130">
        <f t="shared" si="5"/>
        <v>1315.711554117792</v>
      </c>
      <c r="G130">
        <f t="shared" si="6"/>
        <v>1.2772844761634458E-5</v>
      </c>
      <c r="H130">
        <f t="shared" si="7"/>
        <v>4.2110885173641159E-3</v>
      </c>
      <c r="I130">
        <f t="shared" si="8"/>
        <v>432907.28386855131</v>
      </c>
    </row>
    <row r="131" spans="1:9" x14ac:dyDescent="0.3">
      <c r="A131" t="s">
        <v>11643</v>
      </c>
      <c r="B131">
        <v>103000431.198489</v>
      </c>
      <c r="C131">
        <v>0.99993186917843502</v>
      </c>
      <c r="D131">
        <v>1.4758237901248299</v>
      </c>
      <c r="E131">
        <v>152000098.69800299</v>
      </c>
      <c r="F131">
        <f t="shared" si="5"/>
        <v>1028.6452786954221</v>
      </c>
      <c r="G131">
        <f t="shared" si="6"/>
        <v>9.9859841156348595E-6</v>
      </c>
      <c r="H131">
        <f t="shared" si="7"/>
        <v>5.3333649469132242E-3</v>
      </c>
      <c r="I131">
        <f t="shared" si="8"/>
        <v>548925.23408723937</v>
      </c>
    </row>
    <row r="132" spans="1:9" x14ac:dyDescent="0.3">
      <c r="A132" t="s">
        <v>11732</v>
      </c>
      <c r="B132">
        <v>103000522.645028</v>
      </c>
      <c r="C132">
        <v>0.999930981412952</v>
      </c>
      <c r="D132">
        <v>1.4795489817437399</v>
      </c>
      <c r="E132">
        <v>152382588.72250599</v>
      </c>
      <c r="F132">
        <f t="shared" ref="F132:F181" si="9">STDEV(B131:B132)</f>
        <v>64.662467842711479</v>
      </c>
      <c r="G132">
        <f t="shared" ref="G132:G181" si="10">STDEV(C131:C132)</f>
        <v>6.2774499314345476E-7</v>
      </c>
      <c r="H132">
        <f t="shared" ref="H132:H181" si="11">STDEV(D131:D132)</f>
        <v>2.6341082549505902E-3</v>
      </c>
      <c r="I132">
        <f t="shared" ref="I132:I181" si="12">STDEV(E131:E132)</f>
        <v>270461.29006227478</v>
      </c>
    </row>
    <row r="133" spans="1:9" x14ac:dyDescent="0.3">
      <c r="A133" t="s">
        <v>11822</v>
      </c>
      <c r="B133">
        <v>103004034.975641</v>
      </c>
      <c r="C133">
        <v>0.99989688480501004</v>
      </c>
      <c r="D133">
        <v>1.48497129206275</v>
      </c>
      <c r="E133">
        <v>152941369.69172001</v>
      </c>
      <c r="F133">
        <f t="shared" si="9"/>
        <v>2483.5927942229455</v>
      </c>
      <c r="G133">
        <f t="shared" si="10"/>
        <v>2.4109942691217604E-5</v>
      </c>
      <c r="H133">
        <f t="shared" si="11"/>
        <v>3.8341523962698207E-3</v>
      </c>
      <c r="I133">
        <f t="shared" si="12"/>
        <v>395117.81252922653</v>
      </c>
    </row>
    <row r="134" spans="1:9" x14ac:dyDescent="0.3">
      <c r="A134" t="s">
        <v>11912</v>
      </c>
      <c r="B134">
        <v>103006628.83081</v>
      </c>
      <c r="C134">
        <v>0.999871705962321</v>
      </c>
      <c r="D134">
        <v>1.48264788676802</v>
      </c>
      <c r="E134">
        <v>152702946.549833</v>
      </c>
      <c r="F134">
        <f t="shared" si="9"/>
        <v>1834.1325794144348</v>
      </c>
      <c r="G134">
        <f t="shared" si="10"/>
        <v>1.780413040785251E-5</v>
      </c>
      <c r="H134">
        <f t="shared" si="11"/>
        <v>1.6428956393483647E-3</v>
      </c>
      <c r="I134">
        <f t="shared" si="12"/>
        <v>168590.62042010654</v>
      </c>
    </row>
    <row r="135" spans="1:9" x14ac:dyDescent="0.3">
      <c r="A135" t="s">
        <v>12002</v>
      </c>
      <c r="B135">
        <v>103006688.605562</v>
      </c>
      <c r="C135">
        <v>0.99987112573705506</v>
      </c>
      <c r="D135">
        <v>1.5018081539763699</v>
      </c>
      <c r="E135">
        <v>154675479.69922301</v>
      </c>
      <c r="F135">
        <f t="shared" si="9"/>
        <v>42.267132487140621</v>
      </c>
      <c r="G135">
        <f t="shared" si="10"/>
        <v>4.1028122016534414E-7</v>
      </c>
      <c r="H135">
        <f t="shared" si="11"/>
        <v>1.3548354872370496E-2</v>
      </c>
      <c r="I135">
        <f t="shared" si="12"/>
        <v>1394791.5660489346</v>
      </c>
    </row>
    <row r="136" spans="1:9" x14ac:dyDescent="0.3">
      <c r="A136" t="s">
        <v>12091</v>
      </c>
      <c r="B136">
        <v>103133381.710678</v>
      </c>
      <c r="C136">
        <v>0.999846644714662</v>
      </c>
      <c r="D136">
        <v>1.5082693724057801</v>
      </c>
      <c r="E136">
        <v>155529568.118765</v>
      </c>
      <c r="F136">
        <f t="shared" si="9"/>
        <v>89585.553757100002</v>
      </c>
      <c r="G136">
        <f t="shared" si="10"/>
        <v>1.7310696944507143E-5</v>
      </c>
      <c r="H136">
        <f t="shared" si="11"/>
        <v>4.5687713661634217E-3</v>
      </c>
      <c r="I136">
        <f t="shared" si="12"/>
        <v>603931.71319103846</v>
      </c>
    </row>
    <row r="137" spans="1:9" x14ac:dyDescent="0.3">
      <c r="A137" t="s">
        <v>12181</v>
      </c>
      <c r="B137">
        <v>103700489.754829</v>
      </c>
      <c r="C137">
        <v>0.99986069761730501</v>
      </c>
      <c r="D137">
        <v>1.49369383053952</v>
      </c>
      <c r="E137">
        <v>154875289.32330799</v>
      </c>
      <c r="F137">
        <f t="shared" si="9"/>
        <v>401005.94368461787</v>
      </c>
      <c r="G137">
        <f t="shared" si="10"/>
        <v>9.9369027542214366E-6</v>
      </c>
      <c r="H137">
        <f t="shared" si="11"/>
        <v>1.0306464493100935E-2</v>
      </c>
      <c r="I137">
        <f t="shared" si="12"/>
        <v>462644.97305421467</v>
      </c>
    </row>
    <row r="138" spans="1:9" x14ac:dyDescent="0.3">
      <c r="A138" t="s">
        <v>12271</v>
      </c>
      <c r="B138">
        <v>103700243.125122</v>
      </c>
      <c r="C138">
        <v>0.999863075580398</v>
      </c>
      <c r="D138">
        <v>1.4926282980485499</v>
      </c>
      <c r="E138">
        <v>154764272.752794</v>
      </c>
      <c r="F138">
        <f t="shared" si="9"/>
        <v>174.39353826783261</v>
      </c>
      <c r="G138">
        <f t="shared" si="10"/>
        <v>1.6814738284660486E-6</v>
      </c>
      <c r="H138">
        <f t="shared" si="11"/>
        <v>7.5344524993953591E-4</v>
      </c>
      <c r="I138">
        <f t="shared" si="12"/>
        <v>78500.569834519323</v>
      </c>
    </row>
    <row r="139" spans="1:9" x14ac:dyDescent="0.3">
      <c r="A139" t="s">
        <v>12361</v>
      </c>
      <c r="B139">
        <v>103701551.054433</v>
      </c>
      <c r="C139">
        <v>0.99985046487004203</v>
      </c>
      <c r="D139">
        <v>1.5082419915244301</v>
      </c>
      <c r="E139">
        <v>156382928.81406599</v>
      </c>
      <c r="F139">
        <f t="shared" si="9"/>
        <v>924.84568512588339</v>
      </c>
      <c r="G139">
        <f t="shared" si="10"/>
        <v>8.9171188082820799E-6</v>
      </c>
      <c r="H139">
        <f t="shared" si="11"/>
        <v>1.1040548536163012E-2</v>
      </c>
      <c r="I139">
        <f t="shared" si="12"/>
        <v>1144562.6773341356</v>
      </c>
    </row>
    <row r="140" spans="1:9" x14ac:dyDescent="0.3">
      <c r="A140" t="s">
        <v>12451</v>
      </c>
      <c r="B140">
        <v>104273438.761986</v>
      </c>
      <c r="C140">
        <v>0.99983049308995497</v>
      </c>
      <c r="D140">
        <v>1.48917129204446</v>
      </c>
      <c r="E140">
        <v>155255844.76227301</v>
      </c>
      <c r="F140">
        <f t="shared" si="9"/>
        <v>404385.6760879549</v>
      </c>
      <c r="G140">
        <f t="shared" si="10"/>
        <v>1.4122181131925183E-5</v>
      </c>
      <c r="H140">
        <f t="shared" si="11"/>
        <v>1.3485020924257613E-2</v>
      </c>
      <c r="I140">
        <f t="shared" si="12"/>
        <v>796968.77599002561</v>
      </c>
    </row>
    <row r="141" spans="1:9" x14ac:dyDescent="0.3">
      <c r="A141" t="s">
        <v>12541</v>
      </c>
      <c r="B141">
        <v>104270091.121626</v>
      </c>
      <c r="C141">
        <v>0.99986259311860104</v>
      </c>
      <c r="D141">
        <v>1.49140837260338</v>
      </c>
      <c r="E141">
        <v>155487517.18400601</v>
      </c>
      <c r="F141">
        <f t="shared" si="9"/>
        <v>2367.1391995281838</v>
      </c>
      <c r="G141">
        <f t="shared" si="10"/>
        <v>2.2698147931914899E-5</v>
      </c>
      <c r="H141">
        <f t="shared" si="11"/>
        <v>1.5818548332729406E-3</v>
      </c>
      <c r="I141">
        <f t="shared" si="12"/>
        <v>163817.14042130829</v>
      </c>
    </row>
    <row r="142" spans="1:9" x14ac:dyDescent="0.3">
      <c r="A142" t="s">
        <v>12631</v>
      </c>
      <c r="B142">
        <v>104271256.786008</v>
      </c>
      <c r="C142">
        <v>0.99985141550122603</v>
      </c>
      <c r="D142">
        <v>1.4915629599656399</v>
      </c>
      <c r="E142">
        <v>155504285.78756699</v>
      </c>
      <c r="F142">
        <f t="shared" si="9"/>
        <v>824.24918909685425</v>
      </c>
      <c r="G142">
        <f t="shared" si="10"/>
        <v>7.9037690433805E-6</v>
      </c>
      <c r="H142">
        <f t="shared" si="11"/>
        <v>1.0930977213973653E-4</v>
      </c>
      <c r="I142">
        <f t="shared" si="12"/>
        <v>11857.19328900077</v>
      </c>
    </row>
    <row r="143" spans="1:9" x14ac:dyDescent="0.3">
      <c r="A143" t="s">
        <v>12721</v>
      </c>
      <c r="B143">
        <v>104270530.639851</v>
      </c>
      <c r="C143">
        <v>0.99985837852575599</v>
      </c>
      <c r="D143">
        <v>1.49078097029795</v>
      </c>
      <c r="E143">
        <v>155423267.91138899</v>
      </c>
      <c r="F143">
        <f t="shared" si="9"/>
        <v>513.46287174476845</v>
      </c>
      <c r="G143">
        <f t="shared" si="10"/>
        <v>4.9236018627030703E-6</v>
      </c>
      <c r="H143">
        <f t="shared" si="11"/>
        <v>5.5295019684137271E-4</v>
      </c>
      <c r="I143">
        <f t="shared" si="12"/>
        <v>57288.289642793301</v>
      </c>
    </row>
    <row r="144" spans="1:9" x14ac:dyDescent="0.3">
      <c r="A144" t="s">
        <v>12810</v>
      </c>
      <c r="B144">
        <v>104268326.934314</v>
      </c>
      <c r="C144">
        <v>0.99987951047934298</v>
      </c>
      <c r="D144">
        <v>1.48560596062757</v>
      </c>
      <c r="E144">
        <v>154880439.99167401</v>
      </c>
      <c r="F144">
        <f t="shared" si="9"/>
        <v>1558.2551289554679</v>
      </c>
      <c r="G144">
        <f t="shared" si="10"/>
        <v>1.4942547681083348E-5</v>
      </c>
      <c r="H144">
        <f t="shared" si="11"/>
        <v>3.6592844306316454E-3</v>
      </c>
      <c r="I144">
        <f t="shared" si="12"/>
        <v>383837.30304785428</v>
      </c>
    </row>
    <row r="145" spans="1:9" x14ac:dyDescent="0.3">
      <c r="A145" t="s">
        <v>12900</v>
      </c>
      <c r="B145">
        <v>104275701.583664</v>
      </c>
      <c r="C145">
        <v>0.99980879639475595</v>
      </c>
      <c r="D145">
        <v>1.49717037280479</v>
      </c>
      <c r="E145">
        <v>156086395.423338</v>
      </c>
      <c r="F145">
        <f t="shared" si="9"/>
        <v>5214.6645642596677</v>
      </c>
      <c r="G145">
        <f t="shared" si="10"/>
        <v>5.0002408736888967E-5</v>
      </c>
      <c r="H145">
        <f t="shared" si="11"/>
        <v>8.1772742709485778E-3</v>
      </c>
      <c r="I145">
        <f t="shared" si="12"/>
        <v>852739.26353835745</v>
      </c>
    </row>
    <row r="146" spans="1:9" x14ac:dyDescent="0.3">
      <c r="A146" t="s">
        <v>12989</v>
      </c>
      <c r="B146">
        <v>104282214.365382</v>
      </c>
      <c r="C146">
        <v>0.99974635490854202</v>
      </c>
      <c r="D146">
        <v>1.4883369371222599</v>
      </c>
      <c r="E146">
        <v>155166643.98541701</v>
      </c>
      <c r="F146">
        <f t="shared" si="9"/>
        <v>4605.2321171861167</v>
      </c>
      <c r="G146">
        <f t="shared" si="10"/>
        <v>4.4152798329233856E-5</v>
      </c>
      <c r="H146">
        <f t="shared" si="11"/>
        <v>6.2461822722922836E-3</v>
      </c>
      <c r="I146">
        <f t="shared" si="12"/>
        <v>650362.47876000823</v>
      </c>
    </row>
    <row r="147" spans="1:9" x14ac:dyDescent="0.3">
      <c r="A147" t="s">
        <v>13078</v>
      </c>
      <c r="B147">
        <v>104285287.39019699</v>
      </c>
      <c r="C147">
        <v>0.99971689490096405</v>
      </c>
      <c r="D147">
        <v>1.4682500208231299</v>
      </c>
      <c r="E147">
        <v>153073027.843871</v>
      </c>
      <c r="F147">
        <f t="shared" si="9"/>
        <v>2172.9566854361869</v>
      </c>
      <c r="G147">
        <f t="shared" si="10"/>
        <v>2.0831371132193168E-5</v>
      </c>
      <c r="H147">
        <f t="shared" si="11"/>
        <v>1.4203594728241379E-2</v>
      </c>
      <c r="I147">
        <f t="shared" si="12"/>
        <v>1480410.170888799</v>
      </c>
    </row>
    <row r="148" spans="1:9" x14ac:dyDescent="0.3">
      <c r="A148" t="s">
        <v>13168</v>
      </c>
      <c r="B148">
        <v>104286736.112795</v>
      </c>
      <c r="C148">
        <v>0.99970300710936499</v>
      </c>
      <c r="D148">
        <v>1.45849650396798</v>
      </c>
      <c r="E148">
        <v>152056577.502334</v>
      </c>
      <c r="F148">
        <f t="shared" si="9"/>
        <v>1024.4015731049549</v>
      </c>
      <c r="G148">
        <f t="shared" si="10"/>
        <v>9.8201516153968535E-6</v>
      </c>
      <c r="H148">
        <f t="shared" si="11"/>
        <v>6.8967779086937927E-3</v>
      </c>
      <c r="I148">
        <f t="shared" si="12"/>
        <v>718738.92924019403</v>
      </c>
    </row>
    <row r="149" spans="1:9" x14ac:dyDescent="0.3">
      <c r="A149" t="s">
        <v>13257</v>
      </c>
      <c r="B149">
        <v>104286995.3493</v>
      </c>
      <c r="C149">
        <v>0.99970052204867099</v>
      </c>
      <c r="D149">
        <v>1.4593846573801901</v>
      </c>
      <c r="E149">
        <v>152149835.907882</v>
      </c>
      <c r="F149">
        <f t="shared" si="9"/>
        <v>183.30789061786137</v>
      </c>
      <c r="G149">
        <f t="shared" si="10"/>
        <v>1.7572032683888877E-6</v>
      </c>
      <c r="H149">
        <f t="shared" si="11"/>
        <v>6.2801930050769485E-4</v>
      </c>
      <c r="I149">
        <f t="shared" si="12"/>
        <v>65943.650965640394</v>
      </c>
    </row>
    <row r="150" spans="1:9" x14ac:dyDescent="0.3">
      <c r="A150" t="s">
        <v>13346</v>
      </c>
      <c r="B150">
        <v>104285327.367667</v>
      </c>
      <c r="C150">
        <v>0.999716511662462</v>
      </c>
      <c r="D150">
        <v>1.46534678387568</v>
      </c>
      <c r="E150">
        <v>152772751.919927</v>
      </c>
      <c r="F150">
        <f t="shared" si="9"/>
        <v>1179.4411235836965</v>
      </c>
      <c r="G150">
        <f t="shared" si="10"/>
        <v>1.1306364340178558E-5</v>
      </c>
      <c r="H150">
        <f t="shared" si="11"/>
        <v>4.2158600752528821E-3</v>
      </c>
      <c r="I150">
        <f t="shared" si="12"/>
        <v>440468.13622669782</v>
      </c>
    </row>
    <row r="151" spans="1:9" x14ac:dyDescent="0.3">
      <c r="A151" t="s">
        <v>13435</v>
      </c>
      <c r="B151">
        <v>104279795.05155601</v>
      </c>
      <c r="C151">
        <v>0.99976954924046502</v>
      </c>
      <c r="D151">
        <v>1.4555828405259701</v>
      </c>
      <c r="E151">
        <v>151753230.199725</v>
      </c>
      <c r="F151">
        <f t="shared" si="9"/>
        <v>3911.9382377545517</v>
      </c>
      <c r="G151">
        <f t="shared" si="10"/>
        <v>3.7503231063640494E-5</v>
      </c>
      <c r="H151">
        <f t="shared" si="11"/>
        <v>6.9041505537011426E-3</v>
      </c>
      <c r="I151">
        <f t="shared" si="12"/>
        <v>720910.72192180739</v>
      </c>
    </row>
    <row r="152" spans="1:9" x14ac:dyDescent="0.3">
      <c r="A152" t="s">
        <v>13524</v>
      </c>
      <c r="B152">
        <v>104278837.810821</v>
      </c>
      <c r="C152">
        <v>0.99977872675104895</v>
      </c>
      <c r="D152">
        <v>1.4565439132298299</v>
      </c>
      <c r="E152">
        <v>151852429.540921</v>
      </c>
      <c r="F152">
        <f t="shared" si="9"/>
        <v>676.87141495307992</v>
      </c>
      <c r="G152">
        <f t="shared" si="10"/>
        <v>6.4894799683119932E-6</v>
      </c>
      <c r="H152">
        <f t="shared" si="11"/>
        <v>6.7958102611256302E-4</v>
      </c>
      <c r="I152">
        <f t="shared" si="12"/>
        <v>70144.526848930051</v>
      </c>
    </row>
    <row r="153" spans="1:9" x14ac:dyDescent="0.3">
      <c r="A153" t="s">
        <v>13613</v>
      </c>
      <c r="B153">
        <v>104280781.503113</v>
      </c>
      <c r="C153">
        <v>0.99976009184846204</v>
      </c>
      <c r="D153">
        <v>1.40990182845865</v>
      </c>
      <c r="E153">
        <v>146990910.21939</v>
      </c>
      <c r="F153">
        <f t="shared" si="9"/>
        <v>1374.3980002166338</v>
      </c>
      <c r="G153">
        <f t="shared" si="10"/>
        <v>1.3176865985955839E-5</v>
      </c>
      <c r="H153">
        <f t="shared" si="11"/>
        <v>3.2980934430379125E-2</v>
      </c>
      <c r="I153">
        <f t="shared" si="12"/>
        <v>3437613.2791239922</v>
      </c>
    </row>
    <row r="154" spans="1:9" x14ac:dyDescent="0.3">
      <c r="A154" t="s">
        <v>13702</v>
      </c>
      <c r="B154">
        <v>104279287.32126001</v>
      </c>
      <c r="C154">
        <v>0.99977441706515002</v>
      </c>
      <c r="D154">
        <v>1.4054440798708301</v>
      </c>
      <c r="E154">
        <v>146523360.128613</v>
      </c>
      <c r="F154">
        <f t="shared" si="9"/>
        <v>1056.5461205795996</v>
      </c>
      <c r="G154">
        <f t="shared" si="10"/>
        <v>1.0129457862039184E-5</v>
      </c>
      <c r="H154">
        <f t="shared" si="11"/>
        <v>3.1521042552721985E-3</v>
      </c>
      <c r="I154">
        <f t="shared" si="12"/>
        <v>330607.83973280946</v>
      </c>
    </row>
    <row r="155" spans="1:9" x14ac:dyDescent="0.3">
      <c r="A155" t="s">
        <v>13791</v>
      </c>
      <c r="B155">
        <v>104285891.99478599</v>
      </c>
      <c r="C155">
        <v>0.99971109897391397</v>
      </c>
      <c r="D155">
        <v>1.39643812383043</v>
      </c>
      <c r="E155">
        <v>145587195.62204501</v>
      </c>
      <c r="F155">
        <f t="shared" si="9"/>
        <v>4670.2094377501262</v>
      </c>
      <c r="G155">
        <f t="shared" si="10"/>
        <v>4.4772651684801681E-5</v>
      </c>
      <c r="H155">
        <f t="shared" si="11"/>
        <v>6.3681725872348658E-3</v>
      </c>
      <c r="I155">
        <f t="shared" si="12"/>
        <v>661968.27090038022</v>
      </c>
    </row>
    <row r="156" spans="1:9" x14ac:dyDescent="0.3">
      <c r="A156" t="s">
        <v>13881</v>
      </c>
      <c r="B156">
        <v>104284526.42562699</v>
      </c>
      <c r="C156">
        <v>0.99972418983879197</v>
      </c>
      <c r="D156">
        <v>1.39603216558313</v>
      </c>
      <c r="E156">
        <v>145545419.822689</v>
      </c>
      <c r="F156">
        <f t="shared" si="9"/>
        <v>965.60321250889706</v>
      </c>
      <c r="G156">
        <f t="shared" si="10"/>
        <v>9.2566393268277309E-6</v>
      </c>
      <c r="H156">
        <f t="shared" si="11"/>
        <v>2.8705582954439469E-4</v>
      </c>
      <c r="I156">
        <f t="shared" si="12"/>
        <v>29539.951014125774</v>
      </c>
    </row>
    <row r="157" spans="1:9" x14ac:dyDescent="0.3">
      <c r="A157" t="s">
        <v>13971</v>
      </c>
      <c r="B157">
        <v>104281571.776199</v>
      </c>
      <c r="C157">
        <v>0.999752515404421</v>
      </c>
      <c r="D157">
        <v>1.3958442321425899</v>
      </c>
      <c r="E157">
        <v>145526650.30066401</v>
      </c>
      <c r="F157">
        <f t="shared" si="9"/>
        <v>2089.2526465642791</v>
      </c>
      <c r="G157">
        <f t="shared" si="10"/>
        <v>2.0029199537238296E-5</v>
      </c>
      <c r="H157">
        <f t="shared" si="11"/>
        <v>1.3288901021764714E-4</v>
      </c>
      <c r="I157">
        <f t="shared" si="12"/>
        <v>13272.056303500072</v>
      </c>
    </row>
    <row r="158" spans="1:9" x14ac:dyDescent="0.3">
      <c r="A158" t="s">
        <v>14061</v>
      </c>
      <c r="B158">
        <v>104276242.85279199</v>
      </c>
      <c r="C158">
        <v>0.99980360666389601</v>
      </c>
      <c r="D158">
        <v>1.3900666790031599</v>
      </c>
      <c r="E158">
        <v>144922737.15388101</v>
      </c>
      <c r="F158">
        <f t="shared" si="9"/>
        <v>3768.1178775157423</v>
      </c>
      <c r="G158">
        <f t="shared" si="10"/>
        <v>3.6126976034134055E-5</v>
      </c>
      <c r="H158">
        <f t="shared" si="11"/>
        <v>4.0853470035565505E-3</v>
      </c>
      <c r="I158">
        <f t="shared" si="12"/>
        <v>427031.08133796207</v>
      </c>
    </row>
    <row r="159" spans="1:9" x14ac:dyDescent="0.3">
      <c r="A159" t="s">
        <v>14151</v>
      </c>
      <c r="B159">
        <v>104275451.124029</v>
      </c>
      <c r="C159">
        <v>0.99981119783962202</v>
      </c>
      <c r="D159">
        <v>1.3884625696067701</v>
      </c>
      <c r="E159">
        <v>144756471.70909199</v>
      </c>
      <c r="F159">
        <f t="shared" si="9"/>
        <v>559.836777177155</v>
      </c>
      <c r="G159">
        <f t="shared" si="10"/>
        <v>5.3677718330462576E-6</v>
      </c>
      <c r="H159">
        <f t="shared" si="11"/>
        <v>1.1342766319523477E-3</v>
      </c>
      <c r="I159">
        <f t="shared" si="12"/>
        <v>117567.42348731513</v>
      </c>
    </row>
    <row r="160" spans="1:9" x14ac:dyDescent="0.3">
      <c r="A160" t="s">
        <v>14241</v>
      </c>
      <c r="B160">
        <v>104271849.206508</v>
      </c>
      <c r="C160">
        <v>0.99984573484552097</v>
      </c>
      <c r="D160">
        <v>1.38764068346909</v>
      </c>
      <c r="E160">
        <v>144668173.20222601</v>
      </c>
      <c r="F160">
        <f t="shared" si="9"/>
        <v>2546.9403043736738</v>
      </c>
      <c r="G160">
        <f t="shared" si="10"/>
        <v>2.4421351073026734E-5</v>
      </c>
      <c r="H160">
        <f t="shared" si="11"/>
        <v>5.8116126131680745E-4</v>
      </c>
      <c r="I160">
        <f t="shared" si="12"/>
        <v>62436.472973580137</v>
      </c>
    </row>
    <row r="161" spans="1:9" x14ac:dyDescent="0.3">
      <c r="A161" t="s">
        <v>14330</v>
      </c>
      <c r="B161">
        <v>104275799.459149</v>
      </c>
      <c r="C161">
        <v>0.99980785795293503</v>
      </c>
      <c r="D161">
        <v>1.3662959014015199</v>
      </c>
      <c r="E161">
        <v>142445026.09361601</v>
      </c>
      <c r="F161">
        <f t="shared" si="9"/>
        <v>2793.2504298563335</v>
      </c>
      <c r="G161">
        <f t="shared" si="10"/>
        <v>2.6783007597793943E-5</v>
      </c>
      <c r="H161">
        <f t="shared" si="11"/>
        <v>1.509304014292781E-2</v>
      </c>
      <c r="I161">
        <f t="shared" si="12"/>
        <v>1572002.3960734</v>
      </c>
    </row>
    <row r="162" spans="1:9" x14ac:dyDescent="0.3">
      <c r="A162" t="s">
        <v>14420</v>
      </c>
      <c r="B162">
        <v>104273485.16309001</v>
      </c>
      <c r="C162">
        <v>0.99983004817111198</v>
      </c>
      <c r="D162">
        <v>1.37283834553694</v>
      </c>
      <c r="E162">
        <v>143126642.54582399</v>
      </c>
      <c r="F162">
        <f t="shared" si="9"/>
        <v>1636.4544369904429</v>
      </c>
      <c r="G162">
        <f t="shared" si="10"/>
        <v>1.5690853748933156E-5</v>
      </c>
      <c r="H162">
        <f t="shared" si="11"/>
        <v>4.6262066136896728E-3</v>
      </c>
      <c r="I162">
        <f t="shared" si="12"/>
        <v>481975.6155245807</v>
      </c>
    </row>
    <row r="163" spans="1:9" x14ac:dyDescent="0.3">
      <c r="A163" t="s">
        <v>14510</v>
      </c>
      <c r="B163">
        <v>104272524.374736</v>
      </c>
      <c r="C163">
        <v>0.99983926080955399</v>
      </c>
      <c r="D163">
        <v>1.38028131006754</v>
      </c>
      <c r="E163">
        <v>143903839.01653901</v>
      </c>
      <c r="F163">
        <f t="shared" si="9"/>
        <v>679.37996040510086</v>
      </c>
      <c r="G163">
        <f t="shared" si="10"/>
        <v>6.5143191149595919E-6</v>
      </c>
      <c r="H163">
        <f t="shared" si="11"/>
        <v>5.2629706917182119E-3</v>
      </c>
      <c r="I163">
        <f t="shared" si="12"/>
        <v>549560.89475683996</v>
      </c>
    </row>
    <row r="164" spans="1:9" x14ac:dyDescent="0.3">
      <c r="A164" t="s">
        <v>14599</v>
      </c>
      <c r="B164">
        <v>104268028.222399</v>
      </c>
      <c r="C164">
        <v>0.99988237498084398</v>
      </c>
      <c r="D164">
        <v>1.3846655219220501</v>
      </c>
      <c r="E164">
        <v>144357901.46796799</v>
      </c>
      <c r="F164">
        <f t="shared" si="9"/>
        <v>3179.2598067402837</v>
      </c>
      <c r="G164">
        <f t="shared" si="10"/>
        <v>3.0486322884392376E-5</v>
      </c>
      <c r="H164">
        <f t="shared" si="11"/>
        <v>3.1001059324825414E-3</v>
      </c>
      <c r="I164">
        <f t="shared" si="12"/>
        <v>321070.63848761888</v>
      </c>
    </row>
    <row r="165" spans="1:9" x14ac:dyDescent="0.3">
      <c r="A165" t="s">
        <v>14689</v>
      </c>
      <c r="B165">
        <v>104272247.218536</v>
      </c>
      <c r="C165">
        <v>0.99984191838774406</v>
      </c>
      <c r="D165">
        <v>1.3807583891992301</v>
      </c>
      <c r="E165">
        <v>143952453.57542199</v>
      </c>
      <c r="F165">
        <f t="shared" si="9"/>
        <v>2983.2807782782552</v>
      </c>
      <c r="G165">
        <f t="shared" si="10"/>
        <v>2.8607131324661539E-5</v>
      </c>
      <c r="H165">
        <f t="shared" si="11"/>
        <v>2.7627600433018464E-3</v>
      </c>
      <c r="I165">
        <f t="shared" si="12"/>
        <v>286694.95423706988</v>
      </c>
    </row>
    <row r="166" spans="1:9" x14ac:dyDescent="0.3">
      <c r="A166" t="s">
        <v>14778</v>
      </c>
      <c r="B166">
        <v>104270998.95876101</v>
      </c>
      <c r="C166">
        <v>0.99985388779880502</v>
      </c>
      <c r="D166">
        <v>1.3878877855582401</v>
      </c>
      <c r="E166">
        <v>144697229.58950901</v>
      </c>
      <c r="F166">
        <f t="shared" si="9"/>
        <v>882.65295158335982</v>
      </c>
      <c r="G166">
        <f t="shared" si="10"/>
        <v>8.4636517280166368E-6</v>
      </c>
      <c r="H166">
        <f t="shared" si="11"/>
        <v>5.0412445112226513E-3</v>
      </c>
      <c r="I166">
        <f t="shared" si="12"/>
        <v>526636.1700260205</v>
      </c>
    </row>
    <row r="167" spans="1:9" x14ac:dyDescent="0.3">
      <c r="A167" t="s">
        <v>14868</v>
      </c>
      <c r="B167">
        <v>104265440.93550199</v>
      </c>
      <c r="C167">
        <v>0.99990718648640098</v>
      </c>
      <c r="D167">
        <v>1.3847977706225501</v>
      </c>
      <c r="E167">
        <v>144375514.282967</v>
      </c>
      <c r="F167">
        <f t="shared" si="9"/>
        <v>3930.1159364412774</v>
      </c>
      <c r="G167">
        <f t="shared" si="10"/>
        <v>3.7687863427446335E-5</v>
      </c>
      <c r="H167">
        <f t="shared" si="11"/>
        <v>2.1849705149941515E-3</v>
      </c>
      <c r="I167">
        <f t="shared" si="12"/>
        <v>227487.0748673635</v>
      </c>
    </row>
    <row r="168" spans="1:9" x14ac:dyDescent="0.3">
      <c r="A168" t="s">
        <v>14958</v>
      </c>
      <c r="B168">
        <v>104258629.923063</v>
      </c>
      <c r="C168">
        <v>0.99997250846780406</v>
      </c>
      <c r="D168">
        <v>1.3658483065546101</v>
      </c>
      <c r="E168">
        <v>142396558.00212401</v>
      </c>
      <c r="F168">
        <f t="shared" si="9"/>
        <v>4816.1130823611475</v>
      </c>
      <c r="G168">
        <f t="shared" si="10"/>
        <v>4.6189616010657287E-5</v>
      </c>
      <c r="H168">
        <f t="shared" si="11"/>
        <v>1.3399294542291166E-2</v>
      </c>
      <c r="I168">
        <f t="shared" si="12"/>
        <v>1399333.4058557879</v>
      </c>
    </row>
    <row r="169" spans="1:9" x14ac:dyDescent="0.3">
      <c r="A169" t="s">
        <v>15048</v>
      </c>
      <c r="B169">
        <v>104261508.425736</v>
      </c>
      <c r="C169">
        <v>0.99994490073814302</v>
      </c>
      <c r="D169">
        <v>1.35959696959042</v>
      </c>
      <c r="E169">
        <v>141745615.600438</v>
      </c>
      <c r="F169">
        <f t="shared" si="9"/>
        <v>2035.4087597419721</v>
      </c>
      <c r="G169">
        <f t="shared" si="10"/>
        <v>1.9521612856485563E-5</v>
      </c>
      <c r="H169">
        <f t="shared" si="11"/>
        <v>4.4203627588609547E-3</v>
      </c>
      <c r="I169">
        <f t="shared" si="12"/>
        <v>460285.78639403713</v>
      </c>
    </row>
    <row r="170" spans="1:9" x14ac:dyDescent="0.3">
      <c r="A170" t="s">
        <v>15137</v>
      </c>
      <c r="B170">
        <v>104262097.58884101</v>
      </c>
      <c r="C170">
        <v>0.99993925026058605</v>
      </c>
      <c r="D170">
        <v>1.3646898749740899</v>
      </c>
      <c r="E170">
        <v>142276389.03442499</v>
      </c>
      <c r="F170">
        <f t="shared" si="9"/>
        <v>416.60122677819044</v>
      </c>
      <c r="G170">
        <f t="shared" si="10"/>
        <v>3.9954909974703188E-6</v>
      </c>
      <c r="H170">
        <f t="shared" si="11"/>
        <v>3.6012279327344693E-3</v>
      </c>
      <c r="I170">
        <f t="shared" si="12"/>
        <v>375313.49444587214</v>
      </c>
    </row>
    <row r="171" spans="1:9" x14ac:dyDescent="0.3">
      <c r="A171" t="s">
        <v>15227</v>
      </c>
      <c r="B171">
        <v>104263238.087327</v>
      </c>
      <c r="C171">
        <v>0.9999283122807</v>
      </c>
      <c r="D171">
        <v>1.3803999058904</v>
      </c>
      <c r="E171">
        <v>143912542.163984</v>
      </c>
      <c r="F171">
        <f t="shared" si="9"/>
        <v>806.45421338169513</v>
      </c>
      <c r="G171">
        <f t="shared" si="10"/>
        <v>7.7343197499078958E-6</v>
      </c>
      <c r="H171">
        <f t="shared" si="11"/>
        <v>1.110866939357316E-2</v>
      </c>
      <c r="I171">
        <f t="shared" si="12"/>
        <v>1156934.9729707679</v>
      </c>
    </row>
    <row r="172" spans="1:9" x14ac:dyDescent="0.3">
      <c r="A172" t="s">
        <v>15317</v>
      </c>
      <c r="B172">
        <v>104269291.06752101</v>
      </c>
      <c r="C172">
        <v>0.99987026502433995</v>
      </c>
      <c r="D172">
        <v>1.4093659767012201</v>
      </c>
      <c r="E172">
        <v>146934226.61849999</v>
      </c>
      <c r="F172">
        <f t="shared" si="9"/>
        <v>4280.1033415669544</v>
      </c>
      <c r="G172">
        <f t="shared" si="10"/>
        <v>4.1045608601465174E-5</v>
      </c>
      <c r="H172">
        <f t="shared" si="11"/>
        <v>2.0482105094660641E-2</v>
      </c>
      <c r="I172">
        <f t="shared" si="12"/>
        <v>2136653.568394233</v>
      </c>
    </row>
    <row r="173" spans="1:9" x14ac:dyDescent="0.3">
      <c r="A173" t="s">
        <v>15406</v>
      </c>
      <c r="B173">
        <v>104270156.44963901</v>
      </c>
      <c r="C173">
        <v>0.99986196667822202</v>
      </c>
      <c r="D173">
        <v>1.4029599989117201</v>
      </c>
      <c r="E173">
        <v>146266548.575387</v>
      </c>
      <c r="F173">
        <f t="shared" si="9"/>
        <v>611.9175639564944</v>
      </c>
      <c r="G173">
        <f t="shared" si="10"/>
        <v>5.8678168126212152E-6</v>
      </c>
      <c r="H173">
        <f t="shared" si="11"/>
        <v>4.5297103350858793E-3</v>
      </c>
      <c r="I173">
        <f t="shared" si="12"/>
        <v>472119.67193456157</v>
      </c>
    </row>
    <row r="174" spans="1:9" x14ac:dyDescent="0.3">
      <c r="A174" t="s">
        <v>15496</v>
      </c>
      <c r="B174">
        <v>104270493.65493301</v>
      </c>
      <c r="C174">
        <v>0.99985873317719598</v>
      </c>
      <c r="D174">
        <v>1.4113273304024601</v>
      </c>
      <c r="E174">
        <v>147138131.72346899</v>
      </c>
      <c r="F174">
        <f t="shared" si="9"/>
        <v>238.44015003807561</v>
      </c>
      <c r="G174">
        <f t="shared" si="10"/>
        <v>2.2864305024903331E-6</v>
      </c>
      <c r="H174">
        <f t="shared" si="11"/>
        <v>5.9165968375379848E-3</v>
      </c>
      <c r="I174">
        <f t="shared" si="12"/>
        <v>616302.35437669256</v>
      </c>
    </row>
    <row r="175" spans="1:9" x14ac:dyDescent="0.3">
      <c r="A175" t="s">
        <v>15585</v>
      </c>
      <c r="B175">
        <v>104273011.607943</v>
      </c>
      <c r="C175">
        <v>0.99983458889222698</v>
      </c>
      <c r="D175">
        <v>1.41548986214643</v>
      </c>
      <c r="E175">
        <v>147572338.917045</v>
      </c>
      <c r="F175">
        <f t="shared" si="9"/>
        <v>1780.4616480750144</v>
      </c>
      <c r="G175">
        <f t="shared" si="10"/>
        <v>1.7072587628477902E-5</v>
      </c>
      <c r="H175">
        <f t="shared" si="11"/>
        <v>2.9433544230654286E-3</v>
      </c>
      <c r="I175">
        <f t="shared" si="12"/>
        <v>307030.85101757525</v>
      </c>
    </row>
    <row r="176" spans="1:9" x14ac:dyDescent="0.3">
      <c r="A176" t="s">
        <v>15674</v>
      </c>
      <c r="B176">
        <v>104274845.094598</v>
      </c>
      <c r="C176">
        <v>0.99981700858918898</v>
      </c>
      <c r="D176">
        <v>1.4494446246069099</v>
      </c>
      <c r="E176">
        <v>151113205.76672301</v>
      </c>
      <c r="F176">
        <f t="shared" si="9"/>
        <v>1296.4708469633281</v>
      </c>
      <c r="G176">
        <f t="shared" si="10"/>
        <v>1.2431151493484702E-5</v>
      </c>
      <c r="H176">
        <f t="shared" si="11"/>
        <v>2.4009642789383761E-2</v>
      </c>
      <c r="I176">
        <f t="shared" si="12"/>
        <v>2503770.9606859684</v>
      </c>
    </row>
    <row r="177" spans="1:9" x14ac:dyDescent="0.3">
      <c r="A177" t="s">
        <v>15763</v>
      </c>
      <c r="B177">
        <v>104274127.89426801</v>
      </c>
      <c r="C177">
        <v>0.99982388535817301</v>
      </c>
      <c r="D177">
        <v>1.44193385334546</v>
      </c>
      <c r="E177">
        <v>150329343.07372901</v>
      </c>
      <c r="F177">
        <f t="shared" si="9"/>
        <v>507.13721680458929</v>
      </c>
      <c r="G177">
        <f t="shared" si="10"/>
        <v>4.8626099812624306E-6</v>
      </c>
      <c r="H177">
        <f t="shared" si="11"/>
        <v>5.3109172909122952E-3</v>
      </c>
      <c r="I177">
        <f t="shared" si="12"/>
        <v>554274.62573520525</v>
      </c>
    </row>
    <row r="178" spans="1:9" x14ac:dyDescent="0.3">
      <c r="A178" t="s">
        <v>15853</v>
      </c>
      <c r="B178">
        <v>104275761.330704</v>
      </c>
      <c r="C178">
        <v>0.99980822353280596</v>
      </c>
      <c r="D178">
        <v>1.42283349793717</v>
      </c>
      <c r="E178">
        <v>148337970.905395</v>
      </c>
      <c r="F178">
        <f t="shared" si="9"/>
        <v>1155.0139805310084</v>
      </c>
      <c r="G178">
        <f t="shared" si="10"/>
        <v>1.1074582922802402E-5</v>
      </c>
      <c r="H178">
        <f t="shared" si="11"/>
        <v>1.3505990832275024E-2</v>
      </c>
      <c r="I178">
        <f t="shared" si="12"/>
        <v>1408112.7640951355</v>
      </c>
    </row>
    <row r="179" spans="1:9" x14ac:dyDescent="0.3">
      <c r="A179" t="s">
        <v>15943</v>
      </c>
      <c r="B179">
        <v>104277542.27848899</v>
      </c>
      <c r="C179">
        <v>0.99979114788831103</v>
      </c>
      <c r="D179">
        <v>1.4407922856087501</v>
      </c>
      <c r="E179">
        <v>150210722.00061899</v>
      </c>
      <c r="F179">
        <f t="shared" si="9"/>
        <v>1259.3202557056416</v>
      </c>
      <c r="G179">
        <f t="shared" si="10"/>
        <v>1.2074304015499227E-5</v>
      </c>
      <c r="H179">
        <f t="shared" si="11"/>
        <v>1.2698780544463658E-2</v>
      </c>
      <c r="I179">
        <f t="shared" si="12"/>
        <v>1324234.9989074194</v>
      </c>
    </row>
    <row r="180" spans="1:9" x14ac:dyDescent="0.3">
      <c r="A180" t="s">
        <v>16032</v>
      </c>
      <c r="B180">
        <v>104278052.627114</v>
      </c>
      <c r="C180">
        <v>0.99978625479695804</v>
      </c>
      <c r="D180">
        <v>1.4523870698585</v>
      </c>
      <c r="E180">
        <v>151418996.597592</v>
      </c>
      <c r="F180">
        <f t="shared" si="9"/>
        <v>360.87097350976495</v>
      </c>
      <c r="G180">
        <f t="shared" si="10"/>
        <v>3.4599380766620445E-6</v>
      </c>
      <c r="H180">
        <f t="shared" si="11"/>
        <v>8.198750569393138E-3</v>
      </c>
      <c r="I180">
        <f t="shared" si="12"/>
        <v>854379.16105505242</v>
      </c>
    </row>
    <row r="181" spans="1:9" x14ac:dyDescent="0.3">
      <c r="A181" t="s">
        <v>16121</v>
      </c>
      <c r="B181">
        <v>104280133.387758</v>
      </c>
      <c r="C181">
        <v>0.99976630549478696</v>
      </c>
      <c r="D181">
        <v>1.44657412120316</v>
      </c>
      <c r="E181">
        <v>150814038.30929801</v>
      </c>
      <c r="F181">
        <f t="shared" si="9"/>
        <v>1471.3199614011387</v>
      </c>
      <c r="G181">
        <f t="shared" si="10"/>
        <v>1.4106286845113744E-5</v>
      </c>
      <c r="H181">
        <f t="shared" si="11"/>
        <v>4.1103754128801288E-3</v>
      </c>
      <c r="I181">
        <f t="shared" si="12"/>
        <v>427770.10798768495</v>
      </c>
    </row>
    <row r="182" spans="1:9" x14ac:dyDescent="0.3">
      <c r="A182" t="s">
        <v>16209</v>
      </c>
      <c r="B182">
        <f>MIN($B$2:B181)</f>
        <v>100000000</v>
      </c>
      <c r="C182">
        <f>MIN($C$2:C181)</f>
        <v>0.999688290530102</v>
      </c>
      <c r="D182">
        <f>MIN($D$2:D181)</f>
        <v>1.3081364420792101</v>
      </c>
      <c r="E182">
        <f>MIN($E$2:E181)</f>
        <v>134729281.508331</v>
      </c>
    </row>
    <row r="183" spans="1:9" x14ac:dyDescent="0.3">
      <c r="A183" t="s">
        <v>16210</v>
      </c>
      <c r="B183">
        <f>MAX($B$2:B181)</f>
        <v>104286995.3493</v>
      </c>
      <c r="C183">
        <f>MAX($C$2:C181)</f>
        <v>1</v>
      </c>
      <c r="D183">
        <f>MAX($D$2:D181)</f>
        <v>1.54138358943454</v>
      </c>
      <c r="E183">
        <f>MAX($E$2:E181)</f>
        <v>156382928.81406599</v>
      </c>
    </row>
    <row r="184" spans="1:9" x14ac:dyDescent="0.3">
      <c r="A184" t="s">
        <v>16211</v>
      </c>
      <c r="B184">
        <f>AVERAGE($B$2:B181)</f>
        <v>103291389.18646075</v>
      </c>
      <c r="C184">
        <f>AVERAGE($C$2:C181)</f>
        <v>0.99983695440223752</v>
      </c>
      <c r="D184">
        <f>AVERAGE($D$2:D181)</f>
        <v>1.424746500216022</v>
      </c>
      <c r="E184" s="3">
        <f>AVERAGE($E$2:E181)</f>
        <v>147138135.60752615</v>
      </c>
    </row>
    <row r="185" spans="1:9" x14ac:dyDescent="0.3">
      <c r="A185" t="s">
        <v>16212</v>
      </c>
      <c r="B185">
        <f>AVERAGE($F$2:F181)</f>
        <v>18240.521156091847</v>
      </c>
      <c r="C185">
        <f>AVERAGE($G$2:G181)</f>
        <v>1.3973165331104947E-5</v>
      </c>
      <c r="D185">
        <f>AVERAGE($H$2:H181)</f>
        <v>6.1528751339166342E-3</v>
      </c>
      <c r="E185" s="3">
        <f>AVERAGE($I$2:I181)</f>
        <v>613829.01177059964</v>
      </c>
    </row>
    <row r="186" spans="1:9" x14ac:dyDescent="0.3">
      <c r="A186" t="s">
        <v>16213</v>
      </c>
      <c r="B186">
        <f>-1.96*B185</f>
        <v>-35751.421465940017</v>
      </c>
      <c r="C186">
        <f>-1.96*C185</f>
        <v>-2.7387404048965696E-5</v>
      </c>
      <c r="D186">
        <f t="shared" ref="D186:E186" si="13">-1.96*D185</f>
        <v>-1.2059635262476602E-2</v>
      </c>
      <c r="E186" s="3">
        <f t="shared" si="13"/>
        <v>-1203104.8630703753</v>
      </c>
    </row>
    <row r="187" spans="1:9" x14ac:dyDescent="0.3">
      <c r="B187">
        <f>B186/B184</f>
        <v>-3.4612199281589532E-4</v>
      </c>
      <c r="C187">
        <f>C186/C184</f>
        <v>-2.7391870172811854E-5</v>
      </c>
      <c r="D187">
        <f t="shared" ref="D187:E187" si="14">D186/D184</f>
        <v>-8.4644077108791665E-3</v>
      </c>
      <c r="E187">
        <f t="shared" si="14"/>
        <v>-8.1767031918870952E-3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test_180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u3546092@connect.hku.hk</cp:lastModifiedBy>
  <dcterms:created xsi:type="dcterms:W3CDTF">2026-02-21T11:54:32Z</dcterms:created>
  <dcterms:modified xsi:type="dcterms:W3CDTF">2026-02-21T15:08:54Z</dcterms:modified>
</cp:coreProperties>
</file>