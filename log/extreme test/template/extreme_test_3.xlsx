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mile\Documents\DApps Upgrade\dapp_web3\log\extreme test\template\"/>
    </mc:Choice>
  </mc:AlternateContent>
  <xr:revisionPtr revIDLastSave="0" documentId="13_ncr:1_{B9A3983D-FE29-4A07-A6E4-2584546CC212}" xr6:coauthVersionLast="47" xr6:coauthVersionMax="47" xr10:uidLastSave="{00000000-0000-0000-0000-000000000000}"/>
  <bookViews>
    <workbookView xWindow="1248" yWindow="2628" windowWidth="17280" windowHeight="8880" activeTab="1" xr2:uid="{31EA7D52-A814-4E3D-B842-0A7CF44EEFA0}"/>
  </bookViews>
  <sheets>
    <sheet name="extreme_test_3" sheetId="1" r:id="rId1"/>
    <sheet name="Sheet1" sheetId="2" r:id="rId2"/>
  </sheets>
  <definedNames>
    <definedName name="_xlnm._FilterDatabase" localSheetId="0" hidden="1">extreme_test_3!$A$1:$D$200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2" l="1"/>
  <c r="B7" i="2"/>
  <c r="E3" i="2"/>
  <c r="C8" i="2" s="1"/>
  <c r="C9" i="2" s="1"/>
  <c r="E4" i="2"/>
  <c r="D4" i="2"/>
  <c r="D3" i="2"/>
  <c r="C6" i="2"/>
  <c r="B6" i="2"/>
  <c r="C5" i="2"/>
  <c r="B5" i="2"/>
  <c r="C10" i="2" l="1"/>
  <c r="B8" i="2"/>
  <c r="B9" i="2" s="1"/>
  <c r="B10" i="2" s="1"/>
</calcChain>
</file>

<file path=xl/sharedStrings.xml><?xml version="1.0" encoding="utf-8"?>
<sst xmlns="http://schemas.openxmlformats.org/spreadsheetml/2006/main" count="493" uniqueCount="321">
  <si>
    <t>string</t>
  </si>
  <si>
    <t>name</t>
  </si>
  <si>
    <t>value</t>
  </si>
  <si>
    <t xml:space="preserve">date is: 2021-04-15 00:00:00
</t>
  </si>
  <si>
    <t>date is</t>
  </si>
  <si>
    <t xml:space="preserve"> 2021-04-15 00</t>
  </si>
  <si>
    <t>current price of gold is: 1763.95</t>
  </si>
  <si>
    <t>current price of gold is</t>
  </si>
  <si>
    <t xml:space="preserve"> predicted price of gold is: 1758.1693600763613</t>
  </si>
  <si>
    <t xml:space="preserve"> predicted price of gold is</t>
  </si>
  <si>
    <t xml:space="preserve">profit is: -5.780639923638773
</t>
  </si>
  <si>
    <t>profit is</t>
  </si>
  <si>
    <t xml:space="preserve"> -5.780639923638773
</t>
  </si>
  <si>
    <t>current price of tb is: 98.171875</t>
  </si>
  <si>
    <t>current price of tb is</t>
  </si>
  <si>
    <t xml:space="preserve"> current price of tb option is: 4.377155083755464</t>
  </si>
  <si>
    <t xml:space="preserve"> current price of tb option is</t>
  </si>
  <si>
    <t>predicted price of tb is: 98.29958142869333</t>
  </si>
  <si>
    <t>predicted price of tb is</t>
  </si>
  <si>
    <t xml:space="preserve">profit is: 4.504861512448798
</t>
  </si>
  <si>
    <t xml:space="preserve"> 4.504861512448798
</t>
  </si>
  <si>
    <t>current price of reit is: 74.6</t>
  </si>
  <si>
    <t>current price of reit is</t>
  </si>
  <si>
    <t xml:space="preserve"> current price of reit option is: 5.849266631240951</t>
  </si>
  <si>
    <t xml:space="preserve"> current price of reit option is</t>
  </si>
  <si>
    <t>predicted price of reit is: 75.00639785290741</t>
  </si>
  <si>
    <t>predicted price of reit is</t>
  </si>
  <si>
    <t xml:space="preserve">profit is: 6.255664484148369
</t>
  </si>
  <si>
    <t xml:space="preserve"> 6.255664484148369
</t>
  </si>
  <si>
    <t>value_ratio_tb_to_total is: 0.9046113598684401</t>
  </si>
  <si>
    <t>value_ratio_tb_to_total is</t>
  </si>
  <si>
    <t xml:space="preserve"> risk_ratio_tb_to_gold is: 0.19219445078946676
</t>
  </si>
  <si>
    <t xml:space="preserve"> risk_ratio_tb_to_gold is</t>
  </si>
  <si>
    <t xml:space="preserve"> 0.19219445078946676
</t>
  </si>
  <si>
    <t>value_ratio_gold_to_total is: -1.1607976244735008</t>
  </si>
  <si>
    <t>value_ratio_gold_to_total is</t>
  </si>
  <si>
    <t xml:space="preserve"> risk_ratio_gold_to_total is: 0.7158090756036873
</t>
  </si>
  <si>
    <t xml:space="preserve"> risk_ratio_gold_to_total is</t>
  </si>
  <si>
    <t xml:space="preserve"> 0.7158090756036873
</t>
  </si>
  <si>
    <t>value_ratio_reit_to_total is: 1.2561862646050606</t>
  </si>
  <si>
    <t>value_ratio_reit_to_total is</t>
  </si>
  <si>
    <t xml:space="preserve"> risk_ratio_reit_to_gold is: 0.20482611528345765
</t>
  </si>
  <si>
    <t xml:space="preserve"> risk_ratio_reit_to_gold is</t>
  </si>
  <si>
    <t xml:space="preserve"> 0.20482611528345765
</t>
  </si>
  <si>
    <t>average_risk_gold is: 0.008436751755023914</t>
  </si>
  <si>
    <t>average_risk_gold is</t>
  </si>
  <si>
    <t xml:space="preserve"> average_risk_tb is: 1.4690208631777806</t>
  </si>
  <si>
    <t xml:space="preserve"> average_risk_tb is</t>
  </si>
  <si>
    <t xml:space="preserve"> average_risk_reit is: 1.5655698457426381
</t>
  </si>
  <si>
    <t xml:space="preserve"> average_risk_reit is</t>
  </si>
  <si>
    <t xml:space="preserve"> 1.5655698457426381
</t>
  </si>
  <si>
    <t xml:space="preserve">collateral_ratio_tranche_tb is: 0.4
</t>
  </si>
  <si>
    <t>collateral_ratio_tranche_tb is</t>
  </si>
  <si>
    <t xml:space="preserve"> 0.4
</t>
  </si>
  <si>
    <t xml:space="preserve">collateral_ratio_tranche_gold is: 0.8
</t>
  </si>
  <si>
    <t>collateral_ratio_tranche_gold is</t>
  </si>
  <si>
    <t xml:space="preserve"> 0.8
</t>
  </si>
  <si>
    <t xml:space="preserve">collateral_ratio_tranche_reit is: 0.3
</t>
  </si>
  <si>
    <t>collateral_ratio_tranche_reit is</t>
  </si>
  <si>
    <t xml:space="preserve"> 0.3
</t>
  </si>
  <si>
    <t>Total plot size is: 150000000.0</t>
  </si>
  <si>
    <t>Total plot size is</t>
  </si>
  <si>
    <t xml:space="preserve"> plot size of gold is: 80000000.0</t>
  </si>
  <si>
    <t xml:space="preserve"> plot size of gold is</t>
  </si>
  <si>
    <t xml:space="preserve"> plot size of TB is: 40000000.0</t>
  </si>
  <si>
    <t xml:space="preserve"> plot size of TB is</t>
  </si>
  <si>
    <t xml:space="preserve"> plot size of REIT is: 30000000.0
</t>
  </si>
  <si>
    <t xml:space="preserve"> plot size of REIT is</t>
  </si>
  <si>
    <t xml:space="preserve"> 30000000.0
</t>
  </si>
  <si>
    <t xml:space="preserve">collateral ratio is: 1.5
</t>
  </si>
  <si>
    <t>collateral ratio is</t>
  </si>
  <si>
    <t xml:space="preserve"> 1.5
</t>
  </si>
  <si>
    <t>S_gtbcps_0 is: 1.0</t>
  </si>
  <si>
    <t>S_gtbcps_0 is</t>
  </si>
  <si>
    <t>T is: 0.0027397260273972603</t>
  </si>
  <si>
    <t>T is</t>
  </si>
  <si>
    <t>t is: 0.0</t>
  </si>
  <si>
    <t>t is</t>
  </si>
  <si>
    <t>change_of_collaterals is: 0.0</t>
  </si>
  <si>
    <t>change_of_collaterals is</t>
  </si>
  <si>
    <t xml:space="preserve">stdev_gtbcps is: 0.008344480555503143
</t>
  </si>
  <si>
    <t>stdev_gtbcps is</t>
  </si>
  <si>
    <t xml:space="preserve"> 0.008344480555503143
</t>
  </si>
  <si>
    <t>predicted price of GTBCPS is: 1.0000132362926282</t>
  </si>
  <si>
    <t>predicted price of GTBCPS is</t>
  </si>
  <si>
    <t xml:space="preserve"> actual price is: 1.0
</t>
  </si>
  <si>
    <t xml:space="preserve"> actual price is</t>
  </si>
  <si>
    <t xml:space="preserve"> 1.0
</t>
  </si>
  <si>
    <t>predicted amount of GTBCPS is: 99998676.3882569</t>
  </si>
  <si>
    <t>predicted amount of GTBCPS is</t>
  </si>
  <si>
    <t xml:space="preserve"> actual amount is: 100000000
</t>
  </si>
  <si>
    <t xml:space="preserve"> actual amount is</t>
  </si>
  <si>
    <t xml:space="preserve"> 100000000
</t>
  </si>
  <si>
    <t>plot sizes of gold is: 80000000.0</t>
  </si>
  <si>
    <t>plot sizes of gold is</t>
  </si>
  <si>
    <t xml:space="preserve"> plot sizes of tb is: 40000000.0 </t>
  </si>
  <si>
    <t xml:space="preserve"> plot sizes of tb is</t>
  </si>
  <si>
    <t xml:space="preserve"> plot sizes of reit is: 30000000.0</t>
  </si>
  <si>
    <t xml:space="preserve"> plot sizes of reit is</t>
  </si>
  <si>
    <t xml:space="preserve"> plot sizes of total is: 150000000.0.
</t>
  </si>
  <si>
    <t xml:space="preserve"> plot sizes of total is</t>
  </si>
  <si>
    <t xml:space="preserve"> 150000000.0.
</t>
  </si>
  <si>
    <t>predicted stdevs of gold is: 0.009888504984690072</t>
  </si>
  <si>
    <t>predicted stdevs of gold is</t>
  </si>
  <si>
    <t xml:space="preserve"> predicted stdevs of tb is: 0.001621496870003891</t>
  </si>
  <si>
    <t xml:space="preserve"> predicted stdevs of tb is</t>
  </si>
  <si>
    <t xml:space="preserve"> predicted stdevs of reit is: 0.01319106032500367</t>
  </si>
  <si>
    <t xml:space="preserve"> predicted stdevs of reit is</t>
  </si>
  <si>
    <t xml:space="preserve"> predicted stdevs of GTBCPS is: 0.008344480555503143.
</t>
  </si>
  <si>
    <t xml:space="preserve"> predicted stdevs of GTBCPS is</t>
  </si>
  <si>
    <t xml:space="preserve"> 0.008344480555503143.
</t>
  </si>
  <si>
    <t>payout of tranche of gold is: 352.96313149461116</t>
  </si>
  <si>
    <t>payout of tranche of gold is</t>
  </si>
  <si>
    <t xml:space="preserve"> payout of tranche of Treausry Bill Option is: 69.0239012700573</t>
  </si>
  <si>
    <t xml:space="preserve"> payout of tranche of Treausry Bill Option is</t>
  </si>
  <si>
    <t xml:space="preserve"> payout of tranche of Collar of REIT is: 36.06498841360494
</t>
  </si>
  <si>
    <t xml:space="preserve"> payout of tranche of Collar of REIT is</t>
  </si>
  <si>
    <t xml:space="preserve"> 36.06498841360494
</t>
  </si>
  <si>
    <t>Collateral size of tranche of gold is: 80000352.96313149</t>
  </si>
  <si>
    <t>Collateral size of tranche of gold is</t>
  </si>
  <si>
    <t xml:space="preserve"> collateral size of tranche of Treausry Bill Option is: 40000069.02390127</t>
  </si>
  <si>
    <t xml:space="preserve"> collateral size of tranche of Treausry Bill Option is</t>
  </si>
  <si>
    <t xml:space="preserve"> collateral size of tranche of Collar of REIT is: 30000036.064988412
</t>
  </si>
  <si>
    <t xml:space="preserve"> collateral size of tranche of Collar of REIT is</t>
  </si>
  <si>
    <t xml:space="preserve"> 30000036.064988412
</t>
  </si>
  <si>
    <t>Collateral ratio of tranche of gold is: 0.8000035296313148</t>
  </si>
  <si>
    <t>Collateral ratio of tranche of gold is</t>
  </si>
  <si>
    <t xml:space="preserve"> collateral ratio of tranche of Treausry Bill Option is: 0.4000006902390127</t>
  </si>
  <si>
    <t xml:space="preserve"> collateral ratio of tranche of Treausry Bill Option is</t>
  </si>
  <si>
    <t xml:space="preserve"> collateral ratio of tranche of Collar of REIT is: 0.3000003606498841
</t>
  </si>
  <si>
    <t xml:space="preserve"> collateral ratio of tranche of Collar of REIT is</t>
  </si>
  <si>
    <t xml:space="preserve"> 0.3000003606498841
</t>
  </si>
  <si>
    <t xml:space="preserve"> predicted price of gold is: 1758.1693600763613
</t>
  </si>
  <si>
    <t xml:space="preserve"> 1758.1693600763613
</t>
  </si>
  <si>
    <t xml:space="preserve"> predicted price of tb is: 98.29958142869333
</t>
  </si>
  <si>
    <t xml:space="preserve"> predicted price of tb is</t>
  </si>
  <si>
    <t xml:space="preserve"> 98.29958142869333
</t>
  </si>
  <si>
    <t xml:space="preserve"> current price of reit option is: 5.851336801708172</t>
  </si>
  <si>
    <t xml:space="preserve"> predicted price of reit is: 75.14194798847392
</t>
  </si>
  <si>
    <t xml:space="preserve"> predicted price of reit is</t>
  </si>
  <si>
    <t xml:space="preserve"> 75.14194798847392
</t>
  </si>
  <si>
    <t>value_ratio_gold_to_total is: -1.1295813811525248</t>
  </si>
  <si>
    <t xml:space="preserve"> risk_ratio_to_gold is: 0.7160217810637556</t>
  </si>
  <si>
    <t xml:space="preserve"> risk_ratio_to_gold is</t>
  </si>
  <si>
    <t xml:space="preserve"> risk_ratio_to_gold_before is: 0.7158090756036873
</t>
  </si>
  <si>
    <t xml:space="preserve"> risk_ratio_to_gold_before is</t>
  </si>
  <si>
    <t>value_ratio_tb_to_total is: 0.8802844938194333</t>
  </si>
  <si>
    <t xml:space="preserve"> risk_ratio_tb_to_gold is: 0.19275493851566555</t>
  </si>
  <si>
    <t xml:space="preserve"> risk_ratio_tb_to_gold_before is: 0.19219445078946676
</t>
  </si>
  <si>
    <t xml:space="preserve"> risk_ratio_tb_to_gold_before is</t>
  </si>
  <si>
    <t>value_ratio_reit_to_total is: 1.2492968873330914</t>
  </si>
  <si>
    <t xml:space="preserve"> risk_ratio_reit_to_gold is: 0.20385062076544044</t>
  </si>
  <si>
    <t xml:space="preserve"> risk_ratio_reit_to_gold_before is: 0.20482611528345765
</t>
  </si>
  <si>
    <t xml:space="preserve"> risk_ratio_reit_to_gold_before is</t>
  </si>
  <si>
    <t>delta_gold is: 1.0</t>
  </si>
  <si>
    <t>delta_gold is</t>
  </si>
  <si>
    <t xml:space="preserve"> delta_tb is: 1.0</t>
  </si>
  <si>
    <t xml:space="preserve"> delta_tb is</t>
  </si>
  <si>
    <t xml:space="preserve"> delta_reit is: 1.0000257326207422
</t>
  </si>
  <si>
    <t xml:space="preserve"> delta_reit is</t>
  </si>
  <si>
    <t xml:space="preserve"> 1.0000257326207422
</t>
  </si>
  <si>
    <t>delta_gold_risk is: 1.0001239680236527</t>
  </si>
  <si>
    <t>delta_gold_risk is</t>
  </si>
  <si>
    <t xml:space="preserve"> delta_tb_risk is: 1.000470131131568</t>
  </si>
  <si>
    <t xml:space="preserve"> delta_tb_risk is</t>
  </si>
  <si>
    <t xml:space="preserve"> delta_reit_risk is: 0.9991903441453975
</t>
  </si>
  <si>
    <t xml:space="preserve"> delta_reit_risk is</t>
  </si>
  <si>
    <t xml:space="preserve"> 0.9991903441453975
</t>
  </si>
  <si>
    <t xml:space="preserve">collateral_ratio_tranche_gold is: 0.7999043670678183
</t>
  </si>
  <si>
    <t xml:space="preserve"> 0.7999043670678183
</t>
  </si>
  <si>
    <t xml:space="preserve">collateral_ratio_tranche_tb is: 0.39981272582980304
</t>
  </si>
  <si>
    <t xml:space="preserve"> 0.39981272582980304
</t>
  </si>
  <si>
    <t xml:space="preserve">collateral_ratio_tranche_reit is: 0.3002511805715884
</t>
  </si>
  <si>
    <t xml:space="preserve"> 0.3002511805715884
</t>
  </si>
  <si>
    <t>Total plot size is: 150000771.97862226</t>
  </si>
  <si>
    <t xml:space="preserve"> plot size of REIT is: 30000771.97862227
</t>
  </si>
  <si>
    <t xml:space="preserve"> 30000771.97862227
</t>
  </si>
  <si>
    <t xml:space="preserve">collateral ratio is: 1.5000077197862225
</t>
  </si>
  <si>
    <t xml:space="preserve"> 1.5000077197862225
</t>
  </si>
  <si>
    <t>S_gtbcps_0 is: 1.0000132362926282</t>
  </si>
  <si>
    <t xml:space="preserve">stdev_gtbcps is: 0.008370933539374206
</t>
  </si>
  <si>
    <t xml:space="preserve"> 0.008370933539374206
</t>
  </si>
  <si>
    <t>predicted price of GTBCPS is: 0.9999750274770561</t>
  </si>
  <si>
    <t xml:space="preserve"> actual price is: 1.0000132362926282
</t>
  </si>
  <si>
    <t xml:space="preserve"> 1.0000132362926282
</t>
  </si>
  <si>
    <t>predicted amount of GTBCPS is: 100003011.97992598</t>
  </si>
  <si>
    <t xml:space="preserve"> actual amount is: 99998676.3882569
</t>
  </si>
  <si>
    <t xml:space="preserve"> 99998676.3882569
</t>
  </si>
  <si>
    <t xml:space="preserve"> plot sizes of reit is: 30000771.97862227</t>
  </si>
  <si>
    <t xml:space="preserve"> plot sizes of total is: 150000771.97862226.
</t>
  </si>
  <si>
    <t xml:space="preserve"> 150000771.97862226.
</t>
  </si>
  <si>
    <t>predicted stdevs of gold is: 0.009939104612028857</t>
  </si>
  <si>
    <t xml:space="preserve"> predicted stdevs of tb is: 0.0016296610967002762</t>
  </si>
  <si>
    <t xml:space="preserve"> predicted stdevs of reit is: 0.013177383586637517</t>
  </si>
  <si>
    <t xml:space="preserve"> predicted stdevs of GTBCPS is: 0.008370933539374206.
</t>
  </si>
  <si>
    <t xml:space="preserve"> 0.008370933539374206.
</t>
  </si>
  <si>
    <t>total_value_of_collaterals is: 149999449.67568544</t>
  </si>
  <si>
    <t>total_value_of_collaterals is</t>
  </si>
  <si>
    <t xml:space="preserve"> createdtionValue_gold is: 3468.326462061003</t>
  </si>
  <si>
    <t xml:space="preserve"> createdtionValue_gold is</t>
  </si>
  <si>
    <t xml:space="preserve"> createdValue_tb is: 1734.176145185481</t>
  </si>
  <si>
    <t xml:space="preserve"> createdValue_tb is</t>
  </si>
  <si>
    <t xml:space="preserve"> createdValue_reit is: 1300.6651624545682
</t>
  </si>
  <si>
    <t xml:space="preserve"> createdValue_reit is</t>
  </si>
  <si>
    <t xml:space="preserve"> 1300.6651624545682
</t>
  </si>
  <si>
    <t>plotValue_gold_after_creation is: 79995553.53925909</t>
  </si>
  <si>
    <t>plotValue_gold_after_creation is</t>
  </si>
  <si>
    <t xml:space="preserve"> plotValue_tb_after_creation  is: 39998074.62941506</t>
  </si>
  <si>
    <t xml:space="preserve"> plotValue_tb_after_creation  is</t>
  </si>
  <si>
    <t xml:space="preserve"> plotValue_reit_after_creation  is: 29999318.339241587</t>
  </si>
  <si>
    <t xml:space="preserve"> plotValue_reit_after_creation  is</t>
  </si>
  <si>
    <t xml:space="preserve">total_value_after_creation is: 149992946.50791574
</t>
  </si>
  <si>
    <t>total_value_after_creation is</t>
  </si>
  <si>
    <t xml:space="preserve"> 149992946.50791574
</t>
  </si>
  <si>
    <t>total_amount_gtncps_before_creation is: 99998676.3882569</t>
  </si>
  <si>
    <t>total_amount_gtncps_before_creation is</t>
  </si>
  <si>
    <t>creation_amount_gtbcps is: 4335.591669082642</t>
  </si>
  <si>
    <t>creation_amount_gtbcps is</t>
  </si>
  <si>
    <t xml:space="preserve">total_amount_gtbcps_new is: 100003011.97992598
</t>
  </si>
  <si>
    <t>total_amount_gtbcps_new is</t>
  </si>
  <si>
    <t xml:space="preserve"> 100003011.97992598
</t>
  </si>
  <si>
    <t>payout of tranche of gold is: -978.1342788516422</t>
  </si>
  <si>
    <t xml:space="preserve"> payout of tranche of Treausry Bill Option is: -191.1944397522754</t>
  </si>
  <si>
    <t xml:space="preserve"> payout of tranche of Collar of REIT is: -152.97421822685277
</t>
  </si>
  <si>
    <t xml:space="preserve"> -152.97421822685277
</t>
  </si>
  <si>
    <t>Collateral size of tranche of gold is: 79995553.53925909</t>
  </si>
  <si>
    <t xml:space="preserve"> collateral size of tranche of Treausry Bill Option is: 39998074.62941506</t>
  </si>
  <si>
    <t xml:space="preserve"> collateral size of tranche of Collar of REIT is: 29999318.339241587
</t>
  </si>
  <si>
    <t xml:space="preserve"> 29999318.339241587
</t>
  </si>
  <si>
    <t>Collateral ratio of tranche of gold is: 0.7999861015094217</t>
  </si>
  <si>
    <t xml:space="preserve"> collateral ratio of tranche of Treausry Bill Option is: 0.3999960294663775</t>
  </si>
  <si>
    <t xml:space="preserve"> collateral ratio of tranche of Collar of REIT is: 0.3000046460628848
</t>
  </si>
  <si>
    <t xml:space="preserve"> 0.3000046460628848
</t>
  </si>
  <si>
    <t>current price of gold is: 1058.37</t>
  </si>
  <si>
    <t xml:space="preserve"> predicted price of gold is: 1054.9016160458166
</t>
  </si>
  <si>
    <t xml:space="preserve"> 1054.9016160458166
</t>
  </si>
  <si>
    <t>current price of reit is: 14.92</t>
  </si>
  <si>
    <t xml:space="preserve"> current price of reit option is: 8.380857339404772</t>
  </si>
  <si>
    <t xml:space="preserve"> predicted price of reit is: 15.001407875961783
</t>
  </si>
  <si>
    <t xml:space="preserve"> 15.001407875961783
</t>
  </si>
  <si>
    <t>value_ratio_gold_to_total is: -0.3651413704781375</t>
  </si>
  <si>
    <t xml:space="preserve"> risk_ratio_to_gold is: 0.8136021676132849</t>
  </si>
  <si>
    <t xml:space="preserve"> risk_ratio_to_gold_before is: 0.7160217810637556
</t>
  </si>
  <si>
    <t xml:space="preserve"> 0.7160217810637556
</t>
  </si>
  <si>
    <t>value_ratio_tb_to_total is: 0.47425871189543434</t>
  </si>
  <si>
    <t xml:space="preserve"> risk_ratio_tb_to_gold is: 0.192644104536632</t>
  </si>
  <si>
    <t xml:space="preserve"> risk_ratio_tb_to_gold_before is: 0.19275493851566555
</t>
  </si>
  <si>
    <t xml:space="preserve"> 0.19275493851566555
</t>
  </si>
  <si>
    <t>value_ratio_reit_to_total is: 0.8908826585827032</t>
  </si>
  <si>
    <t xml:space="preserve"> risk_ratio_reit_to_gold is: 0.03645783226562134</t>
  </si>
  <si>
    <t xml:space="preserve"> risk_ratio_reit_to_gold_before is: 0.20385062076544044
</t>
  </si>
  <si>
    <t xml:space="preserve"> 0.20385062076544044
</t>
  </si>
  <si>
    <t>delta_gold is: 0.6</t>
  </si>
  <si>
    <t xml:space="preserve"> delta_reit is: 0.2896267267358824
</t>
  </si>
  <si>
    <t xml:space="preserve"> 0.2896267267358824
</t>
  </si>
  <si>
    <t>delta_gold_risk is: 1.0568643053522548</t>
  </si>
  <si>
    <t xml:space="preserve"> delta_tb_risk is: 0.9999070773253965</t>
  </si>
  <si>
    <t xml:space="preserve"> delta_reit_risk is: 0.8609521932269417
</t>
  </si>
  <si>
    <t xml:space="preserve"> 0.8609521932269417
</t>
  </si>
  <si>
    <t xml:space="preserve">collateral_ratio_tranche_gold is: 0.4541658361199652
</t>
  </si>
  <si>
    <t xml:space="preserve"> 0.4541658361199652
</t>
  </si>
  <si>
    <t xml:space="preserve">collateral_ratio_tranche_tb is: 0.6667220027023373
</t>
  </si>
  <si>
    <t xml:space="preserve"> 0.6667220027023373
</t>
  </si>
  <si>
    <t xml:space="preserve">collateral_ratio_tranche_reit is: 0.16820400390850884
</t>
  </si>
  <si>
    <t xml:space="preserve"> 0.16820400390850884
</t>
  </si>
  <si>
    <t>Total plot size is: 96684011.12787278</t>
  </si>
  <si>
    <t xml:space="preserve"> plot size of gold is: 47997332.12355545</t>
  </si>
  <si>
    <t xml:space="preserve"> plot size of TB is: 39998074.62941506</t>
  </si>
  <si>
    <t xml:space="preserve"> plot size of REIT is: 8688604.374902269
</t>
  </si>
  <si>
    <t xml:space="preserve"> 8688604.374902269
</t>
  </si>
  <si>
    <t xml:space="preserve">collateral ratio is: 0.9668351354383558
</t>
  </si>
  <si>
    <t xml:space="preserve"> 0.9668351354383558
</t>
  </si>
  <si>
    <t>S_gtbcps_0 is: 0.9999750274770561</t>
  </si>
  <si>
    <t xml:space="preserve">stdev_gtbcps is: 0.0067865140617630534
</t>
  </si>
  <si>
    <t xml:space="preserve"> 0.0067865140617630534
</t>
  </si>
  <si>
    <t>predicted price of GTBCPS is: 0.9999549765077538</t>
  </si>
  <si>
    <t xml:space="preserve"> actual price is: 0.9999750274770561
</t>
  </si>
  <si>
    <t xml:space="preserve"> 0.9999750274770561
</t>
  </si>
  <si>
    <t>predicted amount of GTBCPS is: 100005017.22753257</t>
  </si>
  <si>
    <t xml:space="preserve"> actual amount is: 100003011.97992598
</t>
  </si>
  <si>
    <t>plot sizes of gold is: 47997332.12355545</t>
  </si>
  <si>
    <t xml:space="preserve"> plot sizes of tb is: 39998074.62941506 </t>
  </si>
  <si>
    <t xml:space="preserve"> plot sizes of reit is: 8688604.374902269</t>
  </si>
  <si>
    <t xml:space="preserve"> plot sizes of total is: 96684011.12787278.
</t>
  </si>
  <si>
    <t xml:space="preserve"> 96684011.12787278.
</t>
  </si>
  <si>
    <t>predicted stdevs of gold is: 0.009983449032203825</t>
  </si>
  <si>
    <t xml:space="preserve"> predicted stdevs of tb is: 0.0016379695269397325</t>
  </si>
  <si>
    <t xml:space="preserve"> predicted stdevs of reit is: 0.012827474924786116</t>
  </si>
  <si>
    <t xml:space="preserve"> predicted stdevs of GTBCPS is: 0.0067865140617630534.
</t>
  </si>
  <si>
    <t xml:space="preserve"> 0.0067865140617630534.
</t>
  </si>
  <si>
    <t>total_value_of_collaterals is: 96683302.79923007</t>
  </si>
  <si>
    <t xml:space="preserve"> createdtionValue_gold is: 962.411489320827</t>
  </si>
  <si>
    <t xml:space="preserve"> createdValue_tb is: 802.0118781808224</t>
  </si>
  <si>
    <t xml:space="preserve"> createdValue_reit is: 174.2189817547465
</t>
  </si>
  <si>
    <t xml:space="preserve"> 174.2189817547465
</t>
  </si>
  <si>
    <t>plotValue_gold_after_creation is: 47996091.544932455</t>
  </si>
  <si>
    <t xml:space="preserve"> plotValue_tb_after_creation  is: 39996857.843472704</t>
  </si>
  <si>
    <t xml:space="preserve"> plotValue_reit_after_creation  is: 8688414.768475663</t>
  </si>
  <si>
    <t xml:space="preserve">total_value_after_creation is: 96681364.15688083
</t>
  </si>
  <si>
    <t xml:space="preserve"> 96681364.15688083
</t>
  </si>
  <si>
    <t>total_amount_gtncps_before_creation is: 100003011.97992598</t>
  </si>
  <si>
    <t>creation_amount_gtbcps is: 2005.2476065903902</t>
  </si>
  <si>
    <t xml:space="preserve">total_amount_gtbcps_new is: 100005017.22753257
</t>
  </si>
  <si>
    <t xml:space="preserve"> 100005017.22753257
</t>
  </si>
  <si>
    <t>payout of tranche of gold is: -278.16713367205006</t>
  </si>
  <si>
    <t xml:space="preserve"> payout of tranche of Treausry Bill Option is: -414.7740641728641</t>
  </si>
  <si>
    <t xml:space="preserve"> payout of tranche of Collar of REIT is: -15.387444851261883
</t>
  </si>
  <si>
    <t xml:space="preserve"> -15.387444851261883
</t>
  </si>
  <si>
    <t>Collateral size of tranche of gold is: 47996091.544932455</t>
  </si>
  <si>
    <t xml:space="preserve"> collateral size of tranche of Treausry Bill Option is: 39996857.843472704</t>
  </si>
  <si>
    <t xml:space="preserve"> collateral size of tranche of Collar of REIT is: 8688414.768475663
</t>
  </si>
  <si>
    <t xml:space="preserve"> 8688414.768475663
</t>
  </si>
  <si>
    <t>Collateral ratio of tranche of gold is: 0.47996806939695813</t>
  </si>
  <si>
    <t xml:space="preserve"> collateral ratio of tranche of Treausry Bill Option is: 0.39997454007487954</t>
  </si>
  <si>
    <t xml:space="preserve"> collateral ratio of tranche of Collar of REIT is: 0.08688544271654508
</t>
  </si>
  <si>
    <t xml:space="preserve"> 0.08688544271654508
</t>
  </si>
  <si>
    <t>average</t>
  </si>
  <si>
    <t>min</t>
  </si>
  <si>
    <t>max</t>
  </si>
  <si>
    <t>stdev</t>
  </si>
  <si>
    <t>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</si>
</sst>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6" formatCode="_(* #,##0.00000_);_(* \(#,##0.00000\);_(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43" fontId="0" fillId="0" borderId="0" xfId="42" applyFont="1"/>
    <xf numFmtId="166" fontId="0" fillId="0" borderId="0" xfId="42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26A43-35E2-4935-940A-8077118E3C91}">
  <sheetPr filterMode="1"/>
  <dimension ref="A1:D200"/>
  <sheetViews>
    <sheetView workbookViewId="0">
      <selection activeCell="D112" sqref="D112:D181"/>
    </sheetView>
  </sheetViews>
  <sheetFormatPr defaultRowHeight="14.4" x14ac:dyDescent="0.3"/>
  <sheetData>
    <row r="1" spans="1:4" x14ac:dyDescent="0.3">
      <c r="B1" t="s">
        <v>0</v>
      </c>
      <c r="C1" t="s">
        <v>1</v>
      </c>
      <c r="D1" t="s">
        <v>2</v>
      </c>
    </row>
    <row r="2" spans="1:4" hidden="1" x14ac:dyDescent="0.3">
      <c r="A2">
        <v>0</v>
      </c>
      <c r="B2" s="1" t="s">
        <v>3</v>
      </c>
      <c r="C2" t="s">
        <v>4</v>
      </c>
      <c r="D2" t="s">
        <v>5</v>
      </c>
    </row>
    <row r="3" spans="1:4" hidden="1" x14ac:dyDescent="0.3">
      <c r="A3">
        <v>1</v>
      </c>
      <c r="B3" t="s">
        <v>6</v>
      </c>
      <c r="C3" t="s">
        <v>7</v>
      </c>
      <c r="D3">
        <v>1763.95</v>
      </c>
    </row>
    <row r="4" spans="1:4" hidden="1" x14ac:dyDescent="0.3">
      <c r="A4">
        <v>2</v>
      </c>
      <c r="B4" t="s">
        <v>8</v>
      </c>
      <c r="C4" t="s">
        <v>9</v>
      </c>
      <c r="D4">
        <v>1758.1693600763599</v>
      </c>
    </row>
    <row r="5" spans="1:4" hidden="1" x14ac:dyDescent="0.3">
      <c r="A5">
        <v>3</v>
      </c>
      <c r="B5" s="1" t="s">
        <v>10</v>
      </c>
      <c r="C5" t="s">
        <v>11</v>
      </c>
      <c r="D5" s="1" t="s">
        <v>12</v>
      </c>
    </row>
    <row r="6" spans="1:4" hidden="1" x14ac:dyDescent="0.3">
      <c r="A6">
        <v>4</v>
      </c>
      <c r="B6" t="s">
        <v>13</v>
      </c>
      <c r="C6" t="s">
        <v>14</v>
      </c>
      <c r="D6">
        <v>98.171875</v>
      </c>
    </row>
    <row r="7" spans="1:4" hidden="1" x14ac:dyDescent="0.3">
      <c r="A7">
        <v>5</v>
      </c>
      <c r="B7" t="s">
        <v>15</v>
      </c>
      <c r="C7" t="s">
        <v>16</v>
      </c>
      <c r="D7">
        <v>4.3771550837554596</v>
      </c>
    </row>
    <row r="8" spans="1:4" hidden="1" x14ac:dyDescent="0.3">
      <c r="A8">
        <v>6</v>
      </c>
      <c r="B8" t="s">
        <v>17</v>
      </c>
      <c r="C8" t="s">
        <v>18</v>
      </c>
      <c r="D8">
        <v>98.299581428693301</v>
      </c>
    </row>
    <row r="9" spans="1:4" hidden="1" x14ac:dyDescent="0.3">
      <c r="A9">
        <v>7</v>
      </c>
      <c r="B9" s="1" t="s">
        <v>19</v>
      </c>
      <c r="C9" t="s">
        <v>11</v>
      </c>
      <c r="D9" s="1" t="s">
        <v>20</v>
      </c>
    </row>
    <row r="10" spans="1:4" hidden="1" x14ac:dyDescent="0.3">
      <c r="A10">
        <v>8</v>
      </c>
      <c r="B10" t="s">
        <v>21</v>
      </c>
      <c r="C10" t="s">
        <v>22</v>
      </c>
      <c r="D10">
        <v>74.599999999999994</v>
      </c>
    </row>
    <row r="11" spans="1:4" hidden="1" x14ac:dyDescent="0.3">
      <c r="A11">
        <v>9</v>
      </c>
      <c r="B11" t="s">
        <v>23</v>
      </c>
      <c r="C11" t="s">
        <v>24</v>
      </c>
      <c r="D11">
        <v>5.8492666312409503</v>
      </c>
    </row>
    <row r="12" spans="1:4" hidden="1" x14ac:dyDescent="0.3">
      <c r="A12">
        <v>10</v>
      </c>
      <c r="B12" t="s">
        <v>25</v>
      </c>
      <c r="C12" t="s">
        <v>26</v>
      </c>
      <c r="D12">
        <v>75.006397852907398</v>
      </c>
    </row>
    <row r="13" spans="1:4" hidden="1" x14ac:dyDescent="0.3">
      <c r="A13">
        <v>11</v>
      </c>
      <c r="B13" s="1" t="s">
        <v>27</v>
      </c>
      <c r="C13" t="s">
        <v>11</v>
      </c>
      <c r="D13" s="1" t="s">
        <v>28</v>
      </c>
    </row>
    <row r="14" spans="1:4" hidden="1" x14ac:dyDescent="0.3">
      <c r="A14">
        <v>12</v>
      </c>
      <c r="B14" t="s">
        <v>29</v>
      </c>
      <c r="C14" t="s">
        <v>30</v>
      </c>
      <c r="D14">
        <v>0.90461135986843999</v>
      </c>
    </row>
    <row r="15" spans="1:4" hidden="1" x14ac:dyDescent="0.3">
      <c r="A15">
        <v>13</v>
      </c>
      <c r="B15" s="1" t="s">
        <v>31</v>
      </c>
      <c r="C15" t="s">
        <v>32</v>
      </c>
      <c r="D15" s="1" t="s">
        <v>33</v>
      </c>
    </row>
    <row r="16" spans="1:4" hidden="1" x14ac:dyDescent="0.3">
      <c r="A16">
        <v>14</v>
      </c>
      <c r="B16" t="s">
        <v>34</v>
      </c>
      <c r="C16" t="s">
        <v>35</v>
      </c>
      <c r="D16">
        <v>-1.1607976244735001</v>
      </c>
    </row>
    <row r="17" spans="1:4" hidden="1" x14ac:dyDescent="0.3">
      <c r="A17">
        <v>15</v>
      </c>
      <c r="B17" s="1" t="s">
        <v>36</v>
      </c>
      <c r="C17" t="s">
        <v>37</v>
      </c>
      <c r="D17" s="1" t="s">
        <v>38</v>
      </c>
    </row>
    <row r="18" spans="1:4" hidden="1" x14ac:dyDescent="0.3">
      <c r="A18">
        <v>16</v>
      </c>
      <c r="B18" t="s">
        <v>39</v>
      </c>
      <c r="C18" t="s">
        <v>40</v>
      </c>
      <c r="D18">
        <v>1.2561862646050601</v>
      </c>
    </row>
    <row r="19" spans="1:4" hidden="1" x14ac:dyDescent="0.3">
      <c r="A19">
        <v>17</v>
      </c>
      <c r="B19" s="1" t="s">
        <v>41</v>
      </c>
      <c r="C19" t="s">
        <v>42</v>
      </c>
      <c r="D19" s="1" t="s">
        <v>43</v>
      </c>
    </row>
    <row r="20" spans="1:4" hidden="1" x14ac:dyDescent="0.3">
      <c r="A20">
        <v>18</v>
      </c>
      <c r="B20" t="s">
        <v>44</v>
      </c>
      <c r="C20" t="s">
        <v>45</v>
      </c>
      <c r="D20">
        <v>8.4367517550239107E-3</v>
      </c>
    </row>
    <row r="21" spans="1:4" hidden="1" x14ac:dyDescent="0.3">
      <c r="A21">
        <v>19</v>
      </c>
      <c r="B21" t="s">
        <v>46</v>
      </c>
      <c r="C21" t="s">
        <v>47</v>
      </c>
      <c r="D21">
        <v>1.4690208631777799</v>
      </c>
    </row>
    <row r="22" spans="1:4" hidden="1" x14ac:dyDescent="0.3">
      <c r="A22">
        <v>20</v>
      </c>
      <c r="B22" s="1" t="s">
        <v>48</v>
      </c>
      <c r="C22" t="s">
        <v>49</v>
      </c>
      <c r="D22" s="1" t="s">
        <v>50</v>
      </c>
    </row>
    <row r="23" spans="1:4" hidden="1" x14ac:dyDescent="0.3">
      <c r="A23">
        <v>21</v>
      </c>
      <c r="B23" t="s">
        <v>29</v>
      </c>
      <c r="C23" t="s">
        <v>30</v>
      </c>
      <c r="D23">
        <v>0.90461135986843999</v>
      </c>
    </row>
    <row r="24" spans="1:4" hidden="1" x14ac:dyDescent="0.3">
      <c r="A24">
        <v>22</v>
      </c>
      <c r="B24" s="1" t="s">
        <v>31</v>
      </c>
      <c r="C24" t="s">
        <v>32</v>
      </c>
      <c r="D24" s="1" t="s">
        <v>33</v>
      </c>
    </row>
    <row r="25" spans="1:4" hidden="1" x14ac:dyDescent="0.3">
      <c r="A25">
        <v>23</v>
      </c>
      <c r="B25" t="s">
        <v>34</v>
      </c>
      <c r="C25" t="s">
        <v>35</v>
      </c>
      <c r="D25">
        <v>-1.1607976244735001</v>
      </c>
    </row>
    <row r="26" spans="1:4" hidden="1" x14ac:dyDescent="0.3">
      <c r="A26">
        <v>24</v>
      </c>
      <c r="B26" s="1" t="s">
        <v>36</v>
      </c>
      <c r="C26" t="s">
        <v>37</v>
      </c>
      <c r="D26" s="1" t="s">
        <v>38</v>
      </c>
    </row>
    <row r="27" spans="1:4" hidden="1" x14ac:dyDescent="0.3">
      <c r="A27">
        <v>25</v>
      </c>
      <c r="B27" t="s">
        <v>39</v>
      </c>
      <c r="C27" t="s">
        <v>40</v>
      </c>
      <c r="D27">
        <v>1.2561862646050601</v>
      </c>
    </row>
    <row r="28" spans="1:4" hidden="1" x14ac:dyDescent="0.3">
      <c r="A28">
        <v>26</v>
      </c>
      <c r="B28" s="1" t="s">
        <v>41</v>
      </c>
      <c r="C28" t="s">
        <v>42</v>
      </c>
      <c r="D28" s="1" t="s">
        <v>43</v>
      </c>
    </row>
    <row r="29" spans="1:4" hidden="1" x14ac:dyDescent="0.3">
      <c r="A29">
        <v>27</v>
      </c>
      <c r="B29" s="1" t="s">
        <v>51</v>
      </c>
      <c r="C29" t="s">
        <v>52</v>
      </c>
      <c r="D29" s="1" t="s">
        <v>53</v>
      </c>
    </row>
    <row r="30" spans="1:4" hidden="1" x14ac:dyDescent="0.3">
      <c r="A30">
        <v>28</v>
      </c>
      <c r="B30" s="1" t="s">
        <v>54</v>
      </c>
      <c r="C30" t="s">
        <v>55</v>
      </c>
      <c r="D30" s="1" t="s">
        <v>56</v>
      </c>
    </row>
    <row r="31" spans="1:4" hidden="1" x14ac:dyDescent="0.3">
      <c r="A31">
        <v>29</v>
      </c>
      <c r="B31" s="1" t="s">
        <v>57</v>
      </c>
      <c r="C31" t="s">
        <v>58</v>
      </c>
      <c r="D31" s="1" t="s">
        <v>59</v>
      </c>
    </row>
    <row r="32" spans="1:4" hidden="1" x14ac:dyDescent="0.3">
      <c r="A32">
        <v>30</v>
      </c>
      <c r="B32" t="s">
        <v>60</v>
      </c>
      <c r="C32" t="s">
        <v>61</v>
      </c>
      <c r="D32">
        <v>150000000</v>
      </c>
    </row>
    <row r="33" spans="1:4" hidden="1" x14ac:dyDescent="0.3">
      <c r="A33">
        <v>31</v>
      </c>
      <c r="B33" t="s">
        <v>62</v>
      </c>
      <c r="C33" t="s">
        <v>63</v>
      </c>
      <c r="D33">
        <v>80000000</v>
      </c>
    </row>
    <row r="34" spans="1:4" hidden="1" x14ac:dyDescent="0.3">
      <c r="A34">
        <v>32</v>
      </c>
      <c r="B34" t="s">
        <v>64</v>
      </c>
      <c r="C34" t="s">
        <v>65</v>
      </c>
      <c r="D34">
        <v>40000000</v>
      </c>
    </row>
    <row r="35" spans="1:4" hidden="1" x14ac:dyDescent="0.3">
      <c r="A35">
        <v>33</v>
      </c>
      <c r="B35" s="1" t="s">
        <v>66</v>
      </c>
      <c r="C35" t="s">
        <v>67</v>
      </c>
      <c r="D35" s="1" t="s">
        <v>68</v>
      </c>
    </row>
    <row r="36" spans="1:4" hidden="1" x14ac:dyDescent="0.3">
      <c r="A36">
        <v>34</v>
      </c>
      <c r="B36" s="1" t="s">
        <v>69</v>
      </c>
      <c r="C36" t="s">
        <v>70</v>
      </c>
      <c r="D36" s="1" t="s">
        <v>71</v>
      </c>
    </row>
    <row r="37" spans="1:4" hidden="1" x14ac:dyDescent="0.3">
      <c r="A37">
        <v>35</v>
      </c>
      <c r="B37" t="s">
        <v>72</v>
      </c>
      <c r="C37" t="s">
        <v>73</v>
      </c>
      <c r="D37">
        <v>1</v>
      </c>
    </row>
    <row r="38" spans="1:4" hidden="1" x14ac:dyDescent="0.3">
      <c r="A38">
        <v>36</v>
      </c>
      <c r="B38" t="s">
        <v>74</v>
      </c>
      <c r="C38" t="s">
        <v>75</v>
      </c>
      <c r="D38">
        <v>2.7397260273972599E-3</v>
      </c>
    </row>
    <row r="39" spans="1:4" hidden="1" x14ac:dyDescent="0.3">
      <c r="A39">
        <v>37</v>
      </c>
      <c r="B39" t="s">
        <v>76</v>
      </c>
      <c r="C39" t="s">
        <v>77</v>
      </c>
      <c r="D39">
        <v>0</v>
      </c>
    </row>
    <row r="40" spans="1:4" hidden="1" x14ac:dyDescent="0.3">
      <c r="A40">
        <v>38</v>
      </c>
      <c r="B40" t="s">
        <v>78</v>
      </c>
      <c r="C40" t="s">
        <v>79</v>
      </c>
      <c r="D40">
        <v>0</v>
      </c>
    </row>
    <row r="41" spans="1:4" hidden="1" x14ac:dyDescent="0.3">
      <c r="A41">
        <v>39</v>
      </c>
      <c r="B41" s="1" t="s">
        <v>80</v>
      </c>
      <c r="C41" t="s">
        <v>81</v>
      </c>
      <c r="D41" s="1" t="s">
        <v>82</v>
      </c>
    </row>
    <row r="42" spans="1:4" hidden="1" x14ac:dyDescent="0.3">
      <c r="A42">
        <v>40</v>
      </c>
      <c r="B42" t="s">
        <v>83</v>
      </c>
      <c r="C42" t="s">
        <v>84</v>
      </c>
      <c r="D42">
        <v>1.00001323629262</v>
      </c>
    </row>
    <row r="43" spans="1:4" hidden="1" x14ac:dyDescent="0.3">
      <c r="A43">
        <v>41</v>
      </c>
      <c r="B43" s="1" t="s">
        <v>85</v>
      </c>
      <c r="C43" t="s">
        <v>86</v>
      </c>
      <c r="D43" s="1" t="s">
        <v>87</v>
      </c>
    </row>
    <row r="44" spans="1:4" hidden="1" x14ac:dyDescent="0.3">
      <c r="A44">
        <v>42</v>
      </c>
      <c r="B44" t="s">
        <v>88</v>
      </c>
      <c r="C44" t="s">
        <v>89</v>
      </c>
      <c r="D44">
        <v>99998676.388256893</v>
      </c>
    </row>
    <row r="45" spans="1:4" hidden="1" x14ac:dyDescent="0.3">
      <c r="A45">
        <v>43</v>
      </c>
      <c r="B45" s="1" t="s">
        <v>90</v>
      </c>
      <c r="C45" t="s">
        <v>91</v>
      </c>
      <c r="D45" s="1" t="s">
        <v>92</v>
      </c>
    </row>
    <row r="46" spans="1:4" hidden="1" x14ac:dyDescent="0.3">
      <c r="A46">
        <v>44</v>
      </c>
      <c r="B46" t="s">
        <v>93</v>
      </c>
      <c r="C46" t="s">
        <v>94</v>
      </c>
      <c r="D46">
        <v>80000000</v>
      </c>
    </row>
    <row r="47" spans="1:4" hidden="1" x14ac:dyDescent="0.3">
      <c r="A47">
        <v>45</v>
      </c>
      <c r="B47" t="s">
        <v>95</v>
      </c>
      <c r="C47" t="s">
        <v>96</v>
      </c>
      <c r="D47">
        <v>40000000</v>
      </c>
    </row>
    <row r="48" spans="1:4" hidden="1" x14ac:dyDescent="0.3">
      <c r="A48">
        <v>46</v>
      </c>
      <c r="B48" t="s">
        <v>97</v>
      </c>
      <c r="C48" t="s">
        <v>98</v>
      </c>
      <c r="D48">
        <v>30000000</v>
      </c>
    </row>
    <row r="49" spans="1:4" hidden="1" x14ac:dyDescent="0.3">
      <c r="A49">
        <v>47</v>
      </c>
      <c r="B49" s="1" t="s">
        <v>99</v>
      </c>
      <c r="C49" t="s">
        <v>100</v>
      </c>
      <c r="D49" s="1" t="s">
        <v>101</v>
      </c>
    </row>
    <row r="50" spans="1:4" hidden="1" x14ac:dyDescent="0.3">
      <c r="A50">
        <v>48</v>
      </c>
      <c r="B50" t="s">
        <v>102</v>
      </c>
      <c r="C50" t="s">
        <v>103</v>
      </c>
      <c r="D50">
        <v>9.8885049846900702E-3</v>
      </c>
    </row>
    <row r="51" spans="1:4" hidden="1" x14ac:dyDescent="0.3">
      <c r="A51">
        <v>49</v>
      </c>
      <c r="B51" t="s">
        <v>104</v>
      </c>
      <c r="C51" t="s">
        <v>105</v>
      </c>
      <c r="D51">
        <v>1.6214968700038899E-3</v>
      </c>
    </row>
    <row r="52" spans="1:4" hidden="1" x14ac:dyDescent="0.3">
      <c r="A52">
        <v>50</v>
      </c>
      <c r="B52" t="s">
        <v>106</v>
      </c>
      <c r="C52" t="s">
        <v>107</v>
      </c>
      <c r="D52">
        <v>1.31910603250036E-2</v>
      </c>
    </row>
    <row r="53" spans="1:4" hidden="1" x14ac:dyDescent="0.3">
      <c r="A53">
        <v>51</v>
      </c>
      <c r="B53" s="1" t="s">
        <v>108</v>
      </c>
      <c r="C53" t="s">
        <v>109</v>
      </c>
      <c r="D53" s="1" t="s">
        <v>110</v>
      </c>
    </row>
    <row r="54" spans="1:4" hidden="1" x14ac:dyDescent="0.3">
      <c r="A54">
        <v>52</v>
      </c>
      <c r="B54" t="s">
        <v>111</v>
      </c>
      <c r="C54" t="s">
        <v>112</v>
      </c>
      <c r="D54">
        <v>352.96313149461099</v>
      </c>
    </row>
    <row r="55" spans="1:4" hidden="1" x14ac:dyDescent="0.3">
      <c r="A55">
        <v>53</v>
      </c>
      <c r="B55" t="s">
        <v>113</v>
      </c>
      <c r="C55" t="s">
        <v>114</v>
      </c>
      <c r="D55">
        <v>69.023901270057294</v>
      </c>
    </row>
    <row r="56" spans="1:4" hidden="1" x14ac:dyDescent="0.3">
      <c r="A56">
        <v>54</v>
      </c>
      <c r="B56" s="1" t="s">
        <v>115</v>
      </c>
      <c r="C56" t="s">
        <v>116</v>
      </c>
      <c r="D56" s="1" t="s">
        <v>117</v>
      </c>
    </row>
    <row r="57" spans="1:4" hidden="1" x14ac:dyDescent="0.3">
      <c r="A57">
        <v>55</v>
      </c>
      <c r="B57" t="s">
        <v>118</v>
      </c>
      <c r="C57" t="s">
        <v>119</v>
      </c>
      <c r="D57">
        <v>80000352.963131398</v>
      </c>
    </row>
    <row r="58" spans="1:4" hidden="1" x14ac:dyDescent="0.3">
      <c r="A58">
        <v>56</v>
      </c>
      <c r="B58" t="s">
        <v>120</v>
      </c>
      <c r="C58" t="s">
        <v>121</v>
      </c>
      <c r="D58">
        <v>40000069.023901202</v>
      </c>
    </row>
    <row r="59" spans="1:4" hidden="1" x14ac:dyDescent="0.3">
      <c r="A59">
        <v>57</v>
      </c>
      <c r="B59" s="1" t="s">
        <v>122</v>
      </c>
      <c r="C59" t="s">
        <v>123</v>
      </c>
      <c r="D59" s="1" t="s">
        <v>124</v>
      </c>
    </row>
    <row r="60" spans="1:4" hidden="1" x14ac:dyDescent="0.3">
      <c r="A60">
        <v>58</v>
      </c>
      <c r="B60" t="s">
        <v>125</v>
      </c>
      <c r="C60" t="s">
        <v>126</v>
      </c>
      <c r="D60">
        <v>0.80000352963131405</v>
      </c>
    </row>
    <row r="61" spans="1:4" hidden="1" x14ac:dyDescent="0.3">
      <c r="A61">
        <v>59</v>
      </c>
      <c r="B61" t="s">
        <v>127</v>
      </c>
      <c r="C61" t="s">
        <v>128</v>
      </c>
      <c r="D61">
        <v>0.40000069023901202</v>
      </c>
    </row>
    <row r="62" spans="1:4" hidden="1" x14ac:dyDescent="0.3">
      <c r="A62">
        <v>60</v>
      </c>
      <c r="B62" s="1" t="s">
        <v>129</v>
      </c>
      <c r="C62" t="s">
        <v>130</v>
      </c>
      <c r="D62" s="1" t="s">
        <v>131</v>
      </c>
    </row>
    <row r="63" spans="1:4" hidden="1" x14ac:dyDescent="0.3">
      <c r="A63">
        <v>61</v>
      </c>
      <c r="B63" s="1" t="s">
        <v>3</v>
      </c>
      <c r="C63" t="s">
        <v>4</v>
      </c>
      <c r="D63" t="s">
        <v>5</v>
      </c>
    </row>
    <row r="64" spans="1:4" hidden="1" x14ac:dyDescent="0.3">
      <c r="A64">
        <v>62</v>
      </c>
      <c r="B64" t="s">
        <v>6</v>
      </c>
      <c r="C64" t="s">
        <v>7</v>
      </c>
      <c r="D64">
        <v>1763.95</v>
      </c>
    </row>
    <row r="65" spans="1:4" hidden="1" x14ac:dyDescent="0.3">
      <c r="A65">
        <v>63</v>
      </c>
      <c r="B65" s="1" t="s">
        <v>132</v>
      </c>
      <c r="C65" t="s">
        <v>9</v>
      </c>
      <c r="D65" s="1" t="s">
        <v>133</v>
      </c>
    </row>
    <row r="66" spans="1:4" hidden="1" x14ac:dyDescent="0.3">
      <c r="A66">
        <v>64</v>
      </c>
      <c r="B66" t="s">
        <v>13</v>
      </c>
      <c r="C66" t="s">
        <v>14</v>
      </c>
      <c r="D66">
        <v>98.171875</v>
      </c>
    </row>
    <row r="67" spans="1:4" hidden="1" x14ac:dyDescent="0.3">
      <c r="A67">
        <v>65</v>
      </c>
      <c r="B67" t="s">
        <v>15</v>
      </c>
      <c r="C67" t="s">
        <v>16</v>
      </c>
      <c r="D67">
        <v>4.3771550837554596</v>
      </c>
    </row>
    <row r="68" spans="1:4" hidden="1" x14ac:dyDescent="0.3">
      <c r="A68">
        <v>66</v>
      </c>
      <c r="B68" s="1" t="s">
        <v>134</v>
      </c>
      <c r="C68" t="s">
        <v>135</v>
      </c>
      <c r="D68" s="1" t="s">
        <v>136</v>
      </c>
    </row>
    <row r="69" spans="1:4" hidden="1" x14ac:dyDescent="0.3">
      <c r="A69">
        <v>67</v>
      </c>
      <c r="B69" t="s">
        <v>21</v>
      </c>
      <c r="C69" t="s">
        <v>22</v>
      </c>
      <c r="D69">
        <v>74.599999999999994</v>
      </c>
    </row>
    <row r="70" spans="1:4" hidden="1" x14ac:dyDescent="0.3">
      <c r="A70">
        <v>68</v>
      </c>
      <c r="B70" t="s">
        <v>137</v>
      </c>
      <c r="C70" t="s">
        <v>24</v>
      </c>
      <c r="D70">
        <v>5.8513368017081699</v>
      </c>
    </row>
    <row r="71" spans="1:4" hidden="1" x14ac:dyDescent="0.3">
      <c r="A71">
        <v>69</v>
      </c>
      <c r="B71" s="1" t="s">
        <v>138</v>
      </c>
      <c r="C71" t="s">
        <v>139</v>
      </c>
      <c r="D71" s="1" t="s">
        <v>140</v>
      </c>
    </row>
    <row r="72" spans="1:4" hidden="1" x14ac:dyDescent="0.3">
      <c r="A72">
        <v>70</v>
      </c>
      <c r="B72" t="s">
        <v>141</v>
      </c>
      <c r="C72" t="s">
        <v>35</v>
      </c>
      <c r="D72">
        <v>-1.1295813811525199</v>
      </c>
    </row>
    <row r="73" spans="1:4" hidden="1" x14ac:dyDescent="0.3">
      <c r="A73">
        <v>71</v>
      </c>
      <c r="B73" t="s">
        <v>142</v>
      </c>
      <c r="C73" t="s">
        <v>143</v>
      </c>
      <c r="D73">
        <v>0.71602178106375503</v>
      </c>
    </row>
    <row r="74" spans="1:4" hidden="1" x14ac:dyDescent="0.3">
      <c r="A74">
        <v>72</v>
      </c>
      <c r="B74" s="1" t="s">
        <v>144</v>
      </c>
      <c r="C74" t="s">
        <v>145</v>
      </c>
      <c r="D74" s="1" t="s">
        <v>38</v>
      </c>
    </row>
    <row r="75" spans="1:4" hidden="1" x14ac:dyDescent="0.3">
      <c r="A75">
        <v>73</v>
      </c>
      <c r="B75" t="s">
        <v>146</v>
      </c>
      <c r="C75" t="s">
        <v>30</v>
      </c>
      <c r="D75">
        <v>0.88028449381943297</v>
      </c>
    </row>
    <row r="76" spans="1:4" hidden="1" x14ac:dyDescent="0.3">
      <c r="A76">
        <v>74</v>
      </c>
      <c r="B76" t="s">
        <v>147</v>
      </c>
      <c r="C76" t="s">
        <v>32</v>
      </c>
      <c r="D76">
        <v>0.192754938515665</v>
      </c>
    </row>
    <row r="77" spans="1:4" hidden="1" x14ac:dyDescent="0.3">
      <c r="A77">
        <v>75</v>
      </c>
      <c r="B77" s="1" t="s">
        <v>148</v>
      </c>
      <c r="C77" t="s">
        <v>149</v>
      </c>
      <c r="D77" s="1" t="s">
        <v>33</v>
      </c>
    </row>
    <row r="78" spans="1:4" hidden="1" x14ac:dyDescent="0.3">
      <c r="A78">
        <v>76</v>
      </c>
      <c r="B78" t="s">
        <v>150</v>
      </c>
      <c r="C78" t="s">
        <v>40</v>
      </c>
      <c r="D78">
        <v>1.2492968873330901</v>
      </c>
    </row>
    <row r="79" spans="1:4" hidden="1" x14ac:dyDescent="0.3">
      <c r="A79">
        <v>77</v>
      </c>
      <c r="B79" t="s">
        <v>151</v>
      </c>
      <c r="C79" t="s">
        <v>42</v>
      </c>
      <c r="D79">
        <v>0.20385062076544</v>
      </c>
    </row>
    <row r="80" spans="1:4" hidden="1" x14ac:dyDescent="0.3">
      <c r="A80">
        <v>78</v>
      </c>
      <c r="B80" s="1" t="s">
        <v>152</v>
      </c>
      <c r="C80" t="s">
        <v>153</v>
      </c>
      <c r="D80" s="1" t="s">
        <v>43</v>
      </c>
    </row>
    <row r="81" spans="1:4" hidden="1" x14ac:dyDescent="0.3">
      <c r="A81">
        <v>79</v>
      </c>
      <c r="B81" t="s">
        <v>154</v>
      </c>
      <c r="C81" t="s">
        <v>155</v>
      </c>
      <c r="D81">
        <v>1</v>
      </c>
    </row>
    <row r="82" spans="1:4" hidden="1" x14ac:dyDescent="0.3">
      <c r="A82">
        <v>80</v>
      </c>
      <c r="B82" t="s">
        <v>156</v>
      </c>
      <c r="C82" t="s">
        <v>157</v>
      </c>
      <c r="D82">
        <v>1</v>
      </c>
    </row>
    <row r="83" spans="1:4" hidden="1" x14ac:dyDescent="0.3">
      <c r="A83">
        <v>81</v>
      </c>
      <c r="B83" s="1" t="s">
        <v>158</v>
      </c>
      <c r="C83" t="s">
        <v>159</v>
      </c>
      <c r="D83" s="1" t="s">
        <v>160</v>
      </c>
    </row>
    <row r="84" spans="1:4" hidden="1" x14ac:dyDescent="0.3">
      <c r="A84">
        <v>82</v>
      </c>
      <c r="B84" t="s">
        <v>161</v>
      </c>
      <c r="C84" t="s">
        <v>162</v>
      </c>
      <c r="D84">
        <v>1.00012396802365</v>
      </c>
    </row>
    <row r="85" spans="1:4" hidden="1" x14ac:dyDescent="0.3">
      <c r="A85">
        <v>83</v>
      </c>
      <c r="B85" t="s">
        <v>163</v>
      </c>
      <c r="C85" t="s">
        <v>164</v>
      </c>
      <c r="D85">
        <v>1.00047013113156</v>
      </c>
    </row>
    <row r="86" spans="1:4" hidden="1" x14ac:dyDescent="0.3">
      <c r="A86">
        <v>84</v>
      </c>
      <c r="B86" s="1" t="s">
        <v>165</v>
      </c>
      <c r="C86" t="s">
        <v>166</v>
      </c>
      <c r="D86" s="1" t="s">
        <v>167</v>
      </c>
    </row>
    <row r="87" spans="1:4" hidden="1" x14ac:dyDescent="0.3">
      <c r="A87">
        <v>85</v>
      </c>
      <c r="B87" s="1" t="s">
        <v>168</v>
      </c>
      <c r="C87" t="s">
        <v>55</v>
      </c>
      <c r="D87" s="1" t="s">
        <v>169</v>
      </c>
    </row>
    <row r="88" spans="1:4" hidden="1" x14ac:dyDescent="0.3">
      <c r="A88">
        <v>86</v>
      </c>
      <c r="B88" s="1" t="s">
        <v>170</v>
      </c>
      <c r="C88" t="s">
        <v>52</v>
      </c>
      <c r="D88" s="1" t="s">
        <v>171</v>
      </c>
    </row>
    <row r="89" spans="1:4" hidden="1" x14ac:dyDescent="0.3">
      <c r="A89">
        <v>87</v>
      </c>
      <c r="B89" s="1" t="s">
        <v>172</v>
      </c>
      <c r="C89" t="s">
        <v>58</v>
      </c>
      <c r="D89" s="1" t="s">
        <v>173</v>
      </c>
    </row>
    <row r="90" spans="1:4" hidden="1" x14ac:dyDescent="0.3">
      <c r="A90">
        <v>88</v>
      </c>
      <c r="B90" t="s">
        <v>174</v>
      </c>
      <c r="C90" t="s">
        <v>61</v>
      </c>
      <c r="D90">
        <v>150000771.97862199</v>
      </c>
    </row>
    <row r="91" spans="1:4" hidden="1" x14ac:dyDescent="0.3">
      <c r="A91">
        <v>89</v>
      </c>
      <c r="B91" t="s">
        <v>62</v>
      </c>
      <c r="C91" t="s">
        <v>63</v>
      </c>
      <c r="D91">
        <v>80000000</v>
      </c>
    </row>
    <row r="92" spans="1:4" hidden="1" x14ac:dyDescent="0.3">
      <c r="A92">
        <v>90</v>
      </c>
      <c r="B92" t="s">
        <v>64</v>
      </c>
      <c r="C92" t="s">
        <v>65</v>
      </c>
      <c r="D92">
        <v>40000000</v>
      </c>
    </row>
    <row r="93" spans="1:4" hidden="1" x14ac:dyDescent="0.3">
      <c r="A93">
        <v>91</v>
      </c>
      <c r="B93" s="1" t="s">
        <v>175</v>
      </c>
      <c r="C93" t="s">
        <v>67</v>
      </c>
      <c r="D93" s="1" t="s">
        <v>176</v>
      </c>
    </row>
    <row r="94" spans="1:4" hidden="1" x14ac:dyDescent="0.3">
      <c r="A94">
        <v>92</v>
      </c>
      <c r="B94" s="1" t="s">
        <v>177</v>
      </c>
      <c r="C94" t="s">
        <v>70</v>
      </c>
      <c r="D94" s="1" t="s">
        <v>178</v>
      </c>
    </row>
    <row r="95" spans="1:4" hidden="1" x14ac:dyDescent="0.3">
      <c r="A95">
        <v>93</v>
      </c>
      <c r="B95" t="s">
        <v>179</v>
      </c>
      <c r="C95" t="s">
        <v>73</v>
      </c>
      <c r="D95">
        <v>1.00001323629262</v>
      </c>
    </row>
    <row r="96" spans="1:4" hidden="1" x14ac:dyDescent="0.3">
      <c r="A96">
        <v>94</v>
      </c>
      <c r="B96" t="s">
        <v>74</v>
      </c>
      <c r="C96" t="s">
        <v>75</v>
      </c>
      <c r="D96">
        <v>2.7397260273972599E-3</v>
      </c>
    </row>
    <row r="97" spans="1:4" hidden="1" x14ac:dyDescent="0.3">
      <c r="A97">
        <v>95</v>
      </c>
      <c r="B97" t="s">
        <v>76</v>
      </c>
      <c r="C97" t="s">
        <v>77</v>
      </c>
      <c r="D97">
        <v>0</v>
      </c>
    </row>
    <row r="98" spans="1:4" hidden="1" x14ac:dyDescent="0.3">
      <c r="A98">
        <v>96</v>
      </c>
      <c r="B98" t="s">
        <v>78</v>
      </c>
      <c r="C98" t="s">
        <v>79</v>
      </c>
      <c r="D98">
        <v>0</v>
      </c>
    </row>
    <row r="99" spans="1:4" hidden="1" x14ac:dyDescent="0.3">
      <c r="A99">
        <v>97</v>
      </c>
      <c r="B99" s="1" t="s">
        <v>180</v>
      </c>
      <c r="C99" t="s">
        <v>81</v>
      </c>
      <c r="D99" s="1" t="s">
        <v>181</v>
      </c>
    </row>
    <row r="100" spans="1:4" hidden="1" x14ac:dyDescent="0.3">
      <c r="A100">
        <v>98</v>
      </c>
      <c r="B100" t="s">
        <v>182</v>
      </c>
      <c r="C100" t="s">
        <v>84</v>
      </c>
      <c r="D100">
        <v>0.99997502747705602</v>
      </c>
    </row>
    <row r="101" spans="1:4" hidden="1" x14ac:dyDescent="0.3">
      <c r="A101">
        <v>99</v>
      </c>
      <c r="B101" s="1" t="s">
        <v>183</v>
      </c>
      <c r="C101" t="s">
        <v>86</v>
      </c>
      <c r="D101" s="1" t="s">
        <v>184</v>
      </c>
    </row>
    <row r="102" spans="1:4" hidden="1" x14ac:dyDescent="0.3">
      <c r="A102">
        <v>100</v>
      </c>
      <c r="B102" t="s">
        <v>185</v>
      </c>
      <c r="C102" t="s">
        <v>89</v>
      </c>
      <c r="D102">
        <v>100003011.97992501</v>
      </c>
    </row>
    <row r="103" spans="1:4" hidden="1" x14ac:dyDescent="0.3">
      <c r="A103">
        <v>101</v>
      </c>
      <c r="B103" s="1" t="s">
        <v>186</v>
      </c>
      <c r="C103" t="s">
        <v>91</v>
      </c>
      <c r="D103" s="1" t="s">
        <v>187</v>
      </c>
    </row>
    <row r="104" spans="1:4" hidden="1" x14ac:dyDescent="0.3">
      <c r="A104">
        <v>102</v>
      </c>
      <c r="B104" t="s">
        <v>93</v>
      </c>
      <c r="C104" t="s">
        <v>94</v>
      </c>
      <c r="D104">
        <v>80000000</v>
      </c>
    </row>
    <row r="105" spans="1:4" hidden="1" x14ac:dyDescent="0.3">
      <c r="A105">
        <v>103</v>
      </c>
      <c r="B105" t="s">
        <v>95</v>
      </c>
      <c r="C105" t="s">
        <v>96</v>
      </c>
      <c r="D105">
        <v>40000000</v>
      </c>
    </row>
    <row r="106" spans="1:4" hidden="1" x14ac:dyDescent="0.3">
      <c r="A106">
        <v>104</v>
      </c>
      <c r="B106" t="s">
        <v>188</v>
      </c>
      <c r="C106" t="s">
        <v>98</v>
      </c>
      <c r="D106">
        <v>30000771.978622202</v>
      </c>
    </row>
    <row r="107" spans="1:4" hidden="1" x14ac:dyDescent="0.3">
      <c r="A107">
        <v>105</v>
      </c>
      <c r="B107" s="1" t="s">
        <v>189</v>
      </c>
      <c r="C107" t="s">
        <v>100</v>
      </c>
      <c r="D107" s="1" t="s">
        <v>190</v>
      </c>
    </row>
    <row r="108" spans="1:4" hidden="1" x14ac:dyDescent="0.3">
      <c r="A108">
        <v>106</v>
      </c>
      <c r="B108" t="s">
        <v>191</v>
      </c>
      <c r="C108" t="s">
        <v>103</v>
      </c>
      <c r="D108">
        <v>9.9391046120288502E-3</v>
      </c>
    </row>
    <row r="109" spans="1:4" hidden="1" x14ac:dyDescent="0.3">
      <c r="A109">
        <v>107</v>
      </c>
      <c r="B109" t="s">
        <v>192</v>
      </c>
      <c r="C109" t="s">
        <v>105</v>
      </c>
      <c r="D109">
        <v>1.6296610967002701E-3</v>
      </c>
    </row>
    <row r="110" spans="1:4" hidden="1" x14ac:dyDescent="0.3">
      <c r="A110">
        <v>108</v>
      </c>
      <c r="B110" t="s">
        <v>193</v>
      </c>
      <c r="C110" t="s">
        <v>107</v>
      </c>
      <c r="D110">
        <v>1.31773835866375E-2</v>
      </c>
    </row>
    <row r="111" spans="1:4" hidden="1" x14ac:dyDescent="0.3">
      <c r="A111">
        <v>109</v>
      </c>
      <c r="B111" s="1" t="s">
        <v>194</v>
      </c>
      <c r="C111" t="s">
        <v>109</v>
      </c>
      <c r="D111" s="1" t="s">
        <v>195</v>
      </c>
    </row>
    <row r="112" spans="1:4" x14ac:dyDescent="0.3">
      <c r="A112">
        <v>110</v>
      </c>
      <c r="B112" t="s">
        <v>196</v>
      </c>
      <c r="C112" t="s">
        <v>197</v>
      </c>
      <c r="D112">
        <v>149999449.67568499</v>
      </c>
    </row>
    <row r="113" spans="1:4" hidden="1" x14ac:dyDescent="0.3">
      <c r="A113">
        <v>111</v>
      </c>
      <c r="B113" t="s">
        <v>198</v>
      </c>
      <c r="C113" t="s">
        <v>199</v>
      </c>
      <c r="D113">
        <v>3468.3264620609998</v>
      </c>
    </row>
    <row r="114" spans="1:4" hidden="1" x14ac:dyDescent="0.3">
      <c r="A114">
        <v>112</v>
      </c>
      <c r="B114" t="s">
        <v>200</v>
      </c>
      <c r="C114" t="s">
        <v>201</v>
      </c>
      <c r="D114">
        <v>1734.17614518548</v>
      </c>
    </row>
    <row r="115" spans="1:4" hidden="1" x14ac:dyDescent="0.3">
      <c r="A115">
        <v>113</v>
      </c>
      <c r="B115" s="1" t="s">
        <v>202</v>
      </c>
      <c r="C115" t="s">
        <v>203</v>
      </c>
      <c r="D115" s="1" t="s">
        <v>204</v>
      </c>
    </row>
    <row r="116" spans="1:4" hidden="1" x14ac:dyDescent="0.3">
      <c r="A116">
        <v>114</v>
      </c>
      <c r="B116" t="s">
        <v>205</v>
      </c>
      <c r="C116" t="s">
        <v>206</v>
      </c>
      <c r="D116">
        <v>79995553.539259002</v>
      </c>
    </row>
    <row r="117" spans="1:4" hidden="1" x14ac:dyDescent="0.3">
      <c r="A117">
        <v>115</v>
      </c>
      <c r="B117" t="s">
        <v>207</v>
      </c>
      <c r="C117" t="s">
        <v>208</v>
      </c>
      <c r="D117">
        <v>39998074.629414998</v>
      </c>
    </row>
    <row r="118" spans="1:4" hidden="1" x14ac:dyDescent="0.3">
      <c r="A118">
        <v>116</v>
      </c>
      <c r="B118" t="s">
        <v>209</v>
      </c>
      <c r="C118" t="s">
        <v>210</v>
      </c>
      <c r="D118">
        <v>29999318.339241501</v>
      </c>
    </row>
    <row r="119" spans="1:4" hidden="1" x14ac:dyDescent="0.3">
      <c r="A119">
        <v>117</v>
      </c>
      <c r="B119" s="1" t="s">
        <v>211</v>
      </c>
      <c r="C119" t="s">
        <v>212</v>
      </c>
      <c r="D119" s="1" t="s">
        <v>213</v>
      </c>
    </row>
    <row r="120" spans="1:4" hidden="1" x14ac:dyDescent="0.3">
      <c r="A120">
        <v>118</v>
      </c>
      <c r="B120" t="s">
        <v>214</v>
      </c>
      <c r="C120" t="s">
        <v>215</v>
      </c>
      <c r="D120">
        <v>99998676.388256893</v>
      </c>
    </row>
    <row r="121" spans="1:4" hidden="1" x14ac:dyDescent="0.3">
      <c r="A121">
        <v>119</v>
      </c>
      <c r="B121" t="s">
        <v>216</v>
      </c>
      <c r="C121" t="s">
        <v>217</v>
      </c>
      <c r="D121">
        <v>4335.5916690826398</v>
      </c>
    </row>
    <row r="122" spans="1:4" hidden="1" x14ac:dyDescent="0.3">
      <c r="A122">
        <v>120</v>
      </c>
      <c r="B122" s="1" t="s">
        <v>218</v>
      </c>
      <c r="C122" t="s">
        <v>219</v>
      </c>
      <c r="D122" s="1" t="s">
        <v>220</v>
      </c>
    </row>
    <row r="123" spans="1:4" hidden="1" x14ac:dyDescent="0.3">
      <c r="A123">
        <v>121</v>
      </c>
      <c r="B123" t="s">
        <v>221</v>
      </c>
      <c r="C123" t="s">
        <v>112</v>
      </c>
      <c r="D123">
        <v>-978.13427885164197</v>
      </c>
    </row>
    <row r="124" spans="1:4" hidden="1" x14ac:dyDescent="0.3">
      <c r="A124">
        <v>122</v>
      </c>
      <c r="B124" t="s">
        <v>222</v>
      </c>
      <c r="C124" t="s">
        <v>114</v>
      </c>
      <c r="D124">
        <v>-191.194439752275</v>
      </c>
    </row>
    <row r="125" spans="1:4" hidden="1" x14ac:dyDescent="0.3">
      <c r="A125">
        <v>123</v>
      </c>
      <c r="B125" s="1" t="s">
        <v>223</v>
      </c>
      <c r="C125" t="s">
        <v>116</v>
      </c>
      <c r="D125" s="1" t="s">
        <v>224</v>
      </c>
    </row>
    <row r="126" spans="1:4" hidden="1" x14ac:dyDescent="0.3">
      <c r="A126">
        <v>124</v>
      </c>
      <c r="B126" t="s">
        <v>225</v>
      </c>
      <c r="C126" t="s">
        <v>119</v>
      </c>
      <c r="D126">
        <v>79995553.539259002</v>
      </c>
    </row>
    <row r="127" spans="1:4" hidden="1" x14ac:dyDescent="0.3">
      <c r="A127">
        <v>125</v>
      </c>
      <c r="B127" t="s">
        <v>226</v>
      </c>
      <c r="C127" t="s">
        <v>121</v>
      </c>
      <c r="D127">
        <v>39998074.629414998</v>
      </c>
    </row>
    <row r="128" spans="1:4" hidden="1" x14ac:dyDescent="0.3">
      <c r="A128">
        <v>126</v>
      </c>
      <c r="B128" s="1" t="s">
        <v>227</v>
      </c>
      <c r="C128" t="s">
        <v>123</v>
      </c>
      <c r="D128" s="1" t="s">
        <v>228</v>
      </c>
    </row>
    <row r="129" spans="1:4" hidden="1" x14ac:dyDescent="0.3">
      <c r="A129">
        <v>127</v>
      </c>
      <c r="B129" t="s">
        <v>229</v>
      </c>
      <c r="C129" t="s">
        <v>126</v>
      </c>
      <c r="D129">
        <v>0.79998610150942095</v>
      </c>
    </row>
    <row r="130" spans="1:4" hidden="1" x14ac:dyDescent="0.3">
      <c r="A130">
        <v>128</v>
      </c>
      <c r="B130" t="s">
        <v>230</v>
      </c>
      <c r="C130" t="s">
        <v>128</v>
      </c>
      <c r="D130">
        <v>0.39999602946637702</v>
      </c>
    </row>
    <row r="131" spans="1:4" hidden="1" x14ac:dyDescent="0.3">
      <c r="A131">
        <v>129</v>
      </c>
      <c r="B131" s="1" t="s">
        <v>231</v>
      </c>
      <c r="C131" t="s">
        <v>130</v>
      </c>
      <c r="D131" s="1" t="s">
        <v>232</v>
      </c>
    </row>
    <row r="132" spans="1:4" hidden="1" x14ac:dyDescent="0.3">
      <c r="A132">
        <v>130</v>
      </c>
      <c r="B132" s="1" t="s">
        <v>3</v>
      </c>
      <c r="C132" t="s">
        <v>4</v>
      </c>
      <c r="D132" t="s">
        <v>5</v>
      </c>
    </row>
    <row r="133" spans="1:4" hidden="1" x14ac:dyDescent="0.3">
      <c r="A133">
        <v>131</v>
      </c>
      <c r="B133" t="s">
        <v>233</v>
      </c>
      <c r="C133" t="s">
        <v>7</v>
      </c>
      <c r="D133">
        <v>1058.3699999999999</v>
      </c>
    </row>
    <row r="134" spans="1:4" hidden="1" x14ac:dyDescent="0.3">
      <c r="A134">
        <v>132</v>
      </c>
      <c r="B134" s="1" t="s">
        <v>234</v>
      </c>
      <c r="C134" t="s">
        <v>9</v>
      </c>
      <c r="D134" s="1" t="s">
        <v>235</v>
      </c>
    </row>
    <row r="135" spans="1:4" hidden="1" x14ac:dyDescent="0.3">
      <c r="A135">
        <v>133</v>
      </c>
      <c r="B135" t="s">
        <v>13</v>
      </c>
      <c r="C135" t="s">
        <v>14</v>
      </c>
      <c r="D135">
        <v>98.171875</v>
      </c>
    </row>
    <row r="136" spans="1:4" hidden="1" x14ac:dyDescent="0.3">
      <c r="A136">
        <v>134</v>
      </c>
      <c r="B136" t="s">
        <v>15</v>
      </c>
      <c r="C136" t="s">
        <v>16</v>
      </c>
      <c r="D136">
        <v>4.3771550837554596</v>
      </c>
    </row>
    <row r="137" spans="1:4" hidden="1" x14ac:dyDescent="0.3">
      <c r="A137">
        <v>135</v>
      </c>
      <c r="B137" s="1" t="s">
        <v>134</v>
      </c>
      <c r="C137" t="s">
        <v>135</v>
      </c>
      <c r="D137" s="1" t="s">
        <v>136</v>
      </c>
    </row>
    <row r="138" spans="1:4" hidden="1" x14ac:dyDescent="0.3">
      <c r="A138">
        <v>136</v>
      </c>
      <c r="B138" t="s">
        <v>236</v>
      </c>
      <c r="C138" t="s">
        <v>22</v>
      </c>
      <c r="D138">
        <v>14.92</v>
      </c>
    </row>
    <row r="139" spans="1:4" hidden="1" x14ac:dyDescent="0.3">
      <c r="A139">
        <v>137</v>
      </c>
      <c r="B139" t="s">
        <v>237</v>
      </c>
      <c r="C139" t="s">
        <v>24</v>
      </c>
      <c r="D139">
        <v>8.3808573394047698</v>
      </c>
    </row>
    <row r="140" spans="1:4" hidden="1" x14ac:dyDescent="0.3">
      <c r="A140">
        <v>138</v>
      </c>
      <c r="B140" s="1" t="s">
        <v>238</v>
      </c>
      <c r="C140" t="s">
        <v>139</v>
      </c>
      <c r="D140" s="1" t="s">
        <v>239</v>
      </c>
    </row>
    <row r="141" spans="1:4" hidden="1" x14ac:dyDescent="0.3">
      <c r="A141">
        <v>139</v>
      </c>
      <c r="B141" t="s">
        <v>240</v>
      </c>
      <c r="C141" t="s">
        <v>35</v>
      </c>
      <c r="D141">
        <v>-0.365141370478137</v>
      </c>
    </row>
    <row r="142" spans="1:4" hidden="1" x14ac:dyDescent="0.3">
      <c r="A142">
        <v>140</v>
      </c>
      <c r="B142" t="s">
        <v>241</v>
      </c>
      <c r="C142" t="s">
        <v>143</v>
      </c>
      <c r="D142">
        <v>0.81360216761328397</v>
      </c>
    </row>
    <row r="143" spans="1:4" hidden="1" x14ac:dyDescent="0.3">
      <c r="A143">
        <v>141</v>
      </c>
      <c r="B143" s="1" t="s">
        <v>242</v>
      </c>
      <c r="C143" t="s">
        <v>145</v>
      </c>
      <c r="D143" s="1" t="s">
        <v>243</v>
      </c>
    </row>
    <row r="144" spans="1:4" hidden="1" x14ac:dyDescent="0.3">
      <c r="A144">
        <v>142</v>
      </c>
      <c r="B144" t="s">
        <v>244</v>
      </c>
      <c r="C144" t="s">
        <v>30</v>
      </c>
      <c r="D144">
        <v>0.474258711895434</v>
      </c>
    </row>
    <row r="145" spans="1:4" hidden="1" x14ac:dyDescent="0.3">
      <c r="A145">
        <v>143</v>
      </c>
      <c r="B145" t="s">
        <v>245</v>
      </c>
      <c r="C145" t="s">
        <v>32</v>
      </c>
      <c r="D145">
        <v>0.192644104536632</v>
      </c>
    </row>
    <row r="146" spans="1:4" hidden="1" x14ac:dyDescent="0.3">
      <c r="A146">
        <v>144</v>
      </c>
      <c r="B146" s="1" t="s">
        <v>246</v>
      </c>
      <c r="C146" t="s">
        <v>149</v>
      </c>
      <c r="D146" s="1" t="s">
        <v>247</v>
      </c>
    </row>
    <row r="147" spans="1:4" hidden="1" x14ac:dyDescent="0.3">
      <c r="A147">
        <v>145</v>
      </c>
      <c r="B147" t="s">
        <v>248</v>
      </c>
      <c r="C147" t="s">
        <v>40</v>
      </c>
      <c r="D147">
        <v>0.89088265858270299</v>
      </c>
    </row>
    <row r="148" spans="1:4" hidden="1" x14ac:dyDescent="0.3">
      <c r="A148">
        <v>146</v>
      </c>
      <c r="B148" t="s">
        <v>249</v>
      </c>
      <c r="C148" t="s">
        <v>42</v>
      </c>
      <c r="D148">
        <v>3.6457832265621298E-2</v>
      </c>
    </row>
    <row r="149" spans="1:4" hidden="1" x14ac:dyDescent="0.3">
      <c r="A149">
        <v>147</v>
      </c>
      <c r="B149" s="1" t="s">
        <v>250</v>
      </c>
      <c r="C149" t="s">
        <v>153</v>
      </c>
      <c r="D149" s="1" t="s">
        <v>251</v>
      </c>
    </row>
    <row r="150" spans="1:4" hidden="1" x14ac:dyDescent="0.3">
      <c r="A150">
        <v>148</v>
      </c>
      <c r="B150" t="s">
        <v>252</v>
      </c>
      <c r="C150" t="s">
        <v>155</v>
      </c>
      <c r="D150">
        <v>0.6</v>
      </c>
    </row>
    <row r="151" spans="1:4" hidden="1" x14ac:dyDescent="0.3">
      <c r="A151">
        <v>149</v>
      </c>
      <c r="B151" t="s">
        <v>156</v>
      </c>
      <c r="C151" t="s">
        <v>157</v>
      </c>
      <c r="D151">
        <v>1</v>
      </c>
    </row>
    <row r="152" spans="1:4" hidden="1" x14ac:dyDescent="0.3">
      <c r="A152">
        <v>150</v>
      </c>
      <c r="B152" s="1" t="s">
        <v>253</v>
      </c>
      <c r="C152" t="s">
        <v>159</v>
      </c>
      <c r="D152" s="1" t="s">
        <v>254</v>
      </c>
    </row>
    <row r="153" spans="1:4" hidden="1" x14ac:dyDescent="0.3">
      <c r="A153">
        <v>151</v>
      </c>
      <c r="B153" t="s">
        <v>255</v>
      </c>
      <c r="C153" t="s">
        <v>162</v>
      </c>
      <c r="D153">
        <v>1.05686430535225</v>
      </c>
    </row>
    <row r="154" spans="1:4" hidden="1" x14ac:dyDescent="0.3">
      <c r="A154">
        <v>152</v>
      </c>
      <c r="B154" t="s">
        <v>256</v>
      </c>
      <c r="C154" t="s">
        <v>164</v>
      </c>
      <c r="D154">
        <v>0.99990707732539597</v>
      </c>
    </row>
    <row r="155" spans="1:4" hidden="1" x14ac:dyDescent="0.3">
      <c r="A155">
        <v>153</v>
      </c>
      <c r="B155" s="1" t="s">
        <v>257</v>
      </c>
      <c r="C155" t="s">
        <v>166</v>
      </c>
      <c r="D155" s="1" t="s">
        <v>258</v>
      </c>
    </row>
    <row r="156" spans="1:4" hidden="1" x14ac:dyDescent="0.3">
      <c r="A156">
        <v>154</v>
      </c>
      <c r="B156" s="1" t="s">
        <v>259</v>
      </c>
      <c r="C156" t="s">
        <v>55</v>
      </c>
      <c r="D156" s="1" t="s">
        <v>260</v>
      </c>
    </row>
    <row r="157" spans="1:4" hidden="1" x14ac:dyDescent="0.3">
      <c r="A157">
        <v>155</v>
      </c>
      <c r="B157" s="1" t="s">
        <v>261</v>
      </c>
      <c r="C157" t="s">
        <v>52</v>
      </c>
      <c r="D157" s="1" t="s">
        <v>262</v>
      </c>
    </row>
    <row r="158" spans="1:4" hidden="1" x14ac:dyDescent="0.3">
      <c r="A158">
        <v>156</v>
      </c>
      <c r="B158" s="1" t="s">
        <v>263</v>
      </c>
      <c r="C158" t="s">
        <v>58</v>
      </c>
      <c r="D158" s="1" t="s">
        <v>264</v>
      </c>
    </row>
    <row r="159" spans="1:4" hidden="1" x14ac:dyDescent="0.3">
      <c r="A159">
        <v>157</v>
      </c>
      <c r="B159" t="s">
        <v>265</v>
      </c>
      <c r="C159" t="s">
        <v>61</v>
      </c>
      <c r="D159">
        <v>96684011.127872705</v>
      </c>
    </row>
    <row r="160" spans="1:4" hidden="1" x14ac:dyDescent="0.3">
      <c r="A160">
        <v>158</v>
      </c>
      <c r="B160" t="s">
        <v>266</v>
      </c>
      <c r="C160" t="s">
        <v>63</v>
      </c>
      <c r="D160">
        <v>47997332.123555399</v>
      </c>
    </row>
    <row r="161" spans="1:4" hidden="1" x14ac:dyDescent="0.3">
      <c r="A161">
        <v>159</v>
      </c>
      <c r="B161" t="s">
        <v>267</v>
      </c>
      <c r="C161" t="s">
        <v>65</v>
      </c>
      <c r="D161">
        <v>39998074.629414998</v>
      </c>
    </row>
    <row r="162" spans="1:4" hidden="1" x14ac:dyDescent="0.3">
      <c r="A162">
        <v>160</v>
      </c>
      <c r="B162" s="1" t="s">
        <v>268</v>
      </c>
      <c r="C162" t="s">
        <v>67</v>
      </c>
      <c r="D162" s="1" t="s">
        <v>269</v>
      </c>
    </row>
    <row r="163" spans="1:4" hidden="1" x14ac:dyDescent="0.3">
      <c r="A163">
        <v>161</v>
      </c>
      <c r="B163" s="1" t="s">
        <v>270</v>
      </c>
      <c r="C163" t="s">
        <v>70</v>
      </c>
      <c r="D163" s="1" t="s">
        <v>271</v>
      </c>
    </row>
    <row r="164" spans="1:4" hidden="1" x14ac:dyDescent="0.3">
      <c r="A164">
        <v>162</v>
      </c>
      <c r="B164" t="s">
        <v>272</v>
      </c>
      <c r="C164" t="s">
        <v>73</v>
      </c>
      <c r="D164">
        <v>0.99997502747705602</v>
      </c>
    </row>
    <row r="165" spans="1:4" hidden="1" x14ac:dyDescent="0.3">
      <c r="A165">
        <v>163</v>
      </c>
      <c r="B165" t="s">
        <v>74</v>
      </c>
      <c r="C165" t="s">
        <v>75</v>
      </c>
      <c r="D165">
        <v>2.7397260273972599E-3</v>
      </c>
    </row>
    <row r="166" spans="1:4" hidden="1" x14ac:dyDescent="0.3">
      <c r="A166">
        <v>164</v>
      </c>
      <c r="B166" t="s">
        <v>76</v>
      </c>
      <c r="C166" t="s">
        <v>77</v>
      </c>
      <c r="D166">
        <v>0</v>
      </c>
    </row>
    <row r="167" spans="1:4" hidden="1" x14ac:dyDescent="0.3">
      <c r="A167">
        <v>165</v>
      </c>
      <c r="B167" t="s">
        <v>78</v>
      </c>
      <c r="C167" t="s">
        <v>79</v>
      </c>
      <c r="D167">
        <v>0</v>
      </c>
    </row>
    <row r="168" spans="1:4" hidden="1" x14ac:dyDescent="0.3">
      <c r="A168">
        <v>166</v>
      </c>
      <c r="B168" s="1" t="s">
        <v>273</v>
      </c>
      <c r="C168" t="s">
        <v>81</v>
      </c>
      <c r="D168" s="1" t="s">
        <v>274</v>
      </c>
    </row>
    <row r="169" spans="1:4" hidden="1" x14ac:dyDescent="0.3">
      <c r="A169">
        <v>167</v>
      </c>
      <c r="B169" t="s">
        <v>275</v>
      </c>
      <c r="C169" t="s">
        <v>84</v>
      </c>
      <c r="D169">
        <v>0.999954976507753</v>
      </c>
    </row>
    <row r="170" spans="1:4" hidden="1" x14ac:dyDescent="0.3">
      <c r="A170">
        <v>168</v>
      </c>
      <c r="B170" s="1" t="s">
        <v>276</v>
      </c>
      <c r="C170" t="s">
        <v>86</v>
      </c>
      <c r="D170" s="1" t="s">
        <v>277</v>
      </c>
    </row>
    <row r="171" spans="1:4" hidden="1" x14ac:dyDescent="0.3">
      <c r="A171">
        <v>169</v>
      </c>
      <c r="B171" t="s">
        <v>278</v>
      </c>
      <c r="C171" t="s">
        <v>89</v>
      </c>
      <c r="D171">
        <v>100005017.227532</v>
      </c>
    </row>
    <row r="172" spans="1:4" hidden="1" x14ac:dyDescent="0.3">
      <c r="A172">
        <v>170</v>
      </c>
      <c r="B172" s="1" t="s">
        <v>279</v>
      </c>
      <c r="C172" t="s">
        <v>91</v>
      </c>
      <c r="D172" s="1" t="s">
        <v>220</v>
      </c>
    </row>
    <row r="173" spans="1:4" hidden="1" x14ac:dyDescent="0.3">
      <c r="A173">
        <v>171</v>
      </c>
      <c r="B173" t="s">
        <v>280</v>
      </c>
      <c r="C173" t="s">
        <v>94</v>
      </c>
      <c r="D173">
        <v>47997332.123555399</v>
      </c>
    </row>
    <row r="174" spans="1:4" hidden="1" x14ac:dyDescent="0.3">
      <c r="A174">
        <v>172</v>
      </c>
      <c r="B174" t="s">
        <v>281</v>
      </c>
      <c r="C174" t="s">
        <v>96</v>
      </c>
      <c r="D174">
        <v>39998074.629414998</v>
      </c>
    </row>
    <row r="175" spans="1:4" hidden="1" x14ac:dyDescent="0.3">
      <c r="A175">
        <v>173</v>
      </c>
      <c r="B175" t="s">
        <v>282</v>
      </c>
      <c r="C175" t="s">
        <v>98</v>
      </c>
      <c r="D175">
        <v>8688604.3749022596</v>
      </c>
    </row>
    <row r="176" spans="1:4" hidden="1" x14ac:dyDescent="0.3">
      <c r="A176">
        <v>174</v>
      </c>
      <c r="B176" s="1" t="s">
        <v>283</v>
      </c>
      <c r="C176" t="s">
        <v>100</v>
      </c>
      <c r="D176" s="1" t="s">
        <v>284</v>
      </c>
    </row>
    <row r="177" spans="1:4" hidden="1" x14ac:dyDescent="0.3">
      <c r="A177">
        <v>175</v>
      </c>
      <c r="B177" t="s">
        <v>285</v>
      </c>
      <c r="C177" t="s">
        <v>103</v>
      </c>
      <c r="D177">
        <v>9.9834490322038196E-3</v>
      </c>
    </row>
    <row r="178" spans="1:4" hidden="1" x14ac:dyDescent="0.3">
      <c r="A178">
        <v>176</v>
      </c>
      <c r="B178" t="s">
        <v>286</v>
      </c>
      <c r="C178" t="s">
        <v>105</v>
      </c>
      <c r="D178">
        <v>1.6379695269397301E-3</v>
      </c>
    </row>
    <row r="179" spans="1:4" hidden="1" x14ac:dyDescent="0.3">
      <c r="A179">
        <v>177</v>
      </c>
      <c r="B179" t="s">
        <v>287</v>
      </c>
      <c r="C179" t="s">
        <v>107</v>
      </c>
      <c r="D179">
        <v>1.28274749247861E-2</v>
      </c>
    </row>
    <row r="180" spans="1:4" hidden="1" x14ac:dyDescent="0.3">
      <c r="A180">
        <v>178</v>
      </c>
      <c r="B180" s="1" t="s">
        <v>288</v>
      </c>
      <c r="C180" t="s">
        <v>109</v>
      </c>
      <c r="D180" s="1" t="s">
        <v>289</v>
      </c>
    </row>
    <row r="181" spans="1:4" x14ac:dyDescent="0.3">
      <c r="A181">
        <v>179</v>
      </c>
      <c r="B181" t="s">
        <v>290</v>
      </c>
      <c r="C181" t="s">
        <v>197</v>
      </c>
      <c r="D181">
        <v>96683302.799229994</v>
      </c>
    </row>
    <row r="182" spans="1:4" hidden="1" x14ac:dyDescent="0.3">
      <c r="A182">
        <v>180</v>
      </c>
      <c r="B182" t="s">
        <v>291</v>
      </c>
      <c r="C182" t="s">
        <v>199</v>
      </c>
      <c r="D182">
        <v>962.41148932082695</v>
      </c>
    </row>
    <row r="183" spans="1:4" hidden="1" x14ac:dyDescent="0.3">
      <c r="A183">
        <v>181</v>
      </c>
      <c r="B183" t="s">
        <v>292</v>
      </c>
      <c r="C183" t="s">
        <v>201</v>
      </c>
      <c r="D183">
        <v>802.01187818082201</v>
      </c>
    </row>
    <row r="184" spans="1:4" hidden="1" x14ac:dyDescent="0.3">
      <c r="A184">
        <v>182</v>
      </c>
      <c r="B184" s="1" t="s">
        <v>293</v>
      </c>
      <c r="C184" t="s">
        <v>203</v>
      </c>
      <c r="D184" s="1" t="s">
        <v>294</v>
      </c>
    </row>
    <row r="185" spans="1:4" hidden="1" x14ac:dyDescent="0.3">
      <c r="A185">
        <v>183</v>
      </c>
      <c r="B185" t="s">
        <v>295</v>
      </c>
      <c r="C185" t="s">
        <v>206</v>
      </c>
      <c r="D185">
        <v>47996091.544932403</v>
      </c>
    </row>
    <row r="186" spans="1:4" hidden="1" x14ac:dyDescent="0.3">
      <c r="A186">
        <v>184</v>
      </c>
      <c r="B186" t="s">
        <v>296</v>
      </c>
      <c r="C186" t="s">
        <v>208</v>
      </c>
      <c r="D186">
        <v>39996857.843472697</v>
      </c>
    </row>
    <row r="187" spans="1:4" hidden="1" x14ac:dyDescent="0.3">
      <c r="A187">
        <v>185</v>
      </c>
      <c r="B187" t="s">
        <v>297</v>
      </c>
      <c r="C187" t="s">
        <v>210</v>
      </c>
      <c r="D187">
        <v>8688414.7684756592</v>
      </c>
    </row>
    <row r="188" spans="1:4" hidden="1" x14ac:dyDescent="0.3">
      <c r="A188">
        <v>186</v>
      </c>
      <c r="B188" s="1" t="s">
        <v>298</v>
      </c>
      <c r="C188" t="s">
        <v>212</v>
      </c>
      <c r="D188" s="1" t="s">
        <v>299</v>
      </c>
    </row>
    <row r="189" spans="1:4" hidden="1" x14ac:dyDescent="0.3">
      <c r="A189">
        <v>187</v>
      </c>
      <c r="B189" t="s">
        <v>300</v>
      </c>
      <c r="C189" t="s">
        <v>215</v>
      </c>
      <c r="D189">
        <v>100003011.97992501</v>
      </c>
    </row>
    <row r="190" spans="1:4" hidden="1" x14ac:dyDescent="0.3">
      <c r="A190">
        <v>188</v>
      </c>
      <c r="B190" t="s">
        <v>301</v>
      </c>
      <c r="C190" t="s">
        <v>217</v>
      </c>
      <c r="D190">
        <v>2005.24760659039</v>
      </c>
    </row>
    <row r="191" spans="1:4" hidden="1" x14ac:dyDescent="0.3">
      <c r="A191">
        <v>189</v>
      </c>
      <c r="B191" s="1" t="s">
        <v>302</v>
      </c>
      <c r="C191" t="s">
        <v>219</v>
      </c>
      <c r="D191" s="1" t="s">
        <v>303</v>
      </c>
    </row>
    <row r="192" spans="1:4" hidden="1" x14ac:dyDescent="0.3">
      <c r="A192">
        <v>190</v>
      </c>
      <c r="B192" t="s">
        <v>304</v>
      </c>
      <c r="C192" t="s">
        <v>112</v>
      </c>
      <c r="D192">
        <v>-278.16713367205</v>
      </c>
    </row>
    <row r="193" spans="1:4" hidden="1" x14ac:dyDescent="0.3">
      <c r="A193">
        <v>191</v>
      </c>
      <c r="B193" t="s">
        <v>305</v>
      </c>
      <c r="C193" t="s">
        <v>114</v>
      </c>
      <c r="D193">
        <v>-414.77406417286397</v>
      </c>
    </row>
    <row r="194" spans="1:4" hidden="1" x14ac:dyDescent="0.3">
      <c r="A194">
        <v>192</v>
      </c>
      <c r="B194" s="1" t="s">
        <v>306</v>
      </c>
      <c r="C194" t="s">
        <v>116</v>
      </c>
      <c r="D194" s="1" t="s">
        <v>307</v>
      </c>
    </row>
    <row r="195" spans="1:4" hidden="1" x14ac:dyDescent="0.3">
      <c r="A195">
        <v>193</v>
      </c>
      <c r="B195" t="s">
        <v>308</v>
      </c>
      <c r="C195" t="s">
        <v>119</v>
      </c>
      <c r="D195">
        <v>47996091.544932403</v>
      </c>
    </row>
    <row r="196" spans="1:4" hidden="1" x14ac:dyDescent="0.3">
      <c r="A196">
        <v>194</v>
      </c>
      <c r="B196" t="s">
        <v>309</v>
      </c>
      <c r="C196" t="s">
        <v>121</v>
      </c>
      <c r="D196">
        <v>39996857.843472697</v>
      </c>
    </row>
    <row r="197" spans="1:4" hidden="1" x14ac:dyDescent="0.3">
      <c r="A197">
        <v>195</v>
      </c>
      <c r="B197" s="1" t="s">
        <v>310</v>
      </c>
      <c r="C197" t="s">
        <v>123</v>
      </c>
      <c r="D197" s="1" t="s">
        <v>311</v>
      </c>
    </row>
    <row r="198" spans="1:4" hidden="1" x14ac:dyDescent="0.3">
      <c r="A198">
        <v>196</v>
      </c>
      <c r="B198" t="s">
        <v>312</v>
      </c>
      <c r="C198" t="s">
        <v>126</v>
      </c>
      <c r="D198">
        <v>0.47996806939695802</v>
      </c>
    </row>
    <row r="199" spans="1:4" hidden="1" x14ac:dyDescent="0.3">
      <c r="A199">
        <v>197</v>
      </c>
      <c r="B199" t="s">
        <v>313</v>
      </c>
      <c r="C199" t="s">
        <v>128</v>
      </c>
      <c r="D199">
        <v>0.39997454007487898</v>
      </c>
    </row>
    <row r="200" spans="1:4" hidden="1" x14ac:dyDescent="0.3">
      <c r="A200">
        <v>198</v>
      </c>
      <c r="B200" s="1" t="s">
        <v>314</v>
      </c>
      <c r="C200" t="s">
        <v>130</v>
      </c>
      <c r="D200" s="1" t="s">
        <v>315</v>
      </c>
    </row>
  </sheetData>
  <autoFilter ref="A1:D200" xr:uid="{63F26A43-35E2-4935-940A-8077118E3C91}">
    <filterColumn colId="2">
      <filters>
        <filter val="total_value_of_collaterals is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61565-C68A-41DC-9259-88C5F14872FC}">
  <dimension ref="A1:K10"/>
  <sheetViews>
    <sheetView tabSelected="1" workbookViewId="0">
      <selection activeCell="K2" sqref="G2:K2"/>
    </sheetView>
  </sheetViews>
  <sheetFormatPr defaultRowHeight="14.4" x14ac:dyDescent="0.3"/>
  <cols>
    <col min="2" max="2" width="11" bestFit="1" customWidth="1"/>
    <col min="3" max="3" width="16.44140625" customWidth="1"/>
    <col min="4" max="4" width="12" bestFit="1" customWidth="1"/>
    <col min="7" max="7" width="13.88671875" bestFit="1" customWidth="1"/>
    <col min="8" max="9" width="14.88671875" bestFit="1" customWidth="1"/>
    <col min="10" max="10" width="13.88671875" bestFit="1" customWidth="1"/>
    <col min="11" max="11" width="14.44140625" bestFit="1" customWidth="1"/>
    <col min="12" max="12" width="9" bestFit="1" customWidth="1"/>
  </cols>
  <sheetData>
    <row r="1" spans="1:11" x14ac:dyDescent="0.3">
      <c r="B1" t="s">
        <v>70</v>
      </c>
      <c r="C1" t="s">
        <v>61</v>
      </c>
      <c r="D1" t="s">
        <v>319</v>
      </c>
      <c r="G1" t="s">
        <v>317</v>
      </c>
      <c r="H1" t="s">
        <v>318</v>
      </c>
      <c r="I1" t="s">
        <v>316</v>
      </c>
      <c r="J1" t="s">
        <v>319</v>
      </c>
      <c r="K1" t="s">
        <v>320</v>
      </c>
    </row>
    <row r="2" spans="1:11" x14ac:dyDescent="0.3">
      <c r="A2" t="s">
        <v>5</v>
      </c>
      <c r="B2" s="1">
        <v>1.5</v>
      </c>
      <c r="C2">
        <v>150000000</v>
      </c>
      <c r="F2" t="s">
        <v>70</v>
      </c>
      <c r="G2" s="3">
        <v>0.96683513543835498</v>
      </c>
      <c r="H2" s="3">
        <v>1.5000077197862201</v>
      </c>
      <c r="I2" s="3">
        <v>1.322280951741525</v>
      </c>
      <c r="J2" s="3">
        <v>0.18850770432415873</v>
      </c>
      <c r="K2" s="3">
        <v>-0.36947510047535109</v>
      </c>
    </row>
    <row r="3" spans="1:11" x14ac:dyDescent="0.3">
      <c r="A3" t="s">
        <v>5</v>
      </c>
      <c r="B3">
        <v>1.5000077197862201</v>
      </c>
      <c r="C3">
        <v>149999449.67568499</v>
      </c>
      <c r="D3">
        <f>STDEV(B2:B3)</f>
        <v>5.4587131855082806E-6</v>
      </c>
      <c r="E3">
        <f>STDEV(C2:C3)</f>
        <v>389.1380549964743</v>
      </c>
      <c r="F3" t="s">
        <v>61</v>
      </c>
      <c r="G3" s="2">
        <v>96683302.799229994</v>
      </c>
      <c r="H3" s="2">
        <v>150000000</v>
      </c>
      <c r="I3" s="2">
        <v>132227584.15830499</v>
      </c>
      <c r="J3" s="2">
        <v>18850299.070567138</v>
      </c>
      <c r="K3" s="2">
        <v>-36946586.178311594</v>
      </c>
    </row>
    <row r="4" spans="1:11" x14ac:dyDescent="0.3">
      <c r="A4" t="s">
        <v>5</v>
      </c>
      <c r="B4">
        <v>0.96683513543835498</v>
      </c>
      <c r="C4">
        <v>96683302.799229994</v>
      </c>
      <c r="D4">
        <f>STDEV(B3:B4)</f>
        <v>0.37700994993513193</v>
      </c>
      <c r="E4">
        <f>STDEV(C3:C4)</f>
        <v>37700209.00307928</v>
      </c>
    </row>
    <row r="5" spans="1:11" x14ac:dyDescent="0.3">
      <c r="A5" t="s">
        <v>317</v>
      </c>
      <c r="B5">
        <f>MIN(B2:B4)</f>
        <v>0.96683513543835498</v>
      </c>
      <c r="C5">
        <f>MIN(C2:C4)</f>
        <v>96683302.799229994</v>
      </c>
    </row>
    <row r="6" spans="1:11" x14ac:dyDescent="0.3">
      <c r="A6" t="s">
        <v>318</v>
      </c>
      <c r="B6">
        <f>MAX(B2:B4)</f>
        <v>1.5000077197862201</v>
      </c>
      <c r="C6">
        <f>MAX(C2:C4)</f>
        <v>150000000</v>
      </c>
    </row>
    <row r="7" spans="1:11" x14ac:dyDescent="0.3">
      <c r="A7" t="s">
        <v>316</v>
      </c>
      <c r="B7">
        <f>AVERAGE(B2:B4)</f>
        <v>1.322280951741525</v>
      </c>
      <c r="C7">
        <f>AVERAGE(C2:C4)</f>
        <v>132227584.15830499</v>
      </c>
    </row>
    <row r="8" spans="1:11" x14ac:dyDescent="0.3">
      <c r="A8" t="s">
        <v>319</v>
      </c>
      <c r="B8">
        <f>AVERAGE(D3:D4)</f>
        <v>0.18850770432415873</v>
      </c>
      <c r="C8">
        <f>AVERAGE(E3:E4)</f>
        <v>18850299.070567138</v>
      </c>
    </row>
    <row r="9" spans="1:11" x14ac:dyDescent="0.3">
      <c r="A9" t="s">
        <v>320</v>
      </c>
      <c r="B9">
        <f>-1.96*B8</f>
        <v>-0.36947510047535109</v>
      </c>
      <c r="C9">
        <f>-1.96*C8</f>
        <v>-36946586.178311594</v>
      </c>
    </row>
    <row r="10" spans="1:11" x14ac:dyDescent="0.3">
      <c r="B10">
        <f>B9/B7</f>
        <v>-0.27942253874921946</v>
      </c>
      <c r="C10">
        <f>C9/C7</f>
        <v>-0.27941663166195752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extreme_test_3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u3546092@connect.hku.hk</cp:lastModifiedBy>
  <dcterms:created xsi:type="dcterms:W3CDTF">2026-02-21T05:46:31Z</dcterms:created>
  <dcterms:modified xsi:type="dcterms:W3CDTF">2026-02-21T13:36:56Z</dcterms:modified>
</cp:coreProperties>
</file>