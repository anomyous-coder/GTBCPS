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BE1B028E-21ED-4AFB-AC4F-7BBC932DE3FA}" xr6:coauthVersionLast="47" xr6:coauthVersionMax="47" xr10:uidLastSave="{00000000-0000-0000-0000-000000000000}"/>
  <bookViews>
    <workbookView xWindow="1152" yWindow="1152" windowWidth="17280" windowHeight="8880" activeTab="1" xr2:uid="{9E3252D0-A252-4451-AD36-97B6CFCB5439}"/>
  </bookViews>
  <sheets>
    <sheet name="test_3" sheetId="1" r:id="rId1"/>
    <sheet name="Sheet1" sheetId="2" r:id="rId2"/>
  </sheets>
  <definedNames>
    <definedName name="_xlnm._FilterDatabase" localSheetId="0" hidden="1">test_3!$A$1:$D$200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9" i="2" s="1"/>
  <c r="E7" i="2"/>
  <c r="D7" i="2"/>
  <c r="C7" i="2"/>
  <c r="B7" i="2"/>
  <c r="E6" i="2"/>
  <c r="D6" i="2"/>
  <c r="C6" i="2"/>
  <c r="B6" i="2"/>
  <c r="E5" i="2"/>
  <c r="D5" i="2"/>
  <c r="C5" i="2"/>
  <c r="B5" i="2"/>
  <c r="F4" i="2"/>
  <c r="G4" i="2"/>
  <c r="H4" i="2"/>
  <c r="I4" i="2"/>
  <c r="I3" i="2"/>
  <c r="E8" i="2" s="1"/>
  <c r="E9" i="2" s="1"/>
  <c r="E10" i="2" s="1"/>
  <c r="H3" i="2"/>
  <c r="G3" i="2"/>
  <c r="C8" i="2" s="1"/>
  <c r="C9" i="2" s="1"/>
  <c r="C10" i="2" s="1"/>
  <c r="F3" i="2"/>
  <c r="B8" i="2" s="1"/>
  <c r="B9" i="2" s="1"/>
  <c r="B10" i="2" s="1"/>
  <c r="D10" i="2" l="1"/>
</calcChain>
</file>

<file path=xl/sharedStrings.xml><?xml version="1.0" encoding="utf-8"?>
<sst xmlns="http://schemas.openxmlformats.org/spreadsheetml/2006/main" count="498" uniqueCount="317">
  <si>
    <t>string</t>
  </si>
  <si>
    <t>name</t>
  </si>
  <si>
    <t>value</t>
  </si>
  <si>
    <t xml:space="preserve">date is: 2023-12-14 00:00:00
</t>
  </si>
  <si>
    <t>date is</t>
  </si>
  <si>
    <t xml:space="preserve"> 2023-12-14 00</t>
  </si>
  <si>
    <t>current price of gold is: 2036.36</t>
  </si>
  <si>
    <t>current price of gold is</t>
  </si>
  <si>
    <t xml:space="preserve"> predicted price of gold is: 2010.8193054594644</t>
  </si>
  <si>
    <t xml:space="preserve"> predicted price of gold is</t>
  </si>
  <si>
    <t xml:space="preserve">profit is: -25.54069454053547
</t>
  </si>
  <si>
    <t>profit is</t>
  </si>
  <si>
    <t xml:space="preserve"> -25.54069454053547
</t>
  </si>
  <si>
    <t>current price of tb is: 92.3515625</t>
  </si>
  <si>
    <t>current price of tb is</t>
  </si>
  <si>
    <t xml:space="preserve"> current price of tb option is: 4.209368887552308</t>
  </si>
  <si>
    <t xml:space="preserve"> current price of tb option is</t>
  </si>
  <si>
    <t>predicted price of tb is: 92.65373755471077</t>
  </si>
  <si>
    <t>predicted price of tb is</t>
  </si>
  <si>
    <t xml:space="preserve">profit is: 4.511543942263074
</t>
  </si>
  <si>
    <t xml:space="preserve"> 4.511543942263074
</t>
  </si>
  <si>
    <t>current price of reit is: 40.3</t>
  </si>
  <si>
    <t>current price of reit is</t>
  </si>
  <si>
    <t xml:space="preserve"> current price of reit option is: 5.75458596883287</t>
  </si>
  <si>
    <t xml:space="preserve"> current price of reit option is</t>
  </si>
  <si>
    <t>predicted price of reit is: 40.671027362163066</t>
  </si>
  <si>
    <t>predicted price of reit is</t>
  </si>
  <si>
    <t xml:space="preserve">profit is: 6.1256133309959395
</t>
  </si>
  <si>
    <t xml:space="preserve"> 6.1256133309959395
</t>
  </si>
  <si>
    <t>value_ratio_tb_to_total is: -0.3027163190425286</t>
  </si>
  <si>
    <t>value_ratio_tb_to_total is</t>
  </si>
  <si>
    <t xml:space="preserve"> risk_ratio_tb_to_gold is: 0.25750337487012726
</t>
  </si>
  <si>
    <t xml:space="preserve"> risk_ratio_tb_to_gold is</t>
  </si>
  <si>
    <t xml:space="preserve"> 0.25750337487012726
</t>
  </si>
  <si>
    <t>value_ratio_gold_to_total is: 1.713733731965425</t>
  </si>
  <si>
    <t>value_ratio_gold_to_total is</t>
  </si>
  <si>
    <t xml:space="preserve"> risk_ratio_gold_to_total is: 0.6828823387989966
</t>
  </si>
  <si>
    <t xml:space="preserve"> risk_ratio_gold_to_total is</t>
  </si>
  <si>
    <t xml:space="preserve"> 0.6828823387989966
</t>
  </si>
  <si>
    <t>value_ratio_reit_to_total is: -0.41101741292289623</t>
  </si>
  <si>
    <t>value_ratio_reit_to_total is</t>
  </si>
  <si>
    <t xml:space="preserve"> risk_ratio_reit_to_gold is: 0.2068777390985347
</t>
  </si>
  <si>
    <t xml:space="preserve"> risk_ratio_reit_to_gold is</t>
  </si>
  <si>
    <t xml:space="preserve"> 0.2068777390985347
</t>
  </si>
  <si>
    <t>average_risk_gold is: 0.0061017734586584944</t>
  </si>
  <si>
    <t>average_risk_gold is</t>
  </si>
  <si>
    <t xml:space="preserve"> average_risk_tb is: 0.9755659986356454</t>
  </si>
  <si>
    <t xml:space="preserve"> average_risk_tb is</t>
  </si>
  <si>
    <t xml:space="preserve"> average_risk_reit is: 0.7837679340744044
</t>
  </si>
  <si>
    <t xml:space="preserve"> average_risk_reit is</t>
  </si>
  <si>
    <t xml:space="preserve"> 0.7837679340744044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</si>
  <si>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</si>
  <si>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</si>
  <si>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</si>
  <si>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</si>
  <si>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</si>
  <si>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</si>
  <si>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</si>
  <si>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</si>
  <si>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</si>
  <si>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</si>
  <si>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</si>
  <si>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</si>
  <si>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</si>
  <si>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</si>
  <si>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</si>
  <si>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</si>
  <si>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</si>
  <si>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</si>
  <si>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</si>
  <si>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</si>
  <si>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</si>
  <si>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</si>
  <si>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</si>
  <si>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</si>
  <si>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</si>
  <si>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</si>
  <si>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</si>
  <si>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</si>
  <si>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</si>
  <si>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0.008602891288399708
</t>
  </si>
  <si>
    <t>stdev_gtbcps is</t>
  </si>
  <si>
    <t xml:space="preserve"> 0.008602891288399708
</t>
  </si>
  <si>
    <t>predicted price of GTBCPS is: 0.999985837126688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</si>
  <si>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</si>
  <si>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</si>
  <si>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</si>
  <si>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</si>
  <si>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100001416.30739018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</si>
  <si>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</si>
  <si>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</si>
  <si>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</si>
  <si>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</si>
  <si>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</si>
  <si>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</si>
  <si>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</si>
  <si>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</si>
  <si>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</si>
  <si>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</si>
  <si>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</si>
  <si>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</si>
  <si>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</si>
  <si>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0.007989201982243833</t>
  </si>
  <si>
    <t>predicted stdevs of gold is</t>
  </si>
  <si>
    <t xml:space="preserve"> predicted stdevs of tb is: 0.0015712272582975313</t>
  </si>
  <si>
    <t xml:space="preserve"> predicted stdevs of tb is</t>
  </si>
  <si>
    <t xml:space="preserve"> predicted stdevs of reit is: 0.01961494814495161</t>
  </si>
  <si>
    <t xml:space="preserve"> predicted stdevs of reit is</t>
  </si>
  <si>
    <t xml:space="preserve"> predicted stdevs of GTBCPS is: 0.008602891288399708.
</t>
  </si>
  <si>
    <t xml:space="preserve"> predicted stdevs of GTBCPS is</t>
  </si>
  <si>
    <t xml:space="preserve"> 0.008602891288399708.
</t>
  </si>
  <si>
    <t>payout of tranche of gold is: -377.68197071571797</t>
  </si>
  <si>
    <t>payout of tranche of gold is</t>
  </si>
  <si>
    <t xml:space="preserve"> payout of tranche of Treausry Bill Option is: -73.85780760662927</t>
  </si>
  <si>
    <t xml:space="preserve"> payout of tranche of Treausry Bill Option is</t>
  </si>
  <si>
    <t xml:space="preserve"> payout of tranche of Collar of REIT is: -38.59070447446379
</t>
  </si>
  <si>
    <t xml:space="preserve"> payout of tranche of Collar of REIT is</t>
  </si>
  <si>
    <t xml:space="preserve"> -38.59070447446379
</t>
  </si>
  <si>
    <t>Collateral size of tranche of gold is: 79999622.31802928</t>
  </si>
  <si>
    <t>Collateral size of tranche of gold is</t>
  </si>
  <si>
    <t xml:space="preserve"> collateral size of tranche of Treausry Bill Option is: 39999926.14219239</t>
  </si>
  <si>
    <t xml:space="preserve"> collateral size of tranche of Treausry Bill Option is</t>
  </si>
  <si>
    <t xml:space="preserve"> collateral size of tranche of Collar of REIT is: 29999961.409295525
</t>
  </si>
  <si>
    <t xml:space="preserve"> collateral size of tranche of Collar of REIT is</t>
  </si>
  <si>
    <t xml:space="preserve"> 29999961.409295525
</t>
  </si>
  <si>
    <t>Collateral ratio of tranche of gold is: 0.7999962231802928</t>
  </si>
  <si>
    <t>Collateral ratio of tranche of gold is</t>
  </si>
  <si>
    <t xml:space="preserve"> collateral ratio of tranche of Treausry Bill Option is: 0.39999926142192394</t>
  </si>
  <si>
    <t xml:space="preserve"> collateral ratio of tranche of Treausry Bill Option is</t>
  </si>
  <si>
    <t xml:space="preserve"> collateral ratio of tranche of Collar of REIT is: 0.2999996140929553
</t>
  </si>
  <si>
    <t xml:space="preserve"> collateral ratio of tranche of Collar of REIT is</t>
  </si>
  <si>
    <t xml:space="preserve"> 0.2999996140929553
</t>
  </si>
  <si>
    <t xml:space="preserve"> predicted price of gold is: 2010.8193054594644
</t>
  </si>
  <si>
    <t xml:space="preserve"> 2010.8193054594644
</t>
  </si>
  <si>
    <t xml:space="preserve"> predicted price of tb is: 92.65373755471077
</t>
  </si>
  <si>
    <t xml:space="preserve"> predicted price of tb is</t>
  </si>
  <si>
    <t xml:space="preserve"> 92.65373755471077
</t>
  </si>
  <si>
    <t xml:space="preserve"> current price of reit option is: 5.753228475521084</t>
  </si>
  <si>
    <t xml:space="preserve"> predicted price of reit is: 40.886801695110144
</t>
  </si>
  <si>
    <t xml:space="preserve"> predicted price of reit is</t>
  </si>
  <si>
    <t xml:space="preserve"> 40.886801695110144
</t>
  </si>
  <si>
    <t>value_ratio_gold_to_total is: 1.7387490739387241</t>
  </si>
  <si>
    <t xml:space="preserve"> risk_ratio_to_gold is: 0.6856970854181831</t>
  </si>
  <si>
    <t xml:space="preserve"> risk_ratio_to_gold is</t>
  </si>
  <si>
    <t xml:space="preserve"> risk_ratio_to_gold_before is: 0.6828823387989966
</t>
  </si>
  <si>
    <t xml:space="preserve"> risk_ratio_to_gold_before is</t>
  </si>
  <si>
    <t>value_ratio_tb_to_total is: -0.30713506397384444</t>
  </si>
  <si>
    <t xml:space="preserve"> risk_ratio_tb_to_gold is: 0.2545613320636191</t>
  </si>
  <si>
    <t xml:space="preserve"> risk_ratio_tb_to_gold_before is: 0.25750337487012726
</t>
  </si>
  <si>
    <t xml:space="preserve"> risk_ratio_tb_to_gold_before is</t>
  </si>
  <si>
    <t>value_ratio_reit_to_total is: -0.43161400996487964</t>
  </si>
  <si>
    <t xml:space="preserve"> risk_ratio_reit_to_gold is: 0.20380858267815705</t>
  </si>
  <si>
    <t xml:space="preserve"> risk_ratio_reit_to_gold_before is: 0.2068777390985347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</si>
  <si>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</si>
  <si>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</si>
  <si>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</si>
  <si>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</si>
  <si>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</si>
  <si>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0.9999705242532697
</t>
  </si>
  <si>
    <t xml:space="preserve"> delta_reit is</t>
  </si>
  <si>
    <t xml:space="preserve"> 0.9999705242532697
</t>
  </si>
  <si>
    <t>delta_gold_risk is: 1.001672574816606</t>
  </si>
  <si>
    <t>delta_gold_risk is</t>
  </si>
  <si>
    <t xml:space="preserve"> delta_tb_risk is: 0.9976604096137619</t>
  </si>
  <si>
    <t xml:space="preserve"> delta_tb_risk is</t>
  </si>
  <si>
    <t xml:space="preserve"> delta_reit_risk is: 0.9974569450401246
</t>
  </si>
  <si>
    <t xml:space="preserve"> delta_reit_risk is</t>
  </si>
  <si>
    <t xml:space="preserve"> 0.9974569450401246
</t>
  </si>
  <si>
    <t xml:space="preserve">collateral_ratio_tranche_gold is: 0.7986604039017065
</t>
  </si>
  <si>
    <t xml:space="preserve"> 0.7986604039017065
</t>
  </si>
  <si>
    <t xml:space="preserve">collateral_ratio_tranche_tb is: 0.40093729045215015
</t>
  </si>
  <si>
    <t xml:space="preserve"> 0.40093729045215015
</t>
  </si>
  <si>
    <t xml:space="preserve">collateral_ratio_tranche_reit is: 0.3007556094245686
</t>
  </si>
  <si>
    <t xml:space="preserve"> 0.3007556094245686
</t>
  </si>
  <si>
    <t>Total plot size is: 149999115.72759807</t>
  </si>
  <si>
    <t xml:space="preserve"> plot size of REIT is: 29999115.72759809
</t>
  </si>
  <si>
    <t xml:space="preserve"> 29999115.72759809
</t>
  </si>
  <si>
    <t xml:space="preserve">collateral ratio is: 1.4999911572759808
</t>
  </si>
  <si>
    <t xml:space="preserve"> 1.4999911572759808
</t>
  </si>
  <si>
    <t>S_gtbcps_0 is: 0.999985837126688</t>
  </si>
  <si>
    <t>change_of_collaterals is: 2.220446049250313e-16</t>
  </si>
  <si>
    <t xml:space="preserve">stdev_gtbcps is: 0.008620168577338454
</t>
  </si>
  <si>
    <t xml:space="preserve"> 0.008620168577338454
</t>
  </si>
  <si>
    <t>predicted price of GTBCPS is: 0.9999715442610401</t>
  </si>
  <si>
    <t xml:space="preserve"> actual price is: 0.999985837126688
</t>
  </si>
  <si>
    <t xml:space="preserve"> 0.999985837126688
</t>
  </si>
  <si>
    <t>predicted amount of GTBCPS is: 100002845.65487123</t>
  </si>
  <si>
    <t xml:space="preserve"> actual amount is: 100001416.30739018
</t>
  </si>
  <si>
    <t xml:space="preserve"> 100001416.30739018
</t>
  </si>
  <si>
    <t xml:space="preserve"> plot sizes of reit is: 29999115.72759809</t>
  </si>
  <si>
    <t xml:space="preserve"> plot sizes of total is: 149999115.7275981.
</t>
  </si>
  <si>
    <t xml:space="preserve"> 149999115.7275981.
</t>
  </si>
  <si>
    <t>predicted stdevs of gold is: 0.008020462228517192</t>
  </si>
  <si>
    <t xml:space="preserve"> predicted stdevs of tb is: 0.0015616906632038743</t>
  </si>
  <si>
    <t xml:space="preserve"> predicted stdevs of reit is: 0.01963101394593063</t>
  </si>
  <si>
    <t xml:space="preserve"> predicted stdevs of GTBCPS is: 0.008620168577338454.
</t>
  </si>
  <si>
    <t xml:space="preserve"> 0.008620168577338454.
</t>
  </si>
  <si>
    <t>total_value_of_collaterals is: 149998620.85026807</t>
  </si>
  <si>
    <t>total_value_of_collaterals is</t>
  </si>
  <si>
    <t xml:space="preserve"> createdtionValue_gold is: 1143.4399984314887</t>
  </si>
  <si>
    <t xml:space="preserve"> createdtionValue_gold is</t>
  </si>
  <si>
    <t xml:space="preserve"> createdValue_tb is: 571.7216555533068</t>
  </si>
  <si>
    <t xml:space="preserve"> createdValue_tb is</t>
  </si>
  <si>
    <t xml:space="preserve"> createdValue_reit is: 428.7788455892092
</t>
  </si>
  <si>
    <t xml:space="preserve"> createdValue_reit is</t>
  </si>
  <si>
    <t xml:space="preserve"> 428.7788455892092
</t>
  </si>
  <si>
    <t>plotValue_gold_after_creation is: 79998475.40382463</t>
  </si>
  <si>
    <t>plotValue_gold_after_creation is</t>
  </si>
  <si>
    <t xml:space="preserve"> plotValue_tb_after_creation  is: 39999353.58423228</t>
  </si>
  <si>
    <t xml:space="preserve"> plotValue_tb_after_creation  is</t>
  </si>
  <si>
    <t xml:space="preserve"> plotValue_reit_after_creation  is: 29998647.921711583</t>
  </si>
  <si>
    <t xml:space="preserve"> plotValue_reit_after_creation  is</t>
  </si>
  <si>
    <t xml:space="preserve">total_value_after_creation is: 149996476.9097685
</t>
  </si>
  <si>
    <t>total_value_after_creation is</t>
  </si>
  <si>
    <t xml:space="preserve"> 149996476.9097685
</t>
  </si>
  <si>
    <t>total_amount_gtncps_before_creation is: 100001416.30739018</t>
  </si>
  <si>
    <t>total_amount_gtncps_before_creation is</t>
  </si>
  <si>
    <t>creation_amount_gtbcps is: 1429.3474810421467</t>
  </si>
  <si>
    <t>creation_amount_gtbcps is</t>
  </si>
  <si>
    <t xml:space="preserve">total_amount_gtbcps_new is: 100002845.65487123
</t>
  </si>
  <si>
    <t>total_amount_gtbcps_new is</t>
  </si>
  <si>
    <t xml:space="preserve"> 100002845.65487123
</t>
  </si>
  <si>
    <t>payout of tranche of gold is: -381.15617693368296</t>
  </si>
  <si>
    <t xml:space="preserve"> payout of tranche of Treausry Bill Option is: -74.69411216557081</t>
  </si>
  <si>
    <t xml:space="preserve"> payout of tranche of Collar of REIT is: -39.02704091891151
</t>
  </si>
  <si>
    <t xml:space="preserve"> -39.02704091891151
</t>
  </si>
  <si>
    <t>Collateral size of tranche of gold is: 79998475.40382463</t>
  </si>
  <si>
    <t xml:space="preserve"> collateral size of tranche of Treausry Bill Option is: 39999353.58423228</t>
  </si>
  <si>
    <t xml:space="preserve"> collateral size of tranche of Collar of REIT is: 29998647.921711583
</t>
  </si>
  <si>
    <t xml:space="preserve"> 29998647.921711583
</t>
  </si>
  <si>
    <t>Collateral ratio of tranche of gold is: 0.7999961884382305</t>
  </si>
  <si>
    <t xml:space="preserve"> collateral ratio of tranche of Treausry Bill Option is: 0.3999992530588783</t>
  </si>
  <si>
    <t xml:space="preserve"> collateral ratio of tranche of Collar of REIT is: 0.2999907670055717
</t>
  </si>
  <si>
    <t xml:space="preserve"> 0.2999907670055717
</t>
  </si>
  <si>
    <t xml:space="preserve"> current price of reit option is: 5.745606451358221</t>
  </si>
  <si>
    <t xml:space="preserve"> predicted price of reit is: 40.76907999644222
</t>
  </si>
  <si>
    <t xml:space="preserve"> 40.76907999644222
</t>
  </si>
  <si>
    <t>value_ratio_gold_to_total is: 1.7240376891878206</t>
  </si>
  <si>
    <t xml:space="preserve"> risk_ratio_to_gold is: 0.6855199659470775</t>
  </si>
  <si>
    <t xml:space="preserve"> risk_ratio_to_gold_before is: 0.6856970854181831
</t>
  </si>
  <si>
    <t xml:space="preserve"> 0.6856970854181831
</t>
  </si>
  <si>
    <t>value_ratio_tb_to_total is: -0.3045364244321553</t>
  </si>
  <si>
    <t xml:space="preserve"> risk_ratio_tb_to_gold is: 0.2544432550802758</t>
  </si>
  <si>
    <t xml:space="preserve"> risk_ratio_tb_to_gold_before is: 0.2545613320636191
</t>
  </si>
  <si>
    <t xml:space="preserve"> 0.2545613320636191
</t>
  </si>
  <si>
    <t>value_ratio_reit_to_total is: -0.41950126475566535</t>
  </si>
  <si>
    <t xml:space="preserve"> risk_ratio_reit_to_gold is: 0.20430346226508084</t>
  </si>
  <si>
    <t xml:space="preserve"> risk_ratio_reit_to_gold_before is: 0.20380858267815705
</t>
  </si>
  <si>
    <t xml:space="preserve"> 0.20380858267815705
</t>
  </si>
  <si>
    <t xml:space="preserve"> delta_reit is: 0.9998344953347426
</t>
  </si>
  <si>
    <t xml:space="preserve"> 0.9998344953347426
</t>
  </si>
  <si>
    <t>delta_gold_risk is: 0.999894928055202</t>
  </si>
  <si>
    <t xml:space="preserve"> delta_tb_risk is: 0.9999058818566096</t>
  </si>
  <si>
    <t xml:space="preserve"> delta_reit_risk is: 1.0004110949149596
</t>
  </si>
  <si>
    <t xml:space="preserve"> 1.0004110949149596
</t>
  </si>
  <si>
    <t xml:space="preserve">collateral_ratio_tranche_gold is: 0.8000802544265576
</t>
  </si>
  <si>
    <t xml:space="preserve"> 0.8000802544265576
</t>
  </si>
  <si>
    <t xml:space="preserve">collateral_ratio_tranche_tb is: 0.40003690378955065
</t>
  </si>
  <si>
    <t xml:space="preserve"> 0.40003690378955065
</t>
  </si>
  <si>
    <t xml:space="preserve">collateral_ratio_tranche_reit is: 0.29981786353498485
</t>
  </si>
  <si>
    <t xml:space="preserve"> 0.29981786353498485
</t>
  </si>
  <si>
    <t>Total plot size is: 149991511.99358603</t>
  </si>
  <si>
    <t xml:space="preserve"> plot size of gold is: 79998475.40382463</t>
  </si>
  <si>
    <t xml:space="preserve"> plot size of TB is: 39999353.58423228</t>
  </si>
  <si>
    <t xml:space="preserve"> plot size of REIT is: 29993683.005529124
</t>
  </si>
  <si>
    <t xml:space="preserve"> 29993683.005529124
</t>
  </si>
  <si>
    <t xml:space="preserve">collateral ratio is: 1.49991511993586
</t>
  </si>
  <si>
    <t xml:space="preserve"> 1.49991511993586
</t>
  </si>
  <si>
    <t>S_gtbcps_0 is: 0.9999715442610401</t>
  </si>
  <si>
    <t xml:space="preserve">stdev_gtbcps is: 0.008656062568701824
</t>
  </si>
  <si>
    <t xml:space="preserve"> 0.008656062568701824
</t>
  </si>
  <si>
    <t>predicted price of GTBCPS is: 0.9999731952147418</t>
  </si>
  <si>
    <t xml:space="preserve"> actual price is: 0.9999715442610401
</t>
  </si>
  <si>
    <t xml:space="preserve"> 0.9999715442610401
</t>
  </si>
  <si>
    <t>predicted amount of GTBCPS is: 100002680.55037741</t>
  </si>
  <si>
    <t xml:space="preserve"> actual amount is: 100002845.65487123
</t>
  </si>
  <si>
    <t>plot sizes of gold is: 79998475.40382463</t>
  </si>
  <si>
    <t xml:space="preserve"> plot sizes of tb is: 39999353.58423228 </t>
  </si>
  <si>
    <t xml:space="preserve"> plot sizes of reit is: 29993683.005529124</t>
  </si>
  <si>
    <t xml:space="preserve"> plot sizes of total is: 149991511.99358603.
</t>
  </si>
  <si>
    <t xml:space="preserve"> 149991511.99358603.
</t>
  </si>
  <si>
    <t>predicted stdevs of gold is: 0.008050680982922769</t>
  </si>
  <si>
    <t xml:space="preserve"> predicted stdevs of tb is: 0.0015695727627138326</t>
  </si>
  <si>
    <t xml:space="preserve"> predicted stdevs of reit is: 0.01972121302919929</t>
  </si>
  <si>
    <t xml:space="preserve"> predicted stdevs of GTBCPS is: 0.008656062568701824.
</t>
  </si>
  <si>
    <t xml:space="preserve"> 0.008656062568701824.
</t>
  </si>
  <si>
    <t>total_value_of_collaterals is: 149991569.12808788</t>
  </si>
  <si>
    <t xml:space="preserve"> createdtionValue_gold is: -132.0776072528081</t>
  </si>
  <si>
    <t xml:space="preserve"> createdValue_tb is: -66.0389737041945</t>
  </si>
  <si>
    <t xml:space="preserve"> createdValue_reit is: -49.51960199955595
</t>
  </si>
  <si>
    <t xml:space="preserve"> -49.51960199955595
</t>
  </si>
  <si>
    <t>plotValue_gold_after_creation is: 79998649.74982987</t>
  </si>
  <si>
    <t xml:space="preserve"> plotValue_tb_after_creation  is: 39999427.89005787</t>
  </si>
  <si>
    <t xml:space="preserve"> plotValue_reit_after_creation  is: 29993739.124383077</t>
  </si>
  <si>
    <t xml:space="preserve">total_value_after_creation is: 149991816.76427084
</t>
  </si>
  <si>
    <t xml:space="preserve"> 149991816.76427084
</t>
  </si>
  <si>
    <t>total_amount_gtncps_before_creation is: 100002845.65487123</t>
  </si>
  <si>
    <t>creation_amount_gtbcps is: -165.10449381172657</t>
  </si>
  <si>
    <t xml:space="preserve">total_amount_gtbcps_new is: 100002680.55037741
</t>
  </si>
  <si>
    <t xml:space="preserve"> 100002680.55037741
</t>
  </si>
  <si>
    <t>payout of tranche of gold is: 42.26839798221111</t>
  </si>
  <si>
    <t xml:space="preserve"> payout of tranche of Treausry Bill Option is: 8.266851888876358</t>
  </si>
  <si>
    <t xml:space="preserve"> payout of tranche of Collar of REIT is: 6.599251950411607
</t>
  </si>
  <si>
    <t xml:space="preserve"> 6.599251950411607
</t>
  </si>
  <si>
    <t>Collateral size of tranche of gold is: 79998649.74982987</t>
  </si>
  <si>
    <t xml:space="preserve"> collateral size of tranche of Treausry Bill Option is: 39999427.89005787</t>
  </si>
  <si>
    <t xml:space="preserve"> collateral size of tranche of Collar of REIT is: 29993739.124383077
</t>
  </si>
  <si>
    <t xml:space="preserve"> 29993739.124383077
</t>
  </si>
  <si>
    <t>Collateral ratio of tranche of gold is: 0.799985176722226</t>
  </si>
  <si>
    <t xml:space="preserve"> collateral ratio of tranche of Treausry Bill Option is: 0.3999936185108416</t>
  </si>
  <si>
    <t xml:space="preserve"> collateral ratio of tranche of Collar of REIT is: 0.2999368960478107
</t>
  </si>
  <si>
    <t xml:space="preserve"> 0.2999368960478107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</si>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</sst>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400B-A48D-4F49-B81D-548CF64F7F73}">
  <sheetPr filterMode="1"/>
  <dimension ref="A1:D200"/>
  <sheetViews>
    <sheetView workbookViewId="0">
      <selection activeCell="D112" sqref="D112:D181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2036.36</v>
      </c>
    </row>
    <row r="4" spans="1:4" hidden="1" x14ac:dyDescent="0.3">
      <c r="A4">
        <v>2</v>
      </c>
      <c r="B4" t="s">
        <v>8</v>
      </c>
      <c r="C4" t="s">
        <v>9</v>
      </c>
      <c r="D4">
        <v>2010.8193054594601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92.3515625</v>
      </c>
    </row>
    <row r="7" spans="1:4" hidden="1" x14ac:dyDescent="0.3">
      <c r="A7">
        <v>5</v>
      </c>
      <c r="B7" t="s">
        <v>15</v>
      </c>
      <c r="C7" t="s">
        <v>16</v>
      </c>
      <c r="D7">
        <v>4.2093688875522997</v>
      </c>
    </row>
    <row r="8" spans="1:4" hidden="1" x14ac:dyDescent="0.3">
      <c r="A8">
        <v>6</v>
      </c>
      <c r="B8" t="s">
        <v>17</v>
      </c>
      <c r="C8" t="s">
        <v>18</v>
      </c>
      <c r="D8">
        <v>92.653737554710702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40.299999999999997</v>
      </c>
    </row>
    <row r="11" spans="1:4" hidden="1" x14ac:dyDescent="0.3">
      <c r="A11">
        <v>9</v>
      </c>
      <c r="B11" t="s">
        <v>23</v>
      </c>
      <c r="C11" t="s">
        <v>24</v>
      </c>
      <c r="D11">
        <v>5.7545859688328704</v>
      </c>
    </row>
    <row r="12" spans="1:4" hidden="1" x14ac:dyDescent="0.3">
      <c r="A12">
        <v>10</v>
      </c>
      <c r="B12" t="s">
        <v>25</v>
      </c>
      <c r="C12" t="s">
        <v>26</v>
      </c>
      <c r="D12">
        <v>40.671027362163002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-0.30271631904252799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1.71373373196542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-0.41101741292289601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6.1017734586584901E-3</v>
      </c>
    </row>
    <row r="21" spans="1:4" hidden="1" x14ac:dyDescent="0.3">
      <c r="A21">
        <v>19</v>
      </c>
      <c r="B21" t="s">
        <v>46</v>
      </c>
      <c r="C21" t="s">
        <v>47</v>
      </c>
      <c r="D21">
        <v>0.97556599863564497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-0.30271631904252799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1.71373373196542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-0.41101741292289601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0.99998583712668798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100001416.30739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7.9892019822438293E-3</v>
      </c>
    </row>
    <row r="51" spans="1:4" hidden="1" x14ac:dyDescent="0.3">
      <c r="A51">
        <v>49</v>
      </c>
      <c r="B51" t="s">
        <v>104</v>
      </c>
      <c r="C51" t="s">
        <v>105</v>
      </c>
      <c r="D51">
        <v>1.57122725829753E-3</v>
      </c>
    </row>
    <row r="52" spans="1:4" hidden="1" x14ac:dyDescent="0.3">
      <c r="A52">
        <v>50</v>
      </c>
      <c r="B52" t="s">
        <v>106</v>
      </c>
      <c r="C52" t="s">
        <v>107</v>
      </c>
      <c r="D52">
        <v>1.9614948144951599E-2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-377.681970715717</v>
      </c>
    </row>
    <row r="55" spans="1:4" hidden="1" x14ac:dyDescent="0.3">
      <c r="A55">
        <v>53</v>
      </c>
      <c r="B55" t="s">
        <v>113</v>
      </c>
      <c r="C55" t="s">
        <v>114</v>
      </c>
      <c r="D55">
        <v>-73.857807606629194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79999622.318029195</v>
      </c>
    </row>
    <row r="58" spans="1:4" hidden="1" x14ac:dyDescent="0.3">
      <c r="A58">
        <v>56</v>
      </c>
      <c r="B58" t="s">
        <v>120</v>
      </c>
      <c r="C58" t="s">
        <v>121</v>
      </c>
      <c r="D58">
        <v>39999926.142192297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0.79999622318029195</v>
      </c>
    </row>
    <row r="61" spans="1:4" hidden="1" x14ac:dyDescent="0.3">
      <c r="A61">
        <v>59</v>
      </c>
      <c r="B61" t="s">
        <v>127</v>
      </c>
      <c r="C61" t="s">
        <v>128</v>
      </c>
      <c r="D61">
        <v>0.39999926142192299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2036.36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92.3515625</v>
      </c>
    </row>
    <row r="67" spans="1:4" hidden="1" x14ac:dyDescent="0.3">
      <c r="A67">
        <v>65</v>
      </c>
      <c r="B67" t="s">
        <v>15</v>
      </c>
      <c r="C67" t="s">
        <v>16</v>
      </c>
      <c r="D67">
        <v>4.2093688875522997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40.299999999999997</v>
      </c>
    </row>
    <row r="70" spans="1:4" hidden="1" x14ac:dyDescent="0.3">
      <c r="A70">
        <v>68</v>
      </c>
      <c r="B70" t="s">
        <v>137</v>
      </c>
      <c r="C70" t="s">
        <v>24</v>
      </c>
      <c r="D70">
        <v>5.7532284755210803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1.7387490739387199</v>
      </c>
    </row>
    <row r="73" spans="1:4" hidden="1" x14ac:dyDescent="0.3">
      <c r="A73">
        <v>71</v>
      </c>
      <c r="B73" t="s">
        <v>142</v>
      </c>
      <c r="C73" t="s">
        <v>143</v>
      </c>
      <c r="D73">
        <v>0.68569708541818297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-0.30713506397384399</v>
      </c>
    </row>
    <row r="76" spans="1:4" hidden="1" x14ac:dyDescent="0.3">
      <c r="A76">
        <v>74</v>
      </c>
      <c r="B76" t="s">
        <v>147</v>
      </c>
      <c r="C76" t="s">
        <v>32</v>
      </c>
      <c r="D76">
        <v>0.25456133206361897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-0.43161400996487898</v>
      </c>
    </row>
    <row r="79" spans="1:4" hidden="1" x14ac:dyDescent="0.3">
      <c r="A79">
        <v>77</v>
      </c>
      <c r="B79" t="s">
        <v>151</v>
      </c>
      <c r="C79" t="s">
        <v>42</v>
      </c>
      <c r="D79">
        <v>0.20380858267815699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1.0016725748166</v>
      </c>
    </row>
    <row r="85" spans="1:4" hidden="1" x14ac:dyDescent="0.3">
      <c r="A85">
        <v>83</v>
      </c>
      <c r="B85" t="s">
        <v>163</v>
      </c>
      <c r="C85" t="s">
        <v>164</v>
      </c>
      <c r="D85">
        <v>0.99766040961376101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149999115.72759801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0.99998583712668798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180</v>
      </c>
      <c r="C98" t="s">
        <v>79</v>
      </c>
      <c r="D98" s="2">
        <v>2.2204460492503101E-16</v>
      </c>
    </row>
    <row r="99" spans="1:4" hidden="1" x14ac:dyDescent="0.3">
      <c r="A99">
        <v>97</v>
      </c>
      <c r="B99" s="1" t="s">
        <v>181</v>
      </c>
      <c r="C99" t="s">
        <v>81</v>
      </c>
      <c r="D99" s="1" t="s">
        <v>182</v>
      </c>
    </row>
    <row r="100" spans="1:4" hidden="1" x14ac:dyDescent="0.3">
      <c r="A100">
        <v>98</v>
      </c>
      <c r="B100" t="s">
        <v>183</v>
      </c>
      <c r="C100" t="s">
        <v>84</v>
      </c>
      <c r="D100">
        <v>0.99997154426103996</v>
      </c>
    </row>
    <row r="101" spans="1:4" hidden="1" x14ac:dyDescent="0.3">
      <c r="A101">
        <v>99</v>
      </c>
      <c r="B101" s="1" t="s">
        <v>184</v>
      </c>
      <c r="C101" t="s">
        <v>86</v>
      </c>
      <c r="D101" s="1" t="s">
        <v>185</v>
      </c>
    </row>
    <row r="102" spans="1:4" hidden="1" x14ac:dyDescent="0.3">
      <c r="A102">
        <v>100</v>
      </c>
      <c r="B102" t="s">
        <v>186</v>
      </c>
      <c r="C102" t="s">
        <v>89</v>
      </c>
      <c r="D102">
        <v>100002845.654871</v>
      </c>
    </row>
    <row r="103" spans="1:4" hidden="1" x14ac:dyDescent="0.3">
      <c r="A103">
        <v>101</v>
      </c>
      <c r="B103" s="1" t="s">
        <v>187</v>
      </c>
      <c r="C103" t="s">
        <v>91</v>
      </c>
      <c r="D103" s="1" t="s">
        <v>188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189</v>
      </c>
      <c r="C106" t="s">
        <v>98</v>
      </c>
      <c r="D106">
        <v>29999115.727598</v>
      </c>
    </row>
    <row r="107" spans="1:4" hidden="1" x14ac:dyDescent="0.3">
      <c r="A107">
        <v>105</v>
      </c>
      <c r="B107" s="1" t="s">
        <v>190</v>
      </c>
      <c r="C107" t="s">
        <v>100</v>
      </c>
      <c r="D107" s="1" t="s">
        <v>191</v>
      </c>
    </row>
    <row r="108" spans="1:4" hidden="1" x14ac:dyDescent="0.3">
      <c r="A108">
        <v>106</v>
      </c>
      <c r="B108" t="s">
        <v>192</v>
      </c>
      <c r="C108" t="s">
        <v>103</v>
      </c>
      <c r="D108">
        <v>8.0204622285171903E-3</v>
      </c>
    </row>
    <row r="109" spans="1:4" hidden="1" x14ac:dyDescent="0.3">
      <c r="A109">
        <v>107</v>
      </c>
      <c r="B109" t="s">
        <v>193</v>
      </c>
      <c r="C109" t="s">
        <v>105</v>
      </c>
      <c r="D109">
        <v>1.56169066320387E-3</v>
      </c>
    </row>
    <row r="110" spans="1:4" hidden="1" x14ac:dyDescent="0.3">
      <c r="A110">
        <v>108</v>
      </c>
      <c r="B110" t="s">
        <v>194</v>
      </c>
      <c r="C110" t="s">
        <v>107</v>
      </c>
      <c r="D110">
        <v>1.96310139459306E-2</v>
      </c>
    </row>
    <row r="111" spans="1:4" hidden="1" x14ac:dyDescent="0.3">
      <c r="A111">
        <v>109</v>
      </c>
      <c r="B111" s="1" t="s">
        <v>195</v>
      </c>
      <c r="C111" t="s">
        <v>109</v>
      </c>
      <c r="D111" s="1" t="s">
        <v>196</v>
      </c>
    </row>
    <row r="112" spans="1:4" x14ac:dyDescent="0.3">
      <c r="A112">
        <v>110</v>
      </c>
      <c r="B112" t="s">
        <v>197</v>
      </c>
      <c r="C112" t="s">
        <v>198</v>
      </c>
      <c r="D112">
        <v>149998620.85026801</v>
      </c>
    </row>
    <row r="113" spans="1:4" hidden="1" x14ac:dyDescent="0.3">
      <c r="A113">
        <v>111</v>
      </c>
      <c r="B113" t="s">
        <v>199</v>
      </c>
      <c r="C113" t="s">
        <v>200</v>
      </c>
      <c r="D113">
        <v>1143.43999843148</v>
      </c>
    </row>
    <row r="114" spans="1:4" hidden="1" x14ac:dyDescent="0.3">
      <c r="A114">
        <v>112</v>
      </c>
      <c r="B114" t="s">
        <v>201</v>
      </c>
      <c r="C114" t="s">
        <v>202</v>
      </c>
      <c r="D114">
        <v>571.72165555330605</v>
      </c>
    </row>
    <row r="115" spans="1:4" hidden="1" x14ac:dyDescent="0.3">
      <c r="A115">
        <v>113</v>
      </c>
      <c r="B115" s="1" t="s">
        <v>203</v>
      </c>
      <c r="C115" t="s">
        <v>204</v>
      </c>
      <c r="D115" s="1" t="s">
        <v>205</v>
      </c>
    </row>
    <row r="116" spans="1:4" hidden="1" x14ac:dyDescent="0.3">
      <c r="A116">
        <v>114</v>
      </c>
      <c r="B116" t="s">
        <v>206</v>
      </c>
      <c r="C116" t="s">
        <v>207</v>
      </c>
      <c r="D116">
        <v>79998475.403824598</v>
      </c>
    </row>
    <row r="117" spans="1:4" hidden="1" x14ac:dyDescent="0.3">
      <c r="A117">
        <v>115</v>
      </c>
      <c r="B117" t="s">
        <v>208</v>
      </c>
      <c r="C117" t="s">
        <v>209</v>
      </c>
      <c r="D117">
        <v>39999353.584232204</v>
      </c>
    </row>
    <row r="118" spans="1:4" hidden="1" x14ac:dyDescent="0.3">
      <c r="A118">
        <v>116</v>
      </c>
      <c r="B118" t="s">
        <v>210</v>
      </c>
      <c r="C118" t="s">
        <v>211</v>
      </c>
      <c r="D118">
        <v>29998647.921711501</v>
      </c>
    </row>
    <row r="119" spans="1:4" hidden="1" x14ac:dyDescent="0.3">
      <c r="A119">
        <v>117</v>
      </c>
      <c r="B119" s="1" t="s">
        <v>212</v>
      </c>
      <c r="C119" t="s">
        <v>213</v>
      </c>
      <c r="D119" s="1" t="s">
        <v>214</v>
      </c>
    </row>
    <row r="120" spans="1:4" hidden="1" x14ac:dyDescent="0.3">
      <c r="A120">
        <v>118</v>
      </c>
      <c r="B120" t="s">
        <v>215</v>
      </c>
      <c r="C120" t="s">
        <v>216</v>
      </c>
      <c r="D120">
        <v>100001416.30739</v>
      </c>
    </row>
    <row r="121" spans="1:4" hidden="1" x14ac:dyDescent="0.3">
      <c r="A121">
        <v>119</v>
      </c>
      <c r="B121" t="s">
        <v>217</v>
      </c>
      <c r="C121" t="s">
        <v>218</v>
      </c>
      <c r="D121">
        <v>1429.3474810421401</v>
      </c>
    </row>
    <row r="122" spans="1:4" hidden="1" x14ac:dyDescent="0.3">
      <c r="A122">
        <v>120</v>
      </c>
      <c r="B122" s="1" t="s">
        <v>219</v>
      </c>
      <c r="C122" t="s">
        <v>220</v>
      </c>
      <c r="D122" s="1" t="s">
        <v>221</v>
      </c>
    </row>
    <row r="123" spans="1:4" hidden="1" x14ac:dyDescent="0.3">
      <c r="A123">
        <v>121</v>
      </c>
      <c r="B123" t="s">
        <v>222</v>
      </c>
      <c r="C123" t="s">
        <v>112</v>
      </c>
      <c r="D123">
        <v>-381.15617693368199</v>
      </c>
    </row>
    <row r="124" spans="1:4" hidden="1" x14ac:dyDescent="0.3">
      <c r="A124">
        <v>122</v>
      </c>
      <c r="B124" t="s">
        <v>223</v>
      </c>
      <c r="C124" t="s">
        <v>114</v>
      </c>
      <c r="D124">
        <v>-74.6941121655708</v>
      </c>
    </row>
    <row r="125" spans="1:4" hidden="1" x14ac:dyDescent="0.3">
      <c r="A125">
        <v>123</v>
      </c>
      <c r="B125" s="1" t="s">
        <v>224</v>
      </c>
      <c r="C125" t="s">
        <v>116</v>
      </c>
      <c r="D125" s="1" t="s">
        <v>225</v>
      </c>
    </row>
    <row r="126" spans="1:4" hidden="1" x14ac:dyDescent="0.3">
      <c r="A126">
        <v>124</v>
      </c>
      <c r="B126" t="s">
        <v>226</v>
      </c>
      <c r="C126" t="s">
        <v>119</v>
      </c>
      <c r="D126">
        <v>79998475.403824598</v>
      </c>
    </row>
    <row r="127" spans="1:4" hidden="1" x14ac:dyDescent="0.3">
      <c r="A127">
        <v>125</v>
      </c>
      <c r="B127" t="s">
        <v>227</v>
      </c>
      <c r="C127" t="s">
        <v>121</v>
      </c>
      <c r="D127">
        <v>39999353.584232204</v>
      </c>
    </row>
    <row r="128" spans="1:4" hidden="1" x14ac:dyDescent="0.3">
      <c r="A128">
        <v>126</v>
      </c>
      <c r="B128" s="1" t="s">
        <v>228</v>
      </c>
      <c r="C128" t="s">
        <v>123</v>
      </c>
      <c r="D128" s="1" t="s">
        <v>229</v>
      </c>
    </row>
    <row r="129" spans="1:4" hidden="1" x14ac:dyDescent="0.3">
      <c r="A129">
        <v>127</v>
      </c>
      <c r="B129" t="s">
        <v>230</v>
      </c>
      <c r="C129" t="s">
        <v>126</v>
      </c>
      <c r="D129">
        <v>0.79999618843822995</v>
      </c>
    </row>
    <row r="130" spans="1:4" hidden="1" x14ac:dyDescent="0.3">
      <c r="A130">
        <v>128</v>
      </c>
      <c r="B130" t="s">
        <v>231</v>
      </c>
      <c r="C130" t="s">
        <v>128</v>
      </c>
      <c r="D130">
        <v>0.39999925305887801</v>
      </c>
    </row>
    <row r="131" spans="1:4" hidden="1" x14ac:dyDescent="0.3">
      <c r="A131">
        <v>129</v>
      </c>
      <c r="B131" s="1" t="s">
        <v>232</v>
      </c>
      <c r="C131" t="s">
        <v>130</v>
      </c>
      <c r="D131" s="1" t="s">
        <v>233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2036.36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92.3515625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4.2093688875522997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40.299999999999997</v>
      </c>
    </row>
    <row r="139" spans="1:4" hidden="1" x14ac:dyDescent="0.3">
      <c r="A139">
        <v>137</v>
      </c>
      <c r="B139" t="s">
        <v>234</v>
      </c>
      <c r="C139" t="s">
        <v>24</v>
      </c>
      <c r="D139">
        <v>5.7456064513582197</v>
      </c>
    </row>
    <row r="140" spans="1:4" hidden="1" x14ac:dyDescent="0.3">
      <c r="A140">
        <v>138</v>
      </c>
      <c r="B140" s="1" t="s">
        <v>235</v>
      </c>
      <c r="C140" t="s">
        <v>139</v>
      </c>
      <c r="D140" s="1" t="s">
        <v>236</v>
      </c>
    </row>
    <row r="141" spans="1:4" hidden="1" x14ac:dyDescent="0.3">
      <c r="A141">
        <v>139</v>
      </c>
      <c r="B141" t="s">
        <v>237</v>
      </c>
      <c r="C141" t="s">
        <v>35</v>
      </c>
      <c r="D141">
        <v>1.72403768918782</v>
      </c>
    </row>
    <row r="142" spans="1:4" hidden="1" x14ac:dyDescent="0.3">
      <c r="A142">
        <v>140</v>
      </c>
      <c r="B142" t="s">
        <v>238</v>
      </c>
      <c r="C142" t="s">
        <v>143</v>
      </c>
      <c r="D142">
        <v>0.68551996594707698</v>
      </c>
    </row>
    <row r="143" spans="1:4" hidden="1" x14ac:dyDescent="0.3">
      <c r="A143">
        <v>141</v>
      </c>
      <c r="B143" s="1" t="s">
        <v>239</v>
      </c>
      <c r="C143" t="s">
        <v>145</v>
      </c>
      <c r="D143" s="1" t="s">
        <v>240</v>
      </c>
    </row>
    <row r="144" spans="1:4" hidden="1" x14ac:dyDescent="0.3">
      <c r="A144">
        <v>142</v>
      </c>
      <c r="B144" t="s">
        <v>241</v>
      </c>
      <c r="C144" t="s">
        <v>30</v>
      </c>
      <c r="D144">
        <v>-0.30453642443215501</v>
      </c>
    </row>
    <row r="145" spans="1:4" hidden="1" x14ac:dyDescent="0.3">
      <c r="A145">
        <v>143</v>
      </c>
      <c r="B145" t="s">
        <v>242</v>
      </c>
      <c r="C145" t="s">
        <v>32</v>
      </c>
      <c r="D145">
        <v>0.25444325508027499</v>
      </c>
    </row>
    <row r="146" spans="1:4" hidden="1" x14ac:dyDescent="0.3">
      <c r="A146">
        <v>144</v>
      </c>
      <c r="B146" s="1" t="s">
        <v>243</v>
      </c>
      <c r="C146" t="s">
        <v>149</v>
      </c>
      <c r="D146" s="1" t="s">
        <v>244</v>
      </c>
    </row>
    <row r="147" spans="1:4" hidden="1" x14ac:dyDescent="0.3">
      <c r="A147">
        <v>145</v>
      </c>
      <c r="B147" t="s">
        <v>245</v>
      </c>
      <c r="C147" t="s">
        <v>40</v>
      </c>
      <c r="D147">
        <v>-0.41950126475566502</v>
      </c>
    </row>
    <row r="148" spans="1:4" hidden="1" x14ac:dyDescent="0.3">
      <c r="A148">
        <v>146</v>
      </c>
      <c r="B148" t="s">
        <v>246</v>
      </c>
      <c r="C148" t="s">
        <v>42</v>
      </c>
      <c r="D148">
        <v>0.20430346226508</v>
      </c>
    </row>
    <row r="149" spans="1:4" hidden="1" x14ac:dyDescent="0.3">
      <c r="A149">
        <v>147</v>
      </c>
      <c r="B149" s="1" t="s">
        <v>247</v>
      </c>
      <c r="C149" t="s">
        <v>153</v>
      </c>
      <c r="D149" s="1" t="s">
        <v>248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249</v>
      </c>
      <c r="C152" t="s">
        <v>159</v>
      </c>
      <c r="D152" s="1" t="s">
        <v>250</v>
      </c>
    </row>
    <row r="153" spans="1:4" hidden="1" x14ac:dyDescent="0.3">
      <c r="A153">
        <v>151</v>
      </c>
      <c r="B153" t="s">
        <v>251</v>
      </c>
      <c r="C153" t="s">
        <v>162</v>
      </c>
      <c r="D153">
        <v>0.99989492805520197</v>
      </c>
    </row>
    <row r="154" spans="1:4" hidden="1" x14ac:dyDescent="0.3">
      <c r="A154">
        <v>152</v>
      </c>
      <c r="B154" t="s">
        <v>252</v>
      </c>
      <c r="C154" t="s">
        <v>164</v>
      </c>
      <c r="D154">
        <v>0.999905881856609</v>
      </c>
    </row>
    <row r="155" spans="1:4" hidden="1" x14ac:dyDescent="0.3">
      <c r="A155">
        <v>153</v>
      </c>
      <c r="B155" s="1" t="s">
        <v>253</v>
      </c>
      <c r="C155" t="s">
        <v>166</v>
      </c>
      <c r="D155" s="1" t="s">
        <v>254</v>
      </c>
    </row>
    <row r="156" spans="1:4" hidden="1" x14ac:dyDescent="0.3">
      <c r="A156">
        <v>154</v>
      </c>
      <c r="B156" s="1" t="s">
        <v>255</v>
      </c>
      <c r="C156" t="s">
        <v>55</v>
      </c>
      <c r="D156" s="1" t="s">
        <v>256</v>
      </c>
    </row>
    <row r="157" spans="1:4" hidden="1" x14ac:dyDescent="0.3">
      <c r="A157">
        <v>155</v>
      </c>
      <c r="B157" s="1" t="s">
        <v>257</v>
      </c>
      <c r="C157" t="s">
        <v>52</v>
      </c>
      <c r="D157" s="1" t="s">
        <v>258</v>
      </c>
    </row>
    <row r="158" spans="1:4" hidden="1" x14ac:dyDescent="0.3">
      <c r="A158">
        <v>156</v>
      </c>
      <c r="B158" s="1" t="s">
        <v>259</v>
      </c>
      <c r="C158" t="s">
        <v>58</v>
      </c>
      <c r="D158" s="1" t="s">
        <v>260</v>
      </c>
    </row>
    <row r="159" spans="1:4" hidden="1" x14ac:dyDescent="0.3">
      <c r="A159">
        <v>157</v>
      </c>
      <c r="B159" t="s">
        <v>261</v>
      </c>
      <c r="C159" t="s">
        <v>61</v>
      </c>
      <c r="D159">
        <v>149991511.993586</v>
      </c>
    </row>
    <row r="160" spans="1:4" hidden="1" x14ac:dyDescent="0.3">
      <c r="A160">
        <v>158</v>
      </c>
      <c r="B160" t="s">
        <v>262</v>
      </c>
      <c r="C160" t="s">
        <v>63</v>
      </c>
      <c r="D160">
        <v>79998475.403824598</v>
      </c>
    </row>
    <row r="161" spans="1:4" hidden="1" x14ac:dyDescent="0.3">
      <c r="A161">
        <v>159</v>
      </c>
      <c r="B161" t="s">
        <v>263</v>
      </c>
      <c r="C161" t="s">
        <v>65</v>
      </c>
      <c r="D161">
        <v>39999353.584232204</v>
      </c>
    </row>
    <row r="162" spans="1:4" hidden="1" x14ac:dyDescent="0.3">
      <c r="A162">
        <v>160</v>
      </c>
      <c r="B162" s="1" t="s">
        <v>264</v>
      </c>
      <c r="C162" t="s">
        <v>67</v>
      </c>
      <c r="D162" s="1" t="s">
        <v>265</v>
      </c>
    </row>
    <row r="163" spans="1:4" hidden="1" x14ac:dyDescent="0.3">
      <c r="A163">
        <v>161</v>
      </c>
      <c r="B163" s="1" t="s">
        <v>266</v>
      </c>
      <c r="C163" t="s">
        <v>70</v>
      </c>
      <c r="D163" s="1" t="s">
        <v>267</v>
      </c>
    </row>
    <row r="164" spans="1:4" hidden="1" x14ac:dyDescent="0.3">
      <c r="A164">
        <v>162</v>
      </c>
      <c r="B164" t="s">
        <v>268</v>
      </c>
      <c r="C164" t="s">
        <v>73</v>
      </c>
      <c r="D164">
        <v>0.99997154426103996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269</v>
      </c>
      <c r="C168" t="s">
        <v>81</v>
      </c>
      <c r="D168" s="1" t="s">
        <v>270</v>
      </c>
    </row>
    <row r="169" spans="1:4" hidden="1" x14ac:dyDescent="0.3">
      <c r="A169">
        <v>167</v>
      </c>
      <c r="B169" t="s">
        <v>271</v>
      </c>
      <c r="C169" t="s">
        <v>84</v>
      </c>
      <c r="D169">
        <v>0.99997319521474104</v>
      </c>
    </row>
    <row r="170" spans="1:4" hidden="1" x14ac:dyDescent="0.3">
      <c r="A170">
        <v>168</v>
      </c>
      <c r="B170" s="1" t="s">
        <v>272</v>
      </c>
      <c r="C170" t="s">
        <v>86</v>
      </c>
      <c r="D170" s="1" t="s">
        <v>273</v>
      </c>
    </row>
    <row r="171" spans="1:4" hidden="1" x14ac:dyDescent="0.3">
      <c r="A171">
        <v>169</v>
      </c>
      <c r="B171" t="s">
        <v>274</v>
      </c>
      <c r="C171" t="s">
        <v>89</v>
      </c>
      <c r="D171">
        <v>100002680.550377</v>
      </c>
    </row>
    <row r="172" spans="1:4" hidden="1" x14ac:dyDescent="0.3">
      <c r="A172">
        <v>170</v>
      </c>
      <c r="B172" s="1" t="s">
        <v>275</v>
      </c>
      <c r="C172" t="s">
        <v>91</v>
      </c>
      <c r="D172" s="1" t="s">
        <v>221</v>
      </c>
    </row>
    <row r="173" spans="1:4" hidden="1" x14ac:dyDescent="0.3">
      <c r="A173">
        <v>171</v>
      </c>
      <c r="B173" t="s">
        <v>276</v>
      </c>
      <c r="C173" t="s">
        <v>94</v>
      </c>
      <c r="D173">
        <v>79998475.403824598</v>
      </c>
    </row>
    <row r="174" spans="1:4" hidden="1" x14ac:dyDescent="0.3">
      <c r="A174">
        <v>172</v>
      </c>
      <c r="B174" t="s">
        <v>277</v>
      </c>
      <c r="C174" t="s">
        <v>96</v>
      </c>
      <c r="D174">
        <v>39999353.584232204</v>
      </c>
    </row>
    <row r="175" spans="1:4" hidden="1" x14ac:dyDescent="0.3">
      <c r="A175">
        <v>173</v>
      </c>
      <c r="B175" t="s">
        <v>278</v>
      </c>
      <c r="C175" t="s">
        <v>98</v>
      </c>
      <c r="D175">
        <v>29993683.005529098</v>
      </c>
    </row>
    <row r="176" spans="1:4" hidden="1" x14ac:dyDescent="0.3">
      <c r="A176">
        <v>174</v>
      </c>
      <c r="B176" s="1" t="s">
        <v>279</v>
      </c>
      <c r="C176" t="s">
        <v>100</v>
      </c>
      <c r="D176" s="1" t="s">
        <v>280</v>
      </c>
    </row>
    <row r="177" spans="1:4" hidden="1" x14ac:dyDescent="0.3">
      <c r="A177">
        <v>175</v>
      </c>
      <c r="B177" t="s">
        <v>281</v>
      </c>
      <c r="C177" t="s">
        <v>103</v>
      </c>
      <c r="D177">
        <v>8.0506809829227598E-3</v>
      </c>
    </row>
    <row r="178" spans="1:4" hidden="1" x14ac:dyDescent="0.3">
      <c r="A178">
        <v>176</v>
      </c>
      <c r="B178" t="s">
        <v>282</v>
      </c>
      <c r="C178" t="s">
        <v>105</v>
      </c>
      <c r="D178">
        <v>1.56957276271383E-3</v>
      </c>
    </row>
    <row r="179" spans="1:4" hidden="1" x14ac:dyDescent="0.3">
      <c r="A179">
        <v>177</v>
      </c>
      <c r="B179" t="s">
        <v>283</v>
      </c>
      <c r="C179" t="s">
        <v>107</v>
      </c>
      <c r="D179">
        <v>1.97212130291992E-2</v>
      </c>
    </row>
    <row r="180" spans="1:4" hidden="1" x14ac:dyDescent="0.3">
      <c r="A180">
        <v>178</v>
      </c>
      <c r="B180" s="1" t="s">
        <v>284</v>
      </c>
      <c r="C180" t="s">
        <v>109</v>
      </c>
      <c r="D180" s="1" t="s">
        <v>285</v>
      </c>
    </row>
    <row r="181" spans="1:4" x14ac:dyDescent="0.3">
      <c r="A181">
        <v>179</v>
      </c>
      <c r="B181" t="s">
        <v>286</v>
      </c>
      <c r="C181" t="s">
        <v>198</v>
      </c>
      <c r="D181">
        <v>149991569.12808701</v>
      </c>
    </row>
    <row r="182" spans="1:4" hidden="1" x14ac:dyDescent="0.3">
      <c r="A182">
        <v>180</v>
      </c>
      <c r="B182" t="s">
        <v>287</v>
      </c>
      <c r="C182" t="s">
        <v>200</v>
      </c>
      <c r="D182">
        <v>-132.07760725280801</v>
      </c>
    </row>
    <row r="183" spans="1:4" hidden="1" x14ac:dyDescent="0.3">
      <c r="A183">
        <v>181</v>
      </c>
      <c r="B183" t="s">
        <v>288</v>
      </c>
      <c r="C183" t="s">
        <v>202</v>
      </c>
      <c r="D183">
        <v>-66.038973704194504</v>
      </c>
    </row>
    <row r="184" spans="1:4" hidden="1" x14ac:dyDescent="0.3">
      <c r="A184">
        <v>182</v>
      </c>
      <c r="B184" s="1" t="s">
        <v>289</v>
      </c>
      <c r="C184" t="s">
        <v>204</v>
      </c>
      <c r="D184" s="1" t="s">
        <v>290</v>
      </c>
    </row>
    <row r="185" spans="1:4" hidden="1" x14ac:dyDescent="0.3">
      <c r="A185">
        <v>183</v>
      </c>
      <c r="B185" t="s">
        <v>291</v>
      </c>
      <c r="C185" t="s">
        <v>207</v>
      </c>
      <c r="D185">
        <v>79998649.749829799</v>
      </c>
    </row>
    <row r="186" spans="1:4" hidden="1" x14ac:dyDescent="0.3">
      <c r="A186">
        <v>184</v>
      </c>
      <c r="B186" t="s">
        <v>292</v>
      </c>
      <c r="C186" t="s">
        <v>209</v>
      </c>
      <c r="D186">
        <v>39999427.890057802</v>
      </c>
    </row>
    <row r="187" spans="1:4" hidden="1" x14ac:dyDescent="0.3">
      <c r="A187">
        <v>185</v>
      </c>
      <c r="B187" t="s">
        <v>293</v>
      </c>
      <c r="C187" t="s">
        <v>211</v>
      </c>
      <c r="D187">
        <v>29993739.124382999</v>
      </c>
    </row>
    <row r="188" spans="1:4" hidden="1" x14ac:dyDescent="0.3">
      <c r="A188">
        <v>186</v>
      </c>
      <c r="B188" s="1" t="s">
        <v>294</v>
      </c>
      <c r="C188" t="s">
        <v>213</v>
      </c>
      <c r="D188" s="1" t="s">
        <v>295</v>
      </c>
    </row>
    <row r="189" spans="1:4" hidden="1" x14ac:dyDescent="0.3">
      <c r="A189">
        <v>187</v>
      </c>
      <c r="B189" t="s">
        <v>296</v>
      </c>
      <c r="C189" t="s">
        <v>216</v>
      </c>
      <c r="D189">
        <v>100002845.654871</v>
      </c>
    </row>
    <row r="190" spans="1:4" hidden="1" x14ac:dyDescent="0.3">
      <c r="A190">
        <v>188</v>
      </c>
      <c r="B190" t="s">
        <v>297</v>
      </c>
      <c r="C190" t="s">
        <v>218</v>
      </c>
      <c r="D190">
        <v>-165.104493811726</v>
      </c>
    </row>
    <row r="191" spans="1:4" hidden="1" x14ac:dyDescent="0.3">
      <c r="A191">
        <v>189</v>
      </c>
      <c r="B191" s="1" t="s">
        <v>298</v>
      </c>
      <c r="C191" t="s">
        <v>220</v>
      </c>
      <c r="D191" s="1" t="s">
        <v>299</v>
      </c>
    </row>
    <row r="192" spans="1:4" hidden="1" x14ac:dyDescent="0.3">
      <c r="A192">
        <v>190</v>
      </c>
      <c r="B192" t="s">
        <v>300</v>
      </c>
      <c r="C192" t="s">
        <v>112</v>
      </c>
      <c r="D192">
        <v>42.268397982211098</v>
      </c>
    </row>
    <row r="193" spans="1:4" hidden="1" x14ac:dyDescent="0.3">
      <c r="A193">
        <v>191</v>
      </c>
      <c r="B193" t="s">
        <v>301</v>
      </c>
      <c r="C193" t="s">
        <v>114</v>
      </c>
      <c r="D193">
        <v>8.2668518888763494</v>
      </c>
    </row>
    <row r="194" spans="1:4" hidden="1" x14ac:dyDescent="0.3">
      <c r="A194">
        <v>192</v>
      </c>
      <c r="B194" s="1" t="s">
        <v>302</v>
      </c>
      <c r="C194" t="s">
        <v>116</v>
      </c>
      <c r="D194" s="1" t="s">
        <v>303</v>
      </c>
    </row>
    <row r="195" spans="1:4" hidden="1" x14ac:dyDescent="0.3">
      <c r="A195">
        <v>193</v>
      </c>
      <c r="B195" t="s">
        <v>304</v>
      </c>
      <c r="C195" t="s">
        <v>119</v>
      </c>
      <c r="D195">
        <v>79998649.749829799</v>
      </c>
    </row>
    <row r="196" spans="1:4" hidden="1" x14ac:dyDescent="0.3">
      <c r="A196">
        <v>194</v>
      </c>
      <c r="B196" t="s">
        <v>305</v>
      </c>
      <c r="C196" t="s">
        <v>121</v>
      </c>
      <c r="D196">
        <v>39999427.890057802</v>
      </c>
    </row>
    <row r="197" spans="1:4" hidden="1" x14ac:dyDescent="0.3">
      <c r="A197">
        <v>195</v>
      </c>
      <c r="B197" s="1" t="s">
        <v>306</v>
      </c>
      <c r="C197" t="s">
        <v>123</v>
      </c>
      <c r="D197" s="1" t="s">
        <v>307</v>
      </c>
    </row>
    <row r="198" spans="1:4" hidden="1" x14ac:dyDescent="0.3">
      <c r="A198">
        <v>196</v>
      </c>
      <c r="B198" t="s">
        <v>308</v>
      </c>
      <c r="C198" t="s">
        <v>126</v>
      </c>
      <c r="D198">
        <v>0.79998517672222602</v>
      </c>
    </row>
    <row r="199" spans="1:4" hidden="1" x14ac:dyDescent="0.3">
      <c r="A199">
        <v>197</v>
      </c>
      <c r="B199" t="s">
        <v>309</v>
      </c>
      <c r="C199" t="s">
        <v>128</v>
      </c>
      <c r="D199">
        <v>0.39999361851084098</v>
      </c>
    </row>
    <row r="200" spans="1:4" hidden="1" x14ac:dyDescent="0.3">
      <c r="A200">
        <v>198</v>
      </c>
      <c r="B200" s="1" t="s">
        <v>310</v>
      </c>
      <c r="C200" t="s">
        <v>130</v>
      </c>
      <c r="D200" s="1" t="s">
        <v>311</v>
      </c>
    </row>
  </sheetData>
  <autoFilter ref="A1:D200" xr:uid="{3EB0400B-A48D-4F49-B81D-548CF64F7F73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3D0D-C7C5-493E-9539-F2A07E3208C4}">
  <dimension ref="A1:O10"/>
  <sheetViews>
    <sheetView tabSelected="1" topLeftCell="C1" workbookViewId="0">
      <selection activeCell="L4" sqref="L4"/>
    </sheetView>
  </sheetViews>
  <sheetFormatPr defaultRowHeight="14.4" x14ac:dyDescent="0.3"/>
  <cols>
    <col min="2" max="2" width="10" bestFit="1" customWidth="1"/>
    <col min="11" max="11" width="12" bestFit="1" customWidth="1"/>
    <col min="12" max="13" width="10" bestFit="1" customWidth="1"/>
    <col min="14" max="14" width="9" bestFit="1" customWidth="1"/>
    <col min="15" max="15" width="12.6640625" bestFit="1" customWidth="1"/>
    <col min="16" max="17" width="9" bestFit="1" customWidth="1"/>
  </cols>
  <sheetData>
    <row r="1" spans="1:15" x14ac:dyDescent="0.3">
      <c r="A1" t="s">
        <v>2</v>
      </c>
      <c r="B1" t="s">
        <v>91</v>
      </c>
      <c r="C1" t="s">
        <v>86</v>
      </c>
      <c r="D1" t="s">
        <v>70</v>
      </c>
      <c r="E1" t="s">
        <v>198</v>
      </c>
      <c r="J1" t="s">
        <v>2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</row>
    <row r="2" spans="1:15" x14ac:dyDescent="0.3">
      <c r="A2" t="s">
        <v>5</v>
      </c>
      <c r="B2">
        <v>100000000</v>
      </c>
      <c r="C2">
        <v>1</v>
      </c>
      <c r="D2">
        <v>1.5</v>
      </c>
      <c r="E2">
        <v>150000000</v>
      </c>
      <c r="J2" t="s">
        <v>91</v>
      </c>
      <c r="K2">
        <v>100000000</v>
      </c>
      <c r="L2">
        <v>100002845.654871</v>
      </c>
      <c r="M2">
        <v>100001420.65408701</v>
      </c>
      <c r="N2">
        <v>1006.0909281009655</v>
      </c>
      <c r="O2">
        <v>-1971.9382190778922</v>
      </c>
    </row>
    <row r="3" spans="1:15" x14ac:dyDescent="0.3">
      <c r="A3" t="s">
        <v>5</v>
      </c>
      <c r="B3">
        <v>100001416.30739</v>
      </c>
      <c r="C3">
        <v>0.99998583712668798</v>
      </c>
      <c r="D3">
        <v>1.4999911572759801</v>
      </c>
      <c r="E3">
        <v>149998620.85026801</v>
      </c>
      <c r="F3">
        <f>STDEV(B2:B3)</f>
        <v>1001.480559716729</v>
      </c>
      <c r="G3">
        <f t="shared" ref="G3:H3" si="0">STDEV(C2:C3)</f>
        <v>1.0014663760013935E-5</v>
      </c>
      <c r="H3">
        <f t="shared" si="0"/>
        <v>6.2527501186384589E-6</v>
      </c>
      <c r="I3">
        <f>STDEV(E2:E3)</f>
        <v>975.20612776433734</v>
      </c>
      <c r="J3" t="s">
        <v>86</v>
      </c>
      <c r="K3">
        <v>0.99997154426103996</v>
      </c>
      <c r="L3">
        <v>1</v>
      </c>
      <c r="M3">
        <v>0.99998579379590924</v>
      </c>
      <c r="N3">
        <v>1.0060622991160182E-5</v>
      </c>
      <c r="O3">
        <v>-1.9718821062673956E-5</v>
      </c>
    </row>
    <row r="4" spans="1:15" x14ac:dyDescent="0.3">
      <c r="A4" t="s">
        <v>5</v>
      </c>
      <c r="B4">
        <v>100002845.654871</v>
      </c>
      <c r="C4">
        <v>0.99997154426103996</v>
      </c>
      <c r="D4">
        <v>1.49991511993586</v>
      </c>
      <c r="E4">
        <v>149991569.12808701</v>
      </c>
      <c r="F4">
        <f>STDEV(B3:B4)</f>
        <v>1010.701296485202</v>
      </c>
      <c r="G4">
        <f t="shared" ref="G4" si="1">STDEV(C3:C4)</f>
        <v>1.0106582222306429E-5</v>
      </c>
      <c r="H4">
        <f t="shared" ref="H4" si="2">STDEV(D3:D4)</f>
        <v>5.3766518822290854E-5</v>
      </c>
      <c r="I4">
        <f>STDEV(E3:E4)</f>
        <v>4986.3205732232918</v>
      </c>
      <c r="J4" t="s">
        <v>70</v>
      </c>
      <c r="K4">
        <v>1.49991511993586</v>
      </c>
      <c r="L4">
        <v>1.5</v>
      </c>
      <c r="M4">
        <v>1.4999687590706134</v>
      </c>
      <c r="N4">
        <v>3.0009634470464655E-5</v>
      </c>
      <c r="O4">
        <v>-5.8818883562110722E-5</v>
      </c>
    </row>
    <row r="5" spans="1:15" x14ac:dyDescent="0.3">
      <c r="A5" t="s">
        <v>312</v>
      </c>
      <c r="B5">
        <f>MIN($B$2:B4)</f>
        <v>100000000</v>
      </c>
      <c r="C5">
        <f>MIN($C$2:C4)</f>
        <v>0.99997154426103996</v>
      </c>
      <c r="D5">
        <f>MIN($D$2:D4)</f>
        <v>1.49991511993586</v>
      </c>
      <c r="E5">
        <f>MIN($E$2:E4)</f>
        <v>149991569.12808701</v>
      </c>
      <c r="J5" t="s">
        <v>198</v>
      </c>
      <c r="K5">
        <v>149991569.12808701</v>
      </c>
      <c r="L5">
        <v>150000000</v>
      </c>
      <c r="M5">
        <v>149996729.99278501</v>
      </c>
      <c r="N5">
        <v>2980.7633504938144</v>
      </c>
      <c r="O5">
        <v>-5842.2961669678762</v>
      </c>
    </row>
    <row r="6" spans="1:15" x14ac:dyDescent="0.3">
      <c r="A6" t="s">
        <v>313</v>
      </c>
      <c r="B6">
        <f>MAX($B$2:B4)</f>
        <v>100002845.654871</v>
      </c>
      <c r="C6">
        <f>MAX($C$2:C4)</f>
        <v>1</v>
      </c>
      <c r="D6">
        <f>MAX($D$2:D4)</f>
        <v>1.5</v>
      </c>
      <c r="E6">
        <f>MAX($E$2:E4)</f>
        <v>150000000</v>
      </c>
    </row>
    <row r="7" spans="1:15" x14ac:dyDescent="0.3">
      <c r="A7" t="s">
        <v>314</v>
      </c>
      <c r="B7">
        <f>AVERAGE($B$2:B4)</f>
        <v>100001420.65408701</v>
      </c>
      <c r="C7">
        <f>AVERAGE($C$2:C4)</f>
        <v>0.99998579379590924</v>
      </c>
      <c r="D7">
        <f>AVERAGE($D$2:D4)</f>
        <v>1.4999687590706134</v>
      </c>
      <c r="E7" s="3">
        <f>AVERAGE($E$2:E4)</f>
        <v>149996729.99278501</v>
      </c>
    </row>
    <row r="8" spans="1:15" x14ac:dyDescent="0.3">
      <c r="A8" t="s">
        <v>315</v>
      </c>
      <c r="B8">
        <f>AVERAGE($F$2:F4)</f>
        <v>1006.0909281009655</v>
      </c>
      <c r="C8">
        <f>AVERAGE($G$2:G4)</f>
        <v>1.0060622991160182E-5</v>
      </c>
      <c r="D8">
        <f>AVERAGE($H$2:H4)</f>
        <v>3.0009634470464655E-5</v>
      </c>
      <c r="E8" s="3">
        <f>AVERAGE($I$2:I4)</f>
        <v>2980.7633504938144</v>
      </c>
    </row>
    <row r="9" spans="1:15" x14ac:dyDescent="0.3">
      <c r="A9" t="s">
        <v>316</v>
      </c>
      <c r="B9">
        <f>-1.96*B8</f>
        <v>-1971.9382190778922</v>
      </c>
      <c r="C9">
        <f>-1.96*C8</f>
        <v>-1.9718821062673956E-5</v>
      </c>
      <c r="D9">
        <f t="shared" ref="D9:E9" si="3">-1.96*D8</f>
        <v>-5.8818883562110722E-5</v>
      </c>
      <c r="E9" s="3">
        <f t="shared" si="3"/>
        <v>-5842.2961669678762</v>
      </c>
    </row>
    <row r="10" spans="1:15" x14ac:dyDescent="0.3">
      <c r="B10">
        <f>B9/B7</f>
        <v>-1.9719102050549721E-5</v>
      </c>
      <c r="C10">
        <f>C9/C7</f>
        <v>-1.9719101196250034E-5</v>
      </c>
      <c r="D10">
        <f t="shared" ref="D10:E10" si="4">D9/D7</f>
        <v>-3.9213405750233846E-5</v>
      </c>
      <c r="E10">
        <f t="shared" si="4"/>
        <v>-3.8949490213879305E-5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2026-02-21T11:36:01Z</dcterms:created>
  <dcterms:modified xsi:type="dcterms:W3CDTF">2026-02-21T15:02:21Z</dcterms:modified>
</cp:coreProperties>
</file>