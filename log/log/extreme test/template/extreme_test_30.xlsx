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mile\Documents\DApps Upgrade\dapp_web3\log\extreme test\template\"/>
    </mc:Choice>
  </mc:AlternateContent>
  <xr:revisionPtr revIDLastSave="0" documentId="13_ncr:1_{5C15D87D-6509-4E26-9A96-6133468F02FB}" xr6:coauthVersionLast="47" xr6:coauthVersionMax="47" xr10:uidLastSave="{00000000-0000-0000-0000-000000000000}"/>
  <bookViews>
    <workbookView xWindow="1776" yWindow="2928" windowWidth="17280" windowHeight="8880" activeTab="1" xr2:uid="{BD676C4F-7BF3-45EF-B183-7BCDFBAC329C}"/>
  </bookViews>
  <sheets>
    <sheet name="extreme_test_30" sheetId="1" r:id="rId1"/>
    <sheet name="Sheet1" sheetId="2" r:id="rId2"/>
  </sheets>
  <definedNames>
    <definedName name="_xlnm._FilterDatabase" localSheetId="0" hidden="1">extreme_test_30!$A$1:$D$2063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5" i="2" l="1"/>
  <c r="B36" i="2" s="1"/>
  <c r="B37" i="2" s="1"/>
  <c r="C34" i="2"/>
  <c r="B34" i="2"/>
  <c r="C33" i="2"/>
  <c r="B33" i="2"/>
  <c r="C32" i="2"/>
  <c r="B32" i="2"/>
  <c r="D4" i="2"/>
  <c r="E4" i="2"/>
  <c r="D5" i="2"/>
  <c r="E5" i="2"/>
  <c r="D6" i="2"/>
  <c r="E6" i="2"/>
  <c r="D7" i="2"/>
  <c r="E7" i="2"/>
  <c r="D8" i="2"/>
  <c r="E8" i="2"/>
  <c r="D9" i="2"/>
  <c r="E9" i="2"/>
  <c r="D10" i="2"/>
  <c r="E10" i="2"/>
  <c r="D11" i="2"/>
  <c r="E11" i="2"/>
  <c r="D12" i="2"/>
  <c r="E12" i="2"/>
  <c r="D13" i="2"/>
  <c r="E13" i="2"/>
  <c r="D14" i="2"/>
  <c r="E14" i="2"/>
  <c r="D15" i="2"/>
  <c r="E15" i="2"/>
  <c r="C35" i="2" s="1"/>
  <c r="C36" i="2" s="1"/>
  <c r="C37" i="2" s="1"/>
  <c r="D16" i="2"/>
  <c r="E16" i="2"/>
  <c r="D17" i="2"/>
  <c r="E17" i="2"/>
  <c r="D18" i="2"/>
  <c r="E18" i="2"/>
  <c r="D19" i="2"/>
  <c r="E19" i="2"/>
  <c r="D20" i="2"/>
  <c r="E20" i="2"/>
  <c r="D21" i="2"/>
  <c r="E21" i="2"/>
  <c r="D22" i="2"/>
  <c r="E22" i="2"/>
  <c r="D23" i="2"/>
  <c r="E23" i="2"/>
  <c r="D24" i="2"/>
  <c r="E24" i="2"/>
  <c r="D25" i="2"/>
  <c r="E25" i="2"/>
  <c r="D26" i="2"/>
  <c r="E26" i="2"/>
  <c r="D27" i="2"/>
  <c r="E27" i="2"/>
  <c r="D28" i="2"/>
  <c r="E28" i="2"/>
  <c r="D29" i="2"/>
  <c r="E29" i="2"/>
  <c r="D30" i="2"/>
  <c r="E30" i="2"/>
  <c r="D31" i="2"/>
  <c r="E31" i="2"/>
  <c r="E3" i="2"/>
  <c r="D3" i="2"/>
</calcChain>
</file>

<file path=xl/sharedStrings.xml><?xml version="1.0" encoding="utf-8"?>
<sst xmlns="http://schemas.openxmlformats.org/spreadsheetml/2006/main" count="4913" uniqueCount="2430">
  <si>
    <t>string</t>
  </si>
  <si>
    <t>name</t>
  </si>
  <si>
    <t>value</t>
  </si>
  <si>
    <t xml:space="preserve">date is: 2023-02-01 00:00:00
</t>
  </si>
  <si>
    <t>date is</t>
  </si>
  <si>
    <t xml:space="preserve"> 2023-02-01 00</t>
  </si>
  <si>
    <t>current price of gold is: 1950.52</t>
  </si>
  <si>
    <t>current price of gold is</t>
  </si>
  <si>
    <t xml:space="preserve"> predicted price of gold is: 1945.5789549175665</t>
  </si>
  <si>
    <t xml:space="preserve"> predicted price of gold is</t>
  </si>
  <si>
    <t xml:space="preserve">profit is: -4.9410450824334475
</t>
  </si>
  <si>
    <t>profit is</t>
  </si>
  <si>
    <t xml:space="preserve"> -4.9410450824334475
</t>
  </si>
  <si>
    <t>current price of tb is: 90.82421875</t>
  </si>
  <si>
    <t>current price of tb is</t>
  </si>
  <si>
    <t xml:space="preserve"> current price of tb option is: 4.252779233037351</t>
  </si>
  <si>
    <t xml:space="preserve"> current price of tb option is</t>
  </si>
  <si>
    <t>predicted price of tb is: 91.08115992650131</t>
  </si>
  <si>
    <t>predicted price of tb is</t>
  </si>
  <si>
    <t xml:space="preserve">profit is: 4.509720409538659
</t>
  </si>
  <si>
    <t xml:space="preserve"> 4.509720409538659
</t>
  </si>
  <si>
    <t>current price of reit is: 62.9</t>
  </si>
  <si>
    <t>current price of reit is</t>
  </si>
  <si>
    <t xml:space="preserve"> current price of reit option is: 4.136022920529392</t>
  </si>
  <si>
    <t xml:space="preserve"> current price of reit option is</t>
  </si>
  <si>
    <t>predicted price of reit is: 63.40685255260401</t>
  </si>
  <si>
    <t>predicted price of reit is</t>
  </si>
  <si>
    <t xml:space="preserve">profit is: 4.642875473133394
</t>
  </si>
  <si>
    <t xml:space="preserve"> 4.642875473133394
</t>
  </si>
  <si>
    <t>value_ratio_tb_to_total is: 1.070798055975761</t>
  </si>
  <si>
    <t>value_ratio_tb_to_total is</t>
  </si>
  <si>
    <t xml:space="preserve"> risk_ratio_tb_to_gold is: 0.37356481684667114
</t>
  </si>
  <si>
    <t xml:space="preserve"> risk_ratio_tb_to_gold is</t>
  </si>
  <si>
    <t xml:space="preserve"> 0.37356481684667114
</t>
  </si>
  <si>
    <t>value_ratio_gold_to_total is: -1.1732127467519833</t>
  </si>
  <si>
    <t>value_ratio_gold_to_total is</t>
  </si>
  <si>
    <t xml:space="preserve"> risk_ratio_gold_to_total is: 0.5410044178133318
</t>
  </si>
  <si>
    <t xml:space="preserve"> risk_ratio_gold_to_total is</t>
  </si>
  <si>
    <t xml:space="preserve"> 0.5410044178133318
</t>
  </si>
  <si>
    <t>value_ratio_reit_to_total is: 1.1024146907762225</t>
  </si>
  <si>
    <t>value_ratio_reit_to_total is</t>
  </si>
  <si>
    <t xml:space="preserve"> risk_ratio_reit_to_gold is: 0.47484892447150095
</t>
  </si>
  <si>
    <t xml:space="preserve"> risk_ratio_reit_to_gold is</t>
  </si>
  <si>
    <t xml:space="preserve"> 0.47484892447150095
</t>
  </si>
  <si>
    <t>average_risk_gold is: 0.007495319358713216</t>
  </si>
  <si>
    <t>average_risk_gold is</t>
  </si>
  <si>
    <t xml:space="preserve"> average_risk_tb is: 1.0535842829297195</t>
  </si>
  <si>
    <t xml:space="preserve"> average_risk_tb is</t>
  </si>
  <si>
    <t xml:space="preserve"> average_risk_reit is: 1.3392411196865983
</t>
  </si>
  <si>
    <t xml:space="preserve"> average_risk_reit is</t>
  </si>
  <si>
    <t xml:space="preserve"> 1.3392411196865983
</t>
  </si>
  <si>
    <t xml:space="preserve">collateral_ratio_tranche_tb is: 0.4
</t>
  </si>
  <si>
    <t>collateral_ratio_tranche_tb is</t>
  </si>
  <si>
    <t xml:space="preserve"> 0.4
</t>
  </si>
  <si>
    <t xml:space="preserve">collateral_ratio_tranche_gold is: 0.8
</t>
  </si>
  <si>
    <t>collateral_ratio_tranche_gold is</t>
  </si>
  <si>
    <t xml:space="preserve"> 0.8
</t>
  </si>
  <si>
    <t xml:space="preserve">collateral_ratio_tranche_reit is: 0.3
</t>
  </si>
  <si>
    <t>collateral_ratio_tranche_reit is</t>
  </si>
  <si>
    <t xml:space="preserve"> 0.3
</t>
  </si>
  <si>
    <t>Total plot size is: 150000000.0</t>
  </si>
  <si>
    <t>Total plot size is</t>
  </si>
  <si>
    <t xml:space="preserve"> plot size of gold is: 80000000.0</t>
  </si>
  <si>
    <t xml:space="preserve"> plot size of gold is</t>
  </si>
  <si>
    <t xml:space="preserve"> plot size of TB is: 40000000.0</t>
  </si>
  <si>
    <t xml:space="preserve"> plot size of TB is</t>
  </si>
  <si>
    <t xml:space="preserve"> plot size of REIT is: 30000000.0
</t>
  </si>
  <si>
    <t xml:space="preserve"> plot size of REIT is</t>
  </si>
  <si>
    <t xml:space="preserve"> 30000000.0
</t>
  </si>
  <si>
    <t xml:space="preserve">collateral ratio is: 1.5
</t>
  </si>
  <si>
    <t>collateral ratio is</t>
  </si>
  <si>
    <t xml:space="preserve"> 1.5
</t>
  </si>
  <si>
    <t>S_gtbcps_0 is: 1.0</t>
  </si>
  <si>
    <t>S_gtbcps_0 is</t>
  </si>
  <si>
    <t>T is: 0.0027397260273972603</t>
  </si>
  <si>
    <t>T is</t>
  </si>
  <si>
    <t>t is: 0.0</t>
  </si>
  <si>
    <t>t is</t>
  </si>
  <si>
    <t>change_of_collaterals is: 0.0</t>
  </si>
  <si>
    <t>change_of_collaterals is</t>
  </si>
  <si>
    <t xml:space="preserve">stdev_gtbcps is: 0.010266659973954258
</t>
  </si>
  <si>
    <t>stdev_gtbcps is</t>
  </si>
  <si>
    <t xml:space="preserve"> 0.010266659973954258
</t>
  </si>
  <si>
    <t>predicted price of GTBCPS is: 1.0000357639413253</t>
  </si>
  <si>
    <t>predicted price of GTBCPS is</t>
  </si>
  <si>
    <t xml:space="preserve"> actual price is: 1.0
</t>
  </si>
  <si>
    <t xml:space="preserve"> actual price is</t>
  </si>
  <si>
    <t xml:space="preserve"> 1.0
</t>
  </si>
  <si>
    <t>predicted amount of GTBCPS is: 99996423.73376885</t>
  </si>
  <si>
    <t>predicted amount of GTBCPS is</t>
  </si>
  <si>
    <t xml:space="preserve"> actual amount is: 100000000
</t>
  </si>
  <si>
    <t xml:space="preserve"> actual amount is</t>
  </si>
  <si>
    <t xml:space="preserve"> 100000000
</t>
  </si>
  <si>
    <t>plot sizes of gold is: 80000000.0</t>
  </si>
  <si>
    <t>plot sizes of gold is</t>
  </si>
  <si>
    <t xml:space="preserve"> plot sizes of tb is: 40000000.0 </t>
  </si>
  <si>
    <t xml:space="preserve"> plot sizes of tb is</t>
  </si>
  <si>
    <t xml:space="preserve"> plot sizes of reit is: 30000000.0</t>
  </si>
  <si>
    <t xml:space="preserve"> plot sizes of reit is</t>
  </si>
  <si>
    <t xml:space="preserve"> plot sizes of total is: 150000000.0.
</t>
  </si>
  <si>
    <t xml:space="preserve"> plot sizes of total is</t>
  </si>
  <si>
    <t xml:space="preserve"> 150000000.0.
</t>
  </si>
  <si>
    <t>predicted stdevs of gold is: 0.010043631745888853</t>
  </si>
  <si>
    <t>predicted stdevs of gold is</t>
  </si>
  <si>
    <t xml:space="preserve"> predicted stdevs of tb is: 0.002799987603445011</t>
  </si>
  <si>
    <t xml:space="preserve"> predicted stdevs of tb is</t>
  </si>
  <si>
    <t xml:space="preserve"> predicted stdevs of reit is: 0.020816965076141003</t>
  </si>
  <si>
    <t xml:space="preserve"> predicted stdevs of reit is</t>
  </si>
  <si>
    <t xml:space="preserve"> predicted stdevs of GTBCPS is: 0.010266659973954258.
</t>
  </si>
  <si>
    <t xml:space="preserve"> predicted stdevs of GTBCPS is</t>
  </si>
  <si>
    <t xml:space="preserve"> 0.010266659973954258.
</t>
  </si>
  <si>
    <t>payout of tranche of gold is: 953.6709949749578</t>
  </si>
  <si>
    <t>payout of tranche of gold is</t>
  </si>
  <si>
    <t xml:space="preserve"> payout of tranche of Treausry Bill Option is: 186.49566123954727</t>
  </si>
  <si>
    <t xml:space="preserve"> payout of tranche of Treausry Bill Option is</t>
  </si>
  <si>
    <t xml:space="preserve"> payout of tranche of Collar of REIT is: 97.44398299766345
</t>
  </si>
  <si>
    <t xml:space="preserve"> payout of tranche of Collar of REIT is</t>
  </si>
  <si>
    <t xml:space="preserve"> 97.44398299766345
</t>
  </si>
  <si>
    <t>Collateral size of tranche of gold is: 80000953.67099498</t>
  </si>
  <si>
    <t>Collateral size of tranche of gold is</t>
  </si>
  <si>
    <t xml:space="preserve"> collateral size of tranche of Treausry Bill Option is: 40000186.49566124</t>
  </si>
  <si>
    <t xml:space="preserve"> collateral size of tranche of Treausry Bill Option is</t>
  </si>
  <si>
    <t xml:space="preserve"> collateral size of tranche of Collar of REIT is: 30000097.443982996
</t>
  </si>
  <si>
    <t xml:space="preserve"> collateral size of tranche of Collar of REIT is</t>
  </si>
  <si>
    <t xml:space="preserve"> 30000097.443982996
</t>
  </si>
  <si>
    <t>Collateral ratio of tranche of gold is: 0.8000095367099498</t>
  </si>
  <si>
    <t>Collateral ratio of tranche of gold is</t>
  </si>
  <si>
    <t xml:space="preserve"> collateral ratio of tranche of Treausry Bill Option is: 0.4000018649566124</t>
  </si>
  <si>
    <t xml:space="preserve"> collateral ratio of tranche of Treausry Bill Option is</t>
  </si>
  <si>
    <t xml:space="preserve"> collateral ratio of tranche of Collar of REIT is: 0.30000097443983
</t>
  </si>
  <si>
    <t xml:space="preserve"> collateral ratio of tranche of Collar of REIT is</t>
  </si>
  <si>
    <t xml:space="preserve"> 0.30000097443983
</t>
  </si>
  <si>
    <t xml:space="preserve"> predicted price of gold is: 1945.5789549175665
</t>
  </si>
  <si>
    <t xml:space="preserve"> 1945.5789549175665
</t>
  </si>
  <si>
    <t xml:space="preserve"> predicted price of tb is: 91.08115992650131
</t>
  </si>
  <si>
    <t xml:space="preserve"> predicted price of tb is</t>
  </si>
  <si>
    <t xml:space="preserve"> 91.08115992650131
</t>
  </si>
  <si>
    <t xml:space="preserve"> current price of reit option is: 4.122537697519881</t>
  </si>
  <si>
    <t xml:space="preserve"> predicted price of reit is: 63.67859258239641
</t>
  </si>
  <si>
    <t xml:space="preserve"> predicted price of reit is</t>
  </si>
  <si>
    <t xml:space="preserve"> 63.67859258239641
</t>
  </si>
  <si>
    <t>value_ratio_gold_to_total is: -1.1054272862944383</t>
  </si>
  <si>
    <t xml:space="preserve"> risk_ratio_to_gold is: 0.5413089784584179</t>
  </si>
  <si>
    <t xml:space="preserve"> risk_ratio_to_gold is</t>
  </si>
  <si>
    <t xml:space="preserve"> risk_ratio_to_gold_before is: 0.5410044178133318
</t>
  </si>
  <si>
    <t xml:space="preserve"> risk_ratio_to_gold_before is</t>
  </si>
  <si>
    <t>value_ratio_tb_to_total is: 1.0089298743673443</t>
  </si>
  <si>
    <t xml:space="preserve"> risk_ratio_tb_to_gold is: 0.373744854427844</t>
  </si>
  <si>
    <t xml:space="preserve"> risk_ratio_tb_to_gold_before is: 0.37356481684667114
</t>
  </si>
  <si>
    <t xml:space="preserve"> risk_ratio_tb_to_gold_before is</t>
  </si>
  <si>
    <t>value_ratio_reit_to_total is: 1.096497411927094</t>
  </si>
  <si>
    <t xml:space="preserve"> risk_ratio_reit_to_gold is: 0.4736289002951581</t>
  </si>
  <si>
    <t xml:space="preserve"> risk_ratio_reit_to_gold_before is: 0.47484892447150095
</t>
  </si>
  <si>
    <t xml:space="preserve"> risk_ratio_reit_to_gold_before is</t>
  </si>
  <si>
    <t>delta_gold is: 1.0</t>
  </si>
  <si>
    <t>delta_gold is</t>
  </si>
  <si>
    <t xml:space="preserve"> delta_tb is: 1.0</t>
  </si>
  <si>
    <t xml:space="preserve"> delta_tb is</t>
  </si>
  <si>
    <t xml:space="preserve"> delta_reit is: 0.9997988361716282
</t>
  </si>
  <si>
    <t xml:space="preserve"> delta_reit is</t>
  </si>
  <si>
    <t xml:space="preserve"> 0.9997988361716282
</t>
  </si>
  <si>
    <t>delta_gold_risk is: 1.000197637749487</t>
  </si>
  <si>
    <t>delta_gold_risk is</t>
  </si>
  <si>
    <t xml:space="preserve"> delta_tb_risk is: 1.0001310732329225</t>
  </si>
  <si>
    <t xml:space="preserve"> delta_tb_risk is</t>
  </si>
  <si>
    <t xml:space="preserve"> delta_reit_risk is: 0.9991727802379624
</t>
  </si>
  <si>
    <t xml:space="preserve"> delta_reit_risk is</t>
  </si>
  <si>
    <t xml:space="preserve"> 0.9991727802379624
</t>
  </si>
  <si>
    <t xml:space="preserve">collateral_ratio_tranche_gold is: 0.7998514558682881
</t>
  </si>
  <si>
    <t xml:space="preserve"> 0.7998514558682881
</t>
  </si>
  <si>
    <t xml:space="preserve">collateral_ratio_tranche_tb is: 0.39994944229020585
</t>
  </si>
  <si>
    <t xml:space="preserve"> 0.39994944229020585
</t>
  </si>
  <si>
    <t xml:space="preserve">collateral_ratio_tranche_reit is: 0.3001889473248688
</t>
  </si>
  <si>
    <t xml:space="preserve"> 0.3001889473248688
</t>
  </si>
  <si>
    <t>Total plot size is: 149993965.08514884</t>
  </si>
  <si>
    <t xml:space="preserve"> plot size of REIT is: 29993965.08514885
</t>
  </si>
  <si>
    <t xml:space="preserve"> 29993965.08514885
</t>
  </si>
  <si>
    <t xml:space="preserve">collateral ratio is: 1.4999396508514884
</t>
  </si>
  <si>
    <t xml:space="preserve"> 1.4999396508514884
</t>
  </si>
  <si>
    <t>S_gtbcps_0 is: 1.0000357639413253</t>
  </si>
  <si>
    <t xml:space="preserve">stdev_gtbcps is: 0.010297355706226858
</t>
  </si>
  <si>
    <t xml:space="preserve"> 0.010297355706226858
</t>
  </si>
  <si>
    <t>predicted price of GTBCPS is: 1.0000321127818974</t>
  </si>
  <si>
    <t xml:space="preserve"> actual price is: 1.0000357639413253
</t>
  </si>
  <si>
    <t xml:space="preserve"> 1.0000357639413253
</t>
  </si>
  <si>
    <t>predicted amount of GTBCPS is: 99996788.82493003</t>
  </si>
  <si>
    <t xml:space="preserve"> actual amount is: 99996423.73376885
</t>
  </si>
  <si>
    <t xml:space="preserve"> 99996423.73376885
</t>
  </si>
  <si>
    <t xml:space="preserve"> plot sizes of reit is: 29993965.08514885</t>
  </si>
  <si>
    <t xml:space="preserve"> plot sizes of total is: 149993965.08514884.
</t>
  </si>
  <si>
    <t xml:space="preserve"> 149993965.08514884.
</t>
  </si>
  <si>
    <t>predicted stdevs of gold is: 0.01005668083499693</t>
  </si>
  <si>
    <t xml:space="preserve"> predicted stdevs of tb is: 0.002813640153242281</t>
  </si>
  <si>
    <t xml:space="preserve"> predicted stdevs of reit is: 0.0209195795740385</t>
  </si>
  <si>
    <t xml:space="preserve"> predicted stdevs of GTBCPS is: 0.010297355706226858.
</t>
  </si>
  <si>
    <t xml:space="preserve"> 0.010297355706226858.
</t>
  </si>
  <si>
    <t>total_value_of_collaterals is: 149993838.72959888</t>
  </si>
  <si>
    <t>total_value_of_collaterals is</t>
  </si>
  <si>
    <t xml:space="preserve"> createdtionValue_gold is: 292.08195273293694</t>
  </si>
  <si>
    <t xml:space="preserve"> createdtionValue_gold is</t>
  </si>
  <si>
    <t xml:space="preserve"> createdValue_tb is: 146.04108460049736</t>
  </si>
  <si>
    <t xml:space="preserve"> createdValue_tb is</t>
  </si>
  <si>
    <t xml:space="preserve"> createdValue_reit is: 109.50879559465258
</t>
  </si>
  <si>
    <t xml:space="preserve"> createdValue_reit is</t>
  </si>
  <si>
    <t xml:space="preserve"> 109.50879559465258
</t>
  </si>
  <si>
    <t>plotValue_gold_after_creation is: 79999610.55300513</t>
  </si>
  <si>
    <t>plotValue_gold_after_creation is</t>
  </si>
  <si>
    <t xml:space="preserve"> plotValue_tb_after_creation  is: 39999834.92119673</t>
  </si>
  <si>
    <t xml:space="preserve"> plotValue_tb_after_creation  is</t>
  </si>
  <si>
    <t xml:space="preserve"> plotValue_reit_after_creation  is: 29993845.623564076</t>
  </si>
  <si>
    <t xml:space="preserve"> plotValue_reit_after_creation  is</t>
  </si>
  <si>
    <t xml:space="preserve">total_value_after_creation is: 149993291.09776592
</t>
  </si>
  <si>
    <t>total_value_after_creation is</t>
  </si>
  <si>
    <t xml:space="preserve"> 149993291.09776592
</t>
  </si>
  <si>
    <t>total_amount_gtncps_before_creation is: 99996423.73376885</t>
  </si>
  <si>
    <t>total_amount_gtncps_before_creation is</t>
  </si>
  <si>
    <t>creation_amount_gtbcps is: 365.0911611765623</t>
  </si>
  <si>
    <t>creation_amount_gtbcps is</t>
  </si>
  <si>
    <t xml:space="preserve">total_amount_gtbcps_new is: 99996788.82493003
</t>
  </si>
  <si>
    <t>total_amount_gtbcps_new is</t>
  </si>
  <si>
    <t xml:space="preserve"> 99996788.82493003
</t>
  </si>
  <si>
    <t>payout of tranche of gold is: -97.36504213925618</t>
  </si>
  <si>
    <t xml:space="preserve"> payout of tranche of Treausry Bill Option is: -19.0377186676609</t>
  </si>
  <si>
    <t xml:space="preserve"> payout of tranche of Collar of REIT is: -9.952789181693124
</t>
  </si>
  <si>
    <t xml:space="preserve"> -9.952789181693124
</t>
  </si>
  <si>
    <t>Collateral size of tranche of gold is: 79999610.55300513</t>
  </si>
  <si>
    <t xml:space="preserve"> collateral size of tranche of Treausry Bill Option is: 39999834.92119673</t>
  </si>
  <si>
    <t xml:space="preserve"> collateral size of tranche of Collar of REIT is: 29993845.623564076
</t>
  </si>
  <si>
    <t xml:space="preserve"> 29993845.623564076
</t>
  </si>
  <si>
    <t>Collateral ratio of tranche of gold is: 0.7999990263495786</t>
  </si>
  <si>
    <t xml:space="preserve"> collateral ratio of tranche of Treausry Bill Option is: 0.39999980962281334</t>
  </si>
  <si>
    <t xml:space="preserve"> collateral ratio of tranche of Collar of REIT is: 0.2999395513235967
</t>
  </si>
  <si>
    <t xml:space="preserve"> 0.2999395513235967
</t>
  </si>
  <si>
    <t xml:space="preserve"> current price of reit option is: 4.111292521122856</t>
  </si>
  <si>
    <t xml:space="preserve"> predicted price of reit is: 63.60522617848077
</t>
  </si>
  <si>
    <t xml:space="preserve"> 63.60522617848077
</t>
  </si>
  <si>
    <t>value_ratio_gold_to_total is: -1.1267563196381039</t>
  </si>
  <si>
    <t xml:space="preserve"> risk_ratio_to_gold is: 0.541497828590491</t>
  </si>
  <si>
    <t xml:space="preserve"> risk_ratio_to_gold_before is: 0.5413089784584179
</t>
  </si>
  <si>
    <t xml:space="preserve"> 0.5413089784584179
</t>
  </si>
  <si>
    <t>value_ratio_tb_to_total is: 1.0283970063972927</t>
  </si>
  <si>
    <t xml:space="preserve"> risk_ratio_tb_to_gold is: 0.37322446666873405</t>
  </si>
  <si>
    <t xml:space="preserve"> risk_ratio_tb_to_gold_before is: 0.373744854427844
</t>
  </si>
  <si>
    <t xml:space="preserve"> 0.373744854427844
</t>
  </si>
  <si>
    <t>value_ratio_reit_to_total is: 1.0983593132408112</t>
  </si>
  <si>
    <t xml:space="preserve"> risk_ratio_reit_to_gold is: 0.4735050070264455</t>
  </si>
  <si>
    <t xml:space="preserve"> risk_ratio_reit_to_gold_before is: 0.4736289002951581
</t>
  </si>
  <si>
    <t xml:space="preserve"> 0.4736289002951581
</t>
  </si>
  <si>
    <t xml:space="preserve"> delta_reit is: 0.9998322179854219
</t>
  </si>
  <si>
    <t xml:space="preserve"> 0.9998322179854219
</t>
  </si>
  <si>
    <t>delta_gold_risk is: 1.0001225258106665</t>
  </si>
  <si>
    <t xml:space="preserve"> delta_tb_risk is: 0.9996211903852215</t>
  </si>
  <si>
    <t xml:space="preserve"> delta_reit_risk is: 0.9999159264122142
</t>
  </si>
  <si>
    <t xml:space="preserve"> 0.9999159264122142
</t>
  </si>
  <si>
    <t xml:space="preserve">collateral_ratio_tranche_gold is: 0.7999010178289162
</t>
  </si>
  <si>
    <t xml:space="preserve"> 0.7999010178289162
</t>
  </si>
  <si>
    <t xml:space="preserve">collateral_ratio_tranche_tb is: 0.40015139081702183
</t>
  </si>
  <si>
    <t xml:space="preserve"> 0.40015139081702183
</t>
  </si>
  <si>
    <t xml:space="preserve">collateral_ratio_tranche_reit is: 0.2999144417445702
</t>
  </si>
  <si>
    <t xml:space="preserve"> 0.2999144417445702
</t>
  </si>
  <si>
    <t>Total plot size is: 149988258.66992226</t>
  </si>
  <si>
    <t xml:space="preserve"> plot size of gold is: 79999610.55300513</t>
  </si>
  <si>
    <t xml:space="preserve"> plot size of TB is: 39999834.92119673</t>
  </si>
  <si>
    <t xml:space="preserve"> plot size of REIT is: 29988813.195720408
</t>
  </si>
  <si>
    <t xml:space="preserve"> 29988813.195720408
</t>
  </si>
  <si>
    <t xml:space="preserve">collateral ratio is: 1.4998825866992227
</t>
  </si>
  <si>
    <t xml:space="preserve"> 1.4998825866992227
</t>
  </si>
  <si>
    <t>S_gtbcps_0 is: 1.0000321127818974</t>
  </si>
  <si>
    <t xml:space="preserve">stdev_gtbcps is: 0.010323031855337974
</t>
  </si>
  <si>
    <t xml:space="preserve"> 0.010323031855337974
</t>
  </si>
  <si>
    <t>predicted price of GTBCPS is: 1.0000783838043976</t>
  </si>
  <si>
    <t xml:space="preserve"> actual price is: 1.0000321127818974
</t>
  </si>
  <si>
    <t xml:space="preserve"> 1.0000321127818974
</t>
  </si>
  <si>
    <t>predicted amount of GTBCPS is: 99992162.23391417</t>
  </si>
  <si>
    <t xml:space="preserve"> actual amount is: 99996788.82493003
</t>
  </si>
  <si>
    <t>plot sizes of gold is: 79999610.55300513</t>
  </si>
  <si>
    <t xml:space="preserve"> plot sizes of tb is: 39999834.92119673 </t>
  </si>
  <si>
    <t xml:space="preserve"> plot sizes of reit is: 29988813.195720408</t>
  </si>
  <si>
    <t xml:space="preserve"> plot sizes of total is: 149988258.66992226.
</t>
  </si>
  <si>
    <t xml:space="preserve"> 149988258.66992226.
</t>
  </si>
  <si>
    <t>predicted stdevs of gold is: 0.010069127346813108</t>
  </si>
  <si>
    <t xml:space="preserve"> predicted stdevs of tb is: 0.002822215904999169</t>
  </si>
  <si>
    <t xml:space="preserve"> predicted stdevs of reit is: 0.02100513719564495</t>
  </si>
  <si>
    <t xml:space="preserve"> predicted stdevs of GTBCPS is: 0.010323031855337974.
</t>
  </si>
  <si>
    <t xml:space="preserve"> 0.010323031855337974.
</t>
  </si>
  <si>
    <t>total_value_of_collaterals is: 149989859.93014362</t>
  </si>
  <si>
    <t xml:space="preserve"> createdtionValue_gold is: -3701.599722034178</t>
  </si>
  <si>
    <t xml:space="preserve"> createdValue_tb is: -1850.784550372812</t>
  </si>
  <si>
    <t xml:space="preserve"> createdValue_reit is: -1387.577049757569
</t>
  </si>
  <si>
    <t xml:space="preserve"> -1387.577049757569
</t>
  </si>
  <si>
    <t>plotValue_gold_after_creation is: 80004496.71253952</t>
  </si>
  <si>
    <t xml:space="preserve"> plotValue_tb_after_creation  is: 40001917.43977914</t>
  </si>
  <si>
    <t xml:space="preserve"> plotValue_reit_after_creation  is: 29990385.73914711</t>
  </si>
  <si>
    <t xml:space="preserve">total_value_after_creation is: 149996799.89146578
</t>
  </si>
  <si>
    <t xml:space="preserve"> 149996799.89146578
</t>
  </si>
  <si>
    <t>total_amount_gtncps_before_creation is: 99996788.82493003</t>
  </si>
  <si>
    <t>creation_amount_gtbcps is: -4626.591015860438</t>
  </si>
  <si>
    <t xml:space="preserve">total_amount_gtbcps_new is: 99992162.23391417
</t>
  </si>
  <si>
    <t xml:space="preserve"> 99992162.23391417
</t>
  </si>
  <si>
    <t>payout of tranche of gold is: 1184.5598123674176</t>
  </si>
  <si>
    <t xml:space="preserve"> payout of tranche of Treausry Bill Option is: 231.7340320364737</t>
  </si>
  <si>
    <t xml:space="preserve"> payout of tranche of Collar of REIT is: 184.96637694580915
</t>
  </si>
  <si>
    <t xml:space="preserve"> 184.96637694580915
</t>
  </si>
  <si>
    <t>Collateral size of tranche of gold is: 80004496.71253952</t>
  </si>
  <si>
    <t xml:space="preserve"> collateral size of tranche of Treausry Bill Option is: 40001917.43977914</t>
  </si>
  <si>
    <t xml:space="preserve"> collateral size of tranche of Collar of REIT is: 29990385.73914711
</t>
  </si>
  <si>
    <t xml:space="preserve"> 29990385.73914711
</t>
  </si>
  <si>
    <t>Collateral ratio of tranche of gold is: 0.8000079511281749</t>
  </si>
  <si>
    <t xml:space="preserve"> collateral ratio of tranche of Treausry Bill Option is: 0.40000066655228766</t>
  </si>
  <si>
    <t xml:space="preserve"> collateral ratio of tranche of Collar of REIT is: 0.2998899816209735
</t>
  </si>
  <si>
    <t xml:space="preserve"> 0.2998899816209735
</t>
  </si>
  <si>
    <t xml:space="preserve"> current price of reit option is: 4.09701138064586</t>
  </si>
  <si>
    <t xml:space="preserve"> predicted price of reit is: 63.48912982045703
</t>
  </si>
  <si>
    <t xml:space="preserve"> 63.48912982045703
</t>
  </si>
  <si>
    <t>value_ratio_gold_to_total is: -1.161282760296681</t>
  </si>
  <si>
    <t xml:space="preserve"> risk_ratio_to_gold is: 0.541164235015748</t>
  </si>
  <si>
    <t xml:space="preserve"> risk_ratio_to_gold_before is: 0.541497828590491
</t>
  </si>
  <si>
    <t xml:space="preserve"> 0.541497828590491
</t>
  </si>
  <si>
    <t>value_ratio_tb_to_total is: 1.0599094883740867</t>
  </si>
  <si>
    <t xml:space="preserve"> risk_ratio_tb_to_gold is: 0.3734705022533721</t>
  </si>
  <si>
    <t xml:space="preserve"> risk_ratio_tb_to_gold_before is: 0.37322446666873405
</t>
  </si>
  <si>
    <t xml:space="preserve"> 0.37322446666873405
</t>
  </si>
  <si>
    <t>value_ratio_reit_to_total is: 1.1013732719225944</t>
  </si>
  <si>
    <t xml:space="preserve"> risk_ratio_reit_to_gold is: 0.47439736353583667</t>
  </si>
  <si>
    <t xml:space="preserve"> risk_ratio_reit_to_gold_before is: 0.4735050070264455
</t>
  </si>
  <si>
    <t xml:space="preserve"> 0.4735050070264455
</t>
  </si>
  <si>
    <t xml:space="preserve"> delta_reit is: 0.9997868845691569
</t>
  </si>
  <si>
    <t xml:space="preserve"> 0.9997868845691569
</t>
  </si>
  <si>
    <t>delta_gold_risk is: 0.9997835912781998</t>
  </si>
  <si>
    <t xml:space="preserve"> delta_tb_risk is: 1.0001791663275814</t>
  </si>
  <si>
    <t xml:space="preserve"> delta_reit_risk is: 1.0006056012739257
</t>
  </si>
  <si>
    <t xml:space="preserve"> 1.0006056012739257
</t>
  </si>
  <si>
    <t xml:space="preserve">collateral_ratio_tranche_gold is: 0.8001811173009786
</t>
  </si>
  <si>
    <t xml:space="preserve"> 0.8001811173009786
</t>
  </si>
  <si>
    <t xml:space="preserve">collateral_ratio_tranche_tb is: 0.3999290127397818
</t>
  </si>
  <si>
    <t xml:space="preserve"> 0.3999290127397818
</t>
  </si>
  <si>
    <t xml:space="preserve">collateral_ratio_tranche_reit is: 0.29964460528365006
</t>
  </si>
  <si>
    <t xml:space="preserve"> 0.29964460528365006
</t>
  </si>
  <si>
    <t>Total plot size is: 149990408.47748783</t>
  </si>
  <si>
    <t xml:space="preserve"> plot size of gold is: 80004496.71253952</t>
  </si>
  <si>
    <t xml:space="preserve"> plot size of TB is: 40001917.43977914</t>
  </si>
  <si>
    <t xml:space="preserve"> plot size of REIT is: 29983994.32516916
</t>
  </si>
  <si>
    <t xml:space="preserve"> 29983994.32516916
</t>
  </si>
  <si>
    <t xml:space="preserve">collateral ratio is: 1.4999040847748784
</t>
  </si>
  <si>
    <t xml:space="preserve"> 1.4999040847748784
</t>
  </si>
  <si>
    <t>S_gtbcps_0 is: 1.0000783838043976</t>
  </si>
  <si>
    <t>change_of_collaterals is: -2.220446049250313e-16</t>
  </si>
  <si>
    <t xml:space="preserve">stdev_gtbcps is: 0.010352370916130543
</t>
  </si>
  <si>
    <t xml:space="preserve"> 0.010352370916130543
</t>
  </si>
  <si>
    <t>predicted price of GTBCPS is: 1.0000524401123025</t>
  </si>
  <si>
    <t xml:space="preserve"> actual price is: 1.0000783838043976
</t>
  </si>
  <si>
    <t xml:space="preserve"> 1.0000783838043976
</t>
  </si>
  <si>
    <t>predicted amount of GTBCPS is: 99994756.26375185</t>
  </si>
  <si>
    <t xml:space="preserve"> actual amount is: 99992162.23391417
</t>
  </si>
  <si>
    <t>plot sizes of gold is: 80004496.71253952</t>
  </si>
  <si>
    <t xml:space="preserve"> plot sizes of tb is: 40001917.43977914 </t>
  </si>
  <si>
    <t xml:space="preserve"> plot sizes of reit is: 29983994.32516916</t>
  </si>
  <si>
    <t xml:space="preserve"> plot sizes of total is: 149990408.4774878.
</t>
  </si>
  <si>
    <t xml:space="preserve"> 149990408.4774878.
</t>
  </si>
  <si>
    <t>predicted stdevs of gold is: 0.010077427946294376</t>
  </si>
  <si>
    <t xml:space="preserve"> predicted stdevs of tb is: 0.0028358984134079297</t>
  </si>
  <si>
    <t xml:space="preserve"> predicted stdevs of reit is: 0.021113778583147665</t>
  </si>
  <si>
    <t xml:space="preserve"> predicted stdevs of GTBCPS is: 0.010352370916130543.
</t>
  </si>
  <si>
    <t xml:space="preserve"> 0.010352370916130543.
</t>
  </si>
  <si>
    <t>total_value_of_collaterals is: 149989510.72989702</t>
  </si>
  <si>
    <t xml:space="preserve"> createdtionValue_gold is: 2075.431398821531</t>
  </si>
  <si>
    <t xml:space="preserve"> createdValue_tb is: 1037.7125794343694</t>
  </si>
  <si>
    <t xml:space="preserve"> createdValue_reit is: 777.8327160274628
</t>
  </si>
  <si>
    <t xml:space="preserve"> 777.8327160274628
</t>
  </si>
  <si>
    <t>plotValue_gold_after_creation is: 80001729.40250313</t>
  </si>
  <si>
    <t xml:space="preserve"> plotValue_tb_after_creation  is: 40000744.43540827</t>
  </si>
  <si>
    <t xml:space="preserve"> plotValue_reit_after_creation  is: 29983145.91529132</t>
  </si>
  <si>
    <t xml:space="preserve">total_value_after_creation is: 149985619.7532027
</t>
  </si>
  <si>
    <t xml:space="preserve"> 149985619.7532027
</t>
  </si>
  <si>
    <t>total_amount_gtncps_before_creation is: 99992162.23391417</t>
  </si>
  <si>
    <t>creation_amount_gtbcps is: 2594.029837682843</t>
  </si>
  <si>
    <t xml:space="preserve">total_amount_gtbcps_new is: 99994756.26375185
</t>
  </si>
  <si>
    <t xml:space="preserve"> 99994756.26375185
</t>
  </si>
  <si>
    <t>payout of tranche of gold is: -691.8786375672958</t>
  </si>
  <si>
    <t xml:space="preserve"> payout of tranche of Treausry Bill Option is: -135.2917914330419</t>
  </si>
  <si>
    <t xml:space="preserve"> payout of tranche of Collar of REIT is: -70.5771618103261
</t>
  </si>
  <si>
    <t xml:space="preserve"> -70.5771618103261
</t>
  </si>
  <si>
    <t>Collateral size of tranche of gold is: 80001729.40250313</t>
  </si>
  <si>
    <t xml:space="preserve"> collateral size of tranche of Treausry Bill Option is: 40000744.43540827</t>
  </si>
  <si>
    <t xml:space="preserve"> collateral size of tranche of Collar of REIT is: 29983145.91529132
</t>
  </si>
  <si>
    <t xml:space="preserve"> 29983145.91529132
</t>
  </si>
  <si>
    <t>Collateral ratio of tranche of gold is: 0.8000380483390197</t>
  </si>
  <si>
    <t xml:space="preserve"> collateral ratio of tranche of Treausry Bill Option is: 0.40001782147987713</t>
  </si>
  <si>
    <t xml:space="preserve"> collateral ratio of tranche of Collar of REIT is: 0.2998392374800735
</t>
  </si>
  <si>
    <t xml:space="preserve"> 0.2998392374800735
</t>
  </si>
  <si>
    <t xml:space="preserve"> current price of reit option is: 4.092566286784141</t>
  </si>
  <si>
    <t xml:space="preserve"> predicted price of reit is: 63.42374640576117
</t>
  </si>
  <si>
    <t xml:space="preserve"> 63.42374640576117
</t>
  </si>
  <si>
    <t>value_ratio_gold_to_total is: -1.1806593135351575</t>
  </si>
  <si>
    <t xml:space="preserve"> risk_ratio_to_gold is: 0.5423961814761393</t>
  </si>
  <si>
    <t xml:space="preserve"> risk_ratio_to_gold_before is: 0.541164235015748
</t>
  </si>
  <si>
    <t xml:space="preserve"> 0.541164235015748
</t>
  </si>
  <si>
    <t>value_ratio_tb_to_total is: 1.077594580525287</t>
  </si>
  <si>
    <t xml:space="preserve"> risk_ratio_tb_to_gold is: 0.37153066358205816</t>
  </si>
  <si>
    <t xml:space="preserve"> risk_ratio_tb_to_gold_before is: 0.3734705022533721
</t>
  </si>
  <si>
    <t xml:space="preserve"> 0.3734705022533721
</t>
  </si>
  <si>
    <t>value_ratio_reit_to_total is: 1.1030647330098706</t>
  </si>
  <si>
    <t xml:space="preserve"> risk_ratio_reit_to_gold is: 0.4721401330641961</t>
  </si>
  <si>
    <t xml:space="preserve"> risk_ratio_reit_to_gold_before is: 0.47439736353583667
</t>
  </si>
  <si>
    <t xml:space="preserve"> 0.47439736353583667
</t>
  </si>
  <si>
    <t xml:space="preserve"> delta_reit is: 0.9999336523559765
</t>
  </si>
  <si>
    <t xml:space="preserve"> 0.9999336523559765
</t>
  </si>
  <si>
    <t>delta_gold_risk is: 1.0007993609197523</t>
  </si>
  <si>
    <t xml:space="preserve"> delta_tb_risk is: 0.9985876371803171</t>
  </si>
  <si>
    <t xml:space="preserve"> delta_reit_risk is: 0.9984690487602152
</t>
  </si>
  <si>
    <t xml:space="preserve"> 0.9984690487602152
</t>
  </si>
  <si>
    <t xml:space="preserve">collateral_ratio_tranche_gold is: 0.7993990399871664
</t>
  </si>
  <si>
    <t xml:space="preserve"> 0.7993990399871664
</t>
  </si>
  <si>
    <t xml:space="preserve">collateral_ratio_tranche_tb is: 0.4005835908497684
</t>
  </si>
  <si>
    <t xml:space="preserve"> 0.4005835908497684
</t>
  </si>
  <si>
    <t xml:space="preserve">collateral_ratio_tranche_reit is: 0.3002790564468296
</t>
  </si>
  <si>
    <t xml:space="preserve"> 0.3002790564468296
</t>
  </si>
  <si>
    <t>Total plot size is: 149983630.44211084</t>
  </si>
  <si>
    <t xml:space="preserve"> plot size of gold is: 80001729.40250313</t>
  </si>
  <si>
    <t xml:space="preserve"> plot size of TB is: 40000744.43540827</t>
  </si>
  <si>
    <t xml:space="preserve"> plot size of REIT is: 29981156.604199428
</t>
  </si>
  <si>
    <t xml:space="preserve"> 29981156.604199428
</t>
  </si>
  <si>
    <t xml:space="preserve">collateral ratio is: 1.4998363044211085
</t>
  </si>
  <si>
    <t xml:space="preserve"> 1.4998363044211085
</t>
  </si>
  <si>
    <t>S_gtbcps_0 is: 1.0000524401123025</t>
  </si>
  <si>
    <t xml:space="preserve">stdev_gtbcps is: 0.010369952248634774
</t>
  </si>
  <si>
    <t xml:space="preserve"> 0.010369952248634774
</t>
  </si>
  <si>
    <t>predicted price of GTBCPS is: 1.000036633191796</t>
  </si>
  <si>
    <t xml:space="preserve"> actual price is: 1.0000524401123025
</t>
  </si>
  <si>
    <t xml:space="preserve"> 1.0000524401123025
</t>
  </si>
  <si>
    <t>predicted amount of GTBCPS is: 99996336.81501454</t>
  </si>
  <si>
    <t xml:space="preserve"> actual amount is: 99994756.26375185
</t>
  </si>
  <si>
    <t>plot sizes of gold is: 80001729.40250313</t>
  </si>
  <si>
    <t xml:space="preserve"> plot sizes of tb is: 40000744.43540827 </t>
  </si>
  <si>
    <t xml:space="preserve"> plot sizes of reit is: 29981156.604199428</t>
  </si>
  <si>
    <t xml:space="preserve"> plot sizes of total is: 149983630.44211084.
</t>
  </si>
  <si>
    <t xml:space="preserve"> 149983630.44211084.
</t>
  </si>
  <si>
    <t>predicted stdevs of gold is: 0.01010297177325098</t>
  </si>
  <si>
    <t xml:space="preserve"> predicted stdevs of tb is: 0.0028259136648487856</t>
  </si>
  <si>
    <t xml:space="preserve"> predicted stdevs of reit is: 0.0211475904636671</t>
  </si>
  <si>
    <t xml:space="preserve"> predicted stdevs of GTBCPS is: 0.010369952248634774.
</t>
  </si>
  <si>
    <t xml:space="preserve"> 0.010369952248634774.
</t>
  </si>
  <si>
    <t>total_value_of_collaterals is: 149983083.27328315</t>
  </si>
  <si>
    <t xml:space="preserve"> createdtionValue_gold is: 1264.5080025804136</t>
  </si>
  <si>
    <t xml:space="preserve"> createdValue_tb is: 632.2541273170925</t>
  </si>
  <si>
    <t xml:space="preserve"> createdValue_reit is: 473.8842277636227
</t>
  </si>
  <si>
    <t xml:space="preserve"> 473.8842277636227
</t>
  </si>
  <si>
    <t>plotValue_gold_after_creation is: 80000043.33694477</t>
  </si>
  <si>
    <t xml:space="preserve"> plotValue_tb_after_creation  is: 40000029.64165745</t>
  </si>
  <si>
    <t xml:space="preserve"> plotValue_reit_after_creation  is: 29980639.64832328</t>
  </si>
  <si>
    <t xml:space="preserve">total_value_after_creation is: 149980712.6269255
</t>
  </si>
  <si>
    <t xml:space="preserve"> 149980712.6269255
</t>
  </si>
  <si>
    <t>total_amount_gtncps_before_creation is: 99994756.26375185</t>
  </si>
  <si>
    <t>creation_amount_gtbcps is: 1580.551262691617</t>
  </si>
  <si>
    <t xml:space="preserve">total_amount_gtbcps_new is: 99996336.81501454
</t>
  </si>
  <si>
    <t xml:space="preserve"> 99996336.81501454
</t>
  </si>
  <si>
    <t>payout of tranche of gold is: -421.5575557748612</t>
  </si>
  <si>
    <t xml:space="preserve"> payout of tranche of Treausry Bill Option is: -82.53962350835675</t>
  </si>
  <si>
    <t xml:space="preserve"> payout of tranche of Collar of REIT is: -43.07164838694696
</t>
  </si>
  <si>
    <t xml:space="preserve"> -43.07164838694696
</t>
  </si>
  <si>
    <t>Collateral size of tranche of gold is: 80000043.33694477</t>
  </si>
  <si>
    <t xml:space="preserve"> collateral size of tranche of Treausry Bill Option is: 40000029.64165745</t>
  </si>
  <si>
    <t xml:space="preserve"> collateral size of tranche of Collar of REIT is: 29980639.64832328
</t>
  </si>
  <si>
    <t xml:space="preserve"> 29980639.64832328
</t>
  </si>
  <si>
    <t>Collateral ratio of tranche of gold is: 0.8000130784494737</t>
  </si>
  <si>
    <t xml:space="preserve"> collateral ratio of tranche of Treausry Bill Option is: 0.4000066189578477</t>
  </si>
  <si>
    <t xml:space="preserve"> collateral ratio of tranche of Collar of REIT is: 0.29981113532551046
</t>
  </si>
  <si>
    <t xml:space="preserve"> 0.29981113532551046
</t>
  </si>
  <si>
    <t xml:space="preserve"> current price of reit option is: 4.0782520738323385</t>
  </si>
  <si>
    <t xml:space="preserve"> predicted price of reit is: 63.50555299686266
</t>
  </si>
  <si>
    <t xml:space="preserve"> 63.50555299686266
</t>
  </si>
  <si>
    <t>value_ratio_gold_to_total is: -1.1619207192558532</t>
  </si>
  <si>
    <t xml:space="preserve"> risk_ratio_to_gold is: 0.5461010917107391</t>
  </si>
  <si>
    <t xml:space="preserve"> risk_ratio_to_gold_before is: 0.5423961814761393
</t>
  </si>
  <si>
    <t xml:space="preserve"> 0.5423961814761393
</t>
  </si>
  <si>
    <t>value_ratio_tb_to_total is: 1.0604917572039856</t>
  </si>
  <si>
    <t xml:space="preserve"> risk_ratio_tb_to_gold is: 0.3661479909350426</t>
  </si>
  <si>
    <t xml:space="preserve"> risk_ratio_tb_to_gold_before is: 0.37153066358205816
</t>
  </si>
  <si>
    <t xml:space="preserve"> 0.37153066358205816
</t>
  </si>
  <si>
    <t>value_ratio_reit_to_total is: 1.1014289620518676</t>
  </si>
  <si>
    <t xml:space="preserve"> risk_ratio_reit_to_gold is: 0.4650148014105253</t>
  </si>
  <si>
    <t xml:space="preserve"> risk_ratio_reit_to_gold_before is: 0.4721401330641961
</t>
  </si>
  <si>
    <t xml:space="preserve"> 0.4721401330641961
</t>
  </si>
  <si>
    <t xml:space="preserve"> delta_reit is: 0.9997863313238289
</t>
  </si>
  <si>
    <t xml:space="preserve"> 0.9997863313238289
</t>
  </si>
  <si>
    <t>delta_gold_risk is: 1.0024020483706424</t>
  </si>
  <si>
    <t xml:space="preserve"> delta_tb_risk is: 0.9960754266820712</t>
  </si>
  <si>
    <t xml:space="preserve"> delta_reit_risk is: 0.9951598822057519
</t>
  </si>
  <si>
    <t xml:space="preserve"> 0.9951598822057519
</t>
  </si>
  <si>
    <t xml:space="preserve">collateral_ratio_tranche_gold is: 0.7980960132212992
</t>
  </si>
  <si>
    <t xml:space="preserve"> 0.7980960132212992
</t>
  </si>
  <si>
    <t xml:space="preserve">collateral_ratio_tranche_tb is: 0.40158265954845446
</t>
  </si>
  <si>
    <t xml:space="preserve"> 0.40158265954845446
</t>
  </si>
  <si>
    <t xml:space="preserve">collateral_ratio_tranche_reit is: 0.30120494247893187
</t>
  </si>
  <si>
    <t xml:space="preserve"> 0.30120494247893187
</t>
  </si>
  <si>
    <t>Total plot size is: 149974306.70334107</t>
  </si>
  <si>
    <t xml:space="preserve"> plot size of gold is: 80000043.33694477</t>
  </si>
  <si>
    <t xml:space="preserve"> plot size of TB is: 40000029.64165745</t>
  </si>
  <si>
    <t xml:space="preserve"> plot size of REIT is: 29974233.72473886
</t>
  </si>
  <si>
    <t xml:space="preserve"> 29974233.72473886
</t>
  </si>
  <si>
    <t xml:space="preserve">collateral ratio is: 1.4997430670334109
</t>
  </si>
  <si>
    <t xml:space="preserve"> 1.4997430670334109
</t>
  </si>
  <si>
    <t>S_gtbcps_0 is: 1.000036633191796</t>
  </si>
  <si>
    <t>change_of_collaterals is: 2.220446049250313e-16</t>
  </si>
  <si>
    <t xml:space="preserve">stdev_gtbcps is: 0.010398527258235058
</t>
  </si>
  <si>
    <t xml:space="preserve"> 0.010398527258235058
</t>
  </si>
  <si>
    <t>predicted price of GTBCPS is: 1.0000710400205197</t>
  </si>
  <si>
    <t xml:space="preserve"> actual price is: 1.000036633191796
</t>
  </si>
  <si>
    <t xml:space="preserve"> 1.000036633191796
</t>
  </si>
  <si>
    <t>predicted amount of GTBCPS is: 99992896.50258063</t>
  </si>
  <si>
    <t xml:space="preserve"> actual amount is: 99996336.81501454
</t>
  </si>
  <si>
    <t>plot sizes of gold is: 80000043.33694477</t>
  </si>
  <si>
    <t xml:space="preserve"> plot sizes of tb is: 40000029.64165745 </t>
  </si>
  <si>
    <t xml:space="preserve"> plot sizes of reit is: 29974233.72473886</t>
  </si>
  <si>
    <t xml:space="preserve"> plot sizes of total is: 149974306.7033411.
</t>
  </si>
  <si>
    <t xml:space="preserve"> 149974306.7033411.
</t>
  </si>
  <si>
    <t>predicted stdevs of gold is: 0.010129477838478382</t>
  </si>
  <si>
    <t xml:space="preserve"> predicted stdevs of tb is: 0.0028001756614399356</t>
  </si>
  <si>
    <t xml:space="preserve"> predicted stdevs of reit is: 0.021256461353519076</t>
  </si>
  <si>
    <t xml:space="preserve"> predicted stdevs of GTBCPS is: 0.010398527258235058.
</t>
  </si>
  <si>
    <t xml:space="preserve"> 0.010398527258235058.
</t>
  </si>
  <si>
    <t>total_value_of_collaterals is: 149975498.31542706</t>
  </si>
  <si>
    <t xml:space="preserve"> createdtionValue_gold is: -2752.477262590804</t>
  </si>
  <si>
    <t xml:space="preserve"> createdValue_tb is: -1376.2296991447927</t>
  </si>
  <si>
    <t xml:space="preserve"> createdValue_reit is: -1031.2852945503118
</t>
  </si>
  <si>
    <t xml:space="preserve"> -1031.2852945503118
</t>
  </si>
  <si>
    <t>plotValue_gold_after_creation is: 80003676.6174219</t>
  </si>
  <si>
    <t xml:space="preserve"> plotValue_tb_after_creation  is: 40001578.686261535</t>
  </si>
  <si>
    <t xml:space="preserve"> plotValue_reit_after_creation  is: 29975403.003999908</t>
  </si>
  <si>
    <t xml:space="preserve">total_value_after_creation is: 149980658.30768335
</t>
  </si>
  <si>
    <t xml:space="preserve"> 149980658.30768335
</t>
  </si>
  <si>
    <t>total_amount_gtncps_before_creation is: 99996336.81501454</t>
  </si>
  <si>
    <t>creation_amount_gtbcps is: -3440.31243391335</t>
  </si>
  <si>
    <t xml:space="preserve">total_amount_gtbcps_new is: 99992896.50258063
</t>
  </si>
  <si>
    <t xml:space="preserve"> 99992896.50258063
</t>
  </si>
  <si>
    <t>payout of tranche of gold is: 880.8032145285623</t>
  </si>
  <si>
    <t xml:space="preserve"> payout of tranche of Treausry Bill Option is: 172.814904942544</t>
  </si>
  <si>
    <t xml:space="preserve"> payout of tranche of Collar of REIT is: 137.99396649801477
</t>
  </si>
  <si>
    <t xml:space="preserve"> 137.99396649801477
</t>
  </si>
  <si>
    <t>Collateral size of tranche of gold is: 80003676.6174219</t>
  </si>
  <si>
    <t xml:space="preserve"> collateral size of tranche of Treausry Bill Option is: 40001578.686261535</t>
  </si>
  <si>
    <t xml:space="preserve"> collateral size of tranche of Collar of REIT is: 29975403.003999908
</t>
  </si>
  <si>
    <t xml:space="preserve"> 29975403.003999908
</t>
  </si>
  <si>
    <t>Collateral ratio of tranche of gold is: 0.8000092414015931</t>
  </si>
  <si>
    <t xml:space="preserve"> collateral ratio of tranche of Treausry Bill Option is: 0.40000202456562395</t>
  </si>
  <si>
    <t xml:space="preserve"> collateral ratio of tranche of Collar of REIT is: 0.29974371718705356
</t>
  </si>
  <si>
    <t xml:space="preserve"> 0.29974371718705356
</t>
  </si>
  <si>
    <t xml:space="preserve"> current price of reit option is: 4.0641834114149376</t>
  </si>
  <si>
    <t xml:space="preserve"> predicted price of reit is: 63.24143005477206
</t>
  </si>
  <si>
    <t xml:space="preserve"> 63.24143005477206
</t>
  </si>
  <si>
    <t>value_ratio_gold_to_total is: -1.2432526520903375</t>
  </si>
  <si>
    <t xml:space="preserve"> risk_ratio_to_gold is: 0.5460835871066602</t>
  </si>
  <si>
    <t xml:space="preserve"> risk_ratio_to_gold_before is: 0.5461010917107391
</t>
  </si>
  <si>
    <t xml:space="preserve"> 0.5461010917107391
</t>
  </si>
  <si>
    <t>value_ratio_tb_to_total is: 1.1347238824592083</t>
  </si>
  <si>
    <t xml:space="preserve"> risk_ratio_tb_to_gold is: 0.36606368496018094</t>
  </si>
  <si>
    <t xml:space="preserve"> risk_ratio_tb_to_gold_before is: 0.3661479909350426
</t>
  </si>
  <si>
    <t xml:space="preserve"> 0.3661479909350426
</t>
  </si>
  <si>
    <t>value_ratio_reit_to_total is: 1.1085287696311292</t>
  </si>
  <si>
    <t xml:space="preserve"> risk_ratio_reit_to_gold is: 0.46515780495557735</t>
  </si>
  <si>
    <t xml:space="preserve"> risk_ratio_reit_to_gold_before is: 0.4650148014105253
</t>
  </si>
  <si>
    <t xml:space="preserve"> 0.4650148014105253
</t>
  </si>
  <si>
    <t xml:space="preserve"> delta_reit is: 0.9997899517831267
</t>
  </si>
  <si>
    <t xml:space="preserve"> 0.9997899517831267
</t>
  </si>
  <si>
    <t>delta_gold_risk is: 0.9999886782279808</t>
  </si>
  <si>
    <t xml:space="preserve"> delta_tb_risk is: 0.999938289280941</t>
  </si>
  <si>
    <t xml:space="preserve"> delta_reit_risk is: 1.0000976123551204
</t>
  </si>
  <si>
    <t xml:space="preserve"> 1.0000976123551204
</t>
  </si>
  <si>
    <t xml:space="preserve">collateral_ratio_tranche_gold is: 0.8000182990263859
</t>
  </si>
  <si>
    <t xml:space="preserve"> 0.8000182990263859
</t>
  </si>
  <si>
    <t xml:space="preserve">collateral_ratio_tranche_tb is: 0.4000267105015718
</t>
  </si>
  <si>
    <t xml:space="preserve"> 0.4000267105015718
</t>
  </si>
  <si>
    <t xml:space="preserve">collateral_ratio_tranche_reit is: 0.29965150686443903
</t>
  </si>
  <si>
    <t xml:space="preserve"> 0.29965150686443903
</t>
  </si>
  <si>
    <t>Total plot size is: 149974362.02773228</t>
  </si>
  <si>
    <t xml:space="preserve"> plot size of gold is: 80003676.6174219</t>
  </si>
  <si>
    <t xml:space="preserve"> plot size of TB is: 40001578.686261535</t>
  </si>
  <si>
    <t xml:space="preserve"> plot size of REIT is: 29969106.724048857
</t>
  </si>
  <si>
    <t xml:space="preserve"> 29969106.724048857
</t>
  </si>
  <si>
    <t xml:space="preserve">collateral ratio is: 1.4997436202773229
</t>
  </si>
  <si>
    <t xml:space="preserve"> 1.4997436202773229
</t>
  </si>
  <si>
    <t>S_gtbcps_0 is: 1.0000710400205197</t>
  </si>
  <si>
    <t xml:space="preserve">stdev_gtbcps is: 0.010430390682129434
</t>
  </si>
  <si>
    <t xml:space="preserve"> 0.010430390682129434
</t>
  </si>
  <si>
    <t>predicted price of GTBCPS is: 1.000072066209194</t>
  </si>
  <si>
    <t xml:space="preserve"> actual price is: 1.0000710400205197
</t>
  </si>
  <si>
    <t xml:space="preserve"> 1.0000710400205197
</t>
  </si>
  <si>
    <t>predicted amount of GTBCPS is: 99992793.89839703</t>
  </si>
  <si>
    <t xml:space="preserve"> actual amount is: 99992896.50258063
</t>
  </si>
  <si>
    <t>plot sizes of gold is: 80003676.6174219</t>
  </si>
  <si>
    <t xml:space="preserve"> plot sizes of tb is: 40001578.686261535 </t>
  </si>
  <si>
    <t xml:space="preserve"> plot sizes of reit is: 29969106.724048857</t>
  </si>
  <si>
    <t xml:space="preserve"> plot sizes of total is: 149974362.02773228.
</t>
  </si>
  <si>
    <t xml:space="preserve"> 149974362.02773228.
</t>
  </si>
  <si>
    <t>predicted stdevs of gold is: 0.010148562852201578</t>
  </si>
  <si>
    <t xml:space="preserve"> predicted stdevs of tb is: 0.0028030240831607304</t>
  </si>
  <si>
    <t xml:space="preserve"> predicted stdevs of reit is: 0.021363448205729895</t>
  </si>
  <si>
    <t xml:space="preserve"> predicted stdevs of GTBCPS is: 0.010430390682129434.
</t>
  </si>
  <si>
    <t xml:space="preserve"> 0.010430390682129434.
</t>
  </si>
  <si>
    <t>total_value_of_collaterals is: 149974397.54036152</t>
  </si>
  <si>
    <t xml:space="preserve"> createdtionValue_gold is: -82.0930619127286</t>
  </si>
  <si>
    <t xml:space="preserve"> createdValue_tb is: -41.04625634607349</t>
  </si>
  <si>
    <t xml:space="preserve"> createdValue_reit is: -30.75177749425165
</t>
  </si>
  <si>
    <t xml:space="preserve"> -30.75177749425165
</t>
  </si>
  <si>
    <t>plotValue_gold_after_creation is: 80003784.98670876</t>
  </si>
  <si>
    <t xml:space="preserve"> plotValue_tb_after_creation  is: 40001624.87192391</t>
  </si>
  <si>
    <t xml:space="preserve"> plotValue_reit_after_creation  is: 29969141.5728246</t>
  </si>
  <si>
    <t xml:space="preserve">total_value_after_creation is: 149974551.43145728
</t>
  </si>
  <si>
    <t xml:space="preserve"> 149974551.43145728
</t>
  </si>
  <si>
    <t>total_amount_gtncps_before_creation is: 99992896.50258063</t>
  </si>
  <si>
    <t>creation_amount_gtbcps is: -102.60418359935284</t>
  </si>
  <si>
    <t xml:space="preserve">total_amount_gtbcps_new is: 99992793.89839703
</t>
  </si>
  <si>
    <t xml:space="preserve"> 99992793.89839703
</t>
  </si>
  <si>
    <t>payout of tranche of gold is: 26.2762249549991</t>
  </si>
  <si>
    <t xml:space="preserve"> payout of tranche of Treausry Bill Option is: 5.139406024774518</t>
  </si>
  <si>
    <t xml:space="preserve"> payout of tranche of Collar of REIT is: 4.09699825327582
</t>
  </si>
  <si>
    <t xml:space="preserve"> 4.09699825327582
</t>
  </si>
  <si>
    <t>Collateral size of tranche of gold is: 80003784.98670876</t>
  </si>
  <si>
    <t xml:space="preserve"> collateral size of tranche of Treausry Bill Option is: 40001624.87192391</t>
  </si>
  <si>
    <t xml:space="preserve"> collateral size of tranche of Collar of REIT is: 29969141.5728246
</t>
  </si>
  <si>
    <t xml:space="preserve"> 29969141.5728246
</t>
  </si>
  <si>
    <t>Collateral ratio of tranche of gold is: 0.8000370289364686</t>
  </si>
  <si>
    <t xml:space="preserve"> collateral ratio of tranche of Treausry Bill Option is: 0.4000158382566756</t>
  </si>
  <si>
    <t xml:space="preserve"> collateral ratio of tranche of Collar of REIT is: 0.29969110821047107
</t>
  </si>
  <si>
    <t xml:space="preserve"> 0.29969110821047107
</t>
  </si>
  <si>
    <t xml:space="preserve"> current price of reit option is: 4.049094983914991</t>
  </si>
  <si>
    <t xml:space="preserve"> predicted price of reit is: 63.676289009978035
</t>
  </si>
  <si>
    <t xml:space="preserve"> 63.676289009978035
</t>
  </si>
  <si>
    <t>value_ratio_gold_to_total is: -1.12448301706381</t>
  </si>
  <si>
    <t xml:space="preserve"> risk_ratio_to_gold is: 0.5472223518812923</t>
  </si>
  <si>
    <t xml:space="preserve"> risk_ratio_to_gold_before is: 0.5460835871066602
</t>
  </si>
  <si>
    <t xml:space="preserve"> 0.5460835871066602
</t>
  </si>
  <si>
    <t>value_ratio_tb_to_total is: 1.0263221499964075</t>
  </si>
  <si>
    <t xml:space="preserve"> risk_ratio_tb_to_gold is: 0.3647724304048858</t>
  </si>
  <si>
    <t xml:space="preserve"> risk_ratio_tb_to_gold_before is: 0.36606368496018094
</t>
  </si>
  <si>
    <t xml:space="preserve"> 0.36606368496018094
</t>
  </si>
  <si>
    <t>value_ratio_reit_to_total is: 1.0981608670674026</t>
  </si>
  <si>
    <t xml:space="preserve"> risk_ratio_reit_to_gold is: 0.46263830412031454</t>
  </si>
  <si>
    <t xml:space="preserve"> risk_ratio_reit_to_gold_before is: 0.46515780495557735
</t>
  </si>
  <si>
    <t xml:space="preserve"> 0.46515780495557735
</t>
  </si>
  <si>
    <t xml:space="preserve"> delta_reit is: 0.9997746791384396
</t>
  </si>
  <si>
    <t xml:space="preserve"> 0.9997746791384396
</t>
  </si>
  <si>
    <t>delta_gold_risk is: 1.000736548000463</t>
  </si>
  <si>
    <t xml:space="preserve"> delta_tb_risk is: 0.999054762549132</t>
  </si>
  <si>
    <t xml:space="preserve"> delta_reit_risk is: 0.9982803894387751
</t>
  </si>
  <si>
    <t xml:space="preserve"> 0.9982803894387751
</t>
  </si>
  <si>
    <t xml:space="preserve">collateral_ratio_tranche_gold is: 0.7994481969655198
</t>
  </si>
  <si>
    <t xml:space="preserve"> 0.7994481969655198
</t>
  </si>
  <si>
    <t xml:space="preserve">collateral_ratio_tranche_tb is: 0.4003943059497736
</t>
  </si>
  <si>
    <t xml:space="preserve"> 0.4003943059497736
</t>
  </si>
  <si>
    <t xml:space="preserve">collateral_ratio_tranche_reit is: 0.30013970495825626
</t>
  </si>
  <si>
    <t xml:space="preserve"> 0.30013970495825626
</t>
  </si>
  <si>
    <t>Total plot size is: 149967798.75865787</t>
  </si>
  <si>
    <t xml:space="preserve"> plot size of gold is: 80003784.98670876</t>
  </si>
  <si>
    <t xml:space="preserve"> plot size of TB is: 40001624.87192391</t>
  </si>
  <si>
    <t xml:space="preserve"> plot size of REIT is: 29962388.90002519
</t>
  </si>
  <si>
    <t xml:space="preserve"> 29962388.90002519
</t>
  </si>
  <si>
    <t xml:space="preserve">collateral ratio is: 1.4996779875865787
</t>
  </si>
  <si>
    <t xml:space="preserve"> 1.4996779875865787
</t>
  </si>
  <si>
    <t>S_gtbcps_0 is: 1.000072066209194</t>
  </si>
  <si>
    <t xml:space="preserve">stdev_gtbcps is: 0.010469499207766585
</t>
  </si>
  <si>
    <t xml:space="preserve"> 0.010469499207766585
</t>
  </si>
  <si>
    <t>predicted price of GTBCPS is: 1.000097882726057</t>
  </si>
  <si>
    <t xml:space="preserve"> actual price is: 1.000072066209194
</t>
  </si>
  <si>
    <t xml:space="preserve"> 1.000072066209194
</t>
  </si>
  <si>
    <t>predicted amount of GTBCPS is: 99990212.68540335</t>
  </si>
  <si>
    <t xml:space="preserve"> actual amount is: 99992793.89839703
</t>
  </si>
  <si>
    <t>plot sizes of gold is: 80003784.98670876</t>
  </si>
  <si>
    <t xml:space="preserve"> plot sizes of tb is: 40001624.87192391 </t>
  </si>
  <si>
    <t xml:space="preserve"> plot sizes of reit is: 29962388.90002519</t>
  </si>
  <si>
    <t xml:space="preserve"> plot sizes of total is: 149967798.75865787.
</t>
  </si>
  <si>
    <t xml:space="preserve"> 149967798.75865787.
</t>
  </si>
  <si>
    <t>predicted stdevs of gold is: 0.010176907024542065</t>
  </si>
  <si>
    <t xml:space="preserve"> predicted stdevs of tb is: 0.0028088691454655544</t>
  </si>
  <si>
    <t xml:space="preserve"> predicted stdevs of reit is: 0.021478171889067976</t>
  </si>
  <si>
    <t xml:space="preserve"> predicted stdevs of GTBCPS is: 0.010469499207766585.
</t>
  </si>
  <si>
    <t xml:space="preserve"> 0.010469499207766585.
</t>
  </si>
  <si>
    <t>total_value_of_collaterals is: 149968692.36659718</t>
  </si>
  <si>
    <t xml:space="preserve"> createdtionValue_gold is: -2065.287292188132</t>
  </si>
  <si>
    <t xml:space="preserve"> createdValue_tb is: -1032.6315454325118</t>
  </si>
  <si>
    <t xml:space="preserve"> createdValue_reit is: -773.4714413459608
</t>
  </si>
  <si>
    <t xml:space="preserve"> -773.4714413459608
</t>
  </si>
  <si>
    <t>plotValue_gold_after_creation is: 80006511.30080047</t>
  </si>
  <si>
    <t xml:space="preserve"> plotValue_tb_after_creation  is: 40002786.8866989</t>
  </si>
  <si>
    <t xml:space="preserve"> plotValue_reit_after_creation  is: 29963265.56937677</t>
  </si>
  <si>
    <t xml:space="preserve">total_value_after_creation is: 149972563.75687614
</t>
  </si>
  <si>
    <t xml:space="preserve"> 149972563.75687614
</t>
  </si>
  <si>
    <t>total_amount_gtncps_before_creation is: 99992793.89839703</t>
  </si>
  <si>
    <t>creation_amount_gtbcps is: -2581.212993681431</t>
  </si>
  <si>
    <t xml:space="preserve">total_amount_gtbcps_new is: 99990212.68540335
</t>
  </si>
  <si>
    <t xml:space="preserve"> 99990212.68540335
</t>
  </si>
  <si>
    <t>payout of tranche of gold is: 661.0267995347941</t>
  </si>
  <si>
    <t xml:space="preserve"> payout of tranche of Treausry Bill Option is: 129.3832295630993</t>
  </si>
  <si>
    <t xml:space="preserve"> payout of tranche of Collar of REIT is: 103.19791023304063
</t>
  </si>
  <si>
    <t xml:space="preserve"> 103.19791023304063
</t>
  </si>
  <si>
    <t>Collateral size of tranche of gold is: 80006511.30080047</t>
  </si>
  <si>
    <t xml:space="preserve"> collateral size of tranche of Treausry Bill Option is: 40002786.8866989</t>
  </si>
  <si>
    <t xml:space="preserve"> collateral size of tranche of Collar of REIT is: 29963265.56937677
</t>
  </si>
  <si>
    <t xml:space="preserve"> 29963265.56937677
</t>
  </si>
  <si>
    <t>Collateral ratio of tranche of gold is: 0.8000444601350829</t>
  </si>
  <si>
    <t xml:space="preserve"> collateral ratio of tranche of Treausry Bill Option is: 0.4000175425515347</t>
  </si>
  <si>
    <t xml:space="preserve"> collateral ratio of tranche of Collar of REIT is: 0.2996249209793542
</t>
  </si>
  <si>
    <t xml:space="preserve"> 0.2996249209793542
</t>
  </si>
  <si>
    <t xml:space="preserve"> current price of reit option is: 4.033667325538836</t>
  </si>
  <si>
    <t xml:space="preserve"> predicted price of reit is: 63.500881500985976
</t>
  </si>
  <si>
    <t xml:space="preserve"> 63.500881500985976
</t>
  </si>
  <si>
    <t>value_ratio_gold_to_total is: -1.175536897827878</t>
  </si>
  <si>
    <t xml:space="preserve"> risk_ratio_to_gold is: 0.5466394093345326</t>
  </si>
  <si>
    <t xml:space="preserve"> risk_ratio_to_gold_before is: 0.5472223518812923
</t>
  </si>
  <si>
    <t xml:space="preserve"> 0.5472223518812923
</t>
  </si>
  <si>
    <t>value_ratio_tb_to_total is: 1.0729193220979982</t>
  </si>
  <si>
    <t xml:space="preserve"> risk_ratio_tb_to_gold is: 0.3654368103618897</t>
  </si>
  <si>
    <t xml:space="preserve"> risk_ratio_tb_to_gold_before is: 0.3647724304048858
</t>
  </si>
  <si>
    <t xml:space="preserve"> 0.3647724304048858
</t>
  </si>
  <si>
    <t>value_ratio_reit_to_total is: 1.1026175757298797</t>
  </si>
  <si>
    <t xml:space="preserve"> risk_ratio_reit_to_gold is: 0.46392269596675045</t>
  </si>
  <si>
    <t xml:space="preserve"> risk_ratio_reit_to_gold_before is: 0.46263830412031454
</t>
  </si>
  <si>
    <t xml:space="preserve"> 0.46263830412031454
</t>
  </si>
  <si>
    <t xml:space="preserve"> delta_reit is: 0.9997695613603163
</t>
  </si>
  <si>
    <t xml:space="preserve"> 0.9997695613603163
</t>
  </si>
  <si>
    <t>delta_gold_risk is: 0.99962323285593</t>
  </si>
  <si>
    <t xml:space="preserve"> delta_tb_risk is: 1.0004868064024468</t>
  </si>
  <si>
    <t xml:space="preserve"> delta_reit_risk is: 1.0008781336047454
</t>
  </si>
  <si>
    <t xml:space="preserve"> 1.0008781336047454
</t>
  </si>
  <si>
    <t xml:space="preserve">collateral_ratio_tranche_gold is: 0.8003460042133582
</t>
  </si>
  <si>
    <t xml:space="preserve"> 0.8003460042133582
</t>
  </si>
  <si>
    <t xml:space="preserve">collateral_ratio_tranche_tb is: 0.39982290620095123
</t>
  </si>
  <si>
    <t xml:space="preserve"> 0.39982290620095123
</t>
  </si>
  <si>
    <t xml:space="preserve">collateral_ratio_tranche_reit is: 0.2992930565295428
</t>
  </si>
  <si>
    <t xml:space="preserve"> 0.2992930565295428
</t>
  </si>
  <si>
    <t>Total plot size is: 149965659.06271785</t>
  </si>
  <si>
    <t xml:space="preserve"> plot size of gold is: 80006511.30080047</t>
  </si>
  <si>
    <t xml:space="preserve"> plot size of TB is: 40002786.8866989</t>
  </si>
  <si>
    <t xml:space="preserve"> plot size of REIT is: 29956360.87521848
</t>
  </si>
  <si>
    <t xml:space="preserve"> 29956360.87521848
</t>
  </si>
  <si>
    <t xml:space="preserve">collateral ratio is: 1.4996565906271786
</t>
  </si>
  <si>
    <t xml:space="preserve"> 1.4996565906271786
</t>
  </si>
  <si>
    <t>S_gtbcps_0 is: 1.000097882726057</t>
  </si>
  <si>
    <t xml:space="preserve">stdev_gtbcps is: 0.010522659746791032
</t>
  </si>
  <si>
    <t xml:space="preserve"> 0.010522659746791032
</t>
  </si>
  <si>
    <t>predicted price of GTBCPS is: 1.0000695057965827</t>
  </si>
  <si>
    <t xml:space="preserve"> actual price is: 1.000097882726057
</t>
  </si>
  <si>
    <t xml:space="preserve"> 1.000097882726057
</t>
  </si>
  <si>
    <t>predicted amount of GTBCPS is: 99993049.90341373</t>
  </si>
  <si>
    <t xml:space="preserve"> actual amount is: 99990212.68540335
</t>
  </si>
  <si>
    <t>plot sizes of gold is: 80006511.30080047</t>
  </si>
  <si>
    <t xml:space="preserve"> plot sizes of tb is: 40002786.8866989 </t>
  </si>
  <si>
    <t xml:space="preserve"> plot sizes of reit is: 29956360.87521848</t>
  </si>
  <si>
    <t xml:space="preserve"> plot sizes of total is: 149965659.06271785.
</t>
  </si>
  <si>
    <t xml:space="preserve"> 149965659.06271785.
</t>
  </si>
  <si>
    <t>predicted stdevs of gold is: 0.010226500273564419</t>
  </si>
  <si>
    <t xml:space="preserve"> predicted stdevs of tb is: 0.002823046691673139</t>
  </si>
  <si>
    <t xml:space="preserve"> predicted stdevs of reit is: 0.021595455530536267</t>
  </si>
  <si>
    <t xml:space="preserve"> predicted stdevs of GTBCPS is: 0.010522659746791032.
</t>
  </si>
  <si>
    <t xml:space="preserve"> 0.010522659746791032.
</t>
  </si>
  <si>
    <t>total_value_of_collaterals is: 149964677.12179962</t>
  </si>
  <si>
    <t xml:space="preserve"> createdtionValue_gold is: 2270.0954470154934</t>
  </si>
  <si>
    <t xml:space="preserve"> createdValue_tb is: 1135.040961984292</t>
  </si>
  <si>
    <t xml:space="preserve"> createdValue_reit is: 849.9841544984499
</t>
  </si>
  <si>
    <t xml:space="preserve"> 849.9841544984499
</t>
  </si>
  <si>
    <t>plotValue_gold_after_creation is: 80003484.30495636</t>
  </si>
  <si>
    <t xml:space="preserve"> plotValue_tb_after_creation  is: 40001503.86054367</t>
  </si>
  <si>
    <t xml:space="preserve"> plotValue_reit_after_creation  is: 29955433.83573608</t>
  </si>
  <si>
    <t xml:space="preserve">total_value_after_creation is: 149960422.0012361
</t>
  </si>
  <si>
    <t xml:space="preserve"> 149960422.0012361
</t>
  </si>
  <si>
    <t>total_amount_gtncps_before_creation is: 99990212.68540335</t>
  </si>
  <si>
    <t>creation_amount_gtbcps is: 2837.218010380864</t>
  </si>
  <si>
    <t xml:space="preserve">total_amount_gtbcps_new is: 99993049.90341373
</t>
  </si>
  <si>
    <t xml:space="preserve"> 99993049.90341373
</t>
  </si>
  <si>
    <t>payout of tranche of gold is: -756.9003970933153</t>
  </si>
  <si>
    <t xml:space="preserve"> payout of tranche of Treausry Bill Option is: -147.98519325377072</t>
  </si>
  <si>
    <t xml:space="preserve"> payout of tranche of Collar of REIT is: -77.05532790011134
</t>
  </si>
  <si>
    <t xml:space="preserve"> -77.05532790011134
</t>
  </si>
  <si>
    <t>Collateral size of tranche of gold is: 80003484.30495636</t>
  </si>
  <si>
    <t xml:space="preserve"> collateral size of tranche of Treausry Bill Option is: 40001503.86054367</t>
  </si>
  <si>
    <t xml:space="preserve"> collateral size of tranche of Collar of REIT is: 29955433.83573608
</t>
  </si>
  <si>
    <t xml:space="preserve"> 29955433.83573608
</t>
  </si>
  <si>
    <t>Collateral ratio of tranche of gold is: 0.8000575440040338</t>
  </si>
  <si>
    <t xml:space="preserve"> collateral ratio of tranche of Treausry Bill Option is: 0.4000263890150565</t>
  </si>
  <si>
    <t xml:space="preserve"> collateral ratio of tranche of Collar of REIT is: 0.29956283819890583
</t>
  </si>
  <si>
    <t xml:space="preserve"> 0.29956283819890583
</t>
  </si>
  <si>
    <t xml:space="preserve"> current price of reit option is: 4.020381213267761</t>
  </si>
  <si>
    <t xml:space="preserve"> predicted price of reit is: 63.58447984407307
</t>
  </si>
  <si>
    <t xml:space="preserve"> 63.58447984407307
</t>
  </si>
  <si>
    <t>value_ratio_gold_to_total is: -1.1561958616795385</t>
  </si>
  <si>
    <t xml:space="preserve"> risk_ratio_to_gold is: 0.5506310007738322</t>
  </si>
  <si>
    <t xml:space="preserve"> risk_ratio_to_gold_before is: 0.5466394093345326
</t>
  </si>
  <si>
    <t xml:space="preserve"> 0.5466394093345326
</t>
  </si>
  <si>
    <t>value_ratio_tb_to_total is: 1.0552666466002805</t>
  </si>
  <si>
    <t xml:space="preserve"> risk_ratio_tb_to_gold is: 0.3596921556237818</t>
  </si>
  <si>
    <t xml:space="preserve"> risk_ratio_tb_to_gold_before is: 0.3654368103618897
</t>
  </si>
  <si>
    <t xml:space="preserve"> 0.3654368103618897
</t>
  </si>
  <si>
    <t>value_ratio_reit_to_total is: 1.100929215079258</t>
  </si>
  <si>
    <t xml:space="preserve"> risk_ratio_reit_to_gold is: 0.45640610000411563</t>
  </si>
  <si>
    <t xml:space="preserve"> risk_ratio_reit_to_gold_before is: 0.46392269596675045
</t>
  </si>
  <si>
    <t xml:space="preserve"> 0.46392269596675045
</t>
  </si>
  <si>
    <t xml:space="preserve"> delta_reit is: 0.9998015032971904
</t>
  </si>
  <si>
    <t xml:space="preserve"> 0.9998015032971904
</t>
  </si>
  <si>
    <t>delta_gold_risk is: 1.0025808158095604</t>
  </si>
  <si>
    <t xml:space="preserve"> delta_tb_risk is: 0.9957928080636809</t>
  </si>
  <si>
    <t xml:space="preserve"> delta_reit_risk is: 0.9948654420186641
</t>
  </si>
  <si>
    <t xml:space="preserve"> 0.9948654420186641
</t>
  </si>
  <si>
    <t xml:space="preserve">collateral_ratio_tranche_gold is: 0.797998057999949
</t>
  </si>
  <si>
    <t xml:space="preserve"> 0.797998057999949
</t>
  </si>
  <si>
    <t xml:space="preserve">collateral_ratio_tranche_tb is: 0.40171648738145416
</t>
  </si>
  <si>
    <t xml:space="preserve"> 0.40171648738145416
</t>
  </si>
  <si>
    <t xml:space="preserve">collateral_ratio_tranche_reit is: 0.30104913017736545
</t>
  </si>
  <si>
    <t xml:space="preserve"> 0.30104913017736545
</t>
  </si>
  <si>
    <t>Total plot size is: 149954475.94638848</t>
  </si>
  <si>
    <t xml:space="preserve"> plot size of gold is: 80003484.30495636</t>
  </si>
  <si>
    <t xml:space="preserve"> plot size of TB is: 40001503.86054367</t>
  </si>
  <si>
    <t xml:space="preserve"> plot size of REIT is: 29949487.780888457
</t>
  </si>
  <si>
    <t xml:space="preserve"> 29949487.780888457
</t>
  </si>
  <si>
    <t xml:space="preserve">collateral ratio is: 1.4995447594638849
</t>
  </si>
  <si>
    <t xml:space="preserve"> 1.4995447594638849
</t>
  </si>
  <si>
    <t>S_gtbcps_0 is: 1.0000695057965827</t>
  </si>
  <si>
    <t xml:space="preserve">stdev_gtbcps is: 0.010535170749024582
</t>
  </si>
  <si>
    <t xml:space="preserve"> 0.010535170749024582
</t>
  </si>
  <si>
    <t>predicted price of GTBCPS is: 1.0000661013628669</t>
  </si>
  <si>
    <t xml:space="preserve"> actual price is: 1.0000695057965827
</t>
  </si>
  <si>
    <t xml:space="preserve"> 1.0000695057965827
</t>
  </si>
  <si>
    <t>predicted amount of GTBCPS is: 99993390.30062345</t>
  </si>
  <si>
    <t xml:space="preserve"> actual amount is: 99993049.90341373
</t>
  </si>
  <si>
    <t>plot sizes of gold is: 80003484.30495636</t>
  </si>
  <si>
    <t xml:space="preserve"> plot sizes of tb is: 40001503.86054367 </t>
  </si>
  <si>
    <t xml:space="preserve"> plot sizes of reit is: 29949487.780888457</t>
  </si>
  <si>
    <t xml:space="preserve"> plot sizes of total is: 149954475.94638848.
</t>
  </si>
  <si>
    <t xml:space="preserve"> 149954475.94638848.
</t>
  </si>
  <si>
    <t>predicted stdevs of gold is: 0.010229692984877522</t>
  </si>
  <si>
    <t xml:space="preserve"> predicted stdevs of tb is: 0.0027895843458881496</t>
  </si>
  <si>
    <t xml:space="preserve"> predicted stdevs of reit is: 0.021696443100733986</t>
  </si>
  <si>
    <t xml:space="preserve"> predicted stdevs of GTBCPS is: 0.010535170749024582.
</t>
  </si>
  <si>
    <t xml:space="preserve"> 0.010535170749024582.
</t>
  </si>
  <si>
    <t>total_value_of_collaterals is: 149954358.0263834</t>
  </si>
  <si>
    <t xml:space="preserve"> createdtionValue_gold is: 272.34732047494106</t>
  </si>
  <si>
    <t xml:space="preserve"> createdValue_tb is: 136.17294293915768</t>
  </si>
  <si>
    <t xml:space="preserve"> createdValue_reit is: 101.95392796893022
</t>
  </si>
  <si>
    <t xml:space="preserve"> 101.95392796893022
</t>
  </si>
  <si>
    <t>plotValue_gold_after_creation is: 80003121.14722325</t>
  </si>
  <si>
    <t xml:space="preserve"> plotValue_tb_after_creation  is: 40001349.86434627</t>
  </si>
  <si>
    <t xml:space="preserve"> plotValue_reit_after_creation  is: 29949376.540622503</t>
  </si>
  <si>
    <t xml:space="preserve">total_value_after_creation is: 149953847.55219203
</t>
  </si>
  <si>
    <t xml:space="preserve"> 149953847.55219203
</t>
  </si>
  <si>
    <t>total_amount_gtncps_before_creation is: 99993049.90341373</t>
  </si>
  <si>
    <t>creation_amount_gtbcps is: 340.39720971882343</t>
  </si>
  <si>
    <t xml:space="preserve">total_amount_gtbcps_new is: 99993390.30062345
</t>
  </si>
  <si>
    <t xml:space="preserve"> 99993390.30062345
</t>
  </si>
  <si>
    <t>payout of tranche of gold is: -90.81041263413734</t>
  </si>
  <si>
    <t xml:space="preserve"> payout of tranche of Treausry Bill Option is: -17.823254457418653</t>
  </si>
  <si>
    <t xml:space="preserve"> payout of tranche of Collar of REIT is: -9.286337988002195
</t>
  </si>
  <si>
    <t xml:space="preserve"> -9.286337988002195
</t>
  </si>
  <si>
    <t>Collateral size of tranche of gold is: 80003121.14722325</t>
  </si>
  <si>
    <t xml:space="preserve"> collateral size of tranche of Treausry Bill Option is: 40001349.86434627</t>
  </si>
  <si>
    <t xml:space="preserve"> collateral size of tranche of Collar of REIT is: 29949376.540622503
</t>
  </si>
  <si>
    <t xml:space="preserve"> 29949376.540622503
</t>
  </si>
  <si>
    <t>Collateral ratio of tranche of gold is: 0.8000339349454373</t>
  </si>
  <si>
    <t xml:space="preserve"> collateral ratio of tranche of Treausry Bill Option is: 0.4000148603728921</t>
  </si>
  <si>
    <t xml:space="preserve"> collateral ratio of tranche of Collar of REIT is: 0.2994947849455047
</t>
  </si>
  <si>
    <t xml:space="preserve"> 0.2994947849455047
</t>
  </si>
  <si>
    <t xml:space="preserve"> current price of reit option is: 4.023071348388591</t>
  </si>
  <si>
    <t xml:space="preserve"> predicted price of reit is: 63.4723925582709
</t>
  </si>
  <si>
    <t xml:space="preserve"> 63.4723925582709
</t>
  </si>
  <si>
    <t>value_ratio_gold_to_total is: -1.1865705743864756</t>
  </si>
  <si>
    <t xml:space="preserve"> risk_ratio_to_gold is: 0.5504648527236068</t>
  </si>
  <si>
    <t xml:space="preserve"> risk_ratio_to_gold_before is: 0.5506310007738322
</t>
  </si>
  <si>
    <t xml:space="preserve"> 0.5506310007738322
</t>
  </si>
  <si>
    <t>value_ratio_tb_to_total is: 1.082989822475633</t>
  </si>
  <si>
    <t xml:space="preserve"> risk_ratio_tb_to_gold is: 0.35985763635603124</t>
  </si>
  <si>
    <t xml:space="preserve"> risk_ratio_tb_to_gold_before is: 0.3596921556237818
</t>
  </si>
  <si>
    <t xml:space="preserve"> 0.3596921556237818
</t>
  </si>
  <si>
    <t>value_ratio_reit_to_total is: 1.1035807519108427</t>
  </si>
  <si>
    <t xml:space="preserve"> risk_ratio_reit_to_gold is: 0.45678877631167947</t>
  </si>
  <si>
    <t xml:space="preserve"> risk_ratio_reit_to_gold_before is: 0.45640610000411563
</t>
  </si>
  <si>
    <t xml:space="preserve"> 0.45640610000411563
</t>
  </si>
  <si>
    <t xml:space="preserve"> delta_reit is: 1.000040199040592
</t>
  </si>
  <si>
    <t xml:space="preserve"> 1.000040199040592
</t>
  </si>
  <si>
    <t>delta_gold_risk is: 0.9998928513294636</t>
  </si>
  <si>
    <t xml:space="preserve"> delta_tb_risk is: 1.0001217045575832</t>
  </si>
  <si>
    <t xml:space="preserve"> delta_reit_risk is: 1.0002627538483688
</t>
  </si>
  <si>
    <t xml:space="preserve"> 1.0002627538483688
</t>
  </si>
  <si>
    <t xml:space="preserve">collateral_ratio_tranche_gold is: 0.8001196667039947
</t>
  </si>
  <si>
    <t xml:space="preserve"> 0.8001196667039947
</t>
  </si>
  <si>
    <t xml:space="preserve">collateral_ratio_tranche_tb is: 0.39996618266558254
</t>
  </si>
  <si>
    <t xml:space="preserve"> 0.39996618266558254
</t>
  </si>
  <si>
    <t xml:space="preserve">collateral_ratio_tranche_reit is: 0.2994281484502066
</t>
  </si>
  <si>
    <t xml:space="preserve"> 0.2994281484502066
</t>
  </si>
  <si>
    <t>Total plot size is: 149955051.48839527</t>
  </si>
  <si>
    <t xml:space="preserve"> plot size of gold is: 80003121.14722325</t>
  </si>
  <si>
    <t xml:space="preserve"> plot size of TB is: 40001349.86434627</t>
  </si>
  <si>
    <t xml:space="preserve"> plot size of REIT is: 29950580.476825766
</t>
  </si>
  <si>
    <t xml:space="preserve"> 29950580.476825766
</t>
  </si>
  <si>
    <t xml:space="preserve">collateral ratio is: 1.4995505148839527
</t>
  </si>
  <si>
    <t xml:space="preserve"> 1.4995505148839527
</t>
  </si>
  <si>
    <t>S_gtbcps_0 is: 1.0000661013628669</t>
  </si>
  <si>
    <t xml:space="preserve">stdev_gtbcps is: 0.010560427152322884
</t>
  </si>
  <si>
    <t xml:space="preserve"> 0.010560427152322884
</t>
  </si>
  <si>
    <t>predicted price of GTBCPS is: 1.0000356356949633</t>
  </si>
  <si>
    <t xml:space="preserve"> actual price is: 1.0000661013628669
</t>
  </si>
  <si>
    <t xml:space="preserve"> 1.0000661013628669
</t>
  </si>
  <si>
    <t>predicted amount of GTBCPS is: 99996436.55748942</t>
  </si>
  <si>
    <t xml:space="preserve"> actual amount is: 99993390.30062345
</t>
  </si>
  <si>
    <t>plot sizes of gold is: 80003121.14722325</t>
  </si>
  <si>
    <t xml:space="preserve"> plot sizes of tb is: 40001349.86434627 </t>
  </si>
  <si>
    <t xml:space="preserve"> plot sizes of reit is: 29950580.476825766</t>
  </si>
  <si>
    <t xml:space="preserve"> plot sizes of total is: 149955051.4883953.
</t>
  </si>
  <si>
    <t xml:space="preserve"> 149955051.4883953.
</t>
  </si>
  <si>
    <t>predicted stdevs of gold is: 0.010277298533374226</t>
  </si>
  <si>
    <t xml:space="preserve"> predicted stdevs of tb is: 0.002804024310558289</t>
  </si>
  <si>
    <t xml:space="preserve"> predicted stdevs of reit is: 0.021675996589176565</t>
  </si>
  <si>
    <t xml:space="preserve"> predicted stdevs of GTBCPS is: 0.010560427152322884.
</t>
  </si>
  <si>
    <t xml:space="preserve"> 0.010560427152322884.
</t>
  </si>
  <si>
    <t>total_value_of_collaterals is: 149953997.1345337</t>
  </si>
  <si>
    <t xml:space="preserve"> createdtionValue_gold is: 2437.163649367902</t>
  </si>
  <si>
    <t xml:space="preserve"> createdValue_tb is: 1218.5826416397701</t>
  </si>
  <si>
    <t xml:space="preserve"> createdValue_reit is: 912.4004257939264
</t>
  </si>
  <si>
    <t xml:space="preserve"> 912.4004257939264
</t>
  </si>
  <si>
    <t>plotValue_gold_after_creation is: 79999903.73086193</t>
  </si>
  <si>
    <t xml:space="preserve"> plotValue_tb_after_creation  is: 39999978.68200806</t>
  </si>
  <si>
    <t xml:space="preserve"> plotValue_reit_after_creation  is: 29949546.574946903</t>
  </si>
  <si>
    <t xml:space="preserve">total_value_after_creation is: 149949428.9878169
</t>
  </si>
  <si>
    <t xml:space="preserve"> 149949428.9878169
</t>
  </si>
  <si>
    <t>total_amount_gtncps_before_creation is: 99993390.30062345</t>
  </si>
  <si>
    <t>creation_amount_gtbcps is: 3046.256865978241</t>
  </si>
  <si>
    <t xml:space="preserve">total_amount_gtbcps_new is: 99996436.55748942
</t>
  </si>
  <si>
    <t xml:space="preserve"> 99996436.55748942
</t>
  </si>
  <si>
    <t>payout of tranche of gold is: -780.2527119578934</t>
  </si>
  <si>
    <t xml:space="preserve"> payout of tranche of Treausry Bill Option is: -152.59969657684763</t>
  </si>
  <si>
    <t xml:space="preserve"> payout of tranche of Collar of REIT is: -121.50145306720279
</t>
  </si>
  <si>
    <t xml:space="preserve"> -121.50145306720279
</t>
  </si>
  <si>
    <t>Collateral size of tranche of gold is: 79999903.73086193</t>
  </si>
  <si>
    <t xml:space="preserve"> collateral size of tranche of Treausry Bill Option is: 39999978.68200806</t>
  </si>
  <si>
    <t xml:space="preserve"> collateral size of tranche of Collar of REIT is: 29949546.574946903
</t>
  </si>
  <si>
    <t xml:space="preserve"> 29949546.574946903
</t>
  </si>
  <si>
    <t>Collateral ratio of tranche of gold is: 0.8000234089451128</t>
  </si>
  <si>
    <t xml:space="preserve"> collateral ratio of tranche of Treausry Bill Option is: 0.4000119726464969</t>
  </si>
  <si>
    <t xml:space="preserve"> collateral ratio of tranche of Collar of REIT is: 0.29950458975372696
</t>
  </si>
  <si>
    <t xml:space="preserve"> 0.29950458975372696
</t>
  </si>
  <si>
    <t xml:space="preserve"> current price of reit option is: 4.007920456887312</t>
  </si>
  <si>
    <t xml:space="preserve"> predicted price of reit is: 63.73227769914846
</t>
  </si>
  <si>
    <t xml:space="preserve"> 63.73227769914846
</t>
  </si>
  <si>
    <t>value_ratio_gold_to_total is: -1.1207046655630792</t>
  </si>
  <si>
    <t xml:space="preserve"> risk_ratio_to_gold is: 0.5423159648339881</t>
  </si>
  <si>
    <t xml:space="preserve"> risk_ratio_to_gold_before is: 0.5504648527236068
</t>
  </si>
  <si>
    <t xml:space="preserve"> 0.5504648527236068
</t>
  </si>
  <si>
    <t>value_ratio_tb_to_total is: 1.0228736267400955</t>
  </si>
  <si>
    <t xml:space="preserve"> risk_ratio_tb_to_gold is: 0.37215456309073625</t>
  </si>
  <si>
    <t xml:space="preserve"> risk_ratio_tb_to_gold_before is: 0.35985763635603124
</t>
  </si>
  <si>
    <t xml:space="preserve"> 0.35985763635603124
</t>
  </si>
  <si>
    <t>value_ratio_reit_to_total is: 1.0978310388229835</t>
  </si>
  <si>
    <t xml:space="preserve"> risk_ratio_reit_to_gold is: 0.4717889400405359</t>
  </si>
  <si>
    <t xml:space="preserve"> risk_ratio_reit_to_gold_before is: 0.45678877631167947
</t>
  </si>
  <si>
    <t xml:space="preserve"> 0.45678877631167947
</t>
  </si>
  <si>
    <t xml:space="preserve"> delta_reit is: 0.9997736073495133
</t>
  </si>
  <si>
    <t xml:space="preserve"> 0.9997736073495133
</t>
  </si>
  <si>
    <t>delta_gold_risk is: 0.99474422920629</t>
  </si>
  <si>
    <t xml:space="preserve"> delta_tb_risk is: 1.0090428044862525</t>
  </si>
  <si>
    <t xml:space="preserve"> delta_reit_risk is: 1.0102967320813896
</t>
  </si>
  <si>
    <t xml:space="preserve"> 1.0102967320813896
</t>
  </si>
  <si>
    <t xml:space="preserve">collateral_ratio_tranche_gold is: 0.8042503645217971
</t>
  </si>
  <si>
    <t xml:space="preserve"> 0.8042503645217971
</t>
  </si>
  <si>
    <t xml:space="preserve">collateral_ratio_tranche_tb is: 0.39642715935144135
</t>
  </si>
  <si>
    <t xml:space="preserve"> 0.39642715935144135
</t>
  </si>
  <si>
    <t xml:space="preserve">collateral_ratio_tranche_reit is: 0.2963849873085574
</t>
  </si>
  <si>
    <t xml:space="preserve"> 0.2963849873085574
</t>
  </si>
  <si>
    <t>Total plot size is: 149942648.63058692</t>
  </si>
  <si>
    <t xml:space="preserve"> plot size of gold is: 79999903.73086193</t>
  </si>
  <si>
    <t xml:space="preserve"> plot size of TB is: 39999978.68200806</t>
  </si>
  <si>
    <t xml:space="preserve"> plot size of REIT is: 29942766.217716925
</t>
  </si>
  <si>
    <t xml:space="preserve"> 29942766.217716925
</t>
  </si>
  <si>
    <t xml:space="preserve">collateral ratio is: 1.499426486305869
</t>
  </si>
  <si>
    <t xml:space="preserve"> 1.499426486305869
</t>
  </si>
  <si>
    <t>S_gtbcps_0 is: 1.0000356356949633</t>
  </si>
  <si>
    <t xml:space="preserve">stdev_gtbcps is: 0.010489073708217542
</t>
  </si>
  <si>
    <t xml:space="preserve"> 0.010489073708217542
</t>
  </si>
  <si>
    <t>predicted price of GTBCPS is: 1.0000642338332797</t>
  </si>
  <si>
    <t xml:space="preserve"> actual price is: 1.0000356356949633
</t>
  </si>
  <si>
    <t xml:space="preserve"> 1.0000356356949633
</t>
  </si>
  <si>
    <t>predicted amount of GTBCPS is: 99993577.02924408</t>
  </si>
  <si>
    <t xml:space="preserve"> actual amount is: 99996436.55748942
</t>
  </si>
  <si>
    <t>plot sizes of gold is: 79999903.73086193</t>
  </si>
  <si>
    <t xml:space="preserve"> plot sizes of tb is: 39999978.68200806 </t>
  </si>
  <si>
    <t xml:space="preserve"> plot sizes of reit is: 29942766.217716925</t>
  </si>
  <si>
    <t xml:space="preserve"> plot sizes of total is: 149942648.63058692.
</t>
  </si>
  <si>
    <t xml:space="preserve"> 149942648.63058692.
</t>
  </si>
  <si>
    <t>predicted stdevs of gold is: 0.010097528447264558</t>
  </si>
  <si>
    <t xml:space="preserve"> predicted stdevs of tb is: 0.002811778005077718</t>
  </si>
  <si>
    <t xml:space="preserve"> predicted stdevs of reit is: 0.021791143970628396</t>
  </si>
  <si>
    <t xml:space="preserve"> predicted stdevs of GTBCPS is: 0.010489073708217542.
</t>
  </si>
  <si>
    <t xml:space="preserve"> 0.010489073708217542.
</t>
  </si>
  <si>
    <t>total_value_of_collaterals is: 149943636.64803633</t>
  </si>
  <si>
    <t xml:space="preserve"> createdtionValue_gold is: -2287.7877391073266</t>
  </si>
  <si>
    <t xml:space="preserve"> createdValue_tb is: -1143.888228188303</t>
  </si>
  <si>
    <t xml:space="preserve"> createdValue_reit is: -856.2800889156016
</t>
  </si>
  <si>
    <t xml:space="preserve"> -856.2800889156016
</t>
  </si>
  <si>
    <t>plotValue_gold_after_creation is: 80002924.21768552</t>
  </si>
  <si>
    <t xml:space="preserve"> plotValue_tb_after_creation  is: 40001264.83279406</t>
  </si>
  <si>
    <t xml:space="preserve"> plotValue_reit_after_creation  is: 29943735.55361297</t>
  </si>
  <si>
    <t xml:space="preserve">total_value_after_creation is: 149947924.60409257
</t>
  </si>
  <si>
    <t xml:space="preserve"> 149947924.60409257
</t>
  </si>
  <si>
    <t>total_amount_gtncps_before_creation is: 99996436.55748942</t>
  </si>
  <si>
    <t>creation_amount_gtbcps is: -2859.528245344758</t>
  </si>
  <si>
    <t xml:space="preserve">total_amount_gtbcps_new is: 99993577.02924408
</t>
  </si>
  <si>
    <t xml:space="preserve"> 99993577.02924408
</t>
  </si>
  <si>
    <t>payout of tranche of gold is: 732.699084471678</t>
  </si>
  <si>
    <t xml:space="preserve"> payout of tranche of Treausry Bill Option is: 142.2625578183053</t>
  </si>
  <si>
    <t xml:space="preserve"> payout of tranche of Collar of REIT is: 113.05580712729477
</t>
  </si>
  <si>
    <t xml:space="preserve"> 113.05580712729477
</t>
  </si>
  <si>
    <t>Collateral size of tranche of gold is: 80002924.21768552</t>
  </si>
  <si>
    <t xml:space="preserve"> collateral size of tranche of Treausry Bill Option is: 40001264.83279406</t>
  </si>
  <si>
    <t xml:space="preserve"> collateral size of tranche of Collar of REIT is: 29943735.55361297
</t>
  </si>
  <si>
    <t xml:space="preserve"> 29943735.55361297
</t>
  </si>
  <si>
    <t>Collateral ratio of tranche of gold is: 0.8000063642994639</t>
  </si>
  <si>
    <t xml:space="preserve"> collateral ratio of tranche of Treausry Bill Option is: 0.4000012094456587</t>
  </si>
  <si>
    <t xml:space="preserve"> collateral ratio of tranche of Collar of REIT is: 0.2994287927352405
</t>
  </si>
  <si>
    <t xml:space="preserve"> 0.2994287927352405
</t>
  </si>
  <si>
    <t xml:space="preserve"> current price of reit option is: 3.993971164451203</t>
  </si>
  <si>
    <t xml:space="preserve"> predicted price of reit is: 63.50226322559195
</t>
  </si>
  <si>
    <t xml:space="preserve"> 63.50226322559195
</t>
  </si>
  <si>
    <t>value_ratio_gold_to_total is: -1.1863510659281429</t>
  </si>
  <si>
    <t xml:space="preserve"> risk_ratio_to_gold is: 0.5418271823164881</t>
  </si>
  <si>
    <t xml:space="preserve"> risk_ratio_to_gold_before is: 0.5423159648339881
</t>
  </si>
  <si>
    <t xml:space="preserve"> 0.5423159648339881
</t>
  </si>
  <si>
    <t>value_ratio_tb_to_total is: 1.0827894758367955</t>
  </si>
  <si>
    <t xml:space="preserve"> risk_ratio_tb_to_gold is: 0.3727556201202461</t>
  </si>
  <si>
    <t xml:space="preserve"> risk_ratio_tb_to_gold_before is: 0.37215456309073625
</t>
  </si>
  <si>
    <t xml:space="preserve"> 0.37215456309073625
</t>
  </si>
  <si>
    <t>value_ratio_reit_to_total is: 1.1035615900913474</t>
  </si>
  <si>
    <t xml:space="preserve"> risk_ratio_reit_to_gold is: 0.4728513051814223</t>
  </si>
  <si>
    <t xml:space="preserve"> risk_ratio_reit_to_gold_before is: 0.4717889400405359
</t>
  </si>
  <si>
    <t xml:space="preserve"> 0.4717889400405359
</t>
  </si>
  <si>
    <t xml:space="preserve"> delta_reit is: 0.9997915150801152
</t>
  </si>
  <si>
    <t xml:space="preserve"> 0.9997915150801152
</t>
  </si>
  <si>
    <t>delta_gold_risk is: 0.9996830853543343</t>
  </si>
  <si>
    <t xml:space="preserve"> delta_tb_risk is: 1.0004380388665224</t>
  </si>
  <si>
    <t xml:space="preserve"> delta_reit_risk is: 1.0007218189456275
</t>
  </si>
  <si>
    <t xml:space="preserve"> 1.0007218189456275
</t>
  </si>
  <si>
    <t xml:space="preserve">collateral_ratio_tranche_gold is: 0.8002599784069612
</t>
  </si>
  <si>
    <t xml:space="preserve"> 0.8002599784069612
</t>
  </si>
  <si>
    <t xml:space="preserve">collateral_ratio_tranche_tb is: 0.39982607008711163
</t>
  </si>
  <si>
    <t xml:space="preserve"> 0.39982607008711163
</t>
  </si>
  <si>
    <t xml:space="preserve">collateral_ratio_tranche_reit is: 0.2991504338965966
</t>
  </si>
  <si>
    <t xml:space="preserve"> 0.2991504338965966
</t>
  </si>
  <si>
    <t>Total plot size is: 149941681.78678462</t>
  </si>
  <si>
    <t xml:space="preserve"> plot size of gold is: 80002924.21768552</t>
  </si>
  <si>
    <t xml:space="preserve"> plot size of TB is: 40001264.83279406</t>
  </si>
  <si>
    <t xml:space="preserve"> plot size of REIT is: 29937492.736305024
</t>
  </si>
  <si>
    <t xml:space="preserve"> 29937492.736305024
</t>
  </si>
  <si>
    <t xml:space="preserve">collateral ratio is: 1.499416817867846
</t>
  </si>
  <si>
    <t xml:space="preserve"> 1.499416817867846
</t>
  </si>
  <si>
    <t>S_gtbcps_0 is: 1.0000642338332797</t>
  </si>
  <si>
    <t xml:space="preserve">stdev_gtbcps is: 0.010539056004039687
</t>
  </si>
  <si>
    <t xml:space="preserve"> 0.010539056004039687
</t>
  </si>
  <si>
    <t>predicted price of GTBCPS is: 1.0000474797846348</t>
  </si>
  <si>
    <t xml:space="preserve"> actual price is: 1.0000642338332797
</t>
  </si>
  <si>
    <t xml:space="preserve"> 1.0000642338332797
</t>
  </si>
  <si>
    <t>predicted amount of GTBCPS is: 99995252.24695882</t>
  </si>
  <si>
    <t xml:space="preserve"> actual amount is: 99993577.02924408
</t>
  </si>
  <si>
    <t>plot sizes of gold is: 80002924.21768552</t>
  </si>
  <si>
    <t xml:space="preserve"> plot sizes of tb is: 40001264.83279406 </t>
  </si>
  <si>
    <t xml:space="preserve"> plot sizes of reit is: 29937492.736305024</t>
  </si>
  <si>
    <t xml:space="preserve"> plot sizes of total is: 149941681.78678462.
</t>
  </si>
  <si>
    <t xml:space="preserve"> 149941681.78678462.
</t>
  </si>
  <si>
    <t>predicted stdevs of gold is: 0.010145666867628094</t>
  </si>
  <si>
    <t xml:space="preserve"> predicted stdevs of tb is: 0.0028252911670175406</t>
  </si>
  <si>
    <t xml:space="preserve"> predicted stdevs of reit is: 0.021897142479987596</t>
  </si>
  <si>
    <t xml:space="preserve"> predicted stdevs of GTBCPS is: 0.010539056004039687.
</t>
  </si>
  <si>
    <t xml:space="preserve"> 0.010539056004039687.
</t>
  </si>
  <si>
    <t>total_value_of_collaterals is: 149941101.9922392</t>
  </si>
  <si>
    <t xml:space="preserve"> createdtionValue_gold is: 1340.279304680654</t>
  </si>
  <si>
    <t xml:space="preserve"> createdValue_tb is: 670.1386270733142</t>
  </si>
  <si>
    <t xml:space="preserve"> createdValue_reit is: 501.5412321167276
</t>
  </si>
  <si>
    <t xml:space="preserve"> 501.5412321167276
</t>
  </si>
  <si>
    <t>plotValue_gold_after_creation is: 80001136.9948657</t>
  </si>
  <si>
    <t xml:space="preserve"> plotValue_tb_after_creation  is: 40000507.2993479</t>
  </si>
  <si>
    <t xml:space="preserve"> plotValue_reit_after_creation  is: 29936945.738861732</t>
  </si>
  <si>
    <t xml:space="preserve">total_value_after_creation is: 149938590.03307533
</t>
  </si>
  <si>
    <t xml:space="preserve"> 149938590.03307533
</t>
  </si>
  <si>
    <t>total_amount_gtncps_before_creation is: 99993577.02924408</t>
  </si>
  <si>
    <t>creation_amount_gtbcps is: 1675.217714741826</t>
  </si>
  <si>
    <t xml:space="preserve">total_amount_gtbcps_new is: 99995252.24695882
</t>
  </si>
  <si>
    <t xml:space="preserve"> 99995252.24695882
</t>
  </si>
  <si>
    <t>payout of tranche of gold is: -446.9435151416999</t>
  </si>
  <si>
    <t xml:space="preserve"> payout of tranche of Treausry Bill Option is: -87.3948190887296</t>
  </si>
  <si>
    <t xml:space="preserve"> payout of tranche of Collar of REIT is: -45.45621117494612
</t>
  </si>
  <si>
    <t xml:space="preserve"> -45.45621117494612
</t>
  </si>
  <si>
    <t>Collateral size of tranche of gold is: 80001136.9948657</t>
  </si>
  <si>
    <t xml:space="preserve"> collateral size of tranche of Treausry Bill Option is: 40000507.2993479</t>
  </si>
  <si>
    <t xml:space="preserve"> collateral size of tranche of Collar of REIT is: 29936945.738861732
</t>
  </si>
  <si>
    <t xml:space="preserve"> 29936945.738861732
</t>
  </si>
  <si>
    <t>Collateral ratio of tranche of gold is: 0.8000247727417037</t>
  </si>
  <si>
    <t xml:space="preserve"> collateral ratio of tranche of Treausry Bill Option is: 0.40001177437974966</t>
  </si>
  <si>
    <t xml:space="preserve"> collateral ratio of tranche of Collar of REIT is: 0.29937447280093843
</t>
  </si>
  <si>
    <t xml:space="preserve"> 0.29937447280093843
</t>
  </si>
  <si>
    <t xml:space="preserve"> current price of reit option is: 3.980280581894398</t>
  </si>
  <si>
    <t xml:space="preserve"> predicted price of reit is: 63.33339374867363
</t>
  </si>
  <si>
    <t xml:space="preserve"> 63.33339374867363
</t>
  </si>
  <si>
    <t>value_ratio_gold_to_total is: -1.2407361249439695</t>
  </si>
  <si>
    <t xml:space="preserve"> risk_ratio_to_gold is: 0.5423011944109979</t>
  </si>
  <si>
    <t xml:space="preserve"> risk_ratio_to_gold_before is: 0.5418271823164881
</t>
  </si>
  <si>
    <t xml:space="preserve"> 0.5418271823164881
</t>
  </si>
  <si>
    <t>value_ratio_tb_to_total is: 1.1324270335853777</t>
  </si>
  <si>
    <t xml:space="preserve"> risk_ratio_tb_to_gold is: 0.3722264942777191</t>
  </si>
  <si>
    <t xml:space="preserve"> risk_ratio_tb_to_gold_before is: 0.3727556201202461
</t>
  </si>
  <si>
    <t xml:space="preserve"> 0.3727556201202461
</t>
  </si>
  <si>
    <t>value_ratio_reit_to_total is: 1.1083090913585918</t>
  </si>
  <si>
    <t xml:space="preserve"> risk_ratio_reit_to_gold is: 0.4717672315449138</t>
  </si>
  <si>
    <t xml:space="preserve"> risk_ratio_reit_to_gold_before is: 0.4728513051814223
</t>
  </si>
  <si>
    <t xml:space="preserve"> 0.4728513051814223
</t>
  </si>
  <si>
    <t xml:space="preserve"> delta_reit is: 0.9997953390669071
</t>
  </si>
  <si>
    <t xml:space="preserve"> 0.9997953390669071
</t>
  </si>
  <si>
    <t>delta_gold_risk is: 1.000307435294919</t>
  </si>
  <si>
    <t xml:space="preserve"> delta_tb_risk is: 0.9996145520478871</t>
  </si>
  <si>
    <t xml:space="preserve"> delta_reit_risk is: 0.9992639626059366
</t>
  </si>
  <si>
    <t xml:space="preserve"> 0.9992639626059366
</t>
  </si>
  <si>
    <t xml:space="preserve">collateral_ratio_tranche_gold is: 0.7997788924820234
</t>
  </si>
  <si>
    <t xml:space="preserve"> 0.7997788924820234
</t>
  </si>
  <si>
    <t xml:space="preserve">collateral_ratio_tranche_tb is: 0.4001660175517201
</t>
  </si>
  <si>
    <t xml:space="preserve"> 0.4001660175517201
</t>
  </si>
  <si>
    <t xml:space="preserve">collateral_ratio_tranche_reit is: 0.2995336705242777
</t>
  </si>
  <si>
    <t xml:space="preserve"> 0.2995336705242777
</t>
  </si>
  <si>
    <t>Total plot size is: 149932463.10982648</t>
  </si>
  <si>
    <t xml:space="preserve"> plot size of gold is: 80001136.9948657</t>
  </si>
  <si>
    <t xml:space="preserve"> plot size of TB is: 40000507.2993479</t>
  </si>
  <si>
    <t xml:space="preserve"> plot size of REIT is: 29930818.815612864
</t>
  </si>
  <si>
    <t xml:space="preserve"> 29930818.815612864
</t>
  </si>
  <si>
    <t xml:space="preserve">collateral ratio is: 1.4993246310982646
</t>
  </si>
  <si>
    <t xml:space="preserve"> 1.4993246310982646
</t>
  </si>
  <si>
    <t>S_gtbcps_0 is: 1.0000474797846348</t>
  </si>
  <si>
    <t xml:space="preserve">stdev_gtbcps is: 0.010592484909808934
</t>
  </si>
  <si>
    <t xml:space="preserve"> 0.010592484909808934
</t>
  </si>
  <si>
    <t>predicted price of GTBCPS is: 1.0000085642501901</t>
  </si>
  <si>
    <t xml:space="preserve"> actual price is: 1.0000474797846348
</t>
  </si>
  <si>
    <t xml:space="preserve"> 1.0000474797846348
</t>
  </si>
  <si>
    <t>predicted amount of GTBCPS is: 99999143.58231555</t>
  </si>
  <si>
    <t xml:space="preserve"> actual amount is: 99995252.24695882
</t>
  </si>
  <si>
    <t>plot sizes of gold is: 80001136.9948657</t>
  </si>
  <si>
    <t xml:space="preserve"> plot sizes of tb is: 40000507.2993479 </t>
  </si>
  <si>
    <t xml:space="preserve"> plot sizes of reit is: 29930818.815612864</t>
  </si>
  <si>
    <t xml:space="preserve"> plot sizes of total is: 149932463.10982645.
</t>
  </si>
  <si>
    <t xml:space="preserve"> 149932463.10982645.
</t>
  </si>
  <si>
    <t>predicted stdevs of gold is: 0.010204298519198754</t>
  </si>
  <si>
    <t xml:space="preserve"> predicted stdevs of tb is: 0.0028321927990270597</t>
  </si>
  <si>
    <t xml:space="preserve"> predicted stdevs of reit is: 0.022001159558530124</t>
  </si>
  <si>
    <t xml:space="preserve"> predicted stdevs of GTBCPS is: 0.010592484909808934.
</t>
  </si>
  <si>
    <t xml:space="preserve"> 0.010592484909808934.
</t>
  </si>
  <si>
    <t>total_value_of_collaterals is: 149931116.0573938</t>
  </si>
  <si>
    <t xml:space="preserve"> createdtionValue_gold is: 3113.098790136569</t>
  </si>
  <si>
    <t xml:space="preserve"> createdValue_tb is: 1556.559308806601</t>
  </si>
  <si>
    <t xml:space="preserve"> createdValue_reit is: 1164.714397531789
</t>
  </si>
  <si>
    <t xml:space="preserve"> 1164.714397531789
</t>
  </si>
  <si>
    <t>plotValue_gold_after_creation is: 79996985.6751743</t>
  </si>
  <si>
    <t xml:space="preserve"> plotValue_tb_after_creation  is: 39998747.58992094</t>
  </si>
  <si>
    <t xml:space="preserve"> plotValue_reit_after_creation  is: 29929548.419802103</t>
  </si>
  <si>
    <t xml:space="preserve">total_value_after_creation is: 149925281.68489733
</t>
  </si>
  <si>
    <t xml:space="preserve"> 149925281.68489733
</t>
  </si>
  <si>
    <t>total_amount_gtncps_before_creation is: 99995252.24695882</t>
  </si>
  <si>
    <t>creation_amount_gtbcps is: 3891.3353567272425</t>
  </si>
  <si>
    <t xml:space="preserve">total_amount_gtbcps_new is: 99999143.58231555
</t>
  </si>
  <si>
    <t xml:space="preserve"> 99999143.58231555
</t>
  </si>
  <si>
    <t>payout of tranche of gold is: -1038.22090127226</t>
  </si>
  <si>
    <t xml:space="preserve"> payout of tranche of Treausry Bill Option is: -203.15011815565097</t>
  </si>
  <si>
    <t xml:space="preserve"> payout of tranche of Collar of REIT is: -105.68141322946967
</t>
  </si>
  <si>
    <t xml:space="preserve"> -105.68141322946967
</t>
  </si>
  <si>
    <t>Collateral size of tranche of gold is: 79996985.6751743</t>
  </si>
  <si>
    <t xml:space="preserve"> collateral size of tranche of Treausry Bill Option is: 39998747.58992094</t>
  </si>
  <si>
    <t xml:space="preserve"> collateral size of tranche of Collar of REIT is: 29929548.419802103
</t>
  </si>
  <si>
    <t xml:space="preserve"> 29929548.419802103
</t>
  </si>
  <si>
    <t>Collateral ratio of tranche of gold is: 0.8000009877396445</t>
  </si>
  <si>
    <t xml:space="preserve"> collateral ratio of tranche of Treausry Bill Option is: 0.4000030414922975</t>
  </si>
  <si>
    <t xml:space="preserve"> collateral ratio of tranche of Collar of REIT is: 0.2993071313419964
</t>
  </si>
  <si>
    <t xml:space="preserve"> 0.2993071313419964
</t>
  </si>
  <si>
    <t xml:space="preserve"> current price of reit option is: 3.9674900252267875</t>
  </si>
  <si>
    <t xml:space="preserve"> predicted price of reit is: 63.27729696827491
</t>
  </si>
  <si>
    <t xml:space="preserve"> 63.27729696827491
</t>
  </si>
  <si>
    <t>value_ratio_gold_to_total is: -1.2625763780618655</t>
  </si>
  <si>
    <t xml:space="preserve"> risk_ratio_to_gold is: 0.5429253357535518</t>
  </si>
  <si>
    <t xml:space="preserve"> risk_ratio_to_gold_before is: 0.5423011944109979
</t>
  </si>
  <si>
    <t xml:space="preserve"> 0.5423011944109979
</t>
  </si>
  <si>
    <t>value_ratio_tb_to_total is: 1.1523607588584848</t>
  </si>
  <si>
    <t xml:space="preserve"> risk_ratio_tb_to_gold is: 0.3714859005279921</t>
  </si>
  <si>
    <t xml:space="preserve"> risk_ratio_tb_to_gold_before is: 0.3722264942777191
</t>
  </si>
  <si>
    <t xml:space="preserve"> 0.3722264942777191
</t>
  </si>
  <si>
    <t>value_ratio_reit_to_total is: 1.1102156192033807</t>
  </si>
  <si>
    <t xml:space="preserve"> risk_ratio_reit_to_gold is: 0.4703879892068691</t>
  </si>
  <si>
    <t xml:space="preserve"> risk_ratio_reit_to_gold_before is: 0.4717672315449138
</t>
  </si>
  <si>
    <t xml:space="preserve"> 0.4717672315449138
</t>
  </si>
  <si>
    <t xml:space="preserve"> delta_reit is: 0.9998087544406763
</t>
  </si>
  <si>
    <t xml:space="preserve"> 0.9998087544406763
</t>
  </si>
  <si>
    <t>delta_gold_risk is: 1.0004046818771948</t>
  </si>
  <si>
    <t xml:space="preserve"> delta_tb_risk is: 0.9994602977330524</t>
  </si>
  <si>
    <t xml:space="preserve"> delta_reit_risk is: 0.9990628665263889
</t>
  </si>
  <si>
    <t xml:space="preserve"> 0.9990628665263889
</t>
  </si>
  <si>
    <t xml:space="preserve">collateral_ratio_tranche_gold is: 0.7996773727992699
</t>
  </si>
  <si>
    <t xml:space="preserve"> 0.7996773727992699
</t>
  </si>
  <si>
    <t xml:space="preserve">collateral_ratio_tranche_tb is: 0.4002190406157934
</t>
  </si>
  <si>
    <t xml:space="preserve"> 0.4002190406157934
</t>
  </si>
  <si>
    <t xml:space="preserve">collateral_ratio_tranche_reit is: 0.29953059032481716
</t>
  </si>
  <si>
    <t xml:space="preserve"> 0.29953059032481716
</t>
  </si>
  <si>
    <t>Total plot size is: 149919557.7916695</t>
  </si>
  <si>
    <t xml:space="preserve"> plot size of gold is: 79996985.6751743</t>
  </si>
  <si>
    <t xml:space="preserve"> plot size of TB is: 39998747.58992094</t>
  </si>
  <si>
    <t xml:space="preserve"> plot size of REIT is: 29923824.526574254
</t>
  </si>
  <si>
    <t xml:space="preserve"> 29923824.526574254
</t>
  </si>
  <si>
    <t xml:space="preserve">collateral ratio is: 1.499195577916695
</t>
  </si>
  <si>
    <t xml:space="preserve"> 1.499195577916695
</t>
  </si>
  <si>
    <t>S_gtbcps_0 is: 1.0000085642501901</t>
  </si>
  <si>
    <t xml:space="preserve">stdev_gtbcps is: 0.010625233943567982
</t>
  </si>
  <si>
    <t xml:space="preserve"> 0.010625233943567982
</t>
  </si>
  <si>
    <t>predicted price of GTBCPS is: 1.0000067416283247</t>
  </si>
  <si>
    <t xml:space="preserve"> actual price is: 1.0000085642501901
</t>
  </si>
  <si>
    <t xml:space="preserve"> 1.0000085642501901
</t>
  </si>
  <si>
    <t>predicted amount of GTBCPS is: 99999325.84171245</t>
  </si>
  <si>
    <t xml:space="preserve"> actual amount is: 99999143.58231555
</t>
  </si>
  <si>
    <t>plot sizes of gold is: 79996985.6751743</t>
  </si>
  <si>
    <t xml:space="preserve"> plot sizes of tb is: 39998747.58992094 </t>
  </si>
  <si>
    <t xml:space="preserve"> plot sizes of reit is: 29923824.526574254</t>
  </si>
  <si>
    <t xml:space="preserve"> plot sizes of total is: 149919557.7916695.
</t>
  </si>
  <si>
    <t xml:space="preserve"> 149919557.7916695.
</t>
  </si>
  <si>
    <t>predicted stdevs of gold is: 0.010224955164529757</t>
  </si>
  <si>
    <t xml:space="preserve"> predicted stdevs of tb is: 0.002842548868820657</t>
  </si>
  <si>
    <t xml:space="preserve"> predicted stdevs of reit is: 0.022098324601634477</t>
  </si>
  <si>
    <t xml:space="preserve"> predicted stdevs of GTBCPS is: 0.010625233943567982.
</t>
  </si>
  <si>
    <t xml:space="preserve"> 0.010625233943567982.
</t>
  </si>
  <si>
    <t>total_value_of_collaterals is: 149919494.69913012</t>
  </si>
  <si>
    <t xml:space="preserve"> createdtionValue_gold is: 145.80291794123576</t>
  </si>
  <si>
    <t xml:space="preserve"> createdValue_tb is: 72.90195025309161</t>
  </si>
  <si>
    <t xml:space="preserve"> createdValue_reit is: 54.53934077196744
</t>
  </si>
  <si>
    <t xml:space="preserve"> 54.53934077196744
</t>
  </si>
  <si>
    <t>plotValue_gold_after_creation is: 79996791.24508774</t>
  </si>
  <si>
    <t xml:space="preserve"> plotValue_tb_after_creation  is: 39998665.17148054</t>
  </si>
  <si>
    <t xml:space="preserve"> plotValue_reit_after_creation  is: 29923765.038352862</t>
  </si>
  <si>
    <t xml:space="preserve">total_value_after_creation is: 149919221.45492113
</t>
  </si>
  <si>
    <t xml:space="preserve"> 149919221.45492113
</t>
  </si>
  <si>
    <t>total_amount_gtncps_before_creation is: 99999143.58231555</t>
  </si>
  <si>
    <t>creation_amount_gtbcps is: 182.25939689576626</t>
  </si>
  <si>
    <t xml:space="preserve">total_amount_gtbcps_new is: 99999325.84171245
</t>
  </si>
  <si>
    <t xml:space="preserve"> 99999325.84171245
</t>
  </si>
  <si>
    <t>payout of tranche of gold is: -48.62716861512449</t>
  </si>
  <si>
    <t xml:space="preserve"> payout of tranche of Treausry Bill Option is: -9.516490148300903</t>
  </si>
  <si>
    <t xml:space="preserve"> payout of tranche of Collar of REIT is: -4.948880618754357
</t>
  </si>
  <si>
    <t xml:space="preserve"> -4.948880618754357
</t>
  </si>
  <si>
    <t>Collateral size of tranche of gold is: 79996791.24508774</t>
  </si>
  <si>
    <t xml:space="preserve"> collateral size of tranche of Treausry Bill Option is: 39998665.17148054</t>
  </si>
  <si>
    <t xml:space="preserve"> collateral size of tranche of Collar of REIT is: 29923765.038352862
</t>
  </si>
  <si>
    <t xml:space="preserve"> 29923765.038352862
</t>
  </si>
  <si>
    <t>Collateral ratio of tranche of gold is: 0.799969370480057</t>
  </si>
  <si>
    <t xml:space="preserve"> collateral ratio of tranche of Treausry Bill Option is: 0.39998738073430795</t>
  </si>
  <si>
    <t xml:space="preserve"> collateral ratio of tranche of Collar of REIT is: 0.2992381957769364
</t>
  </si>
  <si>
    <t xml:space="preserve"> 0.2992381957769364
</t>
  </si>
  <si>
    <t xml:space="preserve"> current price of reit option is: 3.957765892276079</t>
  </si>
  <si>
    <t xml:space="preserve"> predicted price of reit is: 63.42023444352975
</t>
  </si>
  <si>
    <t xml:space="preserve"> 63.42023444352975
</t>
  </si>
  <si>
    <t>value_ratio_gold_to_total is: -1.221013368508762</t>
  </si>
  <si>
    <t xml:space="preserve"> risk_ratio_to_gold is: 0.5429997122406155</t>
  </si>
  <si>
    <t xml:space="preserve"> risk_ratio_to_gold_before is: 0.5429253357535518
</t>
  </si>
  <si>
    <t xml:space="preserve"> 0.5429253357535518
</t>
  </si>
  <si>
    <t>value_ratio_tb_to_total is: 1.114425959775217</t>
  </si>
  <si>
    <t xml:space="preserve"> risk_ratio_tb_to_gold is: 0.37126818346818724</t>
  </si>
  <si>
    <t xml:space="preserve"> risk_ratio_tb_to_gold_before is: 0.3714859005279921
</t>
  </si>
  <si>
    <t xml:space="preserve"> 0.3714859005279921
</t>
  </si>
  <si>
    <t>value_ratio_reit_to_total is: 1.106587408733545</t>
  </si>
  <si>
    <t xml:space="preserve"> risk_ratio_reit_to_gold is: 0.47035341863844027</t>
  </si>
  <si>
    <t xml:space="preserve"> risk_ratio_reit_to_gold_before is: 0.4703879892068691
</t>
  </si>
  <si>
    <t xml:space="preserve"> 0.4703879892068691
</t>
  </si>
  <si>
    <t xml:space="preserve"> delta_reit is: 0.9998545760735592
</t>
  </si>
  <si>
    <t xml:space="preserve"> 0.9998545760735592
</t>
  </si>
  <si>
    <t>delta_gold_risk is: 1.000048204851745</t>
  </si>
  <si>
    <t xml:space="preserve"> delta_tb_risk is: 0.9998412546131746</t>
  </si>
  <si>
    <t xml:space="preserve"> delta_reit_risk is: 0.9999764888120125
</t>
  </si>
  <si>
    <t xml:space="preserve"> 0.9999764888120125
</t>
  </si>
  <si>
    <t xml:space="preserve">collateral_ratio_tranche_gold is: 0.7999308099339579
</t>
  </si>
  <si>
    <t xml:space="preserve"> 0.7999308099339579
</t>
  </si>
  <si>
    <t xml:space="preserve">collateral_ratio_tranche_tb is: 0.4000508869671094
</t>
  </si>
  <si>
    <t xml:space="preserve"> 0.4000508869671094
</t>
  </si>
  <si>
    <t xml:space="preserve">collateral_ratio_tranche_reit is: 0.2992017139713088
</t>
  </si>
  <si>
    <t xml:space="preserve"> 0.2992017139713088
</t>
  </si>
  <si>
    <t>Total plot size is: 149914869.82351536</t>
  </si>
  <si>
    <t xml:space="preserve"> plot size of gold is: 79996791.24508774</t>
  </si>
  <si>
    <t xml:space="preserve"> plot size of TB is: 39998665.17148054</t>
  </si>
  <si>
    <t xml:space="preserve"> plot size of REIT is: 29919413.40694709
</t>
  </si>
  <si>
    <t xml:space="preserve"> 29919413.40694709
</t>
  </si>
  <si>
    <t xml:space="preserve">collateral ratio is: 1.4991486982351538
</t>
  </si>
  <si>
    <t xml:space="preserve"> 1.4991486982351538
</t>
  </si>
  <si>
    <t>S_gtbcps_0 is: 1.0000067416283247</t>
  </si>
  <si>
    <t xml:space="preserve">stdev_gtbcps is: 0.010670520318891406
</t>
  </si>
  <si>
    <t xml:space="preserve"> 0.010670520318891406
</t>
  </si>
  <si>
    <t>predicted price of GTBCPS is: 1.0000418847983512</t>
  </si>
  <si>
    <t xml:space="preserve"> actual price is: 1.0000067416283247
</t>
  </si>
  <si>
    <t xml:space="preserve"> 1.0000067416283247
</t>
  </si>
  <si>
    <t>predicted amount of GTBCPS is: 99995811.69559115</t>
  </si>
  <si>
    <t xml:space="preserve"> actual amount is: 99999325.84171245
</t>
  </si>
  <si>
    <t>plot sizes of gold is: 79996791.24508774</t>
  </si>
  <si>
    <t xml:space="preserve"> plot sizes of tb is: 39998665.17148054 </t>
  </si>
  <si>
    <t xml:space="preserve"> plot sizes of reit is: 29919413.40694709</t>
  </si>
  <si>
    <t xml:space="preserve"> plot sizes of total is: 149914869.82351536.
</t>
  </si>
  <si>
    <t xml:space="preserve"> 149914869.82351536.
</t>
  </si>
  <si>
    <t>predicted stdevs of gold is: 0.010278668595196412</t>
  </si>
  <si>
    <t xml:space="preserve"> predicted stdevs of tb is: 0.00285085397768692</t>
  </si>
  <si>
    <t xml:space="preserve"> predicted stdevs of reit is: 0.022172186196942594</t>
  </si>
  <si>
    <t xml:space="preserve"> predicted stdevs of GTBCPS is: 0.010670520318891406.
</t>
  </si>
  <si>
    <t xml:space="preserve"> 0.010670520318891406.
</t>
  </si>
  <si>
    <t>total_value_of_collaterals is: 149916086.19297972</t>
  </si>
  <si>
    <t xml:space="preserve"> createdtionValue_gold is: -2811.3535212283964</t>
  </si>
  <si>
    <t xml:space="preserve"> createdValue_tb is: -1405.6766044095793</t>
  </si>
  <si>
    <t xml:space="preserve"> createdValue_reit is: -1051.4608629477057
</t>
  </si>
  <si>
    <t xml:space="preserve"> -1051.4608629477057
</t>
  </si>
  <si>
    <t>plotValue_gold_after_creation is: 80000502.85959621</t>
  </si>
  <si>
    <t xml:space="preserve"> plotValue_tb_after_creation  is: 40000246.98480463</t>
  </si>
  <si>
    <t xml:space="preserve"> plotValue_reit_after_creation  is: 29920604.839567475</t>
  </si>
  <si>
    <t xml:space="preserve">total_value_after_creation is: 149921354.6839683
</t>
  </si>
  <si>
    <t xml:space="preserve"> 149921354.6839683
</t>
  </si>
  <si>
    <t>total_amount_gtncps_before_creation is: 99999325.84171245</t>
  </si>
  <si>
    <t>creation_amount_gtbcps is: -3514.1461212933064</t>
  </si>
  <si>
    <t xml:space="preserve">total_amount_gtbcps_new is: 99995811.69559115
</t>
  </si>
  <si>
    <t xml:space="preserve"> 99995811.69559115
</t>
  </si>
  <si>
    <t>payout of tranche of gold is: 900.2609872422622</t>
  </si>
  <si>
    <t xml:space="preserve"> payout of tranche of Treausry Bill Option is: 176.13671968226998</t>
  </si>
  <si>
    <t xml:space="preserve"> payout of tranche of Collar of REIT is: 139.97175743422514
</t>
  </si>
  <si>
    <t xml:space="preserve"> 139.97175743422514
</t>
  </si>
  <si>
    <t>Collateral size of tranche of gold is: 80000502.85959621</t>
  </si>
  <si>
    <t xml:space="preserve"> collateral size of tranche of Treausry Bill Option is: 40000246.98480463</t>
  </si>
  <si>
    <t xml:space="preserve"> collateral size of tranche of Collar of REIT is: 29920604.839567475
</t>
  </si>
  <si>
    <t xml:space="preserve"> 29920604.839567475
</t>
  </si>
  <si>
    <t>Collateral ratio of tranche of gold is: 0.79997691506075</t>
  </si>
  <si>
    <t xml:space="preserve"> collateral ratio of tranche of Treausry Bill Option is: 0.3999884130820022</t>
  </si>
  <si>
    <t xml:space="preserve"> collateral ratio of tranche of Collar of REIT is: 0.2991955337870453
</t>
  </si>
  <si>
    <t xml:space="preserve"> 0.2991955337870453
</t>
  </si>
  <si>
    <t xml:space="preserve"> current price of reit option is: 3.945152534161757</t>
  </si>
  <si>
    <t xml:space="preserve"> predicted price of reit is: 63.563613918713706
</t>
  </si>
  <si>
    <t xml:space="preserve"> 63.563613918713706
</t>
  </si>
  <si>
    <t>value_ratio_gold_to_total is: -1.1827920872798625</t>
  </si>
  <si>
    <t xml:space="preserve"> risk_ratio_to_gold is: 0.5462016900286805</t>
  </si>
  <si>
    <t xml:space="preserve"> risk_ratio_to_gold_before is: 0.5429997122406155
</t>
  </si>
  <si>
    <t xml:space="preserve"> 0.5429997122406155
</t>
  </si>
  <si>
    <t>value_ratio_tb_to_total is: 1.0795411754510484</t>
  </si>
  <si>
    <t xml:space="preserve"> risk_ratio_tb_to_gold is: 0.3664919731390571</t>
  </si>
  <si>
    <t xml:space="preserve"> risk_ratio_tb_to_gold_before is: 0.37126818346818724
</t>
  </si>
  <si>
    <t xml:space="preserve"> 0.37126818346818724
</t>
  </si>
  <si>
    <t>value_ratio_reit_to_total is: 1.103250911828814</t>
  </si>
  <si>
    <t xml:space="preserve"> risk_ratio_reit_to_gold is: 0.4643335593624827</t>
  </si>
  <si>
    <t xml:space="preserve"> risk_ratio_reit_to_gold_before is: 0.47035341863844027
</t>
  </si>
  <si>
    <t xml:space="preserve"> 0.47035341863844027
</t>
  </si>
  <si>
    <t xml:space="preserve"> delta_reit is: 0.9998113404187833
</t>
  </si>
  <si>
    <t xml:space="preserve"> 0.9998113404187833
</t>
  </si>
  <si>
    <t>delta_gold_risk is: 1.0020751642159513</t>
  </si>
  <si>
    <t xml:space="preserve"> delta_tb_risk is: 0.9965169392926115</t>
  </si>
  <si>
    <t xml:space="preserve"> delta_reit_risk is: 0.9959058419563291
</t>
  </si>
  <si>
    <t xml:space="preserve"> 0.9959058419563291
</t>
  </si>
  <si>
    <t xml:space="preserve">collateral_ratio_tranche_gold is: 0.7983202694048125
</t>
  </si>
  <si>
    <t xml:space="preserve"> 0.7983202694048125
</t>
  </si>
  <si>
    <t xml:space="preserve">collateral_ratio_tranche_tb is: 0.40138646651198767
</t>
  </si>
  <si>
    <t xml:space="preserve"> 0.40138646651198767
</t>
  </si>
  <si>
    <t xml:space="preserve">collateral_ratio_tranche_reit is: 0.3003688452066099
</t>
  </si>
  <si>
    <t xml:space="preserve"> 0.3003688452066099
</t>
  </si>
  <si>
    <t>Total plot size is: 149915709.87518954</t>
  </si>
  <si>
    <t xml:space="preserve"> plot size of gold is: 80000502.85959621</t>
  </si>
  <si>
    <t xml:space="preserve"> plot size of TB is: 40000246.98480463</t>
  </si>
  <si>
    <t xml:space="preserve"> plot size of REIT is: 29914960.03078869
</t>
  </si>
  <si>
    <t xml:space="preserve"> 29914960.03078869
</t>
  </si>
  <si>
    <t xml:space="preserve">collateral ratio is: 1.4991570987518956
</t>
  </si>
  <si>
    <t xml:space="preserve"> 1.4991570987518956
</t>
  </si>
  <si>
    <t>S_gtbcps_0 is: 1.0000418847983512</t>
  </si>
  <si>
    <t xml:space="preserve">stdev_gtbcps is: 0.01071173156514984
</t>
  </si>
  <si>
    <t xml:space="preserve"> 0.01071173156514984
</t>
  </si>
  <si>
    <t>predicted price of GTBCPS is: 1.0000206026224228</t>
  </si>
  <si>
    <t xml:space="preserve"> actual price is: 1.0000418847983512
</t>
  </si>
  <si>
    <t xml:space="preserve"> 1.0000418847983512
</t>
  </si>
  <si>
    <t>predicted amount of GTBCPS is: 99997939.78020364</t>
  </si>
  <si>
    <t xml:space="preserve"> actual amount is: 99995811.69559115
</t>
  </si>
  <si>
    <t>plot sizes of gold is: 80000502.85959621</t>
  </si>
  <si>
    <t xml:space="preserve"> plot sizes of tb is: 40000246.98480463 </t>
  </si>
  <si>
    <t xml:space="preserve"> plot sizes of reit is: 29914960.03078869</t>
  </si>
  <si>
    <t xml:space="preserve"> plot sizes of total is: 149915709.87518954.
</t>
  </si>
  <si>
    <t xml:space="preserve"> 149915709.87518954.
</t>
  </si>
  <si>
    <t>predicted stdevs of gold is: 0.010334436782094255</t>
  </si>
  <si>
    <t xml:space="preserve"> predicted stdevs of tb is: 0.0028237553891399215</t>
  </si>
  <si>
    <t xml:space="preserve"> predicted stdevs of reit is: 0.02226798192502326</t>
  </si>
  <si>
    <t xml:space="preserve"> predicted stdevs of GTBCPS is: 0.01071173156514984.
</t>
  </si>
  <si>
    <t xml:space="preserve"> 0.01071173156514984.
</t>
  </si>
  <si>
    <t>total_value_of_collaterals is: 149914972.74596727</t>
  </si>
  <si>
    <t xml:space="preserve"> createdtionValue_gold is: 1702.5013825160543</t>
  </si>
  <si>
    <t xml:space="preserve"> createdValue_tb is: 851.2542680712791</t>
  </si>
  <si>
    <t xml:space="preserve"> createdValue_reit is: 636.6275451424729
</t>
  </si>
  <si>
    <t xml:space="preserve"> 636.6275451424729
</t>
  </si>
  <si>
    <t>plotValue_gold_after_creation is: 79998232.52256103</t>
  </si>
  <si>
    <t xml:space="preserve"> plotValue_tb_after_creation  is: 39999284.33088748</t>
  </si>
  <si>
    <t xml:space="preserve"> plotValue_reit_after_creation  is: 29914265.509323023</t>
  </si>
  <si>
    <t xml:space="preserve">total_value_after_creation is: 149911782.36277154
</t>
  </si>
  <si>
    <t xml:space="preserve"> 149911782.36277154
</t>
  </si>
  <si>
    <t>total_amount_gtncps_before_creation is: 99995811.69559115</t>
  </si>
  <si>
    <t>creation_amount_gtbcps is: 2128.0846124887466</t>
  </si>
  <si>
    <t xml:space="preserve">total_amount_gtbcps_new is: 99997939.78020364
</t>
  </si>
  <si>
    <t xml:space="preserve"> 99997939.78020364
</t>
  </si>
  <si>
    <t>payout of tranche of gold is: -567.8356526648232</t>
  </si>
  <si>
    <t xml:space="preserve"> payout of tranche of Treausry Bill Option is: -111.39964907977082</t>
  </si>
  <si>
    <t xml:space="preserve"> payout of tranche of Collar of REIT is: -57.89392052516275
</t>
  </si>
  <si>
    <t xml:space="preserve"> -57.89392052516275
</t>
  </si>
  <si>
    <t>Collateral size of tranche of gold is: 79998232.52256103</t>
  </si>
  <si>
    <t xml:space="preserve"> collateral size of tranche of Treausry Bill Option is: 39999284.33088748</t>
  </si>
  <si>
    <t xml:space="preserve"> collateral size of tranche of Collar of REIT is: 29914265.509323023
</t>
  </si>
  <si>
    <t xml:space="preserve"> 29914265.509323023
</t>
  </si>
  <si>
    <t>Collateral ratio of tranche of gold is: 0.7999993502394356</t>
  </si>
  <si>
    <t xml:space="preserve"> collateral ratio of tranche of Treausry Bill Option is: 0.4000013558515556</t>
  </si>
  <si>
    <t xml:space="preserve"> collateral ratio of tranche of Collar of REIT is: 0.2991490213686817
</t>
  </si>
  <si>
    <t xml:space="preserve"> 0.2991490213686817
</t>
  </si>
  <si>
    <t xml:space="preserve"> current price of reit option is: 3.929138676432366</t>
  </si>
  <si>
    <t xml:space="preserve"> predicted price of reit is: 63.99187952937738
</t>
  </si>
  <si>
    <t xml:space="preserve"> 63.99187952937738
</t>
  </si>
  <si>
    <t>value_ratio_gold_to_total is: -1.0765522898203932</t>
  </si>
  <si>
    <t xml:space="preserve"> risk_ratio_to_gold is: 0.5409149093180489</t>
  </si>
  <si>
    <t xml:space="preserve"> risk_ratio_to_gold_before is: 0.5462016900286805
</t>
  </si>
  <si>
    <t xml:space="preserve"> 0.5462016900286805
</t>
  </si>
  <si>
    <t>value_ratio_tb_to_total is: 0.9825754981671931</t>
  </si>
  <si>
    <t xml:space="preserve"> risk_ratio_tb_to_gold is: 0.3746645229169542</t>
  </si>
  <si>
    <t xml:space="preserve"> risk_ratio_tb_to_gold_before is: 0.3664919731390571
</t>
  </si>
  <si>
    <t xml:space="preserve"> 0.3664919731390571
</t>
  </si>
  <si>
    <t>value_ratio_reit_to_total is: 1.0939767916532002</t>
  </si>
  <si>
    <t xml:space="preserve"> risk_ratio_reit_to_gold is: 0.47405508671764873</t>
  </si>
  <si>
    <t xml:space="preserve"> risk_ratio_reit_to_gold_before is: 0.4643335593624827
</t>
  </si>
  <si>
    <t xml:space="preserve"> 0.4643335593624827
</t>
  </si>
  <si>
    <t xml:space="preserve"> delta_reit is: 0.9997604335225175
</t>
  </si>
  <si>
    <t xml:space="preserve"> 0.9997604335225175
</t>
  </si>
  <si>
    <t>delta_gold_risk is: 0.996580794895824</t>
  </si>
  <si>
    <t xml:space="preserve"> delta_tb_risk is: 1.0059806789491221</t>
  </si>
  <si>
    <t xml:space="preserve"> delta_reit_risk is: 1.006638874929151
</t>
  </si>
  <si>
    <t xml:space="preserve"> 1.006638874929151
</t>
  </si>
  <si>
    <t xml:space="preserve">collateral_ratio_tranche_gold is: 0.8027440969530847
</t>
  </si>
  <si>
    <t xml:space="preserve"> 0.8027440969530847
</t>
  </si>
  <si>
    <t xml:space="preserve">collateral_ratio_tranche_tb is: 0.39762329856017625
</t>
  </si>
  <si>
    <t xml:space="preserve"> 0.39762329856017625
</t>
  </si>
  <si>
    <t xml:space="preserve">collateral_ratio_tranche_reit is: 0.2971049129335877
</t>
  </si>
  <si>
    <t xml:space="preserve"> 0.2971049129335877
</t>
  </si>
  <si>
    <t>Total plot size is: 149904615.907557</t>
  </si>
  <si>
    <t xml:space="preserve"> plot size of gold is: 79998232.52256103</t>
  </si>
  <si>
    <t xml:space="preserve"> plot size of TB is: 39999284.33088748</t>
  </si>
  <si>
    <t xml:space="preserve"> plot size of REIT is: 29907099.054108478
</t>
  </si>
  <si>
    <t xml:space="preserve"> 29907099.054108478
</t>
  </si>
  <si>
    <t xml:space="preserve">collateral ratio is: 1.4990461590755704
</t>
  </si>
  <si>
    <t xml:space="preserve"> 1.4990461590755704
</t>
  </si>
  <si>
    <t>S_gtbcps_0 is: 1.0000206026224228</t>
  </si>
  <si>
    <t xml:space="preserve">stdev_gtbcps is: 0.010663834926113048
</t>
  </si>
  <si>
    <t xml:space="preserve"> 0.010663834926113048
</t>
  </si>
  <si>
    <t>predicted price of GTBCPS is: 1.0000177505136887</t>
  </si>
  <si>
    <t xml:space="preserve"> actual price is: 1.0000206026224228
</t>
  </si>
  <si>
    <t xml:space="preserve"> 1.0000206026224228
</t>
  </si>
  <si>
    <t>predicted amount of GTBCPS is: 99998224.9801386</t>
  </si>
  <si>
    <t xml:space="preserve"> actual amount is: 99997939.78020364
</t>
  </si>
  <si>
    <t>plot sizes of gold is: 79998232.52256103</t>
  </si>
  <si>
    <t xml:space="preserve"> plot sizes of tb is: 39999284.33088748 </t>
  </si>
  <si>
    <t xml:space="preserve"> plot sizes of reit is: 29907099.054108478</t>
  </si>
  <si>
    <t xml:space="preserve"> plot sizes of total is: 149904615.90755698.
</t>
  </si>
  <si>
    <t xml:space="preserve"> 149904615.90755698.
</t>
  </si>
  <si>
    <t>predicted stdevs of gold is: 0.010198726909541503</t>
  </si>
  <si>
    <t xml:space="preserve"> predicted stdevs of tb is: 0.0028268110263509794</t>
  </si>
  <si>
    <t xml:space="preserve"> predicted stdevs of reit is: 0.022389584919379823</t>
  </si>
  <si>
    <t xml:space="preserve"> predicted stdevs of GTBCPS is: 0.010663834926113048.
</t>
  </si>
  <si>
    <t xml:space="preserve"> 0.010663834926113048.
</t>
  </si>
  <si>
    <t>total_value_of_collaterals is: 149904517.30001077</t>
  </si>
  <si>
    <t xml:space="preserve"> createdtionValue_gold is: 228.15873994427267</t>
  </si>
  <si>
    <t xml:space="preserve"> createdValue_tb is: 114.07991558360399</t>
  </si>
  <si>
    <t xml:space="preserve"> createdValue_reit is: 85.29651914723894
</t>
  </si>
  <si>
    <t xml:space="preserve"> 85.29651914723894
</t>
  </si>
  <si>
    <t>plotValue_gold_after_creation is: 79997928.26222597</t>
  </si>
  <si>
    <t xml:space="preserve"> plotValue_tb_after_creation  is: 39999155.43558398</t>
  </si>
  <si>
    <t xml:space="preserve"> plotValue_reit_after_creation  is: 29907006.067026146</t>
  </si>
  <si>
    <t xml:space="preserve">total_value_after_creation is: 149904089.7648361
</t>
  </si>
  <si>
    <t xml:space="preserve"> 149904089.7648361
</t>
  </si>
  <si>
    <t>total_amount_gtncps_before_creation is: 99997939.78020364</t>
  </si>
  <si>
    <t>creation_amount_gtbcps is: 285.1999349594116</t>
  </si>
  <si>
    <t xml:space="preserve">total_amount_gtbcps_new is: 99998224.9801386
</t>
  </si>
  <si>
    <t xml:space="preserve"> 99998224.9801386
</t>
  </si>
  <si>
    <t>payout of tranche of gold is: -76.10159512319966</t>
  </si>
  <si>
    <t xml:space="preserve"> payout of tranche of Treausry Bill Option is: -14.81538792066389</t>
  </si>
  <si>
    <t xml:space="preserve"> payout of tranche of Collar of REIT is: -7.690563183163771
</t>
  </si>
  <si>
    <t xml:space="preserve"> -7.690563183163771
</t>
  </si>
  <si>
    <t>Collateral size of tranche of gold is: 79997928.26222597</t>
  </si>
  <si>
    <t xml:space="preserve"> collateral size of tranche of Treausry Bill Option is: 39999155.43558398</t>
  </si>
  <si>
    <t xml:space="preserve"> collateral size of tranche of Collar of REIT is: 29907006.067026146
</t>
  </si>
  <si>
    <t xml:space="preserve"> 29907006.067026146
</t>
  </si>
  <si>
    <t>Collateral ratio of tranche of gold is: 0.7999815642096595</t>
  </si>
  <si>
    <t xml:space="preserve"> collateral ratio of tranche of Treausry Bill Option is: 0.3999926951549958</t>
  </si>
  <si>
    <t xml:space="preserve"> collateral ratio of tranche of Collar of REIT is: 0.2990709136354531
</t>
  </si>
  <si>
    <t xml:space="preserve"> 0.2990709136354531
</t>
  </si>
  <si>
    <t xml:space="preserve"> current price of reit option is: 3.944425595130575</t>
  </si>
  <si>
    <t xml:space="preserve"> predicted price of reit is: 63.54331815544261
</t>
  </si>
  <si>
    <t xml:space="preserve"> 63.54331815544261
</t>
  </si>
  <si>
    <t>value_ratio_gold_to_total is: -1.1887745172205557</t>
  </si>
  <si>
    <t xml:space="preserve"> risk_ratio_to_gold is: 0.5441183241970539</t>
  </si>
  <si>
    <t xml:space="preserve"> risk_ratio_to_gold_before is: 0.5409149093180489
</t>
  </si>
  <si>
    <t xml:space="preserve"> 0.5409149093180489
</t>
  </si>
  <si>
    <t>value_ratio_tb_to_total is: 1.0850013738406759</t>
  </si>
  <si>
    <t xml:space="preserve"> risk_ratio_tb_to_gold is: 0.369598319248901</t>
  </si>
  <si>
    <t xml:space="preserve"> risk_ratio_tb_to_gold_before is: 0.3746645229169542
</t>
  </si>
  <si>
    <t xml:space="preserve"> 0.3746645229169542
</t>
  </si>
  <si>
    <t>value_ratio_reit_to_total is: 1.1037731433798799</t>
  </si>
  <si>
    <t xml:space="preserve"> risk_ratio_reit_to_gold is: 0.4682372314572491</t>
  </si>
  <si>
    <t xml:space="preserve"> risk_ratio_reit_to_gold_before is: 0.47405508671764873
</t>
  </si>
  <si>
    <t xml:space="preserve"> 0.47405508671764873
</t>
  </si>
  <si>
    <t xml:space="preserve"> delta_reit is: 1.000228746307389
</t>
  </si>
  <si>
    <t xml:space="preserve"> 1.000228746307389
</t>
  </si>
  <si>
    <t>delta_gold_risk is: 1.0020789044610015</t>
  </si>
  <si>
    <t xml:space="preserve"> delta_tb_risk is: 0.9963145890625713</t>
  </si>
  <si>
    <t xml:space="preserve"> delta_reit_risk is: 0.9960531629293756
</t>
  </si>
  <si>
    <t xml:space="preserve"> 0.9960531629293756
</t>
  </si>
  <si>
    <t xml:space="preserve">collateral_ratio_tranche_gold is: 0.7983219291897516
</t>
  </si>
  <si>
    <t xml:space="preserve"> 0.7983219291897516
</t>
  </si>
  <si>
    <t xml:space="preserve">collateral_ratio_tranche_tb is: 0.4014722855070781
</t>
  </si>
  <si>
    <t xml:space="preserve"> 0.4014722855070781
</t>
  </si>
  <si>
    <t xml:space="preserve">collateral_ratio_tranche_reit is: 0.30032465749401455
</t>
  </si>
  <si>
    <t xml:space="preserve"> 0.30032465749401455
</t>
  </si>
  <si>
    <t>Total plot size is: 149910930.88203898</t>
  </si>
  <si>
    <t xml:space="preserve"> plot size of gold is: 79997928.26222597</t>
  </si>
  <si>
    <t xml:space="preserve"> plot size of TB is: 39999155.43558398</t>
  </si>
  <si>
    <t xml:space="preserve"> plot size of REIT is: 29913847.184229035
</t>
  </si>
  <si>
    <t xml:space="preserve"> 29913847.184229035
</t>
  </si>
  <si>
    <t xml:space="preserve">collateral ratio is: 1.4991093088203904
</t>
  </si>
  <si>
    <t xml:space="preserve"> 1.4991093088203904
</t>
  </si>
  <si>
    <t>S_gtbcps_0 is: 1.0000177505136887</t>
  </si>
  <si>
    <t xml:space="preserve">stdev_gtbcps is: 0.010582095752596627
</t>
  </si>
  <si>
    <t xml:space="preserve"> 0.010582095752596627
</t>
  </si>
  <si>
    <t>predicted price of GTBCPS is: 0.9999620198434462</t>
  </si>
  <si>
    <t xml:space="preserve"> actual price is: 1.0000177505136887
</t>
  </si>
  <si>
    <t xml:space="preserve"> 1.0000177505136887
</t>
  </si>
  <si>
    <t>predicted amount of GTBCPS is: 100003798.15991004</t>
  </si>
  <si>
    <t xml:space="preserve"> actual amount is: 99998224.9801386
</t>
  </si>
  <si>
    <t>plot sizes of gold is: 79997928.26222597</t>
  </si>
  <si>
    <t xml:space="preserve"> plot sizes of tb is: 39999155.43558398 </t>
  </si>
  <si>
    <t xml:space="preserve"> plot sizes of reit is: 29913847.184229035</t>
  </si>
  <si>
    <t xml:space="preserve"> plot sizes of total is: 149910930.88203898.
</t>
  </si>
  <si>
    <t xml:space="preserve"> 149910930.88203898.
</t>
  </si>
  <si>
    <t>predicted stdevs of gold is: 0.01011973523405605</t>
  </si>
  <si>
    <t xml:space="preserve"> predicted stdevs of tb is: 0.002763253905065499</t>
  </si>
  <si>
    <t xml:space="preserve"> predicted stdevs of reit is: 0.02227350247220859</t>
  </si>
  <si>
    <t xml:space="preserve"> predicted stdevs of GTBCPS is: 0.010582095752596627.
</t>
  </si>
  <si>
    <t xml:space="preserve"> 0.010582095752596627.
</t>
  </si>
  <si>
    <t>total_value_of_collaterals is: 149909000.45684803</t>
  </si>
  <si>
    <t xml:space="preserve"> createdtionValue_gold is: 4458.179461408966</t>
  </si>
  <si>
    <t xml:space="preserve"> createdValue_tb is: 2229.124561452591</t>
  </si>
  <si>
    <t xml:space="preserve"> createdValue_reit is: 1667.07675342338
</t>
  </si>
  <si>
    <t xml:space="preserve"> 1667.07675342338
</t>
  </si>
  <si>
    <t>plotValue_gold_after_creation is: 79992042.43662126</t>
  </si>
  <si>
    <t xml:space="preserve"> plotValue_tb_after_creation  is: 39996646.17805145</t>
  </si>
  <si>
    <t xml:space="preserve"> plotValue_reit_after_creation  is: 29911957.461399026</t>
  </si>
  <si>
    <t xml:space="preserve">total_value_after_creation is: 149900646.07607174
</t>
  </si>
  <si>
    <t xml:space="preserve"> 149900646.07607174
</t>
  </si>
  <si>
    <t>total_amount_gtncps_before_creation is: 99998224.9801386</t>
  </si>
  <si>
    <t>creation_amount_gtbcps is: 5573.179771438241</t>
  </si>
  <si>
    <t xml:space="preserve">total_amount_gtbcps_new is: 100003798.15991004
</t>
  </si>
  <si>
    <t xml:space="preserve"> 100003798.15991004
</t>
  </si>
  <si>
    <t>payout of tranche of gold is: -1427.6461433013656</t>
  </si>
  <si>
    <t xml:space="preserve"> payout of tranche of Treausry Bill Option is: -280.13297108101483</t>
  </si>
  <si>
    <t xml:space="preserve"> payout of tranche of Collar of REIT is: -222.6460765843668
</t>
  </si>
  <si>
    <t xml:space="preserve"> -222.6460765843668
</t>
  </si>
  <si>
    <t>Collateral size of tranche of gold is: 79992042.43662126</t>
  </si>
  <si>
    <t xml:space="preserve"> collateral size of tranche of Treausry Bill Option is: 39996646.17805145</t>
  </si>
  <si>
    <t xml:space="preserve"> collateral size of tranche of Collar of REIT is: 29911957.461399026
</t>
  </si>
  <si>
    <t xml:space="preserve"> 29911957.461399026
</t>
  </si>
  <si>
    <t>Collateral ratio of tranche of gold is: 0.799965006160827</t>
  </si>
  <si>
    <t xml:space="preserve"> collateral ratio of tranche of Treausry Bill Option is: 0.3999887530261292</t>
  </si>
  <si>
    <t xml:space="preserve"> collateral ratio of tranche of Collar of REIT is: 0.2991362453815246
</t>
  </si>
  <si>
    <t xml:space="preserve"> 0.2991362453815246
</t>
  </si>
  <si>
    <t xml:space="preserve"> current price of reit option is: 3.996595230987289</t>
  </si>
  <si>
    <t xml:space="preserve"> predicted price of reit is: 62.95887564629161
</t>
  </si>
  <si>
    <t xml:space="preserve"> 62.95887564629161
</t>
  </si>
  <si>
    <t>value_ratio_gold_to_total is: -1.3633680331263376</t>
  </si>
  <si>
    <t xml:space="preserve"> risk_ratio_to_gold is: 0.5440293376775793</t>
  </si>
  <si>
    <t xml:space="preserve"> risk_ratio_to_gold_before is: 0.5441183241970539
</t>
  </si>
  <si>
    <t xml:space="preserve"> 0.5441183241970539
</t>
  </si>
  <si>
    <t>value_ratio_tb_to_total is: 1.2443538850842366</t>
  </si>
  <si>
    <t xml:space="preserve"> risk_ratio_tb_to_gold is: 0.37027126618887685</t>
  </si>
  <si>
    <t xml:space="preserve"> risk_ratio_tb_to_gold_before is: 0.369598319248901
</t>
  </si>
  <si>
    <t xml:space="preserve"> 0.369598319248901
</t>
  </si>
  <si>
    <t>value_ratio_reit_to_total is: 1.119014148042101</t>
  </si>
  <si>
    <t xml:space="preserve"> risk_ratio_reit_to_gold is: 0.4678648980645537</t>
  </si>
  <si>
    <t xml:space="preserve"> risk_ratio_reit_to_gold_before is: 0.4682372314572491
</t>
  </si>
  <si>
    <t xml:space="preserve"> 0.4682372314572491
</t>
  </si>
  <si>
    <t xml:space="preserve"> delta_reit is: 1.0007804635224589
</t>
  </si>
  <si>
    <t xml:space="preserve"> 1.0007804635224589
</t>
  </si>
  <si>
    <t>delta_gold_risk is: 0.9999423706602791</t>
  </si>
  <si>
    <t xml:space="preserve"> delta_tb_risk is: 1.0004913462075107</t>
  </si>
  <si>
    <t xml:space="preserve"> delta_reit_risk is: 0.9997464078796545
</t>
  </si>
  <si>
    <t xml:space="preserve"> 0.9997464078796545
</t>
  </si>
  <si>
    <t xml:space="preserve">collateral_ratio_tranche_gold is: 0.8000111102728814
</t>
  </si>
  <si>
    <t xml:space="preserve"> 0.8000111102728814
</t>
  </si>
  <si>
    <t xml:space="preserve">collateral_ratio_tranche_tb is: 0.39979231658758196
</t>
  </si>
  <si>
    <t xml:space="preserve"> 0.39979231658758196
</t>
  </si>
  <si>
    <t xml:space="preserve">collateral_ratio_tranche_reit is: 0.29944564736593393
</t>
  </si>
  <si>
    <t xml:space="preserve"> 0.29944564736593393
</t>
  </si>
  <si>
    <t>Total plot size is: 149923991.2677557</t>
  </si>
  <si>
    <t xml:space="preserve"> plot size of gold is: 79992042.43662126</t>
  </si>
  <si>
    <t xml:space="preserve"> plot size of TB is: 39996646.17805145</t>
  </si>
  <si>
    <t xml:space="preserve"> plot size of REIT is: 29935302.65308299
</t>
  </si>
  <si>
    <t xml:space="preserve"> 29935302.65308299
</t>
  </si>
  <si>
    <t xml:space="preserve">collateral ratio is: 1.4992399126775575
</t>
  </si>
  <si>
    <t xml:space="preserve"> 1.4992399126775575
</t>
  </si>
  <si>
    <t>S_gtbcps_0 is: 0.9999620198434462</t>
  </si>
  <si>
    <t xml:space="preserve">stdev_gtbcps is: 0.01054213776681287
</t>
  </si>
  <si>
    <t xml:space="preserve"> 0.01054213776681287
</t>
  </si>
  <si>
    <t>predicted price of GTBCPS is: 0.9999361779250108</t>
  </si>
  <si>
    <t xml:space="preserve"> actual price is: 0.9999620198434462
</t>
  </si>
  <si>
    <t xml:space="preserve"> 0.9999620198434462
</t>
  </si>
  <si>
    <t>predicted amount of GTBCPS is: 100006382.61485061</t>
  </si>
  <si>
    <t xml:space="preserve"> actual amount is: 100003798.15991004
</t>
  </si>
  <si>
    <t>plot sizes of gold is: 79992042.43662126</t>
  </si>
  <si>
    <t xml:space="preserve"> plot sizes of tb is: 39996646.17805145 </t>
  </si>
  <si>
    <t xml:space="preserve"> plot sizes of reit is: 29935302.65308299</t>
  </si>
  <si>
    <t xml:space="preserve"> plot sizes of total is: 149923991.26775572.
</t>
  </si>
  <si>
    <t xml:space="preserve"> 149923991.26775572.
</t>
  </si>
  <si>
    <t>predicted stdevs of gold is: 0.010181502251835926</t>
  </si>
  <si>
    <t xml:space="preserve"> predicted stdevs of tb is: 0.0027797203815367964</t>
  </si>
  <si>
    <t xml:space="preserve"> predicted stdevs of reit is: 0.021877203825631734</t>
  </si>
  <si>
    <t xml:space="preserve"> predicted stdevs of GTBCPS is: 0.01054213776681287.
</t>
  </si>
  <si>
    <t xml:space="preserve"> 0.01054213776681287.
</t>
  </si>
  <si>
    <t>total_value_of_collaterals is: 149923096.82773274</t>
  </si>
  <si>
    <t xml:space="preserve"> createdtionValue_gold is: 2067.2092430778666</t>
  </si>
  <si>
    <t xml:space="preserve"> createdValue_tb is: 1033.6259808393838</t>
  </si>
  <si>
    <t xml:space="preserve"> createdValue_reit is: 773.6123680388195
</t>
  </si>
  <si>
    <t xml:space="preserve"> 773.6123680388195
</t>
  </si>
  <si>
    <t>plotValue_gold_after_creation is: 79989313.27983417</t>
  </si>
  <si>
    <t xml:space="preserve"> plotValue_tb_after_creation  is: 39995483.12411596</t>
  </si>
  <si>
    <t xml:space="preserve"> plotValue_reit_after_creation  is: 29934425.97619065</t>
  </si>
  <si>
    <t xml:space="preserve">total_value_after_creation is: 149919222.38014078
</t>
  </si>
  <si>
    <t xml:space="preserve"> 149919222.38014078
</t>
  </si>
  <si>
    <t>total_amount_gtncps_before_creation is: 100003798.15991004</t>
  </si>
  <si>
    <t>creation_amount_gtbcps is: 2584.454940572381</t>
  </si>
  <si>
    <t xml:space="preserve">total_amount_gtbcps_new is: 100006382.61485061
</t>
  </si>
  <si>
    <t xml:space="preserve"> 100006382.61485061
</t>
  </si>
  <si>
    <t>payout of tranche of gold is: -661.947544024935</t>
  </si>
  <si>
    <t xml:space="preserve"> payout of tranche of Treausry Bill Option is: -129.4279546477423</t>
  </si>
  <si>
    <t xml:space="preserve"> payout of tranche of Collar of REIT is: -103.0645243011529
</t>
  </si>
  <si>
    <t xml:space="preserve"> -103.0645243011529
</t>
  </si>
  <si>
    <t>Collateral size of tranche of gold is: 79989313.27983417</t>
  </si>
  <si>
    <t xml:space="preserve"> collateral size of tranche of Treausry Bill Option is: 39995483.12411596</t>
  </si>
  <si>
    <t xml:space="preserve"> collateral size of tranche of Collar of REIT is: 29934425.97619065
</t>
  </si>
  <si>
    <t xml:space="preserve"> 29934425.97619065
</t>
  </si>
  <si>
    <t>Collateral ratio of tranche of gold is: 0.7999138048907727</t>
  </si>
  <si>
    <t xml:space="preserve"> collateral ratio of tranche of Treausry Bill Option is: 0.3999651675009681</t>
  </si>
  <si>
    <t xml:space="preserve"> collateral ratio of tranche of Collar of REIT is: 0.299351995885587
</t>
  </si>
  <si>
    <t xml:space="preserve"> 0.299351995885587
</t>
  </si>
  <si>
    <t xml:space="preserve"> current price of reit option is: 4.036132839904091</t>
  </si>
  <si>
    <t xml:space="preserve"> predicted price of reit is: 63.49293242664012
</t>
  </si>
  <si>
    <t xml:space="preserve"> 63.49293242664012
</t>
  </si>
  <si>
    <t>value_ratio_gold_to_total is: -1.1770725160836617</t>
  </si>
  <si>
    <t xml:space="preserve"> risk_ratio_to_gold is: 0.549220536884605</t>
  </si>
  <si>
    <t xml:space="preserve"> risk_ratio_to_gold_before is: 0.5440293376775793
</t>
  </si>
  <si>
    <t xml:space="preserve"> 0.5440293376775793
</t>
  </si>
  <si>
    <t>value_ratio_tb_to_total is: 1.0743208897570322</t>
  </si>
  <si>
    <t xml:space="preserve"> risk_ratio_tb_to_gold is: 0.3616359445272681</t>
  </si>
  <si>
    <t xml:space="preserve"> risk_ratio_tb_to_gold_before is: 0.37027126618887685
</t>
  </si>
  <si>
    <t xml:space="preserve"> 0.37027126618887685
</t>
  </si>
  <si>
    <t>value_ratio_reit_to_total is: 1.1027516263266295</t>
  </si>
  <si>
    <t xml:space="preserve"> risk_ratio_reit_to_gold is: 0.4591262681758358</t>
  </si>
  <si>
    <t xml:space="preserve"> risk_ratio_reit_to_gold_before is: 0.4678648980645537
</t>
  </si>
  <si>
    <t xml:space="preserve"> 0.4678648980645537
</t>
  </si>
  <si>
    <t xml:space="preserve"> delta_reit is: 1.0005910257282944
</t>
  </si>
  <si>
    <t xml:space="preserve"> 1.0005910257282944
</t>
  </si>
  <si>
    <t>delta_gold_risk is: 1.0033621117684421</t>
  </si>
  <si>
    <t xml:space="preserve"> delta_tb_risk is: 0.9936980933084686</t>
  </si>
  <si>
    <t xml:space="preserve"> delta_reit_risk is: 0.9940467069549519
</t>
  </si>
  <si>
    <t xml:space="preserve"> 0.9940467069549519
</t>
  </si>
  <si>
    <t xml:space="preserve">collateral_ratio_tranche_gold is: 0.7972334170371567
</t>
  </si>
  <si>
    <t xml:space="preserve"> 0.7972334170371567
</t>
  </si>
  <si>
    <t xml:space="preserve">collateral_ratio_tranche_tb is: 0.40250169563001165
</t>
  </si>
  <si>
    <t xml:space="preserve"> 0.40250169563001165
</t>
  </si>
  <si>
    <t xml:space="preserve">collateral_ratio_tranche_reit is: 0.3013227834479871
</t>
  </si>
  <si>
    <t xml:space="preserve"> 0.3013227834479871
</t>
  </si>
  <si>
    <t>Total plot size is: 149936914.39605445</t>
  </si>
  <si>
    <t xml:space="preserve"> plot size of gold is: 79989313.27983417</t>
  </si>
  <si>
    <t xml:space="preserve"> plot size of TB is: 39995483.12411596</t>
  </si>
  <si>
    <t xml:space="preserve"> plot size of REIT is: 29952117.992104303
</t>
  </si>
  <si>
    <t xml:space="preserve"> 29952117.992104303
</t>
  </si>
  <si>
    <t xml:space="preserve">collateral ratio is: 1.499369143960545
</t>
  </si>
  <si>
    <t xml:space="preserve"> 1.499369143960545
</t>
  </si>
  <si>
    <t>S_gtbcps_0 is: 0.9999361779250108</t>
  </si>
  <si>
    <t xml:space="preserve">stdev_gtbcps is: 0.01039798297206359
</t>
  </si>
  <si>
    <t xml:space="preserve"> 0.01039798297206359
</t>
  </si>
  <si>
    <t>predicted price of GTBCPS is: 0.9999618835216983</t>
  </si>
  <si>
    <t xml:space="preserve"> actual price is: 0.9999361779250108
</t>
  </si>
  <si>
    <t xml:space="preserve"> 0.9999361779250108
</t>
  </si>
  <si>
    <t>predicted amount of GTBCPS is: 100003811.79312223</t>
  </si>
  <si>
    <t xml:space="preserve"> actual amount is: 100006382.61485061
</t>
  </si>
  <si>
    <t>plot sizes of gold is: 79989313.27983417</t>
  </si>
  <si>
    <t xml:space="preserve"> plot sizes of tb is: 39995483.12411596 </t>
  </si>
  <si>
    <t xml:space="preserve"> plot sizes of reit is: 29952117.992104303</t>
  </si>
  <si>
    <t xml:space="preserve"> plot sizes of total is: 149936914.39605442.
</t>
  </si>
  <si>
    <t xml:space="preserve"> 149936914.39605442.
</t>
  </si>
  <si>
    <t>predicted stdevs of gold is: 0.010064310440336845</t>
  </si>
  <si>
    <t xml:space="preserve"> predicted stdevs of tb is: 0.0026937024441912078</t>
  </si>
  <si>
    <t xml:space="preserve"> predicted stdevs of reit is: 0.021576713591294074</t>
  </si>
  <si>
    <t xml:space="preserve"> predicted stdevs of GTBCPS is: 0.01039798297206359.
</t>
  </si>
  <si>
    <t xml:space="preserve"> 0.01039798297206359.
</t>
  </si>
  <si>
    <t>total_value_of_collaterals is: 149937805.10890746</t>
  </si>
  <si>
    <t xml:space="preserve"> createdtionValue_gold is: -2056.3218917088707</t>
  </si>
  <si>
    <t xml:space="preserve"> createdValue_tb is: -1028.176844681205</t>
  </si>
  <si>
    <t xml:space="preserve"> createdValue_reit is: -769.9880113428296
</t>
  </si>
  <si>
    <t xml:space="preserve"> -769.9880113428296
</t>
  </si>
  <si>
    <t>plotValue_gold_after_creation is: 79992055.30724804</t>
  </si>
  <si>
    <t xml:space="preserve"> plotValue_tb_after_creation  is: 39996646.12675092</t>
  </si>
  <si>
    <t xml:space="preserve"> plotValue_reit_after_creation  is: 29952958.161656212</t>
  </si>
  <si>
    <t xml:space="preserve">total_value_after_creation is: 149941659.59565517
</t>
  </si>
  <si>
    <t xml:space="preserve"> 149941659.59565517
</t>
  </si>
  <si>
    <t>total_amount_gtncps_before_creation is: 100006382.61485061</t>
  </si>
  <si>
    <t>creation_amount_gtbcps is: -2570.8217283785343</t>
  </si>
  <si>
    <t xml:space="preserve">total_amount_gtbcps_new is: 100003811.79312223
</t>
  </si>
  <si>
    <t xml:space="preserve"> 100003811.79312223
</t>
  </si>
  <si>
    <t>payout of tranche of gold is: 685.7055221631387</t>
  </si>
  <si>
    <t xml:space="preserve"> payout of tranche of Treausry Bill Option is: 134.82579028703523</t>
  </si>
  <si>
    <t xml:space="preserve"> payout of tranche of Collar of REIT is: 70.18154056773507
</t>
  </si>
  <si>
    <t xml:space="preserve"> 70.18154056773507
</t>
  </si>
  <si>
    <t>Collateral size of tranche of gold is: 79992055.30724804</t>
  </si>
  <si>
    <t xml:space="preserve"> collateral size of tranche of Treausry Bill Option is: 39996646.12675092</t>
  </si>
  <si>
    <t xml:space="preserve"> collateral size of tranche of Collar of REIT is: 29952958.161656212
</t>
  </si>
  <si>
    <t xml:space="preserve"> 29952958.161656212
</t>
  </si>
  <si>
    <t>Collateral ratio of tranche of gold is: 0.7998999898535638</t>
  </si>
  <si>
    <t xml:space="preserve"> collateral ratio of tranche of Treausry Bill Option is: 0.3999561794990627</t>
  </si>
  <si>
    <t xml:space="preserve"> collateral ratio of tranche of Collar of REIT is: 0.2995218817364489
</t>
  </si>
  <si>
    <t xml:space="preserve"> 0.2995218817364489
</t>
  </si>
  <si>
    <t xml:space="preserve"> current price of reit option is: 4.020228978631913</t>
  </si>
  <si>
    <t xml:space="preserve"> predicted price of reit is: 63.64638395900167
</t>
  </si>
  <si>
    <t xml:space="preserve"> 63.64638395900167
</t>
  </si>
  <si>
    <t>value_ratio_gold_to_total is: -1.139726998691553</t>
  </si>
  <si>
    <t xml:space="preserve"> risk_ratio_to_gold is: 0.5495692602819239</t>
  </si>
  <si>
    <t xml:space="preserve"> risk_ratio_to_gold_before is: 0.549220536884605
</t>
  </si>
  <si>
    <t xml:space="preserve"> 0.549220536884605
</t>
  </si>
  <si>
    <t>value_ratio_tb_to_total is: 1.0402354201492487</t>
  </si>
  <si>
    <t xml:space="preserve"> risk_ratio_tb_to_gold is: 0.3613017330232654</t>
  </si>
  <si>
    <t xml:space="preserve"> risk_ratio_tb_to_gold_before is: 0.3616359445272681
</t>
  </si>
  <si>
    <t xml:space="preserve"> 0.3616359445272681
</t>
  </si>
  <si>
    <t>value_ratio_reit_to_total is: 1.0994915785423043</t>
  </si>
  <si>
    <t xml:space="preserve"> risk_ratio_reit_to_gold is: 0.4583051341566957</t>
  </si>
  <si>
    <t xml:space="preserve"> risk_ratio_reit_to_gold_before is: 0.4591262681758358
</t>
  </si>
  <si>
    <t xml:space="preserve"> 0.4591262681758358
</t>
  </si>
  <si>
    <t xml:space="preserve"> delta_reit is: 0.999762402448462
</t>
  </si>
  <si>
    <t xml:space="preserve"> 0.999762402448462
</t>
  </si>
  <si>
    <t>delta_gold_risk is: 1.0002250960331447</t>
  </si>
  <si>
    <t xml:space="preserve"> delta_tb_risk is: 0.999754551497156</t>
  </si>
  <si>
    <t xml:space="preserve"> delta_reit_risk is: 0.9994372426588094
</t>
  </si>
  <si>
    <t xml:space="preserve"> 0.9994372426588094
</t>
  </si>
  <si>
    <t xml:space="preserve">collateral_ratio_tranche_gold is: 0.7997199760593263
</t>
  </si>
  <si>
    <t xml:space="preserve"> 0.7997199760593263
</t>
  </si>
  <si>
    <t xml:space="preserve">collateral_ratio_tranche_tb is: 0.40005437224578666
</t>
  </si>
  <si>
    <t xml:space="preserve"> 0.40005437224578666
</t>
  </si>
  <si>
    <t xml:space="preserve">collateral_ratio_tranche_reit is: 0.29961932904770044
</t>
  </si>
  <si>
    <t xml:space="preserve"> 0.29961932904770044
</t>
  </si>
  <si>
    <t>Total plot size is: 149934542.84613463</t>
  </si>
  <si>
    <t xml:space="preserve"> plot size of gold is: 79992055.30724804</t>
  </si>
  <si>
    <t xml:space="preserve"> plot size of TB is: 39996646.12675092</t>
  </si>
  <si>
    <t xml:space="preserve"> plot size of REIT is: 29945841.412135683
</t>
  </si>
  <si>
    <t xml:space="preserve"> 29945841.412135683
</t>
  </si>
  <si>
    <t xml:space="preserve">collateral ratio is: 1.4993454284613472
</t>
  </si>
  <si>
    <t xml:space="preserve"> 1.4993454284613472
</t>
  </si>
  <si>
    <t>S_gtbcps_0 is: 0.9999618835216983</t>
  </si>
  <si>
    <t xml:space="preserve">stdev_gtbcps is: 0.010457818516300666
</t>
  </si>
  <si>
    <t xml:space="preserve"> 0.010457818516300666
</t>
  </si>
  <si>
    <t>predicted price of GTBCPS is: 0.9999296516803227</t>
  </si>
  <si>
    <t xml:space="preserve"> actual price is: 0.9999618835216983
</t>
  </si>
  <si>
    <t xml:space="preserve"> 0.9999618835216983
</t>
  </si>
  <si>
    <t>predicted amount of GTBCPS is: 100007035.32689111</t>
  </si>
  <si>
    <t xml:space="preserve"> actual amount is: 100003811.79312223
</t>
  </si>
  <si>
    <t>plot sizes of gold is: 79992055.30724804</t>
  </si>
  <si>
    <t xml:space="preserve"> plot sizes of tb is: 39996646.12675092 </t>
  </si>
  <si>
    <t xml:space="preserve"> plot sizes of reit is: 29945841.412135683</t>
  </si>
  <si>
    <t xml:space="preserve"> plot sizes of total is: 149934542.84613466.
</t>
  </si>
  <si>
    <t xml:space="preserve"> 149934542.84613466.
</t>
  </si>
  <si>
    <t>predicted stdevs of gold is: 0.01012772631708406</t>
  </si>
  <si>
    <t xml:space="preserve"> predicted stdevs of tb is: 0.002702669150108249</t>
  </si>
  <si>
    <t xml:space="preserve"> predicted stdevs of reit is: 0.02169760015020455</t>
  </si>
  <si>
    <t xml:space="preserve"> predicted stdevs of GTBCPS is: 0.010457818516300666.
</t>
  </si>
  <si>
    <t xml:space="preserve"> 0.010457818516300666.
</t>
  </si>
  <si>
    <t>total_value_of_collaterals is: 149933427.13890406</t>
  </si>
  <si>
    <t xml:space="preserve"> createdtionValue_gold is: 2578.3618009927986</t>
  </si>
  <si>
    <t xml:space="preserve"> createdValue_tb is: 1289.2092714564174</t>
  </si>
  <si>
    <t xml:space="preserve"> createdValue_reit is: 965.2435778998353
</t>
  </si>
  <si>
    <t xml:space="preserve"> 965.2435778998353
</t>
  </si>
  <si>
    <t>plotValue_gold_after_creation is: 79988617.0793414</t>
  </si>
  <si>
    <t xml:space="preserve"> plotValue_tb_after_creation  is: 39995188.69305189</t>
  </si>
  <si>
    <t xml:space="preserve"> plotValue_reit_after_creation  is: 29944788.55186042</t>
  </si>
  <si>
    <t xml:space="preserve">total_value_after_creation is: 149928594.3242537
</t>
  </si>
  <si>
    <t xml:space="preserve"> 149928594.3242537
</t>
  </si>
  <si>
    <t>total_amount_gtncps_before_creation is: 100003811.79312223</t>
  </si>
  <si>
    <t>creation_amount_gtbcps is: 3223.533768877387</t>
  </si>
  <si>
    <t xml:space="preserve">total_amount_gtbcps_new is: 100007035.32689111
</t>
  </si>
  <si>
    <t xml:space="preserve"> 100007035.32689111
</t>
  </si>
  <si>
    <t>payout of tranche of gold is: -859.8661056515542</t>
  </si>
  <si>
    <t xml:space="preserve"> payout of tranche of Treausry Bill Option is: -168.22442758161338</t>
  </si>
  <si>
    <t xml:space="preserve"> payout of tranche of Collar of REIT is: -87.61669736497028
</t>
  </si>
  <si>
    <t xml:space="preserve"> -87.61669736497028
</t>
  </si>
  <si>
    <t>Collateral size of tranche of gold is: 79988617.0793414</t>
  </si>
  <si>
    <t xml:space="preserve"> collateral size of tranche of Treausry Bill Option is: 39995188.69305189</t>
  </si>
  <si>
    <t xml:space="preserve"> collateral size of tranche of Collar of REIT is: 29944788.55186042
</t>
  </si>
  <si>
    <t xml:space="preserve"> 29944788.55186042
</t>
  </si>
  <si>
    <t>Collateral ratio of tranche of gold is: 0.7999119544114243</t>
  </si>
  <si>
    <t xml:space="preserve"> collateral ratio of tranche of Treausry Bill Option is: 0.39996477902323363</t>
  </si>
  <si>
    <t xml:space="preserve"> collateral ratio of tranche of Collar of REIT is: 0.29945753795438335
</t>
  </si>
  <si>
    <t xml:space="preserve"> 0.29945753795438335
</t>
  </si>
  <si>
    <t xml:space="preserve"> current price of reit option is: 4.005596765709861</t>
  </si>
  <si>
    <t xml:space="preserve"> predicted price of reit is: 63.442725465166326
</t>
  </si>
  <si>
    <t xml:space="preserve"> 63.442725465166326
</t>
  </si>
  <si>
    <t>value_ratio_gold_to_total is: -1.2001573993782222</t>
  </si>
  <si>
    <t xml:space="preserve"> risk_ratio_to_gold is: 0.5502686756924523</t>
  </si>
  <si>
    <t xml:space="preserve"> risk_ratio_to_gold_before is: 0.5495692602819239
</t>
  </si>
  <si>
    <t xml:space="preserve"> 0.5495692602819239
</t>
  </si>
  <si>
    <t>value_ratio_tb_to_total is: 1.0953905961872406</t>
  </si>
  <si>
    <t xml:space="preserve"> risk_ratio_tb_to_gold is: 0.36021896775792306</t>
  </si>
  <si>
    <t xml:space="preserve"> risk_ratio_tb_to_gold_before is: 0.3613017330232654
</t>
  </si>
  <si>
    <t xml:space="preserve"> 0.3613017330232654
</t>
  </si>
  <si>
    <t>value_ratio_reit_to_total is: 1.1047668031909814</t>
  </si>
  <si>
    <t xml:space="preserve"> risk_ratio_reit_to_gold is: 0.45707509998382256</t>
  </si>
  <si>
    <t xml:space="preserve"> risk_ratio_reit_to_gold_before is: 0.4583051341566957
</t>
  </si>
  <si>
    <t xml:space="preserve"> 0.4583051341566957
</t>
  </si>
  <si>
    <t xml:space="preserve"> delta_reit is: 0.9997813484331214
</t>
  </si>
  <si>
    <t xml:space="preserve"> 0.9997813484331214
</t>
  </si>
  <si>
    <t>delta_gold_risk is: 1.0004513611804617</t>
  </si>
  <si>
    <t xml:space="preserve"> delta_tb_risk is: 0.9992046103820513</t>
  </si>
  <si>
    <t xml:space="preserve"> delta_reit_risk is: 0.9991565316859531
</t>
  </si>
  <si>
    <t xml:space="preserve"> 0.9991565316859531
</t>
  </si>
  <si>
    <t xml:space="preserve">collateral_ratio_tranche_gold is: 0.7995510680974883
</t>
  </si>
  <si>
    <t xml:space="preserve"> 0.7995510680974883
</t>
  </si>
  <si>
    <t xml:space="preserve">collateral_ratio_tranche_tb is: 0.4002831600930113
</t>
  </si>
  <si>
    <t xml:space="preserve"> 0.4002831600930113
</t>
  </si>
  <si>
    <t xml:space="preserve">collateral_ratio_tranche_reit is: 0.2996448019904438
</t>
  </si>
  <si>
    <t xml:space="preserve"> 0.2996448019904438
</t>
  </si>
  <si>
    <t>Total plot size is: 149922046.849317</t>
  </si>
  <si>
    <t xml:space="preserve"> plot size of gold is: 79988617.0793414</t>
  </si>
  <si>
    <t xml:space="preserve"> plot size of TB is: 39995188.69305189</t>
  </si>
  <si>
    <t xml:space="preserve"> plot size of REIT is: 29938241.076923706
</t>
  </si>
  <si>
    <t xml:space="preserve"> 29938241.076923706
</t>
  </si>
  <si>
    <t xml:space="preserve">collateral ratio is: 1.499220468493171
</t>
  </si>
  <si>
    <t xml:space="preserve"> 1.499220468493171
</t>
  </si>
  <si>
    <t>S_gtbcps_0 is: 0.9999296516803227</t>
  </si>
  <si>
    <t xml:space="preserve">stdev_gtbcps is: 0.01051455121364435
</t>
  </si>
  <si>
    <t xml:space="preserve"> 0.01051455121364435
</t>
  </si>
  <si>
    <t>predicted price of GTBCPS is: 0.9999553124290329</t>
  </si>
  <si>
    <t xml:space="preserve"> actual price is: 0.9999296516803227
</t>
  </si>
  <si>
    <t xml:space="preserve"> 0.9999296516803227
</t>
  </si>
  <si>
    <t>predicted amount of GTBCPS is: 100004468.95680346</t>
  </si>
  <si>
    <t xml:space="preserve"> actual amount is: 100007035.32689111
</t>
  </si>
  <si>
    <t>plot sizes of gold is: 79988617.0793414</t>
  </si>
  <si>
    <t xml:space="preserve"> plot sizes of tb is: 39995188.69305189 </t>
  </si>
  <si>
    <t xml:space="preserve"> plot sizes of reit is: 29938241.076923706</t>
  </si>
  <si>
    <t xml:space="preserve"> plot sizes of total is: 149922046.84931698.
</t>
  </si>
  <si>
    <t xml:space="preserve"> 149922046.84931698.
</t>
  </si>
  <si>
    <t>predicted stdevs of gold is: 0.010191645041175815</t>
  </si>
  <si>
    <t xml:space="preserve"> predicted stdevs of tb is: 0.0027060820381856338</t>
  </si>
  <si>
    <t xml:space="preserve"> predicted stdevs of reit is: 0.021808802448701755</t>
  </si>
  <si>
    <t xml:space="preserve"> predicted stdevs of GTBCPS is: 0.01051455121364435.
</t>
  </si>
  <si>
    <t xml:space="preserve"> 0.01051455121364435.
</t>
  </si>
  <si>
    <t>total_value_of_collaterals is: 149922935.1619179</t>
  </si>
  <si>
    <t xml:space="preserve"> createdtionValue_gold is: -2052.729074339454</t>
  </si>
  <si>
    <t xml:space="preserve"> createdValue_tb is: -1026.3819922175635</t>
  </si>
  <si>
    <t xml:space="preserve"> createdValue_reit is: -768.2943570840058
</t>
  </si>
  <si>
    <t xml:space="preserve"> -768.2943570840058
</t>
  </si>
  <si>
    <t>plotValue_gold_after_creation is: 79991327.06604685</t>
  </si>
  <si>
    <t xml:space="preserve"> plotValue_tb_after_creation  is: 39996343.72626368</t>
  </si>
  <si>
    <t xml:space="preserve"> plotValue_reit_after_creation  is: 29939111.775031026</t>
  </si>
  <si>
    <t xml:space="preserve">total_value_after_creation is: 149926782.56734157
</t>
  </si>
  <si>
    <t xml:space="preserve"> 149926782.56734157
</t>
  </si>
  <si>
    <t>total_amount_gtncps_before_creation is: 100007035.32689111</t>
  </si>
  <si>
    <t>creation_amount_gtbcps is: -2566.3700876533985</t>
  </si>
  <si>
    <t xml:space="preserve">total_amount_gtbcps_new is: 100004468.95680346
</t>
  </si>
  <si>
    <t xml:space="preserve"> 100004468.95680346
</t>
  </si>
  <si>
    <t>payout of tranche of gold is: 657.2576311105443</t>
  </si>
  <si>
    <t xml:space="preserve"> payout of tranche of Treausry Bill Option is: 128.6512195661705</t>
  </si>
  <si>
    <t xml:space="preserve"> payout of tranche of Collar of REIT is: 102.40375023804684
</t>
  </si>
  <si>
    <t xml:space="preserve"> 102.40375023804684
</t>
  </si>
  <si>
    <t>Collateral size of tranche of gold is: 79991327.06604685</t>
  </si>
  <si>
    <t xml:space="preserve"> collateral size of tranche of Treausry Bill Option is: 39996343.72626368</t>
  </si>
  <si>
    <t xml:space="preserve"> collateral size of tranche of Collar of REIT is: 29939111.775031026
</t>
  </si>
  <si>
    <t xml:space="preserve"> 29939111.775031026
</t>
  </si>
  <si>
    <t>Collateral ratio of tranche of gold is: 0.7998927433697256</t>
  </si>
  <si>
    <t xml:space="preserve"> collateral ratio of tranche of Treausry Bill Option is: 0.39995317344271486</t>
  </si>
  <si>
    <t xml:space="preserve"> collateral ratio of tranche of Collar of REIT is: 0.2993834348067396
</t>
  </si>
  <si>
    <t xml:space="preserve"> 0.2993834348067396
</t>
  </si>
  <si>
    <t xml:space="preserve"> current price of reit option is: 3.9876727749052563</t>
  </si>
  <si>
    <t xml:space="preserve"> predicted price of reit is: 63.561225736772435
</t>
  </si>
  <si>
    <t xml:space="preserve"> 63.561225736772435
</t>
  </si>
  <si>
    <t>value_ratio_gold_to_total is: -1.171537303507962</t>
  </si>
  <si>
    <t xml:space="preserve"> risk_ratio_to_gold is: 0.5514829072313759</t>
  </si>
  <si>
    <t xml:space="preserve"> risk_ratio_to_gold_before is: 0.5502686756924523
</t>
  </si>
  <si>
    <t xml:space="preserve"> 0.5502686756924523
</t>
  </si>
  <si>
    <t>value_ratio_tb_to_total is: 1.0692688692416732</t>
  </si>
  <si>
    <t xml:space="preserve"> risk_ratio_tb_to_gold is: 0.3585469465836805</t>
  </si>
  <si>
    <t xml:space="preserve"> risk_ratio_tb_to_gold_before is: 0.36021896775792306
</t>
  </si>
  <si>
    <t xml:space="preserve"> 0.36021896775792306
</t>
  </si>
  <si>
    <t>value_ratio_reit_to_total is: 1.1022684342662887</t>
  </si>
  <si>
    <t xml:space="preserve"> risk_ratio_reit_to_gold is: 0.45474588060533633</t>
  </si>
  <si>
    <t xml:space="preserve"> risk_ratio_reit_to_gold_before is: 0.45707509998382256
</t>
  </si>
  <si>
    <t xml:space="preserve"> 0.45707509998382256
</t>
  </si>
  <si>
    <t xml:space="preserve"> delta_reit is: 0.9997321002775392
</t>
  </si>
  <si>
    <t xml:space="preserve"> 0.9997321002775392
</t>
  </si>
  <si>
    <t>delta_gold_risk is: 1.000783239420342</t>
  </si>
  <si>
    <t xml:space="preserve"> delta_tb_risk is: 0.9987707705789469</t>
  </si>
  <si>
    <t xml:space="preserve"> delta_reit_risk is: 0.9984014417798286
</t>
  </si>
  <si>
    <t xml:space="preserve"> 0.9984014417798286
</t>
  </si>
  <si>
    <t xml:space="preserve">collateral_ratio_tranche_gold is: 0.7992667261624276
</t>
  </si>
  <si>
    <t xml:space="preserve"> 0.7992667261624276
</t>
  </si>
  <si>
    <t xml:space="preserve">collateral_ratio_tranche_tb is: 0.40044541272556283
</t>
  </si>
  <si>
    <t xml:space="preserve"> 0.40044541272556283
</t>
  </si>
  <si>
    <t xml:space="preserve">collateral_ratio_tranche_reit is: 0.29978244976698365
</t>
  </si>
  <si>
    <t xml:space="preserve"> 0.29978244976698365
</t>
  </si>
  <si>
    <t>Total plot size is: 149918761.8876063</t>
  </si>
  <si>
    <t xml:space="preserve"> plot size of gold is: 79991327.06604685</t>
  </si>
  <si>
    <t xml:space="preserve"> plot size of TB is: 39996343.72626368</t>
  </si>
  <si>
    <t xml:space="preserve"> plot size of REIT is: 29931091.095295772
</t>
  </si>
  <si>
    <t xml:space="preserve"> 29931091.095295772
</t>
  </si>
  <si>
    <t xml:space="preserve">collateral ratio is: 1.499187618876064
</t>
  </si>
  <si>
    <t xml:space="preserve"> 1.499187618876064
</t>
  </si>
  <si>
    <t>S_gtbcps_0 is: 0.9999553124290329</t>
  </si>
  <si>
    <t xml:space="preserve">stdev_gtbcps is: 0.01039521434128717
</t>
  </si>
  <si>
    <t xml:space="preserve"> 0.01039521434128717
</t>
  </si>
  <si>
    <t>predicted price of GTBCPS is: 0.9999527811785076</t>
  </si>
  <si>
    <t xml:space="preserve"> actual price is: 0.9999553124290329
</t>
  </si>
  <si>
    <t xml:space="preserve"> 0.9999553124290329
</t>
  </si>
  <si>
    <t>predicted amount of GTBCPS is: 100004722.10512143</t>
  </si>
  <si>
    <t xml:space="preserve"> actual amount is: 100004468.95680346
</t>
  </si>
  <si>
    <t>plot sizes of gold is: 79991327.06604685</t>
  </si>
  <si>
    <t xml:space="preserve"> plot sizes of tb is: 39996343.72626368 </t>
  </si>
  <si>
    <t xml:space="preserve"> plot sizes of reit is: 29931091.095295772</t>
  </si>
  <si>
    <t xml:space="preserve"> plot sizes of total is: 149918761.88760632.
</t>
  </si>
  <si>
    <t xml:space="preserve"> 149918761.88760632.
</t>
  </si>
  <si>
    <t>predicted stdevs of gold is: 0.00994641922643721</t>
  </si>
  <si>
    <t xml:space="preserve"> predicted stdevs of tb is: 0.0026495587877918172</t>
  </si>
  <si>
    <t xml:space="preserve"> predicted stdevs of reit is: 0.021944997729397054</t>
  </si>
  <si>
    <t xml:space="preserve"> predicted stdevs of GTBCPS is: 0.01039521434128717.
</t>
  </si>
  <si>
    <t xml:space="preserve"> 0.01039521434128717.
</t>
  </si>
  <si>
    <t>total_value_of_collaterals is: 149918674.25104603</t>
  </si>
  <si>
    <t xml:space="preserve"> createdtionValue_gold is: 202.48696639111535</t>
  </si>
  <si>
    <t xml:space="preserve"> createdValue_tb is: 101.24525701273676</t>
  </si>
  <si>
    <t xml:space="preserve"> createdValue_reit is: 75.7664584705746
</t>
  </si>
  <si>
    <t xml:space="preserve"> 75.7664584705746
</t>
  </si>
  <si>
    <t>plotValue_gold_after_creation is: 79991057.04662244</t>
  </si>
  <si>
    <t xml:space="preserve"> plotValue_tb_after_creation  is: 39996229.25735692</t>
  </si>
  <si>
    <t xml:space="preserve"> plotValue_reit_after_creation  is: 29931008.448384803</t>
  </si>
  <si>
    <t xml:space="preserve">total_value_after_creation is: 149918294.75236416
</t>
  </si>
  <si>
    <t xml:space="preserve"> 149918294.75236416
</t>
  </si>
  <si>
    <t>total_amount_gtncps_before_creation is: 100004468.95680346</t>
  </si>
  <si>
    <t>creation_amount_gtbcps is: 253.14831797778606</t>
  </si>
  <si>
    <t xml:space="preserve">total_amount_gtbcps_new is: 100004722.10512143
</t>
  </si>
  <si>
    <t xml:space="preserve"> 100004722.10512143
</t>
  </si>
  <si>
    <t>payout of tranche of gold is: -67.53245802382459</t>
  </si>
  <si>
    <t xml:space="preserve"> payout of tranche of Treausry Bill Option is: -13.223649745611949</t>
  </si>
  <si>
    <t xml:space="preserve"> payout of tranche of Collar of REIT is: -6.880452499964921
</t>
  </si>
  <si>
    <t xml:space="preserve"> -6.880452499964921
</t>
  </si>
  <si>
    <t>Collateral size of tranche of gold is: 79991057.04662244</t>
  </si>
  <si>
    <t xml:space="preserve"> collateral size of tranche of Treausry Bill Option is: 39996229.25735692</t>
  </si>
  <si>
    <t xml:space="preserve"> collateral size of tranche of Collar of REIT is: 29931008.448384803
</t>
  </si>
  <si>
    <t xml:space="preserve"> 29931008.448384803
</t>
  </si>
  <si>
    <t>Collateral ratio of tranche of gold is: 0.7999125953358887</t>
  </si>
  <si>
    <t xml:space="preserve"> collateral ratio of tranche of Treausry Bill Option is: 0.39996330502613947</t>
  </si>
  <si>
    <t xml:space="preserve"> collateral ratio of tranche of Collar of REIT is: 0.29931084214843284
</t>
  </si>
  <si>
    <t xml:space="preserve"> 0.29931084214843284
</t>
  </si>
  <si>
    <t xml:space="preserve"> current price of reit option is: 3.9858861860599504</t>
  </si>
  <si>
    <t xml:space="preserve"> predicted price of reit is: 63.49575047889567
</t>
  </si>
  <si>
    <t xml:space="preserve"> 63.49575047889567
</t>
  </si>
  <si>
    <t>value_ratio_gold_to_total is: -1.190523770715359</t>
  </si>
  <si>
    <t xml:space="preserve"> risk_ratio_to_gold is: 0.5510840152510733</t>
  </si>
  <si>
    <t xml:space="preserve"> risk_ratio_to_gold_before is: 0.5514829072313759
</t>
  </si>
  <si>
    <t xml:space="preserve"> 0.5514829072313759
</t>
  </si>
  <si>
    <t>value_ratio_tb_to_total is: 1.0865979276173288</t>
  </si>
  <si>
    <t xml:space="preserve"> risk_ratio_tb_to_gold is: 0.3591300162319875</t>
  </si>
  <si>
    <t xml:space="preserve"> risk_ratio_tb_to_gold_before is: 0.3585469465836805
</t>
  </si>
  <si>
    <t xml:space="preserve"> 0.3585469465836805
</t>
  </si>
  <si>
    <t>value_ratio_reit_to_total is: 1.1039258430980303</t>
  </si>
  <si>
    <t xml:space="preserve"> risk_ratio_reit_to_gold is: 0.45547532945999575</t>
  </si>
  <si>
    <t xml:space="preserve"> risk_ratio_reit_to_gold_before is: 0.45474588060533633
</t>
  </si>
  <si>
    <t xml:space="preserve"> 0.45474588060533633
</t>
  </si>
  <si>
    <t xml:space="preserve"> delta_reit is: 0.9999732897143646
</t>
  </si>
  <si>
    <t xml:space="preserve"> 0.9999732897143646
</t>
  </si>
  <si>
    <t>delta_gold_risk is: 0.9997428963100764</t>
  </si>
  <si>
    <t xml:space="preserve"> delta_tb_risk is: 1.0004291862344346</t>
  </si>
  <si>
    <t xml:space="preserve"> delta_reit_risk is: 1.0005014269944905
</t>
  </si>
  <si>
    <t xml:space="preserve"> 1.0005014269944905
</t>
  </si>
  <si>
    <t xml:space="preserve">collateral_ratio_tranche_gold is: 0.8001183087054322
</t>
  </si>
  <si>
    <t xml:space="preserve"> 0.8001183087054322
</t>
  </si>
  <si>
    <t xml:space="preserve">collateral_ratio_tranche_tb is: 0.3997917199233075
</t>
  </si>
  <si>
    <t xml:space="preserve"> 0.3997917199233075
</t>
  </si>
  <si>
    <t xml:space="preserve">collateral_ratio_tranche_reit is: 0.29915284415880544
</t>
  </si>
  <si>
    <t xml:space="preserve"> 0.29915284415880544
</t>
  </si>
  <si>
    <t>Total plot size is: 149917495.28657916</t>
  </si>
  <si>
    <t xml:space="preserve"> plot size of gold is: 79991057.04662244</t>
  </si>
  <si>
    <t xml:space="preserve"> plot size of TB is: 39996229.25735692</t>
  </si>
  <si>
    <t xml:space="preserve"> plot size of REIT is: 29930208.98259979
</t>
  </si>
  <si>
    <t xml:space="preserve"> 29930208.98259979
</t>
  </si>
  <si>
    <t xml:space="preserve">collateral ratio is: 1.4991749528657923
</t>
  </si>
  <si>
    <t xml:space="preserve"> 1.4991749528657923
</t>
  </si>
  <si>
    <t>S_gtbcps_0 is: 0.9999527811785076</t>
  </si>
  <si>
    <t xml:space="preserve">stdev_gtbcps is: 0.010413100936309518
</t>
  </si>
  <si>
    <t xml:space="preserve"> 0.010413100936309518
</t>
  </si>
  <si>
    <t>predicted price of GTBCPS is: 0.999927266564506</t>
  </si>
  <si>
    <t xml:space="preserve"> actual price is: 0.9999527811785076
</t>
  </si>
  <si>
    <t xml:space="preserve"> 0.9999527811785076
</t>
  </si>
  <si>
    <t>predicted amount of GTBCPS is: 100007273.87260309</t>
  </si>
  <si>
    <t xml:space="preserve"> actual amount is: 100004722.10512143
</t>
  </si>
  <si>
    <t>plot sizes of gold is: 79991057.04662244</t>
  </si>
  <si>
    <t xml:space="preserve"> plot sizes of tb is: 39996229.25735692 </t>
  </si>
  <si>
    <t xml:space="preserve"> plot sizes of reit is: 29930208.98259979</t>
  </si>
  <si>
    <t xml:space="preserve"> plot sizes of total is: 149917495.28657916.
</t>
  </si>
  <si>
    <t xml:space="preserve"> 149917495.28657916.
</t>
  </si>
  <si>
    <t>predicted stdevs of gold is: 0.009970647958927726</t>
  </si>
  <si>
    <t xml:space="preserve"> predicted stdevs of tb is: 0.00265821813730053</t>
  </si>
  <si>
    <t xml:space="preserve"> predicted stdevs of reit is: 0.021958571662831525</t>
  </si>
  <si>
    <t xml:space="preserve"> predicted stdevs of GTBCPS is: 0.010413100936309518.
</t>
  </si>
  <si>
    <t xml:space="preserve"> 0.010413100936309518.
</t>
  </si>
  <si>
    <t>total_value_of_collaterals is: 149916612.19657603</t>
  </si>
  <si>
    <t xml:space="preserve"> createdtionValue_gold is: 2041.0199499170594</t>
  </si>
  <si>
    <t xml:space="preserve"> createdValue_tb is: 1020.5331429609791</t>
  </si>
  <si>
    <t xml:space="preserve"> createdValue_reit is: 763.6920232963397
</t>
  </si>
  <si>
    <t xml:space="preserve"> 763.6920232963397
</t>
  </si>
  <si>
    <t>plotValue_gold_after_creation is: 79988335.28911228</t>
  </si>
  <si>
    <t xml:space="preserve"> plotValue_tb_after_creation  is: 39995075.60723822</t>
  </si>
  <si>
    <t xml:space="preserve"> plotValue_reit_after_creation  is: 29929376.05510937</t>
  </si>
  <si>
    <t xml:space="preserve">total_value_after_creation is: 149912786.95145988
</t>
  </si>
  <si>
    <t xml:space="preserve"> 149912786.95145988
</t>
  </si>
  <si>
    <t>total_amount_gtncps_before_creation is: 100004722.10512143</t>
  </si>
  <si>
    <t>creation_amount_gtbcps is: 2551.7674816548824</t>
  </si>
  <si>
    <t xml:space="preserve">total_amount_gtbcps_new is: 100007273.87260309
</t>
  </si>
  <si>
    <t xml:space="preserve"> 100007273.87260309
</t>
  </si>
  <si>
    <t>payout of tranche of gold is: -680.7375602377489</t>
  </si>
  <si>
    <t xml:space="preserve"> payout of tranche of Treausry Bill Option is: -133.1169757379367</t>
  </si>
  <si>
    <t xml:space="preserve"> payout of tranche of Collar of REIT is: -69.23546712328593
</t>
  </si>
  <si>
    <t xml:space="preserve"> -69.23546712328593
</t>
  </si>
  <si>
    <t>Collateral size of tranche of gold is: 79988335.28911228</t>
  </si>
  <si>
    <t xml:space="preserve"> collateral size of tranche of Treausry Bill Option is: 39995075.60723822</t>
  </si>
  <si>
    <t xml:space="preserve"> collateral size of tranche of Collar of REIT is: 29929376.05510937
</t>
  </si>
  <si>
    <t xml:space="preserve"> 29929376.05510937
</t>
  </si>
  <si>
    <t>Collateral ratio of tranche of gold is: 0.7999037630906224</t>
  </si>
  <si>
    <t xml:space="preserve"> collateral ratio of tranche of Treausry Bill Option is: 0.399960961403812</t>
  </si>
  <si>
    <t xml:space="preserve"> collateral ratio of tranche of Collar of REIT is: 0.2993013974713268
</t>
  </si>
  <si>
    <t xml:space="preserve"> 0.2993013974713268
</t>
  </si>
  <si>
    <t xml:space="preserve"> current price of reit option is: 3.9836767999674336</t>
  </si>
  <si>
    <t xml:space="preserve"> predicted price of reit is: 63.44775566812955
</t>
  </si>
  <si>
    <t xml:space="preserve"> 63.44775566812955
</t>
  </si>
  <si>
    <t>value_ratio_gold_to_total is: -1.2051012629997884</t>
  </si>
  <si>
    <t xml:space="preserve"> risk_ratio_to_gold is: 0.5537936883997882</t>
  </si>
  <si>
    <t xml:space="preserve"> risk_ratio_to_gold_before is: 0.5510840152510733
</t>
  </si>
  <si>
    <t xml:space="preserve"> 0.5510840152510733
</t>
  </si>
  <si>
    <t>value_ratio_tb_to_total is: 1.099902889093739</t>
  </si>
  <si>
    <t xml:space="preserve"> risk_ratio_tb_to_gold is: 0.35524070409368474</t>
  </si>
  <si>
    <t xml:space="preserve"> risk_ratio_tb_to_gold_before is: 0.3591300162319875
</t>
  </si>
  <si>
    <t xml:space="preserve"> 0.3591300162319875
</t>
  </si>
  <si>
    <t>value_ratio_reit_to_total is: 1.1051983739060494</t>
  </si>
  <si>
    <t xml:space="preserve"> risk_ratio_reit_to_gold is: 0.45048590664026045</t>
  </si>
  <si>
    <t xml:space="preserve"> risk_ratio_reit_to_gold_before is: 0.45547532945999575
</t>
  </si>
  <si>
    <t xml:space="preserve"> 0.45547532945999575
</t>
  </si>
  <si>
    <t xml:space="preserve"> delta_reit is: 0.999966967828065
</t>
  </si>
  <si>
    <t xml:space="preserve"> 0.999966967828065
</t>
  </si>
  <si>
    <t>delta_gold_risk is: 1.001746954466729</t>
  </si>
  <si>
    <t xml:space="preserve"> delta_tb_risk is: 0.9971383811027252</t>
  </si>
  <si>
    <t xml:space="preserve"> delta_reit_risk is: 0.9965719633175875
</t>
  </si>
  <si>
    <t xml:space="preserve"> 0.9965719633175875
</t>
  </si>
  <si>
    <t xml:space="preserve">collateral_ratio_tranche_gold is: 0.7985088045677603
</t>
  </si>
  <si>
    <t xml:space="preserve"> 0.7985088045677603
</t>
  </si>
  <si>
    <t xml:space="preserve">collateral_ratio_tranche_tb is: 0.4011087818738851
</t>
  </si>
  <si>
    <t xml:space="preserve"> 0.4011087818738851
</t>
  </si>
  <si>
    <t xml:space="preserve">collateral_ratio_tranche_reit is: 0.30032102237731423
</t>
  </si>
  <si>
    <t xml:space="preserve"> 0.30032102237731423
</t>
  </si>
  <si>
    <t>Total plot size is: 149911798.3191641</t>
  </si>
  <si>
    <t xml:space="preserve"> plot size of gold is: 79988335.28911228</t>
  </si>
  <si>
    <t xml:space="preserve"> plot size of TB is: 39995075.60723822</t>
  </si>
  <si>
    <t xml:space="preserve"> plot size of REIT is: 29928387.422813613
</t>
  </si>
  <si>
    <t xml:space="preserve"> 29928387.422813613
</t>
  </si>
  <si>
    <t xml:space="preserve">collateral ratio is: 1.4991179831916417
</t>
  </si>
  <si>
    <t xml:space="preserve"> 1.4991179831916417
</t>
  </si>
  <si>
    <t>S_gtbcps_0 is: 0.999927266564506</t>
  </si>
  <si>
    <t xml:space="preserve">stdev_gtbcps is: 0.010443124320202791
</t>
  </si>
  <si>
    <t xml:space="preserve"> 0.010443124320202791
</t>
  </si>
  <si>
    <t>predicted price of GTBCPS is: 0.9999831391344932</t>
  </si>
  <si>
    <t xml:space="preserve"> actual price is: 0.999927266564506
</t>
  </si>
  <si>
    <t xml:space="preserve"> 0.999927266564506
</t>
  </si>
  <si>
    <t>predicted amount of GTBCPS is: 100001686.11498001</t>
  </si>
  <si>
    <t xml:space="preserve"> actual amount is: 100007273.87260309
</t>
  </si>
  <si>
    <t>plot sizes of gold is: 79988335.28911228</t>
  </si>
  <si>
    <t xml:space="preserve"> plot sizes of tb is: 39995075.60723822 </t>
  </si>
  <si>
    <t xml:space="preserve"> plot sizes of reit is: 29928387.422813613</t>
  </si>
  <si>
    <t xml:space="preserve"> plot sizes of total is: 149911798.31916413.
</t>
  </si>
  <si>
    <t xml:space="preserve"> 149911798.31916413.
</t>
  </si>
  <si>
    <t>predicted stdevs of gold is: 0.01002872276967528</t>
  </si>
  <si>
    <t xml:space="preserve"> predicted stdevs of tb is: 0.0026423176475208637</t>
  </si>
  <si>
    <t xml:space="preserve"> predicted stdevs of reit is: 0.021975357512833568</t>
  </si>
  <si>
    <t xml:space="preserve"> predicted stdevs of GTBCPS is: 0.010443124320202791.
</t>
  </si>
  <si>
    <t xml:space="preserve"> 0.010443124320202791.
</t>
  </si>
  <si>
    <t>total_value_of_collaterals is: 149913733.29022044</t>
  </si>
  <si>
    <t xml:space="preserve"> createdtionValue_gold is: -4469.558903610063</t>
  </si>
  <si>
    <t xml:space="preserve"> createdValue_tb is: -2234.8058836963714</t>
  </si>
  <si>
    <t xml:space="preserve"> createdValue_reit is: -1672.31003228738
</t>
  </si>
  <si>
    <t xml:space="preserve"> -1672.31003228738
</t>
  </si>
  <si>
    <t>plotValue_gold_after_creation is: 79994235.88401203</t>
  </si>
  <si>
    <t xml:space="preserve"> plotValue_tb_after_creation  is: 39997591.00858738</t>
  </si>
  <si>
    <t xml:space="preserve"> plotValue_reit_after_creation  is: 29930283.072440606</t>
  </si>
  <si>
    <t xml:space="preserve">total_value_after_creation is: 149922109.96504
</t>
  </si>
  <si>
    <t xml:space="preserve"> 149922109.96504
</t>
  </si>
  <si>
    <t>total_amount_gtncps_before_creation is: 100007273.87260309</t>
  </si>
  <si>
    <t>creation_amount_gtbcps is: -5587.757623076439</t>
  </si>
  <si>
    <t xml:space="preserve">total_amount_gtbcps_new is: 100001686.11498001
</t>
  </si>
  <si>
    <t xml:space="preserve"> 100001686.11498001
</t>
  </si>
  <si>
    <t>payout of tranche of gold is: 1431.0359961425363</t>
  </si>
  <si>
    <t xml:space="preserve"> payout of tranche of Treausry Bill Option is: 280.5954654677348</t>
  </si>
  <si>
    <t xml:space="preserve"> payout of tranche of Collar of REIT is: 223.3395947076261
</t>
  </si>
  <si>
    <t xml:space="preserve"> 223.3395947076261
</t>
  </si>
  <si>
    <t>Collateral size of tranche of gold is: 79994235.88401203</t>
  </si>
  <si>
    <t xml:space="preserve"> collateral size of tranche of Treausry Bill Option is: 39997591.00858738</t>
  </si>
  <si>
    <t xml:space="preserve"> collateral size of tranche of Collar of REIT is: 29930283.072440606
</t>
  </si>
  <si>
    <t xml:space="preserve"> 29930283.072440606
</t>
  </si>
  <si>
    <t>Collateral ratio of tranche of gold is: 0.7998976632510845</t>
  </si>
  <si>
    <t xml:space="preserve"> collateral ratio of tranche of Treausry Bill Option is: 0.39995356202703697</t>
  </si>
  <si>
    <t xml:space="preserve"> collateral ratio of tranche of Collar of REIT is: 0.2992861076240833
</t>
  </si>
  <si>
    <t xml:space="preserve"> 0.2992861076240833
</t>
  </si>
  <si>
    <t xml:space="preserve"> current price of reit option is: 3.9645551123258045</t>
  </si>
  <si>
    <t xml:space="preserve"> predicted price of reit is: 63.33579210333028
</t>
  </si>
  <si>
    <t xml:space="preserve"> 63.33579210333028
</t>
  </si>
  <si>
    <t>value_ratio_gold_to_total is: -1.2449022471401523</t>
  </si>
  <si>
    <t xml:space="preserve"> risk_ratio_to_gold is: 0.55345075840491</t>
  </si>
  <si>
    <t xml:space="preserve"> risk_ratio_to_gold_before is: 0.5537936883997882
</t>
  </si>
  <si>
    <t xml:space="preserve"> 0.5537936883997882
</t>
  </si>
  <si>
    <t>value_ratio_tb_to_total is: 1.1362294773970225</t>
  </si>
  <si>
    <t xml:space="preserve"> risk_ratio_tb_to_gold is: 0.3559694354991248</t>
  </si>
  <si>
    <t xml:space="preserve"> risk_ratio_tb_to_gold_before is: 0.35524070409368474
</t>
  </si>
  <si>
    <t xml:space="preserve"> 0.35524070409368474
</t>
  </si>
  <si>
    <t>value_ratio_reit_to_total is: 1.1086727697431298</t>
  </si>
  <si>
    <t xml:space="preserve"> risk_ratio_reit_to_gold is: 0.45087604228480893</t>
  </si>
  <si>
    <t xml:space="preserve"> risk_ratio_reit_to_gold_before is: 0.45048590664026045
</t>
  </si>
  <si>
    <t xml:space="preserve"> 0.45048590664026045
</t>
  </si>
  <si>
    <t xml:space="preserve"> delta_reit is: 0.9997141053160278
</t>
  </si>
  <si>
    <t xml:space="preserve"> 0.9997141053160278
</t>
  </si>
  <si>
    <t>delta_gold_risk is: 0.9997792950264643</t>
  </si>
  <si>
    <t xml:space="preserve"> delta_tb_risk is: 1.0005377136351048</t>
  </si>
  <si>
    <t xml:space="preserve"> delta_reit_risk is: 1.0002689689315578
</t>
  </si>
  <si>
    <t xml:space="preserve"> 1.0002689689315578
</t>
  </si>
  <si>
    <t xml:space="preserve">collateral_ratio_tranche_gold is: 0.8000742436158483
</t>
  </si>
  <si>
    <t xml:space="preserve"> 0.8000742436158483
</t>
  </si>
  <si>
    <t xml:space="preserve">collateral_ratio_tranche_tb is: 0.3997386171221325
</t>
  </si>
  <si>
    <t xml:space="preserve"> 0.3997386171221325
</t>
  </si>
  <si>
    <t xml:space="preserve">collateral_ratio_tranche_reit is: 0.2991200893060987
</t>
  </si>
  <si>
    <t xml:space="preserve"> 0.2991200893060987
</t>
  </si>
  <si>
    <t>Total plot size is: 149913553.05621982</t>
  </si>
  <si>
    <t xml:space="preserve"> plot size of gold is: 79994235.88401203</t>
  </si>
  <si>
    <t xml:space="preserve"> plot size of TB is: 39997591.00858738</t>
  </si>
  <si>
    <t xml:space="preserve"> plot size of REIT is: 29921726.163620412
</t>
  </si>
  <si>
    <t xml:space="preserve"> 29921726.163620412
</t>
  </si>
  <si>
    <t xml:space="preserve">collateral ratio is: 1.4991355305621985
</t>
  </si>
  <si>
    <t xml:space="preserve"> 1.4991355305621985
</t>
  </si>
  <si>
    <t>S_gtbcps_0 is: 0.9999831391344932</t>
  </si>
  <si>
    <t xml:space="preserve">stdev_gtbcps is: 0.01045569645145143
</t>
  </si>
  <si>
    <t xml:space="preserve"> 0.01045569645145143
</t>
  </si>
  <si>
    <t>predicted price of GTBCPS is: 1.0000175589727898</t>
  </si>
  <si>
    <t xml:space="preserve"> actual price is: 0.9999831391344932
</t>
  </si>
  <si>
    <t xml:space="preserve"> 0.9999831391344932
</t>
  </si>
  <si>
    <t>predicted amount of GTBCPS is: 99998244.13355221</t>
  </si>
  <si>
    <t xml:space="preserve"> actual amount is: 100001686.11498001
</t>
  </si>
  <si>
    <t>plot sizes of gold is: 79994235.88401203</t>
  </si>
  <si>
    <t xml:space="preserve"> plot sizes of tb is: 39997591.00858738 </t>
  </si>
  <si>
    <t xml:space="preserve"> plot sizes of reit is: 29921726.163620412</t>
  </si>
  <si>
    <t xml:space="preserve"> plot sizes of total is: 149913553.05621982.
</t>
  </si>
  <si>
    <t xml:space="preserve"> 149913553.05621982.
</t>
  </si>
  <si>
    <t>predicted stdevs of gold is: 0.00999690131204066</t>
  </si>
  <si>
    <t xml:space="preserve"> predicted stdevs of tb is: 0.0026468855231420434</t>
  </si>
  <si>
    <t xml:space="preserve"> predicted stdevs of reit is: 0.022120618136442144</t>
  </si>
  <si>
    <t xml:space="preserve"> predicted stdevs of GTBCPS is: 0.01045569645145143.
</t>
  </si>
  <si>
    <t xml:space="preserve"> 0.01045569645145143.
</t>
  </si>
  <si>
    <t>total_value_of_collaterals is: 149914744.2890482</t>
  </si>
  <si>
    <t xml:space="preserve"> createdtionValue_gold is: -2753.4654387091555</t>
  </si>
  <si>
    <t xml:space="preserve"> createdValue_tb is: -1376.7397620547372</t>
  </si>
  <si>
    <t xml:space="preserve"> createdValue_reit is: -1029.9230601652546
</t>
  </si>
  <si>
    <t xml:space="preserve"> -1029.9230601652546
</t>
  </si>
  <si>
    <t>plotValue_gold_after_creation is: 79997871.08262905</t>
  </si>
  <si>
    <t xml:space="preserve"> plotValue_tb_after_creation  is: 39999140.15656464</t>
  </si>
  <si>
    <t xml:space="preserve"> plotValue_reit_after_creation  is: 29922893.178115442</t>
  </si>
  <si>
    <t xml:space="preserve">total_value_after_creation is: 149919904.41730914
</t>
  </si>
  <si>
    <t xml:space="preserve"> 149919904.41730914
</t>
  </si>
  <si>
    <t>total_amount_gtncps_before_creation is: 100001686.11498001</t>
  </si>
  <si>
    <t>creation_amount_gtbcps is: -3441.9814278036356</t>
  </si>
  <si>
    <t xml:space="preserve">total_amount_gtbcps_new is: 99998244.13355221
</t>
  </si>
  <si>
    <t xml:space="preserve"> 99998244.13355221
</t>
  </si>
  <si>
    <t>payout of tranche of gold is: 881.7331783145208</t>
  </si>
  <si>
    <t xml:space="preserve"> payout of tranche of Treausry Bill Option is: 172.40821520171892</t>
  </si>
  <si>
    <t xml:space="preserve"> payout of tranche of Collar of REIT is: 137.0914348647252
</t>
  </si>
  <si>
    <t xml:space="preserve"> 137.0914348647252
</t>
  </si>
  <si>
    <t>Collateral size of tranche of gold is: 79997871.08262905</t>
  </si>
  <si>
    <t xml:space="preserve"> collateral size of tranche of Treausry Bill Option is: 39999140.15656464</t>
  </si>
  <si>
    <t xml:space="preserve"> collateral size of tranche of Collar of REIT is: 29922893.178115442
</t>
  </si>
  <si>
    <t xml:space="preserve"> 29922893.178115442
</t>
  </si>
  <si>
    <t>Collateral ratio of tranche of gold is: 0.7999511761719037</t>
  </si>
  <si>
    <t xml:space="preserve"> collateral ratio of tranche of Treausry Bill Option is: 0.39997763416802595</t>
  </si>
  <si>
    <t xml:space="preserve"> collateral ratio of tranche of Collar of REIT is: 0.29921863255055287
</t>
  </si>
  <si>
    <t xml:space="preserve"> 0.29921863255055287
</t>
  </si>
  <si>
    <t xml:space="preserve"> current price of reit option is: 3.983063519926155</t>
  </si>
  <si>
    <t xml:space="preserve"> predicted price of reit is: 63.63368144095581
</t>
  </si>
  <si>
    <t xml:space="preserve"> 63.63368144095581
</t>
  </si>
  <si>
    <t>value_ratio_gold_to_total is: -1.152989613710495</t>
  </si>
  <si>
    <t xml:space="preserve"> risk_ratio_to_gold is: 0.5437491024842873</t>
  </si>
  <si>
    <t xml:space="preserve"> risk_ratio_to_gold_before is: 0.55345075840491
</t>
  </si>
  <si>
    <t xml:space="preserve"> 0.55345075840491
</t>
  </si>
  <si>
    <t>value_ratio_tb_to_total is: 1.0523402855445103</t>
  </si>
  <si>
    <t xml:space="preserve"> risk_ratio_tb_to_gold is: 0.36996295888386344</t>
  </si>
  <si>
    <t xml:space="preserve"> risk_ratio_tb_to_gold_before is: 0.3559694354991248
</t>
  </si>
  <si>
    <t xml:space="preserve"> 0.3559694354991248
</t>
  </si>
  <si>
    <t>value_ratio_reit_to_total is: 1.1006493281659846</t>
  </si>
  <si>
    <t xml:space="preserve"> risk_ratio_reit_to_gold is: 0.4691205364841072</t>
  </si>
  <si>
    <t xml:space="preserve"> risk_ratio_reit_to_gold_before is: 0.45087604228480893
</t>
  </si>
  <si>
    <t xml:space="preserve"> 0.45087604228480893
</t>
  </si>
  <si>
    <t xml:space="preserve"> delta_reit is: 1.0002768044679167
</t>
  </si>
  <si>
    <t xml:space="preserve"> 1.0002768044679167
</t>
  </si>
  <si>
    <t>delta_gold_risk is: 0.9937547708750135</t>
  </si>
  <si>
    <t xml:space="preserve"> delta_tb_risk is: 1.010319940124305</t>
  </si>
  <si>
    <t xml:space="preserve"> delta_reit_risk is: 1.0125748125047038
</t>
  </si>
  <si>
    <t xml:space="preserve"> 1.0125748125047038
</t>
  </si>
  <si>
    <t xml:space="preserve">collateral_ratio_tranche_gold is: 0.804978451039321
</t>
  </si>
  <si>
    <t xml:space="preserve"> 0.804978451039321
</t>
  </si>
  <si>
    <t xml:space="preserve">collateral_ratio_tranche_tb is: 0.3958920518967631
</t>
  </si>
  <si>
    <t xml:space="preserve"> 0.3958920518967631
</t>
  </si>
  <si>
    <t xml:space="preserve">collateral_ratio_tranche_reit is: 0.29558453746698976
</t>
  </si>
  <si>
    <t xml:space="preserve"> 0.29558453746698976
</t>
  </si>
  <si>
    <t>Total plot size is: 149928187.20783383</t>
  </si>
  <si>
    <t xml:space="preserve"> plot size of gold is: 79997871.08262905</t>
  </si>
  <si>
    <t xml:space="preserve"> plot size of TB is: 39999140.15656464</t>
  </si>
  <si>
    <t xml:space="preserve"> plot size of REIT is: 29931175.968640137
</t>
  </si>
  <si>
    <t xml:space="preserve"> 29931175.968640137
</t>
  </si>
  <si>
    <t xml:space="preserve">collateral ratio is: 1.4992818720783387
</t>
  </si>
  <si>
    <t xml:space="preserve"> 1.4992818720783387
</t>
  </si>
  <si>
    <t>S_gtbcps_0 is: 1.0000175589727898</t>
  </si>
  <si>
    <t xml:space="preserve">stdev_gtbcps is: 0.010337104531850222
</t>
  </si>
  <si>
    <t xml:space="preserve"> 0.010337104531850222
</t>
  </si>
  <si>
    <t>predicted price of GTBCPS is: 1.000037816925378</t>
  </si>
  <si>
    <t xml:space="preserve"> actual price is: 1.0000175589727898
</t>
  </si>
  <si>
    <t xml:space="preserve"> 1.0000175589727898
</t>
  </si>
  <si>
    <t>predicted amount of GTBCPS is: 99996218.45046873</t>
  </si>
  <si>
    <t xml:space="preserve"> actual amount is: 99998244.13355221
</t>
  </si>
  <si>
    <t>plot sizes of gold is: 79997871.08262905</t>
  </si>
  <si>
    <t xml:space="preserve"> plot sizes of tb is: 39999140.15656464 </t>
  </si>
  <si>
    <t xml:space="preserve"> plot sizes of reit is: 29931175.968640137</t>
  </si>
  <si>
    <t xml:space="preserve"> plot sizes of total is: 149928187.20783383.
</t>
  </si>
  <si>
    <t xml:space="preserve"> 149928187.20783383.
</t>
  </si>
  <si>
    <t>predicted stdevs of gold is: 0.00981725799214719</t>
  </si>
  <si>
    <t xml:space="preserve"> predicted stdevs of tb is: 0.0026644535786511754</t>
  </si>
  <si>
    <t xml:space="preserve"> predicted stdevs of reit is: 0.021980016847772656</t>
  </si>
  <si>
    <t xml:space="preserve"> predicted stdevs of GTBCPS is: 0.010337104531850222.
</t>
  </si>
  <si>
    <t xml:space="preserve"> 0.010337104531850222.
</t>
  </si>
  <si>
    <t>total_value_of_collaterals is: 149928886.90998864</t>
  </si>
  <si>
    <t xml:space="preserve"> createdtionValue_gold is: -1620.5755720492446</t>
  </si>
  <si>
    <t xml:space="preserve"> createdValue_tb is: -810.2885806939894</t>
  </si>
  <si>
    <t xml:space="preserve"> createdValue_reit is: -606.3347998169776
</t>
  </si>
  <si>
    <t xml:space="preserve"> -606.3347998169776
</t>
  </si>
  <si>
    <t>plotValue_gold_after_creation is: 80000032.09420122</t>
  </si>
  <si>
    <t xml:space="preserve"> plotValue_tb_after_creation  is: 40000055.276110336</t>
  </si>
  <si>
    <t xml:space="preserve"> plotValue_reit_after_creation  is: 29931836.738629617</t>
  </si>
  <si>
    <t xml:space="preserve">total_value_after_creation is: 149931924.10894117
</t>
  </si>
  <si>
    <t xml:space="preserve"> 149931924.10894117
</t>
  </si>
  <si>
    <t>total_amount_gtncps_before_creation is: 99998244.13355221</t>
  </si>
  <si>
    <t>creation_amount_gtbcps is: -2025.683083474636</t>
  </si>
  <si>
    <t xml:space="preserve">total_amount_gtbcps_new is: 99996218.45046873
</t>
  </si>
  <si>
    <t xml:space="preserve"> 99996218.45046873
</t>
  </si>
  <si>
    <t>payout of tranche of gold is: 540.4360001302412</t>
  </si>
  <si>
    <t xml:space="preserve"> payout of tranche of Treausry Bill Option is: 104.83096500225881</t>
  </si>
  <si>
    <t xml:space="preserve"> payout of tranche of Collar of REIT is: 54.43518965914762
</t>
  </si>
  <si>
    <t xml:space="preserve"> 54.43518965914762
</t>
  </si>
  <si>
    <t>Collateral size of tranche of gold is: 80000032.09420122</t>
  </si>
  <si>
    <t xml:space="preserve"> collateral size of tranche of Treausry Bill Option is: 40000055.276110336</t>
  </si>
  <si>
    <t xml:space="preserve"> collateral size of tranche of Collar of REIT is: 29931836.738629617
</t>
  </si>
  <si>
    <t xml:space="preserve"> 29931836.738629617
</t>
  </si>
  <si>
    <t>Collateral ratio of tranche of gold is: 0.799984115186292</t>
  </si>
  <si>
    <t xml:space="preserve"> collateral ratio of tranche of Treausry Bill Option is: 0.39999244987529653</t>
  </si>
  <si>
    <t xml:space="preserve"> collateral ratio of tranche of Collar of REIT is: 0.29931230403829806
</t>
  </si>
  <si>
    <t xml:space="preserve"> 0.29931230403829806
</t>
  </si>
  <si>
    <t xml:space="preserve"> current price of reit option is: 3.9838477631031353</t>
  </si>
  <si>
    <t xml:space="preserve"> predicted price of reit is: 63.550448483020126
</t>
  </si>
  <si>
    <t xml:space="preserve"> 63.550448483020126
</t>
  </si>
  <si>
    <t>value_ratio_gold_to_total is: -1.1756075425078425</t>
  </si>
  <si>
    <t xml:space="preserve"> risk_ratio_to_gold is: 0.5433728786685883</t>
  </si>
  <si>
    <t xml:space="preserve"> risk_ratio_to_gold_before is: 0.5437491024842873
</t>
  </si>
  <si>
    <t xml:space="preserve"> 0.5437491024842873
</t>
  </si>
  <si>
    <t>value_ratio_tb_to_total is: 1.072983799905779</t>
  </si>
  <si>
    <t xml:space="preserve"> risk_ratio_tb_to_gold is: 0.3704930818805132</t>
  </si>
  <si>
    <t xml:space="preserve"> risk_ratio_tb_to_gold_before is: 0.36996295888386344
</t>
  </si>
  <si>
    <t xml:space="preserve"> 0.36996295888386344
</t>
  </si>
  <si>
    <t>value_ratio_reit_to_total is: 1.1026237426020635</t>
  </si>
  <si>
    <t xml:space="preserve"> risk_ratio_reit_to_gold is: 0.46986376929371665</t>
  </si>
  <si>
    <t xml:space="preserve"> risk_ratio_reit_to_gold_before is: 0.4691205364841072
</t>
  </si>
  <si>
    <t xml:space="preserve"> 0.4691205364841072
</t>
  </si>
  <si>
    <t xml:space="preserve"> delta_reit is: 1.000011725586953
</t>
  </si>
  <si>
    <t xml:space="preserve"> 1.000011725586953
</t>
  </si>
  <si>
    <t>delta_gold_risk is: 0.9997562921234457</t>
  </si>
  <si>
    <t xml:space="preserve"> delta_tb_risk is: 1.0003869615548449</t>
  </si>
  <si>
    <t xml:space="preserve"> delta_reit_risk is: 1.000505903219751
</t>
  </si>
  <si>
    <t xml:space="preserve"> 1.000505903219751
</t>
  </si>
  <si>
    <t xml:space="preserve">collateral_ratio_tranche_gold is: 0.8001791251417434
</t>
  </si>
  <si>
    <t xml:space="preserve"> 0.8001791251417434
</t>
  </si>
  <si>
    <t xml:space="preserve">collateral_ratio_tranche_tb is: 0.3998377280463661
</t>
  </si>
  <si>
    <t xml:space="preserve"> 0.3998377280463661
</t>
  </si>
  <si>
    <t xml:space="preserve">collateral_ratio_tranche_reit is: 0.29916446538447206
</t>
  </si>
  <si>
    <t xml:space="preserve"> 0.29916446538447206
</t>
  </si>
  <si>
    <t>Total plot size is: 149932275.0772955</t>
  </si>
  <si>
    <t xml:space="preserve"> plot size of gold is: 80000032.09420122</t>
  </si>
  <si>
    <t xml:space="preserve"> plot size of TB is: 40000055.276110336</t>
  </si>
  <si>
    <t xml:space="preserve"> plot size of REIT is: 29932187.706983957
</t>
  </si>
  <si>
    <t xml:space="preserve"> 29932187.706983957
</t>
  </si>
  <si>
    <t xml:space="preserve">collateral ratio is: 1.4993227507729556
</t>
  </si>
  <si>
    <t xml:space="preserve"> 1.4993227507729556
</t>
  </si>
  <si>
    <t>S_gtbcps_0 is: 1.000037816925378</t>
  </si>
  <si>
    <t xml:space="preserve">stdev_gtbcps is: 0.010375978779113348
</t>
  </si>
  <si>
    <t xml:space="preserve"> 0.010375978779113348
</t>
  </si>
  <si>
    <t>predicted price of GTBCPS is: 1.00001591208909</t>
  </si>
  <si>
    <t xml:space="preserve"> actual price is: 1.000037816925378
</t>
  </si>
  <si>
    <t xml:space="preserve"> 1.000037816925378
</t>
  </si>
  <si>
    <t>predicted amount of GTBCPS is: 99998408.81641003</t>
  </si>
  <si>
    <t xml:space="preserve"> actual amount is: 99996218.45046873
</t>
  </si>
  <si>
    <t>plot sizes of gold is: 80000032.09420122</t>
  </si>
  <si>
    <t xml:space="preserve"> plot sizes of tb is: 40000055.276110336 </t>
  </si>
  <si>
    <t xml:space="preserve"> plot sizes of reit is: 29932187.706983957</t>
  </si>
  <si>
    <t xml:space="preserve"> plot sizes of total is: 149932275.0772955.
</t>
  </si>
  <si>
    <t xml:space="preserve"> 149932275.0772955.
</t>
  </si>
  <si>
    <t>predicted stdevs of gold is: 0.009884189710402325</t>
  </si>
  <si>
    <t xml:space="preserve"> predicted stdevs of tb is: 0.0026806703656005876</t>
  </si>
  <si>
    <t xml:space="preserve"> predicted stdevs of reit is: 0.021974058631682423</t>
  </si>
  <si>
    <t xml:space="preserve"> predicted stdevs of GTBCPS is: 0.010375978779113348.
</t>
  </si>
  <si>
    <t xml:space="preserve"> 0.010375978779113348.
</t>
  </si>
  <si>
    <t>total_value_of_collaterals is: 149931516.98662397</t>
  </si>
  <si>
    <t xml:space="preserve"> createdtionValue_gold is: 1752.3090482665189</t>
  </si>
  <si>
    <t xml:space="preserve"> createdValue_tb is: 876.159125207016</t>
  </si>
  <si>
    <t xml:space="preserve"> createdValue_reit is: 655.6329659557905
</t>
  </si>
  <si>
    <t xml:space="preserve"> 655.6329659557905
</t>
  </si>
  <si>
    <t>plotValue_gold_after_creation is: 79997718.68216491</t>
  </si>
  <si>
    <t xml:space="preserve"> plotValue_tb_after_creation  is: 39999069.3927308</t>
  </si>
  <si>
    <t xml:space="preserve"> plotValue_reit_after_creation  is: 29931444.81058882</t>
  </si>
  <si>
    <t xml:space="preserve">total_value_after_creation is: 149928232.88548452
</t>
  </si>
  <si>
    <t xml:space="preserve"> 149928232.88548452
</t>
  </si>
  <si>
    <t>total_amount_gtncps_before_creation is: 99996218.45046873</t>
  </si>
  <si>
    <t>creation_amount_gtbcps is: 2190.365941300988</t>
  </si>
  <si>
    <t xml:space="preserve">total_amount_gtbcps_new is: 99998408.81641003
</t>
  </si>
  <si>
    <t xml:space="preserve"> 99998408.81641003
</t>
  </si>
  <si>
    <t>payout of tranche of gold is: -561.102988048878</t>
  </si>
  <si>
    <t xml:space="preserve"> payout of tranche of Treausry Bill Option is: -109.72425432367703</t>
  </si>
  <si>
    <t xml:space="preserve"> payout of tranche of Collar of REIT is: -87.26342918039329
</t>
  </si>
  <si>
    <t xml:space="preserve"> -87.26342918039329
</t>
  </si>
  <si>
    <t>Collateral size of tranche of gold is: 79997718.68216491</t>
  </si>
  <si>
    <t xml:space="preserve"> collateral size of tranche of Treausry Bill Option is: 39999069.3927308</t>
  </si>
  <si>
    <t xml:space="preserve"> collateral size of tranche of Collar of REIT is: 29931444.81058882
</t>
  </si>
  <si>
    <t xml:space="preserve"> 29931444.81058882
</t>
  </si>
  <si>
    <t>Collateral ratio of tranche of gold is: 0.799994709912132</t>
  </si>
  <si>
    <t xml:space="preserve"> collateral ratio of tranche of Treausry Bill Option is: 0.39999945551856025</t>
  </si>
  <si>
    <t xml:space="preserve"> collateral ratio of tranche of Collar of REIT is: 0.2993210044355479
</t>
  </si>
  <si>
    <t xml:space="preserve"> 0.2993210044355479
</t>
  </si>
  <si>
    <t>current price of gold is: 1170.312</t>
  </si>
  <si>
    <t xml:space="preserve"> predicted price of gold is: 1167.34737295054
</t>
  </si>
  <si>
    <t xml:space="preserve"> 1167.34737295054
</t>
  </si>
  <si>
    <t>current price of reit is: 12.58</t>
  </si>
  <si>
    <t xml:space="preserve"> current price of reit option is: 7.993037131841238</t>
  </si>
  <si>
    <t xml:space="preserve"> predicted price of reit is: 12.733591432751277
</t>
  </si>
  <si>
    <t xml:space="preserve"> 12.733591432751277
</t>
  </si>
  <si>
    <t>value_ratio_gold_to_total is: -0.30589270642539157</t>
  </si>
  <si>
    <t xml:space="preserve"> risk_ratio_to_gold is: 0.6906596658546729</t>
  </si>
  <si>
    <t xml:space="preserve"> risk_ratio_to_gold_before is: 0.5433728786685883
</t>
  </si>
  <si>
    <t xml:space="preserve"> 0.5433728786685883
</t>
  </si>
  <si>
    <t>value_ratio_tb_to_total is: 0.4653167357246123</t>
  </si>
  <si>
    <t xml:space="preserve"> risk_ratio_tb_to_gold is: 0.36296519288342016</t>
  </si>
  <si>
    <t xml:space="preserve"> risk_ratio_tb_to_gold_before is: 0.3704930818805132
</t>
  </si>
  <si>
    <t xml:space="preserve"> 0.3704930818805132
</t>
  </si>
  <si>
    <t>value_ratio_reit_to_total is: 0.8405759707007793</t>
  </si>
  <si>
    <t xml:space="preserve"> risk_ratio_reit_to_gold is: 0.08492593126746932</t>
  </si>
  <si>
    <t xml:space="preserve"> risk_ratio_reit_to_gold_before is: 0.46986376929371665
</t>
  </si>
  <si>
    <t xml:space="preserve"> 0.46986376929371665
</t>
  </si>
  <si>
    <t>delta_gold is: 0.6</t>
  </si>
  <si>
    <t xml:space="preserve"> delta_reit is: 0.30759350455896584
</t>
  </si>
  <si>
    <t xml:space="preserve"> 0.30759350455896584
</t>
  </si>
  <si>
    <t>delta_gold_risk is: 1.0954317580811344</t>
  </si>
  <si>
    <t xml:space="preserve"> delta_tb_risk is: 0.9945071674592011</t>
  </si>
  <si>
    <t xml:space="preserve"> delta_reit_risk is: 0.7381132550731463
</t>
  </si>
  <si>
    <t xml:space="preserve"> 0.7381132550731463
</t>
  </si>
  <si>
    <t xml:space="preserve">collateral_ratio_tranche_gold is: 0.4381804913051715
</t>
  </si>
  <si>
    <t xml:space="preserve"> 0.4381804913051715
</t>
  </si>
  <si>
    <t xml:space="preserve">collateral_ratio_tranche_tb is: 0.6703478677793943
</t>
  </si>
  <si>
    <t xml:space="preserve"> 0.6703478677793943
</t>
  </si>
  <si>
    <t xml:space="preserve">collateral_ratio_tranche_reit is: 0.20789311150115206
</t>
  </si>
  <si>
    <t xml:space="preserve"> 0.20789311150115206
</t>
  </si>
  <si>
    <t>Total plot size is: 97204418.60783204</t>
  </si>
  <si>
    <t xml:space="preserve"> plot size of gold is: 47998631.209298946</t>
  </si>
  <si>
    <t xml:space="preserve"> plot size of TB is: 39999069.3927308</t>
  </si>
  <si>
    <t xml:space="preserve"> plot size of REIT is: 9206718.005802287
</t>
  </si>
  <si>
    <t xml:space="preserve"> 9206718.005802287
</t>
  </si>
  <si>
    <t xml:space="preserve">collateral ratio is: 0.9720441860783208
</t>
  </si>
  <si>
    <t xml:space="preserve"> 0.9720441860783208
</t>
  </si>
  <si>
    <t>S_gtbcps_0 is: 1.00001591208909</t>
  </si>
  <si>
    <t>change_of_collaterals is: -1.1102230246251565e-16</t>
  </si>
  <si>
    <t xml:space="preserve">stdev_gtbcps is: 0.00808511366750753
</t>
  </si>
  <si>
    <t xml:space="preserve"> 0.00808511366750753
</t>
  </si>
  <si>
    <t>predicted price of GTBCPS is: 0.9999992697972255</t>
  </si>
  <si>
    <t xml:space="preserve"> actual price is: 1.00001591208909
</t>
  </si>
  <si>
    <t xml:space="preserve"> 1.00001591208909
</t>
  </si>
  <si>
    <t>predicted amount of GTBCPS is: 100000073.02033073</t>
  </si>
  <si>
    <t xml:space="preserve"> actual amount is: 99998408.81641003
</t>
  </si>
  <si>
    <t>plot sizes of gold is: 47998631.209298946</t>
  </si>
  <si>
    <t xml:space="preserve"> plot sizes of tb is: 39999069.3927308 </t>
  </si>
  <si>
    <t xml:space="preserve"> plot sizes of reit is: 9206718.005802287</t>
  </si>
  <si>
    <t xml:space="preserve"> plot sizes of total is: 97204418.60783203.
</t>
  </si>
  <si>
    <t xml:space="preserve"> 97204418.60783203.
</t>
  </si>
  <si>
    <t>predicted stdevs of gold is: 0.009927548878681844</t>
  </si>
  <si>
    <t xml:space="preserve"> predicted stdevs of tb is: 0.0026447070002872733</t>
  </si>
  <si>
    <t xml:space="preserve"> predicted stdevs of reit is: 0.022115828575602386</t>
  </si>
  <si>
    <t xml:space="preserve"> predicted stdevs of GTBCPS is: 0.00808511366750753.
</t>
  </si>
  <si>
    <t xml:space="preserve"> 0.00808511366750753.
</t>
  </si>
  <si>
    <t>total_value_of_collaterals is: 97203842.418752</t>
  </si>
  <si>
    <t xml:space="preserve"> createdtionValue_gold is: 798.7909035897445</t>
  </si>
  <si>
    <t xml:space="preserve"> createdValue_tb is: 665.6598965947597</t>
  </si>
  <si>
    <t xml:space="preserve"> createdValue_reit is: 153.2181751846037
</t>
  </si>
  <si>
    <t xml:space="preserve"> 153.2181751846037
</t>
  </si>
  <si>
    <t>plotValue_gold_after_creation is: 47997615.16171205</t>
  </si>
  <si>
    <t xml:space="preserve"> plotValue_tb_after_creation  is: 39998061.322127596</t>
  </si>
  <si>
    <t xml:space="preserve"> plotValue_reit_after_creation  is: 9206548.26593697</t>
  </si>
  <si>
    <t xml:space="preserve">total_value_after_creation is: 97202224.74977662
</t>
  </si>
  <si>
    <t xml:space="preserve"> 97202224.74977662
</t>
  </si>
  <si>
    <t>total_amount_gtncps_before_creation is: 99998408.81641003</t>
  </si>
  <si>
    <t>creation_amount_gtbcps is: 1664.2039206922054</t>
  </si>
  <si>
    <t xml:space="preserve">total_amount_gtbcps_new is: 100000073.02033073
</t>
  </si>
  <si>
    <t xml:space="preserve"> 100000073.02033073
</t>
  </si>
  <si>
    <t>payout of tranche of gold is: -217.25668330202228</t>
  </si>
  <si>
    <t xml:space="preserve"> payout of tranche of Treausry Bill Option is: -342.41070660681834</t>
  </si>
  <si>
    <t xml:space="preserve"> payout of tranche of Collar of REIT is: -16.521690131876163
</t>
  </si>
  <si>
    <t xml:space="preserve"> -16.521690131876163
</t>
  </si>
  <si>
    <t>Collateral size of tranche of gold is: 47997615.16171205</t>
  </si>
  <si>
    <t xml:space="preserve"> collateral size of tranche of Treausry Bill Option is: 39998061.322127596</t>
  </si>
  <si>
    <t xml:space="preserve"> collateral size of tranche of Collar of REIT is: 9206548.26593697
</t>
  </si>
  <si>
    <t xml:space="preserve"> 9206548.26593697
</t>
  </si>
  <si>
    <t>Collateral ratio of tranche of gold is: 0.47998413952615665</t>
  </si>
  <si>
    <t xml:space="preserve"> collateral ratio of tranche of Treausry Bill Option is: 0.39998726982024213</t>
  </si>
  <si>
    <t xml:space="preserve"> collateral ratio of tranche of Collar of REIT is: 0.09206701484112159
</t>
  </si>
  <si>
    <t xml:space="preserve"> 0.09206701484112159
</t>
  </si>
  <si>
    <t>min</t>
  </si>
  <si>
    <t>max</t>
  </si>
  <si>
    <t>average</t>
  </si>
  <si>
    <t>stdev</t>
  </si>
  <si>
    <t>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</si>
</sst>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6" formatCode="_(* #,##0.00000_);_(* \(#,##0.00000\);_(* &quot;-&quot;??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11" fontId="0" fillId="0" borderId="0" xfId="0" applyNumberFormat="1"/>
    <xf numFmtId="43" fontId="0" fillId="0" borderId="0" xfId="42" applyFont="1"/>
    <xf numFmtId="166" fontId="0" fillId="0" borderId="0" xfId="42" applyNumberFormat="1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38422-8683-4491-B717-CABD008DD209}">
  <sheetPr filterMode="1"/>
  <dimension ref="A1:D2063"/>
  <sheetViews>
    <sheetView topLeftCell="A871" workbookViewId="0">
      <selection activeCell="D112" sqref="D112:D2044"/>
    </sheetView>
  </sheetViews>
  <sheetFormatPr defaultRowHeight="14.4" x14ac:dyDescent="0.3"/>
  <sheetData>
    <row r="1" spans="1:4" x14ac:dyDescent="0.3">
      <c r="B1" t="s">
        <v>0</v>
      </c>
      <c r="C1" t="s">
        <v>1</v>
      </c>
      <c r="D1" t="s">
        <v>2</v>
      </c>
    </row>
    <row r="2" spans="1:4" hidden="1" x14ac:dyDescent="0.3">
      <c r="A2">
        <v>0</v>
      </c>
      <c r="B2" s="1" t="s">
        <v>3</v>
      </c>
      <c r="C2" t="s">
        <v>4</v>
      </c>
      <c r="D2" t="s">
        <v>5</v>
      </c>
    </row>
    <row r="3" spans="1:4" hidden="1" x14ac:dyDescent="0.3">
      <c r="A3">
        <v>1</v>
      </c>
      <c r="B3" t="s">
        <v>6</v>
      </c>
      <c r="C3" t="s">
        <v>7</v>
      </c>
      <c r="D3">
        <v>1950.52</v>
      </c>
    </row>
    <row r="4" spans="1:4" hidden="1" x14ac:dyDescent="0.3">
      <c r="A4">
        <v>2</v>
      </c>
      <c r="B4" t="s">
        <v>8</v>
      </c>
      <c r="C4" t="s">
        <v>9</v>
      </c>
      <c r="D4">
        <v>1945.5789549175599</v>
      </c>
    </row>
    <row r="5" spans="1:4" hidden="1" x14ac:dyDescent="0.3">
      <c r="A5">
        <v>3</v>
      </c>
      <c r="B5" s="1" t="s">
        <v>10</v>
      </c>
      <c r="C5" t="s">
        <v>11</v>
      </c>
      <c r="D5" s="1" t="s">
        <v>12</v>
      </c>
    </row>
    <row r="6" spans="1:4" hidden="1" x14ac:dyDescent="0.3">
      <c r="A6">
        <v>4</v>
      </c>
      <c r="B6" t="s">
        <v>13</v>
      </c>
      <c r="C6" t="s">
        <v>14</v>
      </c>
      <c r="D6">
        <v>90.82421875</v>
      </c>
    </row>
    <row r="7" spans="1:4" hidden="1" x14ac:dyDescent="0.3">
      <c r="A7">
        <v>5</v>
      </c>
      <c r="B7" t="s">
        <v>15</v>
      </c>
      <c r="C7" t="s">
        <v>16</v>
      </c>
      <c r="D7">
        <v>4.2527792330373497</v>
      </c>
    </row>
    <row r="8" spans="1:4" hidden="1" x14ac:dyDescent="0.3">
      <c r="A8">
        <v>6</v>
      </c>
      <c r="B8" t="s">
        <v>17</v>
      </c>
      <c r="C8" t="s">
        <v>18</v>
      </c>
      <c r="D8">
        <v>91.0811599265013</v>
      </c>
    </row>
    <row r="9" spans="1:4" hidden="1" x14ac:dyDescent="0.3">
      <c r="A9">
        <v>7</v>
      </c>
      <c r="B9" s="1" t="s">
        <v>19</v>
      </c>
      <c r="C9" t="s">
        <v>11</v>
      </c>
      <c r="D9" s="1" t="s">
        <v>20</v>
      </c>
    </row>
    <row r="10" spans="1:4" hidden="1" x14ac:dyDescent="0.3">
      <c r="A10">
        <v>8</v>
      </c>
      <c r="B10" t="s">
        <v>21</v>
      </c>
      <c r="C10" t="s">
        <v>22</v>
      </c>
      <c r="D10">
        <v>62.9</v>
      </c>
    </row>
    <row r="11" spans="1:4" hidden="1" x14ac:dyDescent="0.3">
      <c r="A11">
        <v>9</v>
      </c>
      <c r="B11" t="s">
        <v>23</v>
      </c>
      <c r="C11" t="s">
        <v>24</v>
      </c>
      <c r="D11">
        <v>4.1360229205293901</v>
      </c>
    </row>
    <row r="12" spans="1:4" hidden="1" x14ac:dyDescent="0.3">
      <c r="A12">
        <v>10</v>
      </c>
      <c r="B12" t="s">
        <v>25</v>
      </c>
      <c r="C12" t="s">
        <v>26</v>
      </c>
      <c r="D12">
        <v>63.406852552604001</v>
      </c>
    </row>
    <row r="13" spans="1:4" hidden="1" x14ac:dyDescent="0.3">
      <c r="A13">
        <v>11</v>
      </c>
      <c r="B13" s="1" t="s">
        <v>27</v>
      </c>
      <c r="C13" t="s">
        <v>11</v>
      </c>
      <c r="D13" s="1" t="s">
        <v>28</v>
      </c>
    </row>
    <row r="14" spans="1:4" hidden="1" x14ac:dyDescent="0.3">
      <c r="A14">
        <v>12</v>
      </c>
      <c r="B14" t="s">
        <v>29</v>
      </c>
      <c r="C14" t="s">
        <v>30</v>
      </c>
      <c r="D14">
        <v>1.0707980559757599</v>
      </c>
    </row>
    <row r="15" spans="1:4" hidden="1" x14ac:dyDescent="0.3">
      <c r="A15">
        <v>13</v>
      </c>
      <c r="B15" s="1" t="s">
        <v>31</v>
      </c>
      <c r="C15" t="s">
        <v>32</v>
      </c>
      <c r="D15" s="1" t="s">
        <v>33</v>
      </c>
    </row>
    <row r="16" spans="1:4" hidden="1" x14ac:dyDescent="0.3">
      <c r="A16">
        <v>14</v>
      </c>
      <c r="B16" t="s">
        <v>34</v>
      </c>
      <c r="C16" t="s">
        <v>35</v>
      </c>
      <c r="D16">
        <v>-1.17321274675198</v>
      </c>
    </row>
    <row r="17" spans="1:4" hidden="1" x14ac:dyDescent="0.3">
      <c r="A17">
        <v>15</v>
      </c>
      <c r="B17" s="1" t="s">
        <v>36</v>
      </c>
      <c r="C17" t="s">
        <v>37</v>
      </c>
      <c r="D17" s="1" t="s">
        <v>38</v>
      </c>
    </row>
    <row r="18" spans="1:4" hidden="1" x14ac:dyDescent="0.3">
      <c r="A18">
        <v>16</v>
      </c>
      <c r="B18" t="s">
        <v>39</v>
      </c>
      <c r="C18" t="s">
        <v>40</v>
      </c>
      <c r="D18">
        <v>1.10241469077622</v>
      </c>
    </row>
    <row r="19" spans="1:4" hidden="1" x14ac:dyDescent="0.3">
      <c r="A19">
        <v>17</v>
      </c>
      <c r="B19" s="1" t="s">
        <v>41</v>
      </c>
      <c r="C19" t="s">
        <v>42</v>
      </c>
      <c r="D19" s="1" t="s">
        <v>43</v>
      </c>
    </row>
    <row r="20" spans="1:4" hidden="1" x14ac:dyDescent="0.3">
      <c r="A20">
        <v>18</v>
      </c>
      <c r="B20" t="s">
        <v>44</v>
      </c>
      <c r="C20" t="s">
        <v>45</v>
      </c>
      <c r="D20">
        <v>7.4953193587132096E-3</v>
      </c>
    </row>
    <row r="21" spans="1:4" hidden="1" x14ac:dyDescent="0.3">
      <c r="A21">
        <v>19</v>
      </c>
      <c r="B21" t="s">
        <v>46</v>
      </c>
      <c r="C21" t="s">
        <v>47</v>
      </c>
      <c r="D21">
        <v>1.05358428292971</v>
      </c>
    </row>
    <row r="22" spans="1:4" hidden="1" x14ac:dyDescent="0.3">
      <c r="A22">
        <v>20</v>
      </c>
      <c r="B22" s="1" t="s">
        <v>48</v>
      </c>
      <c r="C22" t="s">
        <v>49</v>
      </c>
      <c r="D22" s="1" t="s">
        <v>50</v>
      </c>
    </row>
    <row r="23" spans="1:4" hidden="1" x14ac:dyDescent="0.3">
      <c r="A23">
        <v>21</v>
      </c>
      <c r="B23" t="s">
        <v>29</v>
      </c>
      <c r="C23" t="s">
        <v>30</v>
      </c>
      <c r="D23">
        <v>1.0707980559757599</v>
      </c>
    </row>
    <row r="24" spans="1:4" hidden="1" x14ac:dyDescent="0.3">
      <c r="A24">
        <v>22</v>
      </c>
      <c r="B24" s="1" t="s">
        <v>31</v>
      </c>
      <c r="C24" t="s">
        <v>32</v>
      </c>
      <c r="D24" s="1" t="s">
        <v>33</v>
      </c>
    </row>
    <row r="25" spans="1:4" hidden="1" x14ac:dyDescent="0.3">
      <c r="A25">
        <v>23</v>
      </c>
      <c r="B25" t="s">
        <v>34</v>
      </c>
      <c r="C25" t="s">
        <v>35</v>
      </c>
      <c r="D25">
        <v>-1.17321274675198</v>
      </c>
    </row>
    <row r="26" spans="1:4" hidden="1" x14ac:dyDescent="0.3">
      <c r="A26">
        <v>24</v>
      </c>
      <c r="B26" s="1" t="s">
        <v>36</v>
      </c>
      <c r="C26" t="s">
        <v>37</v>
      </c>
      <c r="D26" s="1" t="s">
        <v>38</v>
      </c>
    </row>
    <row r="27" spans="1:4" hidden="1" x14ac:dyDescent="0.3">
      <c r="A27">
        <v>25</v>
      </c>
      <c r="B27" t="s">
        <v>39</v>
      </c>
      <c r="C27" t="s">
        <v>40</v>
      </c>
      <c r="D27">
        <v>1.10241469077622</v>
      </c>
    </row>
    <row r="28" spans="1:4" hidden="1" x14ac:dyDescent="0.3">
      <c r="A28">
        <v>26</v>
      </c>
      <c r="B28" s="1" t="s">
        <v>41</v>
      </c>
      <c r="C28" t="s">
        <v>42</v>
      </c>
      <c r="D28" s="1" t="s">
        <v>43</v>
      </c>
    </row>
    <row r="29" spans="1:4" hidden="1" x14ac:dyDescent="0.3">
      <c r="A29">
        <v>27</v>
      </c>
      <c r="B29" s="1" t="s">
        <v>51</v>
      </c>
      <c r="C29" t="s">
        <v>52</v>
      </c>
      <c r="D29" s="1" t="s">
        <v>53</v>
      </c>
    </row>
    <row r="30" spans="1:4" hidden="1" x14ac:dyDescent="0.3">
      <c r="A30">
        <v>28</v>
      </c>
      <c r="B30" s="1" t="s">
        <v>54</v>
      </c>
      <c r="C30" t="s">
        <v>55</v>
      </c>
      <c r="D30" s="1" t="s">
        <v>56</v>
      </c>
    </row>
    <row r="31" spans="1:4" hidden="1" x14ac:dyDescent="0.3">
      <c r="A31">
        <v>29</v>
      </c>
      <c r="B31" s="1" t="s">
        <v>57</v>
      </c>
      <c r="C31" t="s">
        <v>58</v>
      </c>
      <c r="D31" s="1" t="s">
        <v>59</v>
      </c>
    </row>
    <row r="32" spans="1:4" hidden="1" x14ac:dyDescent="0.3">
      <c r="A32">
        <v>30</v>
      </c>
      <c r="B32" t="s">
        <v>60</v>
      </c>
      <c r="C32" t="s">
        <v>61</v>
      </c>
      <c r="D32">
        <v>150000000</v>
      </c>
    </row>
    <row r="33" spans="1:4" hidden="1" x14ac:dyDescent="0.3">
      <c r="A33">
        <v>31</v>
      </c>
      <c r="B33" t="s">
        <v>62</v>
      </c>
      <c r="C33" t="s">
        <v>63</v>
      </c>
      <c r="D33">
        <v>80000000</v>
      </c>
    </row>
    <row r="34" spans="1:4" hidden="1" x14ac:dyDescent="0.3">
      <c r="A34">
        <v>32</v>
      </c>
      <c r="B34" t="s">
        <v>64</v>
      </c>
      <c r="C34" t="s">
        <v>65</v>
      </c>
      <c r="D34">
        <v>40000000</v>
      </c>
    </row>
    <row r="35" spans="1:4" hidden="1" x14ac:dyDescent="0.3">
      <c r="A35">
        <v>33</v>
      </c>
      <c r="B35" s="1" t="s">
        <v>66</v>
      </c>
      <c r="C35" t="s">
        <v>67</v>
      </c>
      <c r="D35" s="1" t="s">
        <v>68</v>
      </c>
    </row>
    <row r="36" spans="1:4" hidden="1" x14ac:dyDescent="0.3">
      <c r="A36">
        <v>34</v>
      </c>
      <c r="B36" s="1" t="s">
        <v>69</v>
      </c>
      <c r="C36" t="s">
        <v>70</v>
      </c>
      <c r="D36" s="1" t="s">
        <v>71</v>
      </c>
    </row>
    <row r="37" spans="1:4" hidden="1" x14ac:dyDescent="0.3">
      <c r="A37">
        <v>35</v>
      </c>
      <c r="B37" t="s">
        <v>72</v>
      </c>
      <c r="C37" t="s">
        <v>73</v>
      </c>
      <c r="D37">
        <v>1</v>
      </c>
    </row>
    <row r="38" spans="1:4" hidden="1" x14ac:dyDescent="0.3">
      <c r="A38">
        <v>36</v>
      </c>
      <c r="B38" t="s">
        <v>74</v>
      </c>
      <c r="C38" t="s">
        <v>75</v>
      </c>
      <c r="D38">
        <v>2.7397260273972599E-3</v>
      </c>
    </row>
    <row r="39" spans="1:4" hidden="1" x14ac:dyDescent="0.3">
      <c r="A39">
        <v>37</v>
      </c>
      <c r="B39" t="s">
        <v>76</v>
      </c>
      <c r="C39" t="s">
        <v>77</v>
      </c>
      <c r="D39">
        <v>0</v>
      </c>
    </row>
    <row r="40" spans="1:4" hidden="1" x14ac:dyDescent="0.3">
      <c r="A40">
        <v>38</v>
      </c>
      <c r="B40" t="s">
        <v>78</v>
      </c>
      <c r="C40" t="s">
        <v>79</v>
      </c>
      <c r="D40">
        <v>0</v>
      </c>
    </row>
    <row r="41" spans="1:4" hidden="1" x14ac:dyDescent="0.3">
      <c r="A41">
        <v>39</v>
      </c>
      <c r="B41" s="1" t="s">
        <v>80</v>
      </c>
      <c r="C41" t="s">
        <v>81</v>
      </c>
      <c r="D41" s="1" t="s">
        <v>82</v>
      </c>
    </row>
    <row r="42" spans="1:4" hidden="1" x14ac:dyDescent="0.3">
      <c r="A42">
        <v>40</v>
      </c>
      <c r="B42" t="s">
        <v>83</v>
      </c>
      <c r="C42" t="s">
        <v>84</v>
      </c>
      <c r="D42">
        <v>1.00003576394132</v>
      </c>
    </row>
    <row r="43" spans="1:4" hidden="1" x14ac:dyDescent="0.3">
      <c r="A43">
        <v>41</v>
      </c>
      <c r="B43" s="1" t="s">
        <v>85</v>
      </c>
      <c r="C43" t="s">
        <v>86</v>
      </c>
      <c r="D43" s="1" t="s">
        <v>87</v>
      </c>
    </row>
    <row r="44" spans="1:4" hidden="1" x14ac:dyDescent="0.3">
      <c r="A44">
        <v>42</v>
      </c>
      <c r="B44" t="s">
        <v>88</v>
      </c>
      <c r="C44" t="s">
        <v>89</v>
      </c>
      <c r="D44">
        <v>99996423.733768806</v>
      </c>
    </row>
    <row r="45" spans="1:4" hidden="1" x14ac:dyDescent="0.3">
      <c r="A45">
        <v>43</v>
      </c>
      <c r="B45" s="1" t="s">
        <v>90</v>
      </c>
      <c r="C45" t="s">
        <v>91</v>
      </c>
      <c r="D45" s="1" t="s">
        <v>92</v>
      </c>
    </row>
    <row r="46" spans="1:4" hidden="1" x14ac:dyDescent="0.3">
      <c r="A46">
        <v>44</v>
      </c>
      <c r="B46" t="s">
        <v>93</v>
      </c>
      <c r="C46" t="s">
        <v>94</v>
      </c>
      <c r="D46">
        <v>80000000</v>
      </c>
    </row>
    <row r="47" spans="1:4" hidden="1" x14ac:dyDescent="0.3">
      <c r="A47">
        <v>45</v>
      </c>
      <c r="B47" t="s">
        <v>95</v>
      </c>
      <c r="C47" t="s">
        <v>96</v>
      </c>
      <c r="D47">
        <v>40000000</v>
      </c>
    </row>
    <row r="48" spans="1:4" hidden="1" x14ac:dyDescent="0.3">
      <c r="A48">
        <v>46</v>
      </c>
      <c r="B48" t="s">
        <v>97</v>
      </c>
      <c r="C48" t="s">
        <v>98</v>
      </c>
      <c r="D48">
        <v>30000000</v>
      </c>
    </row>
    <row r="49" spans="1:4" hidden="1" x14ac:dyDescent="0.3">
      <c r="A49">
        <v>47</v>
      </c>
      <c r="B49" s="1" t="s">
        <v>99</v>
      </c>
      <c r="C49" t="s">
        <v>100</v>
      </c>
      <c r="D49" s="1" t="s">
        <v>101</v>
      </c>
    </row>
    <row r="50" spans="1:4" hidden="1" x14ac:dyDescent="0.3">
      <c r="A50">
        <v>48</v>
      </c>
      <c r="B50" t="s">
        <v>102</v>
      </c>
      <c r="C50" t="s">
        <v>103</v>
      </c>
      <c r="D50">
        <v>1.0043631745888799E-2</v>
      </c>
    </row>
    <row r="51" spans="1:4" hidden="1" x14ac:dyDescent="0.3">
      <c r="A51">
        <v>49</v>
      </c>
      <c r="B51" t="s">
        <v>104</v>
      </c>
      <c r="C51" t="s">
        <v>105</v>
      </c>
      <c r="D51">
        <v>2.79998760344501E-3</v>
      </c>
    </row>
    <row r="52" spans="1:4" hidden="1" x14ac:dyDescent="0.3">
      <c r="A52">
        <v>50</v>
      </c>
      <c r="B52" t="s">
        <v>106</v>
      </c>
      <c r="C52" t="s">
        <v>107</v>
      </c>
      <c r="D52">
        <v>2.0816965076141E-2</v>
      </c>
    </row>
    <row r="53" spans="1:4" hidden="1" x14ac:dyDescent="0.3">
      <c r="A53">
        <v>51</v>
      </c>
      <c r="B53" s="1" t="s">
        <v>108</v>
      </c>
      <c r="C53" t="s">
        <v>109</v>
      </c>
      <c r="D53" s="1" t="s">
        <v>110</v>
      </c>
    </row>
    <row r="54" spans="1:4" hidden="1" x14ac:dyDescent="0.3">
      <c r="A54">
        <v>52</v>
      </c>
      <c r="B54" t="s">
        <v>111</v>
      </c>
      <c r="C54" t="s">
        <v>112</v>
      </c>
      <c r="D54">
        <v>953.67099497495701</v>
      </c>
    </row>
    <row r="55" spans="1:4" hidden="1" x14ac:dyDescent="0.3">
      <c r="A55">
        <v>53</v>
      </c>
      <c r="B55" t="s">
        <v>113</v>
      </c>
      <c r="C55" t="s">
        <v>114</v>
      </c>
      <c r="D55">
        <v>186.49566123954699</v>
      </c>
    </row>
    <row r="56" spans="1:4" hidden="1" x14ac:dyDescent="0.3">
      <c r="A56">
        <v>54</v>
      </c>
      <c r="B56" s="1" t="s">
        <v>115</v>
      </c>
      <c r="C56" t="s">
        <v>116</v>
      </c>
      <c r="D56" s="1" t="s">
        <v>117</v>
      </c>
    </row>
    <row r="57" spans="1:4" hidden="1" x14ac:dyDescent="0.3">
      <c r="A57">
        <v>55</v>
      </c>
      <c r="B57" t="s">
        <v>118</v>
      </c>
      <c r="C57" t="s">
        <v>119</v>
      </c>
      <c r="D57">
        <v>80000953.670994893</v>
      </c>
    </row>
    <row r="58" spans="1:4" hidden="1" x14ac:dyDescent="0.3">
      <c r="A58">
        <v>56</v>
      </c>
      <c r="B58" t="s">
        <v>120</v>
      </c>
      <c r="C58" t="s">
        <v>121</v>
      </c>
      <c r="D58">
        <v>40000186.495661199</v>
      </c>
    </row>
    <row r="59" spans="1:4" hidden="1" x14ac:dyDescent="0.3">
      <c r="A59">
        <v>57</v>
      </c>
      <c r="B59" s="1" t="s">
        <v>122</v>
      </c>
      <c r="C59" t="s">
        <v>123</v>
      </c>
      <c r="D59" s="1" t="s">
        <v>124</v>
      </c>
    </row>
    <row r="60" spans="1:4" hidden="1" x14ac:dyDescent="0.3">
      <c r="A60">
        <v>58</v>
      </c>
      <c r="B60" t="s">
        <v>125</v>
      </c>
      <c r="C60" t="s">
        <v>126</v>
      </c>
      <c r="D60">
        <v>0.80000953670994901</v>
      </c>
    </row>
    <row r="61" spans="1:4" hidden="1" x14ac:dyDescent="0.3">
      <c r="A61">
        <v>59</v>
      </c>
      <c r="B61" t="s">
        <v>127</v>
      </c>
      <c r="C61" t="s">
        <v>128</v>
      </c>
      <c r="D61">
        <v>0.400001864956612</v>
      </c>
    </row>
    <row r="62" spans="1:4" hidden="1" x14ac:dyDescent="0.3">
      <c r="A62">
        <v>60</v>
      </c>
      <c r="B62" s="1" t="s">
        <v>129</v>
      </c>
      <c r="C62" t="s">
        <v>130</v>
      </c>
      <c r="D62" s="1" t="s">
        <v>131</v>
      </c>
    </row>
    <row r="63" spans="1:4" hidden="1" x14ac:dyDescent="0.3">
      <c r="A63">
        <v>61</v>
      </c>
      <c r="B63" s="1" t="s">
        <v>3</v>
      </c>
      <c r="C63" t="s">
        <v>4</v>
      </c>
      <c r="D63" t="s">
        <v>5</v>
      </c>
    </row>
    <row r="64" spans="1:4" hidden="1" x14ac:dyDescent="0.3">
      <c r="A64">
        <v>62</v>
      </c>
      <c r="B64" t="s">
        <v>6</v>
      </c>
      <c r="C64" t="s">
        <v>7</v>
      </c>
      <c r="D64">
        <v>1950.52</v>
      </c>
    </row>
    <row r="65" spans="1:4" hidden="1" x14ac:dyDescent="0.3">
      <c r="A65">
        <v>63</v>
      </c>
      <c r="B65" s="1" t="s">
        <v>132</v>
      </c>
      <c r="C65" t="s">
        <v>9</v>
      </c>
      <c r="D65" s="1" t="s">
        <v>133</v>
      </c>
    </row>
    <row r="66" spans="1:4" hidden="1" x14ac:dyDescent="0.3">
      <c r="A66">
        <v>64</v>
      </c>
      <c r="B66" t="s">
        <v>13</v>
      </c>
      <c r="C66" t="s">
        <v>14</v>
      </c>
      <c r="D66">
        <v>90.82421875</v>
      </c>
    </row>
    <row r="67" spans="1:4" hidden="1" x14ac:dyDescent="0.3">
      <c r="A67">
        <v>65</v>
      </c>
      <c r="B67" t="s">
        <v>15</v>
      </c>
      <c r="C67" t="s">
        <v>16</v>
      </c>
      <c r="D67">
        <v>4.2527792330373497</v>
      </c>
    </row>
    <row r="68" spans="1:4" hidden="1" x14ac:dyDescent="0.3">
      <c r="A68">
        <v>66</v>
      </c>
      <c r="B68" s="1" t="s">
        <v>134</v>
      </c>
      <c r="C68" t="s">
        <v>135</v>
      </c>
      <c r="D68" s="1" t="s">
        <v>136</v>
      </c>
    </row>
    <row r="69" spans="1:4" hidden="1" x14ac:dyDescent="0.3">
      <c r="A69">
        <v>67</v>
      </c>
      <c r="B69" t="s">
        <v>21</v>
      </c>
      <c r="C69" t="s">
        <v>22</v>
      </c>
      <c r="D69">
        <v>62.9</v>
      </c>
    </row>
    <row r="70" spans="1:4" hidden="1" x14ac:dyDescent="0.3">
      <c r="A70">
        <v>68</v>
      </c>
      <c r="B70" t="s">
        <v>137</v>
      </c>
      <c r="C70" t="s">
        <v>24</v>
      </c>
      <c r="D70">
        <v>4.1225376975198804</v>
      </c>
    </row>
    <row r="71" spans="1:4" hidden="1" x14ac:dyDescent="0.3">
      <c r="A71">
        <v>69</v>
      </c>
      <c r="B71" s="1" t="s">
        <v>138</v>
      </c>
      <c r="C71" t="s">
        <v>139</v>
      </c>
      <c r="D71" s="1" t="s">
        <v>140</v>
      </c>
    </row>
    <row r="72" spans="1:4" hidden="1" x14ac:dyDescent="0.3">
      <c r="A72">
        <v>70</v>
      </c>
      <c r="B72" t="s">
        <v>141</v>
      </c>
      <c r="C72" t="s">
        <v>35</v>
      </c>
      <c r="D72">
        <v>-1.1054272862944301</v>
      </c>
    </row>
    <row r="73" spans="1:4" hidden="1" x14ac:dyDescent="0.3">
      <c r="A73">
        <v>71</v>
      </c>
      <c r="B73" t="s">
        <v>142</v>
      </c>
      <c r="C73" t="s">
        <v>143</v>
      </c>
      <c r="D73">
        <v>0.54130897845841697</v>
      </c>
    </row>
    <row r="74" spans="1:4" hidden="1" x14ac:dyDescent="0.3">
      <c r="A74">
        <v>72</v>
      </c>
      <c r="B74" s="1" t="s">
        <v>144</v>
      </c>
      <c r="C74" t="s">
        <v>145</v>
      </c>
      <c r="D74" s="1" t="s">
        <v>38</v>
      </c>
    </row>
    <row r="75" spans="1:4" hidden="1" x14ac:dyDescent="0.3">
      <c r="A75">
        <v>73</v>
      </c>
      <c r="B75" t="s">
        <v>146</v>
      </c>
      <c r="C75" t="s">
        <v>30</v>
      </c>
      <c r="D75">
        <v>1.0089298743673401</v>
      </c>
    </row>
    <row r="76" spans="1:4" hidden="1" x14ac:dyDescent="0.3">
      <c r="A76">
        <v>74</v>
      </c>
      <c r="B76" t="s">
        <v>147</v>
      </c>
      <c r="C76" t="s">
        <v>32</v>
      </c>
      <c r="D76">
        <v>0.373744854427844</v>
      </c>
    </row>
    <row r="77" spans="1:4" hidden="1" x14ac:dyDescent="0.3">
      <c r="A77">
        <v>75</v>
      </c>
      <c r="B77" s="1" t="s">
        <v>148</v>
      </c>
      <c r="C77" t="s">
        <v>149</v>
      </c>
      <c r="D77" s="1" t="s">
        <v>33</v>
      </c>
    </row>
    <row r="78" spans="1:4" hidden="1" x14ac:dyDescent="0.3">
      <c r="A78">
        <v>76</v>
      </c>
      <c r="B78" t="s">
        <v>150</v>
      </c>
      <c r="C78" t="s">
        <v>40</v>
      </c>
      <c r="D78">
        <v>1.09649741192709</v>
      </c>
    </row>
    <row r="79" spans="1:4" hidden="1" x14ac:dyDescent="0.3">
      <c r="A79">
        <v>77</v>
      </c>
      <c r="B79" t="s">
        <v>151</v>
      </c>
      <c r="C79" t="s">
        <v>42</v>
      </c>
      <c r="D79">
        <v>0.47362890029515797</v>
      </c>
    </row>
    <row r="80" spans="1:4" hidden="1" x14ac:dyDescent="0.3">
      <c r="A80">
        <v>78</v>
      </c>
      <c r="B80" s="1" t="s">
        <v>152</v>
      </c>
      <c r="C80" t="s">
        <v>153</v>
      </c>
      <c r="D80" s="1" t="s">
        <v>43</v>
      </c>
    </row>
    <row r="81" spans="1:4" hidden="1" x14ac:dyDescent="0.3">
      <c r="A81">
        <v>79</v>
      </c>
      <c r="B81" t="s">
        <v>154</v>
      </c>
      <c r="C81" t="s">
        <v>155</v>
      </c>
      <c r="D81">
        <v>1</v>
      </c>
    </row>
    <row r="82" spans="1:4" hidden="1" x14ac:dyDescent="0.3">
      <c r="A82">
        <v>80</v>
      </c>
      <c r="B82" t="s">
        <v>156</v>
      </c>
      <c r="C82" t="s">
        <v>157</v>
      </c>
      <c r="D82">
        <v>1</v>
      </c>
    </row>
    <row r="83" spans="1:4" hidden="1" x14ac:dyDescent="0.3">
      <c r="A83">
        <v>81</v>
      </c>
      <c r="B83" s="1" t="s">
        <v>158</v>
      </c>
      <c r="C83" t="s">
        <v>159</v>
      </c>
      <c r="D83" s="1" t="s">
        <v>160</v>
      </c>
    </row>
    <row r="84" spans="1:4" hidden="1" x14ac:dyDescent="0.3">
      <c r="A84">
        <v>82</v>
      </c>
      <c r="B84" t="s">
        <v>161</v>
      </c>
      <c r="C84" t="s">
        <v>162</v>
      </c>
      <c r="D84">
        <v>1.0001976377494799</v>
      </c>
    </row>
    <row r="85" spans="1:4" hidden="1" x14ac:dyDescent="0.3">
      <c r="A85">
        <v>83</v>
      </c>
      <c r="B85" t="s">
        <v>163</v>
      </c>
      <c r="C85" t="s">
        <v>164</v>
      </c>
      <c r="D85">
        <v>1.0001310732329201</v>
      </c>
    </row>
    <row r="86" spans="1:4" hidden="1" x14ac:dyDescent="0.3">
      <c r="A86">
        <v>84</v>
      </c>
      <c r="B86" s="1" t="s">
        <v>165</v>
      </c>
      <c r="C86" t="s">
        <v>166</v>
      </c>
      <c r="D86" s="1" t="s">
        <v>167</v>
      </c>
    </row>
    <row r="87" spans="1:4" hidden="1" x14ac:dyDescent="0.3">
      <c r="A87">
        <v>85</v>
      </c>
      <c r="B87" s="1" t="s">
        <v>168</v>
      </c>
      <c r="C87" t="s">
        <v>55</v>
      </c>
      <c r="D87" s="1" t="s">
        <v>169</v>
      </c>
    </row>
    <row r="88" spans="1:4" hidden="1" x14ac:dyDescent="0.3">
      <c r="A88">
        <v>86</v>
      </c>
      <c r="B88" s="1" t="s">
        <v>170</v>
      </c>
      <c r="C88" t="s">
        <v>52</v>
      </c>
      <c r="D88" s="1" t="s">
        <v>171</v>
      </c>
    </row>
    <row r="89" spans="1:4" hidden="1" x14ac:dyDescent="0.3">
      <c r="A89">
        <v>87</v>
      </c>
      <c r="B89" s="1" t="s">
        <v>172</v>
      </c>
      <c r="C89" t="s">
        <v>58</v>
      </c>
      <c r="D89" s="1" t="s">
        <v>173</v>
      </c>
    </row>
    <row r="90" spans="1:4" hidden="1" x14ac:dyDescent="0.3">
      <c r="A90">
        <v>88</v>
      </c>
      <c r="B90" t="s">
        <v>174</v>
      </c>
      <c r="C90" t="s">
        <v>61</v>
      </c>
      <c r="D90">
        <v>149993965.08514801</v>
      </c>
    </row>
    <row r="91" spans="1:4" hidden="1" x14ac:dyDescent="0.3">
      <c r="A91">
        <v>89</v>
      </c>
      <c r="B91" t="s">
        <v>62</v>
      </c>
      <c r="C91" t="s">
        <v>63</v>
      </c>
      <c r="D91">
        <v>80000000</v>
      </c>
    </row>
    <row r="92" spans="1:4" hidden="1" x14ac:dyDescent="0.3">
      <c r="A92">
        <v>90</v>
      </c>
      <c r="B92" t="s">
        <v>64</v>
      </c>
      <c r="C92" t="s">
        <v>65</v>
      </c>
      <c r="D92">
        <v>40000000</v>
      </c>
    </row>
    <row r="93" spans="1:4" hidden="1" x14ac:dyDescent="0.3">
      <c r="A93">
        <v>91</v>
      </c>
      <c r="B93" s="1" t="s">
        <v>175</v>
      </c>
      <c r="C93" t="s">
        <v>67</v>
      </c>
      <c r="D93" s="1" t="s">
        <v>176</v>
      </c>
    </row>
    <row r="94" spans="1:4" hidden="1" x14ac:dyDescent="0.3">
      <c r="A94">
        <v>92</v>
      </c>
      <c r="B94" s="1" t="s">
        <v>177</v>
      </c>
      <c r="C94" t="s">
        <v>70</v>
      </c>
      <c r="D94" s="1" t="s">
        <v>178</v>
      </c>
    </row>
    <row r="95" spans="1:4" hidden="1" x14ac:dyDescent="0.3">
      <c r="A95">
        <v>93</v>
      </c>
      <c r="B95" t="s">
        <v>179</v>
      </c>
      <c r="C95" t="s">
        <v>73</v>
      </c>
      <c r="D95">
        <v>1.00003576394132</v>
      </c>
    </row>
    <row r="96" spans="1:4" hidden="1" x14ac:dyDescent="0.3">
      <c r="A96">
        <v>94</v>
      </c>
      <c r="B96" t="s">
        <v>74</v>
      </c>
      <c r="C96" t="s">
        <v>75</v>
      </c>
      <c r="D96">
        <v>2.7397260273972599E-3</v>
      </c>
    </row>
    <row r="97" spans="1:4" hidden="1" x14ac:dyDescent="0.3">
      <c r="A97">
        <v>95</v>
      </c>
      <c r="B97" t="s">
        <v>76</v>
      </c>
      <c r="C97" t="s">
        <v>77</v>
      </c>
      <c r="D97">
        <v>0</v>
      </c>
    </row>
    <row r="98" spans="1:4" hidden="1" x14ac:dyDescent="0.3">
      <c r="A98">
        <v>96</v>
      </c>
      <c r="B98" t="s">
        <v>78</v>
      </c>
      <c r="C98" t="s">
        <v>79</v>
      </c>
      <c r="D98">
        <v>0</v>
      </c>
    </row>
    <row r="99" spans="1:4" hidden="1" x14ac:dyDescent="0.3">
      <c r="A99">
        <v>97</v>
      </c>
      <c r="B99" s="1" t="s">
        <v>180</v>
      </c>
      <c r="C99" t="s">
        <v>81</v>
      </c>
      <c r="D99" s="1" t="s">
        <v>181</v>
      </c>
    </row>
    <row r="100" spans="1:4" hidden="1" x14ac:dyDescent="0.3">
      <c r="A100">
        <v>98</v>
      </c>
      <c r="B100" t="s">
        <v>182</v>
      </c>
      <c r="C100" t="s">
        <v>84</v>
      </c>
      <c r="D100">
        <v>1.0000321127818901</v>
      </c>
    </row>
    <row r="101" spans="1:4" hidden="1" x14ac:dyDescent="0.3">
      <c r="A101">
        <v>99</v>
      </c>
      <c r="B101" s="1" t="s">
        <v>183</v>
      </c>
      <c r="C101" t="s">
        <v>86</v>
      </c>
      <c r="D101" s="1" t="s">
        <v>184</v>
      </c>
    </row>
    <row r="102" spans="1:4" hidden="1" x14ac:dyDescent="0.3">
      <c r="A102">
        <v>100</v>
      </c>
      <c r="B102" t="s">
        <v>185</v>
      </c>
      <c r="C102" t="s">
        <v>89</v>
      </c>
      <c r="D102">
        <v>99996788.824929997</v>
      </c>
    </row>
    <row r="103" spans="1:4" hidden="1" x14ac:dyDescent="0.3">
      <c r="A103">
        <v>101</v>
      </c>
      <c r="B103" s="1" t="s">
        <v>186</v>
      </c>
      <c r="C103" t="s">
        <v>91</v>
      </c>
      <c r="D103" s="1" t="s">
        <v>187</v>
      </c>
    </row>
    <row r="104" spans="1:4" hidden="1" x14ac:dyDescent="0.3">
      <c r="A104">
        <v>102</v>
      </c>
      <c r="B104" t="s">
        <v>93</v>
      </c>
      <c r="C104" t="s">
        <v>94</v>
      </c>
      <c r="D104">
        <v>80000000</v>
      </c>
    </row>
    <row r="105" spans="1:4" hidden="1" x14ac:dyDescent="0.3">
      <c r="A105">
        <v>103</v>
      </c>
      <c r="B105" t="s">
        <v>95</v>
      </c>
      <c r="C105" t="s">
        <v>96</v>
      </c>
      <c r="D105">
        <v>40000000</v>
      </c>
    </row>
    <row r="106" spans="1:4" hidden="1" x14ac:dyDescent="0.3">
      <c r="A106">
        <v>104</v>
      </c>
      <c r="B106" t="s">
        <v>188</v>
      </c>
      <c r="C106" t="s">
        <v>98</v>
      </c>
      <c r="D106">
        <v>29993965.0851488</v>
      </c>
    </row>
    <row r="107" spans="1:4" hidden="1" x14ac:dyDescent="0.3">
      <c r="A107">
        <v>105</v>
      </c>
      <c r="B107" s="1" t="s">
        <v>189</v>
      </c>
      <c r="C107" t="s">
        <v>100</v>
      </c>
      <c r="D107" s="1" t="s">
        <v>190</v>
      </c>
    </row>
    <row r="108" spans="1:4" hidden="1" x14ac:dyDescent="0.3">
      <c r="A108">
        <v>106</v>
      </c>
      <c r="B108" t="s">
        <v>191</v>
      </c>
      <c r="C108" t="s">
        <v>103</v>
      </c>
      <c r="D108">
        <v>1.00566808349969E-2</v>
      </c>
    </row>
    <row r="109" spans="1:4" hidden="1" x14ac:dyDescent="0.3">
      <c r="A109">
        <v>107</v>
      </c>
      <c r="B109" t="s">
        <v>192</v>
      </c>
      <c r="C109" t="s">
        <v>105</v>
      </c>
      <c r="D109">
        <v>2.81364015324228E-3</v>
      </c>
    </row>
    <row r="110" spans="1:4" hidden="1" x14ac:dyDescent="0.3">
      <c r="A110">
        <v>108</v>
      </c>
      <c r="B110" t="s">
        <v>193</v>
      </c>
      <c r="C110" t="s">
        <v>107</v>
      </c>
      <c r="D110">
        <v>2.0919579574038501E-2</v>
      </c>
    </row>
    <row r="111" spans="1:4" hidden="1" x14ac:dyDescent="0.3">
      <c r="A111">
        <v>109</v>
      </c>
      <c r="B111" s="1" t="s">
        <v>194</v>
      </c>
      <c r="C111" t="s">
        <v>109</v>
      </c>
      <c r="D111" s="1" t="s">
        <v>195</v>
      </c>
    </row>
    <row r="112" spans="1:4" x14ac:dyDescent="0.3">
      <c r="A112">
        <v>110</v>
      </c>
      <c r="B112" t="s">
        <v>196</v>
      </c>
      <c r="C112" t="s">
        <v>197</v>
      </c>
      <c r="D112">
        <v>149993838.72959799</v>
      </c>
    </row>
    <row r="113" spans="1:4" hidden="1" x14ac:dyDescent="0.3">
      <c r="A113">
        <v>111</v>
      </c>
      <c r="B113" t="s">
        <v>198</v>
      </c>
      <c r="C113" t="s">
        <v>199</v>
      </c>
      <c r="D113">
        <v>292.08195273293597</v>
      </c>
    </row>
    <row r="114" spans="1:4" hidden="1" x14ac:dyDescent="0.3">
      <c r="A114">
        <v>112</v>
      </c>
      <c r="B114" t="s">
        <v>200</v>
      </c>
      <c r="C114" t="s">
        <v>201</v>
      </c>
      <c r="D114">
        <v>146.04108460049699</v>
      </c>
    </row>
    <row r="115" spans="1:4" hidden="1" x14ac:dyDescent="0.3">
      <c r="A115">
        <v>113</v>
      </c>
      <c r="B115" s="1" t="s">
        <v>202</v>
      </c>
      <c r="C115" t="s">
        <v>203</v>
      </c>
      <c r="D115" s="1" t="s">
        <v>204</v>
      </c>
    </row>
    <row r="116" spans="1:4" hidden="1" x14ac:dyDescent="0.3">
      <c r="A116">
        <v>114</v>
      </c>
      <c r="B116" t="s">
        <v>205</v>
      </c>
      <c r="C116" t="s">
        <v>206</v>
      </c>
      <c r="D116">
        <v>79999610.553005099</v>
      </c>
    </row>
    <row r="117" spans="1:4" hidden="1" x14ac:dyDescent="0.3">
      <c r="A117">
        <v>115</v>
      </c>
      <c r="B117" t="s">
        <v>207</v>
      </c>
      <c r="C117" t="s">
        <v>208</v>
      </c>
      <c r="D117">
        <v>39999834.921196699</v>
      </c>
    </row>
    <row r="118" spans="1:4" hidden="1" x14ac:dyDescent="0.3">
      <c r="A118">
        <v>116</v>
      </c>
      <c r="B118" t="s">
        <v>209</v>
      </c>
      <c r="C118" t="s">
        <v>210</v>
      </c>
      <c r="D118">
        <v>29993845.623564001</v>
      </c>
    </row>
    <row r="119" spans="1:4" hidden="1" x14ac:dyDescent="0.3">
      <c r="A119">
        <v>117</v>
      </c>
      <c r="B119" s="1" t="s">
        <v>211</v>
      </c>
      <c r="C119" t="s">
        <v>212</v>
      </c>
      <c r="D119" s="1" t="s">
        <v>213</v>
      </c>
    </row>
    <row r="120" spans="1:4" hidden="1" x14ac:dyDescent="0.3">
      <c r="A120">
        <v>118</v>
      </c>
      <c r="B120" t="s">
        <v>214</v>
      </c>
      <c r="C120" t="s">
        <v>215</v>
      </c>
      <c r="D120">
        <v>99996423.733768806</v>
      </c>
    </row>
    <row r="121" spans="1:4" hidden="1" x14ac:dyDescent="0.3">
      <c r="A121">
        <v>119</v>
      </c>
      <c r="B121" t="s">
        <v>216</v>
      </c>
      <c r="C121" t="s">
        <v>217</v>
      </c>
      <c r="D121">
        <v>365.09116117656203</v>
      </c>
    </row>
    <row r="122" spans="1:4" hidden="1" x14ac:dyDescent="0.3">
      <c r="A122">
        <v>120</v>
      </c>
      <c r="B122" s="1" t="s">
        <v>218</v>
      </c>
      <c r="C122" t="s">
        <v>219</v>
      </c>
      <c r="D122" s="1" t="s">
        <v>220</v>
      </c>
    </row>
    <row r="123" spans="1:4" hidden="1" x14ac:dyDescent="0.3">
      <c r="A123">
        <v>121</v>
      </c>
      <c r="B123" t="s">
        <v>221</v>
      </c>
      <c r="C123" t="s">
        <v>112</v>
      </c>
      <c r="D123">
        <v>-97.365042139256104</v>
      </c>
    </row>
    <row r="124" spans="1:4" hidden="1" x14ac:dyDescent="0.3">
      <c r="A124">
        <v>122</v>
      </c>
      <c r="B124" t="s">
        <v>222</v>
      </c>
      <c r="C124" t="s">
        <v>114</v>
      </c>
      <c r="D124">
        <v>-19.037718667660901</v>
      </c>
    </row>
    <row r="125" spans="1:4" hidden="1" x14ac:dyDescent="0.3">
      <c r="A125">
        <v>123</v>
      </c>
      <c r="B125" s="1" t="s">
        <v>223</v>
      </c>
      <c r="C125" t="s">
        <v>116</v>
      </c>
      <c r="D125" s="1" t="s">
        <v>224</v>
      </c>
    </row>
    <row r="126" spans="1:4" hidden="1" x14ac:dyDescent="0.3">
      <c r="A126">
        <v>124</v>
      </c>
      <c r="B126" t="s">
        <v>225</v>
      </c>
      <c r="C126" t="s">
        <v>119</v>
      </c>
      <c r="D126">
        <v>79999610.553005099</v>
      </c>
    </row>
    <row r="127" spans="1:4" hidden="1" x14ac:dyDescent="0.3">
      <c r="A127">
        <v>125</v>
      </c>
      <c r="B127" t="s">
        <v>226</v>
      </c>
      <c r="C127" t="s">
        <v>121</v>
      </c>
      <c r="D127">
        <v>39999834.921196699</v>
      </c>
    </row>
    <row r="128" spans="1:4" hidden="1" x14ac:dyDescent="0.3">
      <c r="A128">
        <v>126</v>
      </c>
      <c r="B128" s="1" t="s">
        <v>227</v>
      </c>
      <c r="C128" t="s">
        <v>123</v>
      </c>
      <c r="D128" s="1" t="s">
        <v>228</v>
      </c>
    </row>
    <row r="129" spans="1:4" hidden="1" x14ac:dyDescent="0.3">
      <c r="A129">
        <v>127</v>
      </c>
      <c r="B129" t="s">
        <v>229</v>
      </c>
      <c r="C129" t="s">
        <v>126</v>
      </c>
      <c r="D129">
        <v>0.79999902634957798</v>
      </c>
    </row>
    <row r="130" spans="1:4" hidden="1" x14ac:dyDescent="0.3">
      <c r="A130">
        <v>128</v>
      </c>
      <c r="B130" t="s">
        <v>230</v>
      </c>
      <c r="C130" t="s">
        <v>128</v>
      </c>
      <c r="D130">
        <v>0.39999980962281301</v>
      </c>
    </row>
    <row r="131" spans="1:4" hidden="1" x14ac:dyDescent="0.3">
      <c r="A131">
        <v>129</v>
      </c>
      <c r="B131" s="1" t="s">
        <v>231</v>
      </c>
      <c r="C131" t="s">
        <v>130</v>
      </c>
      <c r="D131" s="1" t="s">
        <v>232</v>
      </c>
    </row>
    <row r="132" spans="1:4" hidden="1" x14ac:dyDescent="0.3">
      <c r="A132">
        <v>130</v>
      </c>
      <c r="B132" s="1" t="s">
        <v>3</v>
      </c>
      <c r="C132" t="s">
        <v>4</v>
      </c>
      <c r="D132" t="s">
        <v>5</v>
      </c>
    </row>
    <row r="133" spans="1:4" hidden="1" x14ac:dyDescent="0.3">
      <c r="A133">
        <v>131</v>
      </c>
      <c r="B133" t="s">
        <v>6</v>
      </c>
      <c r="C133" t="s">
        <v>7</v>
      </c>
      <c r="D133">
        <v>1950.52</v>
      </c>
    </row>
    <row r="134" spans="1:4" hidden="1" x14ac:dyDescent="0.3">
      <c r="A134">
        <v>132</v>
      </c>
      <c r="B134" s="1" t="s">
        <v>132</v>
      </c>
      <c r="C134" t="s">
        <v>9</v>
      </c>
      <c r="D134" s="1" t="s">
        <v>133</v>
      </c>
    </row>
    <row r="135" spans="1:4" hidden="1" x14ac:dyDescent="0.3">
      <c r="A135">
        <v>133</v>
      </c>
      <c r="B135" t="s">
        <v>13</v>
      </c>
      <c r="C135" t="s">
        <v>14</v>
      </c>
      <c r="D135">
        <v>90.82421875</v>
      </c>
    </row>
    <row r="136" spans="1:4" hidden="1" x14ac:dyDescent="0.3">
      <c r="A136">
        <v>134</v>
      </c>
      <c r="B136" t="s">
        <v>15</v>
      </c>
      <c r="C136" t="s">
        <v>16</v>
      </c>
      <c r="D136">
        <v>4.2527792330373497</v>
      </c>
    </row>
    <row r="137" spans="1:4" hidden="1" x14ac:dyDescent="0.3">
      <c r="A137">
        <v>135</v>
      </c>
      <c r="B137" s="1" t="s">
        <v>134</v>
      </c>
      <c r="C137" t="s">
        <v>135</v>
      </c>
      <c r="D137" s="1" t="s">
        <v>136</v>
      </c>
    </row>
    <row r="138" spans="1:4" hidden="1" x14ac:dyDescent="0.3">
      <c r="A138">
        <v>136</v>
      </c>
      <c r="B138" t="s">
        <v>21</v>
      </c>
      <c r="C138" t="s">
        <v>22</v>
      </c>
      <c r="D138">
        <v>62.9</v>
      </c>
    </row>
    <row r="139" spans="1:4" hidden="1" x14ac:dyDescent="0.3">
      <c r="A139">
        <v>137</v>
      </c>
      <c r="B139" t="s">
        <v>233</v>
      </c>
      <c r="C139" t="s">
        <v>24</v>
      </c>
      <c r="D139">
        <v>4.1112925211228504</v>
      </c>
    </row>
    <row r="140" spans="1:4" hidden="1" x14ac:dyDescent="0.3">
      <c r="A140">
        <v>138</v>
      </c>
      <c r="B140" s="1" t="s">
        <v>234</v>
      </c>
      <c r="C140" t="s">
        <v>139</v>
      </c>
      <c r="D140" s="1" t="s">
        <v>235</v>
      </c>
    </row>
    <row r="141" spans="1:4" hidden="1" x14ac:dyDescent="0.3">
      <c r="A141">
        <v>139</v>
      </c>
      <c r="B141" t="s">
        <v>236</v>
      </c>
      <c r="C141" t="s">
        <v>35</v>
      </c>
      <c r="D141">
        <v>-1.1267563196381001</v>
      </c>
    </row>
    <row r="142" spans="1:4" hidden="1" x14ac:dyDescent="0.3">
      <c r="A142">
        <v>140</v>
      </c>
      <c r="B142" t="s">
        <v>237</v>
      </c>
      <c r="C142" t="s">
        <v>143</v>
      </c>
      <c r="D142">
        <v>0.541497828590491</v>
      </c>
    </row>
    <row r="143" spans="1:4" hidden="1" x14ac:dyDescent="0.3">
      <c r="A143">
        <v>141</v>
      </c>
      <c r="B143" s="1" t="s">
        <v>238</v>
      </c>
      <c r="C143" t="s">
        <v>145</v>
      </c>
      <c r="D143" s="1" t="s">
        <v>239</v>
      </c>
    </row>
    <row r="144" spans="1:4" hidden="1" x14ac:dyDescent="0.3">
      <c r="A144">
        <v>142</v>
      </c>
      <c r="B144" t="s">
        <v>240</v>
      </c>
      <c r="C144" t="s">
        <v>30</v>
      </c>
      <c r="D144">
        <v>1.02839700639729</v>
      </c>
    </row>
    <row r="145" spans="1:4" hidden="1" x14ac:dyDescent="0.3">
      <c r="A145">
        <v>143</v>
      </c>
      <c r="B145" t="s">
        <v>241</v>
      </c>
      <c r="C145" t="s">
        <v>32</v>
      </c>
      <c r="D145">
        <v>0.37322446666873399</v>
      </c>
    </row>
    <row r="146" spans="1:4" hidden="1" x14ac:dyDescent="0.3">
      <c r="A146">
        <v>144</v>
      </c>
      <c r="B146" s="1" t="s">
        <v>242</v>
      </c>
      <c r="C146" t="s">
        <v>149</v>
      </c>
      <c r="D146" s="1" t="s">
        <v>243</v>
      </c>
    </row>
    <row r="147" spans="1:4" hidden="1" x14ac:dyDescent="0.3">
      <c r="A147">
        <v>145</v>
      </c>
      <c r="B147" t="s">
        <v>244</v>
      </c>
      <c r="C147" t="s">
        <v>40</v>
      </c>
      <c r="D147">
        <v>1.09835931324081</v>
      </c>
    </row>
    <row r="148" spans="1:4" hidden="1" x14ac:dyDescent="0.3">
      <c r="A148">
        <v>146</v>
      </c>
      <c r="B148" t="s">
        <v>245</v>
      </c>
      <c r="C148" t="s">
        <v>42</v>
      </c>
      <c r="D148">
        <v>0.47350500702644499</v>
      </c>
    </row>
    <row r="149" spans="1:4" hidden="1" x14ac:dyDescent="0.3">
      <c r="A149">
        <v>147</v>
      </c>
      <c r="B149" s="1" t="s">
        <v>246</v>
      </c>
      <c r="C149" t="s">
        <v>153</v>
      </c>
      <c r="D149" s="1" t="s">
        <v>247</v>
      </c>
    </row>
    <row r="150" spans="1:4" hidden="1" x14ac:dyDescent="0.3">
      <c r="A150">
        <v>148</v>
      </c>
      <c r="B150" t="s">
        <v>154</v>
      </c>
      <c r="C150" t="s">
        <v>155</v>
      </c>
      <c r="D150">
        <v>1</v>
      </c>
    </row>
    <row r="151" spans="1:4" hidden="1" x14ac:dyDescent="0.3">
      <c r="A151">
        <v>149</v>
      </c>
      <c r="B151" t="s">
        <v>156</v>
      </c>
      <c r="C151" t="s">
        <v>157</v>
      </c>
      <c r="D151">
        <v>1</v>
      </c>
    </row>
    <row r="152" spans="1:4" hidden="1" x14ac:dyDescent="0.3">
      <c r="A152">
        <v>150</v>
      </c>
      <c r="B152" s="1" t="s">
        <v>248</v>
      </c>
      <c r="C152" t="s">
        <v>159</v>
      </c>
      <c r="D152" s="1" t="s">
        <v>249</v>
      </c>
    </row>
    <row r="153" spans="1:4" hidden="1" x14ac:dyDescent="0.3">
      <c r="A153">
        <v>151</v>
      </c>
      <c r="B153" t="s">
        <v>250</v>
      </c>
      <c r="C153" t="s">
        <v>162</v>
      </c>
      <c r="D153">
        <v>1.0001225258106601</v>
      </c>
    </row>
    <row r="154" spans="1:4" hidden="1" x14ac:dyDescent="0.3">
      <c r="A154">
        <v>152</v>
      </c>
      <c r="B154" t="s">
        <v>251</v>
      </c>
      <c r="C154" t="s">
        <v>164</v>
      </c>
      <c r="D154">
        <v>0.99962119038522101</v>
      </c>
    </row>
    <row r="155" spans="1:4" hidden="1" x14ac:dyDescent="0.3">
      <c r="A155">
        <v>153</v>
      </c>
      <c r="B155" s="1" t="s">
        <v>252</v>
      </c>
      <c r="C155" t="s">
        <v>166</v>
      </c>
      <c r="D155" s="1" t="s">
        <v>253</v>
      </c>
    </row>
    <row r="156" spans="1:4" hidden="1" x14ac:dyDescent="0.3">
      <c r="A156">
        <v>154</v>
      </c>
      <c r="B156" s="1" t="s">
        <v>254</v>
      </c>
      <c r="C156" t="s">
        <v>55</v>
      </c>
      <c r="D156" s="1" t="s">
        <v>255</v>
      </c>
    </row>
    <row r="157" spans="1:4" hidden="1" x14ac:dyDescent="0.3">
      <c r="A157">
        <v>155</v>
      </c>
      <c r="B157" s="1" t="s">
        <v>256</v>
      </c>
      <c r="C157" t="s">
        <v>52</v>
      </c>
      <c r="D157" s="1" t="s">
        <v>257</v>
      </c>
    </row>
    <row r="158" spans="1:4" hidden="1" x14ac:dyDescent="0.3">
      <c r="A158">
        <v>156</v>
      </c>
      <c r="B158" s="1" t="s">
        <v>258</v>
      </c>
      <c r="C158" t="s">
        <v>58</v>
      </c>
      <c r="D158" s="1" t="s">
        <v>259</v>
      </c>
    </row>
    <row r="159" spans="1:4" hidden="1" x14ac:dyDescent="0.3">
      <c r="A159">
        <v>157</v>
      </c>
      <c r="B159" t="s">
        <v>260</v>
      </c>
      <c r="C159" t="s">
        <v>61</v>
      </c>
      <c r="D159">
        <v>149988258.66992199</v>
      </c>
    </row>
    <row r="160" spans="1:4" hidden="1" x14ac:dyDescent="0.3">
      <c r="A160">
        <v>158</v>
      </c>
      <c r="B160" t="s">
        <v>261</v>
      </c>
      <c r="C160" t="s">
        <v>63</v>
      </c>
      <c r="D160">
        <v>79999610.553005099</v>
      </c>
    </row>
    <row r="161" spans="1:4" hidden="1" x14ac:dyDescent="0.3">
      <c r="A161">
        <v>159</v>
      </c>
      <c r="B161" t="s">
        <v>262</v>
      </c>
      <c r="C161" t="s">
        <v>65</v>
      </c>
      <c r="D161">
        <v>39999834.921196699</v>
      </c>
    </row>
    <row r="162" spans="1:4" hidden="1" x14ac:dyDescent="0.3">
      <c r="A162">
        <v>160</v>
      </c>
      <c r="B162" s="1" t="s">
        <v>263</v>
      </c>
      <c r="C162" t="s">
        <v>67</v>
      </c>
      <c r="D162" s="1" t="s">
        <v>264</v>
      </c>
    </row>
    <row r="163" spans="1:4" hidden="1" x14ac:dyDescent="0.3">
      <c r="A163">
        <v>161</v>
      </c>
      <c r="B163" s="1" t="s">
        <v>265</v>
      </c>
      <c r="C163" t="s">
        <v>70</v>
      </c>
      <c r="D163" s="1" t="s">
        <v>266</v>
      </c>
    </row>
    <row r="164" spans="1:4" hidden="1" x14ac:dyDescent="0.3">
      <c r="A164">
        <v>162</v>
      </c>
      <c r="B164" t="s">
        <v>267</v>
      </c>
      <c r="C164" t="s">
        <v>73</v>
      </c>
      <c r="D164">
        <v>1.0000321127818901</v>
      </c>
    </row>
    <row r="165" spans="1:4" hidden="1" x14ac:dyDescent="0.3">
      <c r="A165">
        <v>163</v>
      </c>
      <c r="B165" t="s">
        <v>74</v>
      </c>
      <c r="C165" t="s">
        <v>75</v>
      </c>
      <c r="D165">
        <v>2.7397260273972599E-3</v>
      </c>
    </row>
    <row r="166" spans="1:4" hidden="1" x14ac:dyDescent="0.3">
      <c r="A166">
        <v>164</v>
      </c>
      <c r="B166" t="s">
        <v>76</v>
      </c>
      <c r="C166" t="s">
        <v>77</v>
      </c>
      <c r="D166">
        <v>0</v>
      </c>
    </row>
    <row r="167" spans="1:4" hidden="1" x14ac:dyDescent="0.3">
      <c r="A167">
        <v>165</v>
      </c>
      <c r="B167" t="s">
        <v>78</v>
      </c>
      <c r="C167" t="s">
        <v>79</v>
      </c>
      <c r="D167">
        <v>0</v>
      </c>
    </row>
    <row r="168" spans="1:4" hidden="1" x14ac:dyDescent="0.3">
      <c r="A168">
        <v>166</v>
      </c>
      <c r="B168" s="1" t="s">
        <v>268</v>
      </c>
      <c r="C168" t="s">
        <v>81</v>
      </c>
      <c r="D168" s="1" t="s">
        <v>269</v>
      </c>
    </row>
    <row r="169" spans="1:4" hidden="1" x14ac:dyDescent="0.3">
      <c r="A169">
        <v>167</v>
      </c>
      <c r="B169" t="s">
        <v>270</v>
      </c>
      <c r="C169" t="s">
        <v>84</v>
      </c>
      <c r="D169">
        <v>1.0000783838043901</v>
      </c>
    </row>
    <row r="170" spans="1:4" hidden="1" x14ac:dyDescent="0.3">
      <c r="A170">
        <v>168</v>
      </c>
      <c r="B170" s="1" t="s">
        <v>271</v>
      </c>
      <c r="C170" t="s">
        <v>86</v>
      </c>
      <c r="D170" s="1" t="s">
        <v>272</v>
      </c>
    </row>
    <row r="171" spans="1:4" hidden="1" x14ac:dyDescent="0.3">
      <c r="A171">
        <v>169</v>
      </c>
      <c r="B171" t="s">
        <v>273</v>
      </c>
      <c r="C171" t="s">
        <v>89</v>
      </c>
      <c r="D171">
        <v>99992162.233914107</v>
      </c>
    </row>
    <row r="172" spans="1:4" hidden="1" x14ac:dyDescent="0.3">
      <c r="A172">
        <v>170</v>
      </c>
      <c r="B172" s="1" t="s">
        <v>274</v>
      </c>
      <c r="C172" t="s">
        <v>91</v>
      </c>
      <c r="D172" s="1" t="s">
        <v>220</v>
      </c>
    </row>
    <row r="173" spans="1:4" hidden="1" x14ac:dyDescent="0.3">
      <c r="A173">
        <v>171</v>
      </c>
      <c r="B173" t="s">
        <v>275</v>
      </c>
      <c r="C173" t="s">
        <v>94</v>
      </c>
      <c r="D173">
        <v>79999610.553005099</v>
      </c>
    </row>
    <row r="174" spans="1:4" hidden="1" x14ac:dyDescent="0.3">
      <c r="A174">
        <v>172</v>
      </c>
      <c r="B174" t="s">
        <v>276</v>
      </c>
      <c r="C174" t="s">
        <v>96</v>
      </c>
      <c r="D174">
        <v>39999834.921196699</v>
      </c>
    </row>
    <row r="175" spans="1:4" hidden="1" x14ac:dyDescent="0.3">
      <c r="A175">
        <v>173</v>
      </c>
      <c r="B175" t="s">
        <v>277</v>
      </c>
      <c r="C175" t="s">
        <v>98</v>
      </c>
      <c r="D175">
        <v>29988813.195720401</v>
      </c>
    </row>
    <row r="176" spans="1:4" hidden="1" x14ac:dyDescent="0.3">
      <c r="A176">
        <v>174</v>
      </c>
      <c r="B176" s="1" t="s">
        <v>278</v>
      </c>
      <c r="C176" t="s">
        <v>100</v>
      </c>
      <c r="D176" s="1" t="s">
        <v>279</v>
      </c>
    </row>
    <row r="177" spans="1:4" hidden="1" x14ac:dyDescent="0.3">
      <c r="A177">
        <v>175</v>
      </c>
      <c r="B177" t="s">
        <v>280</v>
      </c>
      <c r="C177" t="s">
        <v>103</v>
      </c>
      <c r="D177">
        <v>1.00691273468131E-2</v>
      </c>
    </row>
    <row r="178" spans="1:4" hidden="1" x14ac:dyDescent="0.3">
      <c r="A178">
        <v>176</v>
      </c>
      <c r="B178" t="s">
        <v>281</v>
      </c>
      <c r="C178" t="s">
        <v>105</v>
      </c>
      <c r="D178">
        <v>2.8222159049991601E-3</v>
      </c>
    </row>
    <row r="179" spans="1:4" hidden="1" x14ac:dyDescent="0.3">
      <c r="A179">
        <v>177</v>
      </c>
      <c r="B179" t="s">
        <v>282</v>
      </c>
      <c r="C179" t="s">
        <v>107</v>
      </c>
      <c r="D179">
        <v>2.10051371956449E-2</v>
      </c>
    </row>
    <row r="180" spans="1:4" hidden="1" x14ac:dyDescent="0.3">
      <c r="A180">
        <v>178</v>
      </c>
      <c r="B180" s="1" t="s">
        <v>283</v>
      </c>
      <c r="C180" t="s">
        <v>109</v>
      </c>
      <c r="D180" s="1" t="s">
        <v>284</v>
      </c>
    </row>
    <row r="181" spans="1:4" x14ac:dyDescent="0.3">
      <c r="A181">
        <v>179</v>
      </c>
      <c r="B181" t="s">
        <v>285</v>
      </c>
      <c r="C181" t="s">
        <v>197</v>
      </c>
      <c r="D181">
        <v>149989859.930143</v>
      </c>
    </row>
    <row r="182" spans="1:4" hidden="1" x14ac:dyDescent="0.3">
      <c r="A182">
        <v>180</v>
      </c>
      <c r="B182" t="s">
        <v>286</v>
      </c>
      <c r="C182" t="s">
        <v>199</v>
      </c>
      <c r="D182">
        <v>-3701.5997220341701</v>
      </c>
    </row>
    <row r="183" spans="1:4" hidden="1" x14ac:dyDescent="0.3">
      <c r="A183">
        <v>181</v>
      </c>
      <c r="B183" t="s">
        <v>287</v>
      </c>
      <c r="C183" t="s">
        <v>201</v>
      </c>
      <c r="D183">
        <v>-1850.7845503728099</v>
      </c>
    </row>
    <row r="184" spans="1:4" hidden="1" x14ac:dyDescent="0.3">
      <c r="A184">
        <v>182</v>
      </c>
      <c r="B184" s="1" t="s">
        <v>288</v>
      </c>
      <c r="C184" t="s">
        <v>203</v>
      </c>
      <c r="D184" s="1" t="s">
        <v>289</v>
      </c>
    </row>
    <row r="185" spans="1:4" hidden="1" x14ac:dyDescent="0.3">
      <c r="A185">
        <v>183</v>
      </c>
      <c r="B185" t="s">
        <v>290</v>
      </c>
      <c r="C185" t="s">
        <v>206</v>
      </c>
      <c r="D185">
        <v>80004496.712539494</v>
      </c>
    </row>
    <row r="186" spans="1:4" hidden="1" x14ac:dyDescent="0.3">
      <c r="A186">
        <v>184</v>
      </c>
      <c r="B186" t="s">
        <v>291</v>
      </c>
      <c r="C186" t="s">
        <v>208</v>
      </c>
      <c r="D186">
        <v>40001917.439779103</v>
      </c>
    </row>
    <row r="187" spans="1:4" hidden="1" x14ac:dyDescent="0.3">
      <c r="A187">
        <v>185</v>
      </c>
      <c r="B187" t="s">
        <v>292</v>
      </c>
      <c r="C187" t="s">
        <v>210</v>
      </c>
      <c r="D187">
        <v>29990385.739147101</v>
      </c>
    </row>
    <row r="188" spans="1:4" hidden="1" x14ac:dyDescent="0.3">
      <c r="A188">
        <v>186</v>
      </c>
      <c r="B188" s="1" t="s">
        <v>293</v>
      </c>
      <c r="C188" t="s">
        <v>212</v>
      </c>
      <c r="D188" s="1" t="s">
        <v>294</v>
      </c>
    </row>
    <row r="189" spans="1:4" hidden="1" x14ac:dyDescent="0.3">
      <c r="A189">
        <v>187</v>
      </c>
      <c r="B189" t="s">
        <v>295</v>
      </c>
      <c r="C189" t="s">
        <v>215</v>
      </c>
      <c r="D189">
        <v>99996788.824929997</v>
      </c>
    </row>
    <row r="190" spans="1:4" hidden="1" x14ac:dyDescent="0.3">
      <c r="A190">
        <v>188</v>
      </c>
      <c r="B190" t="s">
        <v>296</v>
      </c>
      <c r="C190" t="s">
        <v>217</v>
      </c>
      <c r="D190">
        <v>-4626.5910158604302</v>
      </c>
    </row>
    <row r="191" spans="1:4" hidden="1" x14ac:dyDescent="0.3">
      <c r="A191">
        <v>189</v>
      </c>
      <c r="B191" s="1" t="s">
        <v>297</v>
      </c>
      <c r="C191" t="s">
        <v>219</v>
      </c>
      <c r="D191" s="1" t="s">
        <v>298</v>
      </c>
    </row>
    <row r="192" spans="1:4" hidden="1" x14ac:dyDescent="0.3">
      <c r="A192">
        <v>190</v>
      </c>
      <c r="B192" t="s">
        <v>299</v>
      </c>
      <c r="C192" t="s">
        <v>112</v>
      </c>
      <c r="D192">
        <v>1184.5598123674099</v>
      </c>
    </row>
    <row r="193" spans="1:4" hidden="1" x14ac:dyDescent="0.3">
      <c r="A193">
        <v>191</v>
      </c>
      <c r="B193" t="s">
        <v>300</v>
      </c>
      <c r="C193" t="s">
        <v>114</v>
      </c>
      <c r="D193">
        <v>231.734032036473</v>
      </c>
    </row>
    <row r="194" spans="1:4" hidden="1" x14ac:dyDescent="0.3">
      <c r="A194">
        <v>192</v>
      </c>
      <c r="B194" s="1" t="s">
        <v>301</v>
      </c>
      <c r="C194" t="s">
        <v>116</v>
      </c>
      <c r="D194" s="1" t="s">
        <v>302</v>
      </c>
    </row>
    <row r="195" spans="1:4" hidden="1" x14ac:dyDescent="0.3">
      <c r="A195">
        <v>193</v>
      </c>
      <c r="B195" t="s">
        <v>303</v>
      </c>
      <c r="C195" t="s">
        <v>119</v>
      </c>
      <c r="D195">
        <v>80004496.712539494</v>
      </c>
    </row>
    <row r="196" spans="1:4" hidden="1" x14ac:dyDescent="0.3">
      <c r="A196">
        <v>194</v>
      </c>
      <c r="B196" t="s">
        <v>304</v>
      </c>
      <c r="C196" t="s">
        <v>121</v>
      </c>
      <c r="D196">
        <v>40001917.439779103</v>
      </c>
    </row>
    <row r="197" spans="1:4" hidden="1" x14ac:dyDescent="0.3">
      <c r="A197">
        <v>195</v>
      </c>
      <c r="B197" s="1" t="s">
        <v>305</v>
      </c>
      <c r="C197" t="s">
        <v>123</v>
      </c>
      <c r="D197" s="1" t="s">
        <v>306</v>
      </c>
    </row>
    <row r="198" spans="1:4" hidden="1" x14ac:dyDescent="0.3">
      <c r="A198">
        <v>196</v>
      </c>
      <c r="B198" t="s">
        <v>307</v>
      </c>
      <c r="C198" t="s">
        <v>126</v>
      </c>
      <c r="D198">
        <v>0.80000795112817402</v>
      </c>
    </row>
    <row r="199" spans="1:4" hidden="1" x14ac:dyDescent="0.3">
      <c r="A199">
        <v>197</v>
      </c>
      <c r="B199" t="s">
        <v>308</v>
      </c>
      <c r="C199" t="s">
        <v>128</v>
      </c>
      <c r="D199">
        <v>0.400000666552287</v>
      </c>
    </row>
    <row r="200" spans="1:4" hidden="1" x14ac:dyDescent="0.3">
      <c r="A200">
        <v>198</v>
      </c>
      <c r="B200" s="1" t="s">
        <v>309</v>
      </c>
      <c r="C200" t="s">
        <v>130</v>
      </c>
      <c r="D200" s="1" t="s">
        <v>310</v>
      </c>
    </row>
    <row r="201" spans="1:4" hidden="1" x14ac:dyDescent="0.3">
      <c r="A201">
        <v>199</v>
      </c>
      <c r="B201" s="1" t="s">
        <v>3</v>
      </c>
      <c r="C201" t="s">
        <v>4</v>
      </c>
      <c r="D201" t="s">
        <v>5</v>
      </c>
    </row>
    <row r="202" spans="1:4" hidden="1" x14ac:dyDescent="0.3">
      <c r="A202">
        <v>200</v>
      </c>
      <c r="B202" t="s">
        <v>6</v>
      </c>
      <c r="C202" t="s">
        <v>7</v>
      </c>
      <c r="D202">
        <v>1950.52</v>
      </c>
    </row>
    <row r="203" spans="1:4" hidden="1" x14ac:dyDescent="0.3">
      <c r="A203">
        <v>201</v>
      </c>
      <c r="B203" s="1" t="s">
        <v>132</v>
      </c>
      <c r="C203" t="s">
        <v>9</v>
      </c>
      <c r="D203" s="1" t="s">
        <v>133</v>
      </c>
    </row>
    <row r="204" spans="1:4" hidden="1" x14ac:dyDescent="0.3">
      <c r="A204">
        <v>202</v>
      </c>
      <c r="B204" t="s">
        <v>13</v>
      </c>
      <c r="C204" t="s">
        <v>14</v>
      </c>
      <c r="D204">
        <v>90.82421875</v>
      </c>
    </row>
    <row r="205" spans="1:4" hidden="1" x14ac:dyDescent="0.3">
      <c r="A205">
        <v>203</v>
      </c>
      <c r="B205" t="s">
        <v>15</v>
      </c>
      <c r="C205" t="s">
        <v>16</v>
      </c>
      <c r="D205">
        <v>4.2527792330373497</v>
      </c>
    </row>
    <row r="206" spans="1:4" hidden="1" x14ac:dyDescent="0.3">
      <c r="A206">
        <v>204</v>
      </c>
      <c r="B206" s="1" t="s">
        <v>134</v>
      </c>
      <c r="C206" t="s">
        <v>135</v>
      </c>
      <c r="D206" s="1" t="s">
        <v>136</v>
      </c>
    </row>
    <row r="207" spans="1:4" hidden="1" x14ac:dyDescent="0.3">
      <c r="A207">
        <v>205</v>
      </c>
      <c r="B207" t="s">
        <v>21</v>
      </c>
      <c r="C207" t="s">
        <v>22</v>
      </c>
      <c r="D207">
        <v>62.9</v>
      </c>
    </row>
    <row r="208" spans="1:4" hidden="1" x14ac:dyDescent="0.3">
      <c r="A208">
        <v>206</v>
      </c>
      <c r="B208" t="s">
        <v>311</v>
      </c>
      <c r="C208" t="s">
        <v>24</v>
      </c>
      <c r="D208">
        <v>4.0970113806458599</v>
      </c>
    </row>
    <row r="209" spans="1:4" hidden="1" x14ac:dyDescent="0.3">
      <c r="A209">
        <v>207</v>
      </c>
      <c r="B209" s="1" t="s">
        <v>312</v>
      </c>
      <c r="C209" t="s">
        <v>139</v>
      </c>
      <c r="D209" s="1" t="s">
        <v>313</v>
      </c>
    </row>
    <row r="210" spans="1:4" hidden="1" x14ac:dyDescent="0.3">
      <c r="A210">
        <v>208</v>
      </c>
      <c r="B210" t="s">
        <v>314</v>
      </c>
      <c r="C210" t="s">
        <v>35</v>
      </c>
      <c r="D210">
        <v>-1.16128276029668</v>
      </c>
    </row>
    <row r="211" spans="1:4" hidden="1" x14ac:dyDescent="0.3">
      <c r="A211">
        <v>209</v>
      </c>
      <c r="B211" t="s">
        <v>315</v>
      </c>
      <c r="C211" t="s">
        <v>143</v>
      </c>
      <c r="D211">
        <v>0.54116423501574795</v>
      </c>
    </row>
    <row r="212" spans="1:4" hidden="1" x14ac:dyDescent="0.3">
      <c r="A212">
        <v>210</v>
      </c>
      <c r="B212" s="1" t="s">
        <v>316</v>
      </c>
      <c r="C212" t="s">
        <v>145</v>
      </c>
      <c r="D212" s="1" t="s">
        <v>317</v>
      </c>
    </row>
    <row r="213" spans="1:4" hidden="1" x14ac:dyDescent="0.3">
      <c r="A213">
        <v>211</v>
      </c>
      <c r="B213" t="s">
        <v>318</v>
      </c>
      <c r="C213" t="s">
        <v>30</v>
      </c>
      <c r="D213">
        <v>1.0599094883740801</v>
      </c>
    </row>
    <row r="214" spans="1:4" hidden="1" x14ac:dyDescent="0.3">
      <c r="A214">
        <v>212</v>
      </c>
      <c r="B214" t="s">
        <v>319</v>
      </c>
      <c r="C214" t="s">
        <v>32</v>
      </c>
      <c r="D214">
        <v>0.37347050225337203</v>
      </c>
    </row>
    <row r="215" spans="1:4" hidden="1" x14ac:dyDescent="0.3">
      <c r="A215">
        <v>213</v>
      </c>
      <c r="B215" s="1" t="s">
        <v>320</v>
      </c>
      <c r="C215" t="s">
        <v>149</v>
      </c>
      <c r="D215" s="1" t="s">
        <v>321</v>
      </c>
    </row>
    <row r="216" spans="1:4" hidden="1" x14ac:dyDescent="0.3">
      <c r="A216">
        <v>214</v>
      </c>
      <c r="B216" t="s">
        <v>322</v>
      </c>
      <c r="C216" t="s">
        <v>40</v>
      </c>
      <c r="D216">
        <v>1.1013732719225899</v>
      </c>
    </row>
    <row r="217" spans="1:4" hidden="1" x14ac:dyDescent="0.3">
      <c r="A217">
        <v>215</v>
      </c>
      <c r="B217" t="s">
        <v>323</v>
      </c>
      <c r="C217" t="s">
        <v>42</v>
      </c>
      <c r="D217">
        <v>0.474397363535836</v>
      </c>
    </row>
    <row r="218" spans="1:4" hidden="1" x14ac:dyDescent="0.3">
      <c r="A218">
        <v>216</v>
      </c>
      <c r="B218" s="1" t="s">
        <v>324</v>
      </c>
      <c r="C218" t="s">
        <v>153</v>
      </c>
      <c r="D218" s="1" t="s">
        <v>325</v>
      </c>
    </row>
    <row r="219" spans="1:4" hidden="1" x14ac:dyDescent="0.3">
      <c r="A219">
        <v>217</v>
      </c>
      <c r="B219" t="s">
        <v>154</v>
      </c>
      <c r="C219" t="s">
        <v>155</v>
      </c>
      <c r="D219">
        <v>1</v>
      </c>
    </row>
    <row r="220" spans="1:4" hidden="1" x14ac:dyDescent="0.3">
      <c r="A220">
        <v>218</v>
      </c>
      <c r="B220" t="s">
        <v>156</v>
      </c>
      <c r="C220" t="s">
        <v>157</v>
      </c>
      <c r="D220">
        <v>1</v>
      </c>
    </row>
    <row r="221" spans="1:4" hidden="1" x14ac:dyDescent="0.3">
      <c r="A221">
        <v>219</v>
      </c>
      <c r="B221" s="1" t="s">
        <v>326</v>
      </c>
      <c r="C221" t="s">
        <v>159</v>
      </c>
      <c r="D221" s="1" t="s">
        <v>327</v>
      </c>
    </row>
    <row r="222" spans="1:4" hidden="1" x14ac:dyDescent="0.3">
      <c r="A222">
        <v>220</v>
      </c>
      <c r="B222" t="s">
        <v>328</v>
      </c>
      <c r="C222" t="s">
        <v>162</v>
      </c>
      <c r="D222">
        <v>0.99978359127819905</v>
      </c>
    </row>
    <row r="223" spans="1:4" hidden="1" x14ac:dyDescent="0.3">
      <c r="A223">
        <v>221</v>
      </c>
      <c r="B223" t="s">
        <v>329</v>
      </c>
      <c r="C223" t="s">
        <v>164</v>
      </c>
      <c r="D223">
        <v>1.0001791663275801</v>
      </c>
    </row>
    <row r="224" spans="1:4" hidden="1" x14ac:dyDescent="0.3">
      <c r="A224">
        <v>222</v>
      </c>
      <c r="B224" s="1" t="s">
        <v>330</v>
      </c>
      <c r="C224" t="s">
        <v>166</v>
      </c>
      <c r="D224" s="1" t="s">
        <v>331</v>
      </c>
    </row>
    <row r="225" spans="1:4" hidden="1" x14ac:dyDescent="0.3">
      <c r="A225">
        <v>223</v>
      </c>
      <c r="B225" s="1" t="s">
        <v>332</v>
      </c>
      <c r="C225" t="s">
        <v>55</v>
      </c>
      <c r="D225" s="1" t="s">
        <v>333</v>
      </c>
    </row>
    <row r="226" spans="1:4" hidden="1" x14ac:dyDescent="0.3">
      <c r="A226">
        <v>224</v>
      </c>
      <c r="B226" s="1" t="s">
        <v>334</v>
      </c>
      <c r="C226" t="s">
        <v>52</v>
      </c>
      <c r="D226" s="1" t="s">
        <v>335</v>
      </c>
    </row>
    <row r="227" spans="1:4" hidden="1" x14ac:dyDescent="0.3">
      <c r="A227">
        <v>225</v>
      </c>
      <c r="B227" s="1" t="s">
        <v>336</v>
      </c>
      <c r="C227" t="s">
        <v>58</v>
      </c>
      <c r="D227" s="1" t="s">
        <v>337</v>
      </c>
    </row>
    <row r="228" spans="1:4" hidden="1" x14ac:dyDescent="0.3">
      <c r="A228">
        <v>226</v>
      </c>
      <c r="B228" t="s">
        <v>338</v>
      </c>
      <c r="C228" t="s">
        <v>61</v>
      </c>
      <c r="D228">
        <v>149990408.477487</v>
      </c>
    </row>
    <row r="229" spans="1:4" hidden="1" x14ac:dyDescent="0.3">
      <c r="A229">
        <v>227</v>
      </c>
      <c r="B229" t="s">
        <v>339</v>
      </c>
      <c r="C229" t="s">
        <v>63</v>
      </c>
      <c r="D229">
        <v>80004496.712539494</v>
      </c>
    </row>
    <row r="230" spans="1:4" hidden="1" x14ac:dyDescent="0.3">
      <c r="A230">
        <v>228</v>
      </c>
      <c r="B230" t="s">
        <v>340</v>
      </c>
      <c r="C230" t="s">
        <v>65</v>
      </c>
      <c r="D230">
        <v>40001917.439779103</v>
      </c>
    </row>
    <row r="231" spans="1:4" hidden="1" x14ac:dyDescent="0.3">
      <c r="A231">
        <v>229</v>
      </c>
      <c r="B231" s="1" t="s">
        <v>341</v>
      </c>
      <c r="C231" t="s">
        <v>67</v>
      </c>
      <c r="D231" s="1" t="s">
        <v>342</v>
      </c>
    </row>
    <row r="232" spans="1:4" hidden="1" x14ac:dyDescent="0.3">
      <c r="A232">
        <v>230</v>
      </c>
      <c r="B232" s="1" t="s">
        <v>343</v>
      </c>
      <c r="C232" t="s">
        <v>70</v>
      </c>
      <c r="D232" s="1" t="s">
        <v>344</v>
      </c>
    </row>
    <row r="233" spans="1:4" hidden="1" x14ac:dyDescent="0.3">
      <c r="A233">
        <v>231</v>
      </c>
      <c r="B233" t="s">
        <v>345</v>
      </c>
      <c r="C233" t="s">
        <v>73</v>
      </c>
      <c r="D233">
        <v>1.0000783838043901</v>
      </c>
    </row>
    <row r="234" spans="1:4" hidden="1" x14ac:dyDescent="0.3">
      <c r="A234">
        <v>232</v>
      </c>
      <c r="B234" t="s">
        <v>74</v>
      </c>
      <c r="C234" t="s">
        <v>75</v>
      </c>
      <c r="D234">
        <v>2.7397260273972599E-3</v>
      </c>
    </row>
    <row r="235" spans="1:4" hidden="1" x14ac:dyDescent="0.3">
      <c r="A235">
        <v>233</v>
      </c>
      <c r="B235" t="s">
        <v>76</v>
      </c>
      <c r="C235" t="s">
        <v>77</v>
      </c>
      <c r="D235">
        <v>0</v>
      </c>
    </row>
    <row r="236" spans="1:4" hidden="1" x14ac:dyDescent="0.3">
      <c r="A236">
        <v>234</v>
      </c>
      <c r="B236" t="s">
        <v>346</v>
      </c>
      <c r="C236" t="s">
        <v>79</v>
      </c>
      <c r="D236" s="2">
        <v>-2.2204460492503101E-16</v>
      </c>
    </row>
    <row r="237" spans="1:4" hidden="1" x14ac:dyDescent="0.3">
      <c r="A237">
        <v>235</v>
      </c>
      <c r="B237" s="1" t="s">
        <v>347</v>
      </c>
      <c r="C237" t="s">
        <v>81</v>
      </c>
      <c r="D237" s="1" t="s">
        <v>348</v>
      </c>
    </row>
    <row r="238" spans="1:4" hidden="1" x14ac:dyDescent="0.3">
      <c r="A238">
        <v>236</v>
      </c>
      <c r="B238" t="s">
        <v>349</v>
      </c>
      <c r="C238" t="s">
        <v>84</v>
      </c>
      <c r="D238">
        <v>1.0000524401123001</v>
      </c>
    </row>
    <row r="239" spans="1:4" hidden="1" x14ac:dyDescent="0.3">
      <c r="A239">
        <v>237</v>
      </c>
      <c r="B239" s="1" t="s">
        <v>350</v>
      </c>
      <c r="C239" t="s">
        <v>86</v>
      </c>
      <c r="D239" s="1" t="s">
        <v>351</v>
      </c>
    </row>
    <row r="240" spans="1:4" hidden="1" x14ac:dyDescent="0.3">
      <c r="A240">
        <v>238</v>
      </c>
      <c r="B240" t="s">
        <v>352</v>
      </c>
      <c r="C240" t="s">
        <v>89</v>
      </c>
      <c r="D240">
        <v>99994756.263751805</v>
      </c>
    </row>
    <row r="241" spans="1:4" hidden="1" x14ac:dyDescent="0.3">
      <c r="A241">
        <v>239</v>
      </c>
      <c r="B241" s="1" t="s">
        <v>353</v>
      </c>
      <c r="C241" t="s">
        <v>91</v>
      </c>
      <c r="D241" s="1" t="s">
        <v>298</v>
      </c>
    </row>
    <row r="242" spans="1:4" hidden="1" x14ac:dyDescent="0.3">
      <c r="A242">
        <v>240</v>
      </c>
      <c r="B242" t="s">
        <v>354</v>
      </c>
      <c r="C242" t="s">
        <v>94</v>
      </c>
      <c r="D242">
        <v>80004496.712539494</v>
      </c>
    </row>
    <row r="243" spans="1:4" hidden="1" x14ac:dyDescent="0.3">
      <c r="A243">
        <v>241</v>
      </c>
      <c r="B243" t="s">
        <v>355</v>
      </c>
      <c r="C243" t="s">
        <v>96</v>
      </c>
      <c r="D243">
        <v>40001917.439779103</v>
      </c>
    </row>
    <row r="244" spans="1:4" hidden="1" x14ac:dyDescent="0.3">
      <c r="A244">
        <v>242</v>
      </c>
      <c r="B244" t="s">
        <v>356</v>
      </c>
      <c r="C244" t="s">
        <v>98</v>
      </c>
      <c r="D244">
        <v>29983994.325169101</v>
      </c>
    </row>
    <row r="245" spans="1:4" hidden="1" x14ac:dyDescent="0.3">
      <c r="A245">
        <v>243</v>
      </c>
      <c r="B245" s="1" t="s">
        <v>357</v>
      </c>
      <c r="C245" t="s">
        <v>100</v>
      </c>
      <c r="D245" s="1" t="s">
        <v>358</v>
      </c>
    </row>
    <row r="246" spans="1:4" hidden="1" x14ac:dyDescent="0.3">
      <c r="A246">
        <v>244</v>
      </c>
      <c r="B246" t="s">
        <v>359</v>
      </c>
      <c r="C246" t="s">
        <v>103</v>
      </c>
      <c r="D246">
        <v>1.00774279462943E-2</v>
      </c>
    </row>
    <row r="247" spans="1:4" hidden="1" x14ac:dyDescent="0.3">
      <c r="A247">
        <v>245</v>
      </c>
      <c r="B247" t="s">
        <v>360</v>
      </c>
      <c r="C247" t="s">
        <v>105</v>
      </c>
      <c r="D247">
        <v>2.8358984134079202E-3</v>
      </c>
    </row>
    <row r="248" spans="1:4" hidden="1" x14ac:dyDescent="0.3">
      <c r="A248">
        <v>246</v>
      </c>
      <c r="B248" t="s">
        <v>361</v>
      </c>
      <c r="C248" t="s">
        <v>107</v>
      </c>
      <c r="D248">
        <v>2.1113778583147599E-2</v>
      </c>
    </row>
    <row r="249" spans="1:4" hidden="1" x14ac:dyDescent="0.3">
      <c r="A249">
        <v>247</v>
      </c>
      <c r="B249" s="1" t="s">
        <v>362</v>
      </c>
      <c r="C249" t="s">
        <v>109</v>
      </c>
      <c r="D249" s="1" t="s">
        <v>363</v>
      </c>
    </row>
    <row r="250" spans="1:4" x14ac:dyDescent="0.3">
      <c r="A250">
        <v>248</v>
      </c>
      <c r="B250" t="s">
        <v>364</v>
      </c>
      <c r="C250" t="s">
        <v>197</v>
      </c>
      <c r="D250">
        <v>149989510.72989699</v>
      </c>
    </row>
    <row r="251" spans="1:4" hidden="1" x14ac:dyDescent="0.3">
      <c r="A251">
        <v>249</v>
      </c>
      <c r="B251" t="s">
        <v>365</v>
      </c>
      <c r="C251" t="s">
        <v>199</v>
      </c>
      <c r="D251">
        <v>2075.4313988215299</v>
      </c>
    </row>
    <row r="252" spans="1:4" hidden="1" x14ac:dyDescent="0.3">
      <c r="A252">
        <v>250</v>
      </c>
      <c r="B252" t="s">
        <v>366</v>
      </c>
      <c r="C252" t="s">
        <v>201</v>
      </c>
      <c r="D252">
        <v>1037.7125794343599</v>
      </c>
    </row>
    <row r="253" spans="1:4" hidden="1" x14ac:dyDescent="0.3">
      <c r="A253">
        <v>251</v>
      </c>
      <c r="B253" s="1" t="s">
        <v>367</v>
      </c>
      <c r="C253" t="s">
        <v>203</v>
      </c>
      <c r="D253" s="1" t="s">
        <v>368</v>
      </c>
    </row>
    <row r="254" spans="1:4" hidden="1" x14ac:dyDescent="0.3">
      <c r="A254">
        <v>252</v>
      </c>
      <c r="B254" t="s">
        <v>369</v>
      </c>
      <c r="C254" t="s">
        <v>206</v>
      </c>
      <c r="D254">
        <v>80001729.402503103</v>
      </c>
    </row>
    <row r="255" spans="1:4" hidden="1" x14ac:dyDescent="0.3">
      <c r="A255">
        <v>253</v>
      </c>
      <c r="B255" t="s">
        <v>370</v>
      </c>
      <c r="C255" t="s">
        <v>208</v>
      </c>
      <c r="D255">
        <v>40000744.435408197</v>
      </c>
    </row>
    <row r="256" spans="1:4" hidden="1" x14ac:dyDescent="0.3">
      <c r="A256">
        <v>254</v>
      </c>
      <c r="B256" t="s">
        <v>371</v>
      </c>
      <c r="C256" t="s">
        <v>210</v>
      </c>
      <c r="D256">
        <v>29983145.915291298</v>
      </c>
    </row>
    <row r="257" spans="1:4" hidden="1" x14ac:dyDescent="0.3">
      <c r="A257">
        <v>255</v>
      </c>
      <c r="B257" s="1" t="s">
        <v>372</v>
      </c>
      <c r="C257" t="s">
        <v>212</v>
      </c>
      <c r="D257" s="1" t="s">
        <v>373</v>
      </c>
    </row>
    <row r="258" spans="1:4" hidden="1" x14ac:dyDescent="0.3">
      <c r="A258">
        <v>256</v>
      </c>
      <c r="B258" t="s">
        <v>374</v>
      </c>
      <c r="C258" t="s">
        <v>215</v>
      </c>
      <c r="D258">
        <v>99992162.233914107</v>
      </c>
    </row>
    <row r="259" spans="1:4" hidden="1" x14ac:dyDescent="0.3">
      <c r="A259">
        <v>257</v>
      </c>
      <c r="B259" t="s">
        <v>375</v>
      </c>
      <c r="C259" t="s">
        <v>217</v>
      </c>
      <c r="D259">
        <v>2594.02983768284</v>
      </c>
    </row>
    <row r="260" spans="1:4" hidden="1" x14ac:dyDescent="0.3">
      <c r="A260">
        <v>258</v>
      </c>
      <c r="B260" s="1" t="s">
        <v>376</v>
      </c>
      <c r="C260" t="s">
        <v>219</v>
      </c>
      <c r="D260" s="1" t="s">
        <v>377</v>
      </c>
    </row>
    <row r="261" spans="1:4" hidden="1" x14ac:dyDescent="0.3">
      <c r="A261">
        <v>259</v>
      </c>
      <c r="B261" t="s">
        <v>378</v>
      </c>
      <c r="C261" t="s">
        <v>112</v>
      </c>
      <c r="D261">
        <v>-691.87863756729496</v>
      </c>
    </row>
    <row r="262" spans="1:4" hidden="1" x14ac:dyDescent="0.3">
      <c r="A262">
        <v>260</v>
      </c>
      <c r="B262" t="s">
        <v>379</v>
      </c>
      <c r="C262" t="s">
        <v>114</v>
      </c>
      <c r="D262">
        <v>-135.291791433041</v>
      </c>
    </row>
    <row r="263" spans="1:4" hidden="1" x14ac:dyDescent="0.3">
      <c r="A263">
        <v>261</v>
      </c>
      <c r="B263" s="1" t="s">
        <v>380</v>
      </c>
      <c r="C263" t="s">
        <v>116</v>
      </c>
      <c r="D263" s="1" t="s">
        <v>381</v>
      </c>
    </row>
    <row r="264" spans="1:4" hidden="1" x14ac:dyDescent="0.3">
      <c r="A264">
        <v>262</v>
      </c>
      <c r="B264" t="s">
        <v>382</v>
      </c>
      <c r="C264" t="s">
        <v>119</v>
      </c>
      <c r="D264">
        <v>80001729.402503103</v>
      </c>
    </row>
    <row r="265" spans="1:4" hidden="1" x14ac:dyDescent="0.3">
      <c r="A265">
        <v>263</v>
      </c>
      <c r="B265" t="s">
        <v>383</v>
      </c>
      <c r="C265" t="s">
        <v>121</v>
      </c>
      <c r="D265">
        <v>40000744.435408197</v>
      </c>
    </row>
    <row r="266" spans="1:4" hidden="1" x14ac:dyDescent="0.3">
      <c r="A266">
        <v>264</v>
      </c>
      <c r="B266" s="1" t="s">
        <v>384</v>
      </c>
      <c r="C266" t="s">
        <v>123</v>
      </c>
      <c r="D266" s="1" t="s">
        <v>385</v>
      </c>
    </row>
    <row r="267" spans="1:4" hidden="1" x14ac:dyDescent="0.3">
      <c r="A267">
        <v>265</v>
      </c>
      <c r="B267" t="s">
        <v>386</v>
      </c>
      <c r="C267" t="s">
        <v>126</v>
      </c>
      <c r="D267">
        <v>0.80003804833901904</v>
      </c>
    </row>
    <row r="268" spans="1:4" hidden="1" x14ac:dyDescent="0.3">
      <c r="A268">
        <v>266</v>
      </c>
      <c r="B268" t="s">
        <v>387</v>
      </c>
      <c r="C268" t="s">
        <v>128</v>
      </c>
      <c r="D268">
        <v>0.40001782147987702</v>
      </c>
    </row>
    <row r="269" spans="1:4" hidden="1" x14ac:dyDescent="0.3">
      <c r="A269">
        <v>267</v>
      </c>
      <c r="B269" s="1" t="s">
        <v>388</v>
      </c>
      <c r="C269" t="s">
        <v>130</v>
      </c>
      <c r="D269" s="1" t="s">
        <v>389</v>
      </c>
    </row>
    <row r="270" spans="1:4" hidden="1" x14ac:dyDescent="0.3">
      <c r="A270">
        <v>268</v>
      </c>
      <c r="B270" s="1" t="s">
        <v>3</v>
      </c>
      <c r="C270" t="s">
        <v>4</v>
      </c>
      <c r="D270" t="s">
        <v>5</v>
      </c>
    </row>
    <row r="271" spans="1:4" hidden="1" x14ac:dyDescent="0.3">
      <c r="A271">
        <v>269</v>
      </c>
      <c r="B271" t="s">
        <v>6</v>
      </c>
      <c r="C271" t="s">
        <v>7</v>
      </c>
      <c r="D271">
        <v>1950.52</v>
      </c>
    </row>
    <row r="272" spans="1:4" hidden="1" x14ac:dyDescent="0.3">
      <c r="A272">
        <v>270</v>
      </c>
      <c r="B272" s="1" t="s">
        <v>132</v>
      </c>
      <c r="C272" t="s">
        <v>9</v>
      </c>
      <c r="D272" s="1" t="s">
        <v>133</v>
      </c>
    </row>
    <row r="273" spans="1:4" hidden="1" x14ac:dyDescent="0.3">
      <c r="A273">
        <v>271</v>
      </c>
      <c r="B273" t="s">
        <v>13</v>
      </c>
      <c r="C273" t="s">
        <v>14</v>
      </c>
      <c r="D273">
        <v>90.82421875</v>
      </c>
    </row>
    <row r="274" spans="1:4" hidden="1" x14ac:dyDescent="0.3">
      <c r="A274">
        <v>272</v>
      </c>
      <c r="B274" t="s">
        <v>15</v>
      </c>
      <c r="C274" t="s">
        <v>16</v>
      </c>
      <c r="D274">
        <v>4.2527792330373497</v>
      </c>
    </row>
    <row r="275" spans="1:4" hidden="1" x14ac:dyDescent="0.3">
      <c r="A275">
        <v>273</v>
      </c>
      <c r="B275" s="1" t="s">
        <v>134</v>
      </c>
      <c r="C275" t="s">
        <v>135</v>
      </c>
      <c r="D275" s="1" t="s">
        <v>136</v>
      </c>
    </row>
    <row r="276" spans="1:4" hidden="1" x14ac:dyDescent="0.3">
      <c r="A276">
        <v>274</v>
      </c>
      <c r="B276" t="s">
        <v>21</v>
      </c>
      <c r="C276" t="s">
        <v>22</v>
      </c>
      <c r="D276">
        <v>62.9</v>
      </c>
    </row>
    <row r="277" spans="1:4" hidden="1" x14ac:dyDescent="0.3">
      <c r="A277">
        <v>275</v>
      </c>
      <c r="B277" t="s">
        <v>390</v>
      </c>
      <c r="C277" t="s">
        <v>24</v>
      </c>
      <c r="D277">
        <v>4.0925662867841401</v>
      </c>
    </row>
    <row r="278" spans="1:4" hidden="1" x14ac:dyDescent="0.3">
      <c r="A278">
        <v>276</v>
      </c>
      <c r="B278" s="1" t="s">
        <v>391</v>
      </c>
      <c r="C278" t="s">
        <v>139</v>
      </c>
      <c r="D278" s="1" t="s">
        <v>392</v>
      </c>
    </row>
    <row r="279" spans="1:4" hidden="1" x14ac:dyDescent="0.3">
      <c r="A279">
        <v>277</v>
      </c>
      <c r="B279" t="s">
        <v>393</v>
      </c>
      <c r="C279" t="s">
        <v>35</v>
      </c>
      <c r="D279">
        <v>-1.18065931353515</v>
      </c>
    </row>
    <row r="280" spans="1:4" hidden="1" x14ac:dyDescent="0.3">
      <c r="A280">
        <v>278</v>
      </c>
      <c r="B280" t="s">
        <v>394</v>
      </c>
      <c r="C280" t="s">
        <v>143</v>
      </c>
      <c r="D280">
        <v>0.54239618147613899</v>
      </c>
    </row>
    <row r="281" spans="1:4" hidden="1" x14ac:dyDescent="0.3">
      <c r="A281">
        <v>279</v>
      </c>
      <c r="B281" s="1" t="s">
        <v>395</v>
      </c>
      <c r="C281" t="s">
        <v>145</v>
      </c>
      <c r="D281" s="1" t="s">
        <v>396</v>
      </c>
    </row>
    <row r="282" spans="1:4" hidden="1" x14ac:dyDescent="0.3">
      <c r="A282">
        <v>280</v>
      </c>
      <c r="B282" t="s">
        <v>397</v>
      </c>
      <c r="C282" t="s">
        <v>30</v>
      </c>
      <c r="D282">
        <v>1.07759458052528</v>
      </c>
    </row>
    <row r="283" spans="1:4" hidden="1" x14ac:dyDescent="0.3">
      <c r="A283">
        <v>281</v>
      </c>
      <c r="B283" t="s">
        <v>398</v>
      </c>
      <c r="C283" t="s">
        <v>32</v>
      </c>
      <c r="D283">
        <v>0.371530663582058</v>
      </c>
    </row>
    <row r="284" spans="1:4" hidden="1" x14ac:dyDescent="0.3">
      <c r="A284">
        <v>282</v>
      </c>
      <c r="B284" s="1" t="s">
        <v>399</v>
      </c>
      <c r="C284" t="s">
        <v>149</v>
      </c>
      <c r="D284" s="1" t="s">
        <v>400</v>
      </c>
    </row>
    <row r="285" spans="1:4" hidden="1" x14ac:dyDescent="0.3">
      <c r="A285">
        <v>283</v>
      </c>
      <c r="B285" t="s">
        <v>401</v>
      </c>
      <c r="C285" t="s">
        <v>40</v>
      </c>
      <c r="D285">
        <v>1.10306473300987</v>
      </c>
    </row>
    <row r="286" spans="1:4" hidden="1" x14ac:dyDescent="0.3">
      <c r="A286">
        <v>284</v>
      </c>
      <c r="B286" t="s">
        <v>402</v>
      </c>
      <c r="C286" t="s">
        <v>42</v>
      </c>
      <c r="D286">
        <v>0.472140133064196</v>
      </c>
    </row>
    <row r="287" spans="1:4" hidden="1" x14ac:dyDescent="0.3">
      <c r="A287">
        <v>285</v>
      </c>
      <c r="B287" s="1" t="s">
        <v>403</v>
      </c>
      <c r="C287" t="s">
        <v>153</v>
      </c>
      <c r="D287" s="1" t="s">
        <v>404</v>
      </c>
    </row>
    <row r="288" spans="1:4" hidden="1" x14ac:dyDescent="0.3">
      <c r="A288">
        <v>286</v>
      </c>
      <c r="B288" t="s">
        <v>154</v>
      </c>
      <c r="C288" t="s">
        <v>155</v>
      </c>
      <c r="D288">
        <v>1</v>
      </c>
    </row>
    <row r="289" spans="1:4" hidden="1" x14ac:dyDescent="0.3">
      <c r="A289">
        <v>287</v>
      </c>
      <c r="B289" t="s">
        <v>156</v>
      </c>
      <c r="C289" t="s">
        <v>157</v>
      </c>
      <c r="D289">
        <v>1</v>
      </c>
    </row>
    <row r="290" spans="1:4" hidden="1" x14ac:dyDescent="0.3">
      <c r="A290">
        <v>288</v>
      </c>
      <c r="B290" s="1" t="s">
        <v>405</v>
      </c>
      <c r="C290" t="s">
        <v>159</v>
      </c>
      <c r="D290" s="1" t="s">
        <v>406</v>
      </c>
    </row>
    <row r="291" spans="1:4" hidden="1" x14ac:dyDescent="0.3">
      <c r="A291">
        <v>289</v>
      </c>
      <c r="B291" t="s">
        <v>407</v>
      </c>
      <c r="C291" t="s">
        <v>162</v>
      </c>
      <c r="D291">
        <v>1.0007993609197501</v>
      </c>
    </row>
    <row r="292" spans="1:4" hidden="1" x14ac:dyDescent="0.3">
      <c r="A292">
        <v>290</v>
      </c>
      <c r="B292" t="s">
        <v>408</v>
      </c>
      <c r="C292" t="s">
        <v>164</v>
      </c>
      <c r="D292">
        <v>0.99858763718031696</v>
      </c>
    </row>
    <row r="293" spans="1:4" hidden="1" x14ac:dyDescent="0.3">
      <c r="A293">
        <v>291</v>
      </c>
      <c r="B293" s="1" t="s">
        <v>409</v>
      </c>
      <c r="C293" t="s">
        <v>166</v>
      </c>
      <c r="D293" s="1" t="s">
        <v>410</v>
      </c>
    </row>
    <row r="294" spans="1:4" hidden="1" x14ac:dyDescent="0.3">
      <c r="A294">
        <v>292</v>
      </c>
      <c r="B294" s="1" t="s">
        <v>411</v>
      </c>
      <c r="C294" t="s">
        <v>55</v>
      </c>
      <c r="D294" s="1" t="s">
        <v>412</v>
      </c>
    </row>
    <row r="295" spans="1:4" hidden="1" x14ac:dyDescent="0.3">
      <c r="A295">
        <v>293</v>
      </c>
      <c r="B295" s="1" t="s">
        <v>413</v>
      </c>
      <c r="C295" t="s">
        <v>52</v>
      </c>
      <c r="D295" s="1" t="s">
        <v>414</v>
      </c>
    </row>
    <row r="296" spans="1:4" hidden="1" x14ac:dyDescent="0.3">
      <c r="A296">
        <v>294</v>
      </c>
      <c r="B296" s="1" t="s">
        <v>415</v>
      </c>
      <c r="C296" t="s">
        <v>58</v>
      </c>
      <c r="D296" s="1" t="s">
        <v>416</v>
      </c>
    </row>
    <row r="297" spans="1:4" hidden="1" x14ac:dyDescent="0.3">
      <c r="A297">
        <v>295</v>
      </c>
      <c r="B297" t="s">
        <v>417</v>
      </c>
      <c r="C297" t="s">
        <v>61</v>
      </c>
      <c r="D297">
        <v>149983630.44211</v>
      </c>
    </row>
    <row r="298" spans="1:4" hidden="1" x14ac:dyDescent="0.3">
      <c r="A298">
        <v>296</v>
      </c>
      <c r="B298" t="s">
        <v>418</v>
      </c>
      <c r="C298" t="s">
        <v>63</v>
      </c>
      <c r="D298">
        <v>80001729.402503103</v>
      </c>
    </row>
    <row r="299" spans="1:4" hidden="1" x14ac:dyDescent="0.3">
      <c r="A299">
        <v>297</v>
      </c>
      <c r="B299" t="s">
        <v>419</v>
      </c>
      <c r="C299" t="s">
        <v>65</v>
      </c>
      <c r="D299">
        <v>40000744.435408197</v>
      </c>
    </row>
    <row r="300" spans="1:4" hidden="1" x14ac:dyDescent="0.3">
      <c r="A300">
        <v>298</v>
      </c>
      <c r="B300" s="1" t="s">
        <v>420</v>
      </c>
      <c r="C300" t="s">
        <v>67</v>
      </c>
      <c r="D300" s="1" t="s">
        <v>421</v>
      </c>
    </row>
    <row r="301" spans="1:4" hidden="1" x14ac:dyDescent="0.3">
      <c r="A301">
        <v>299</v>
      </c>
      <c r="B301" s="1" t="s">
        <v>422</v>
      </c>
      <c r="C301" t="s">
        <v>70</v>
      </c>
      <c r="D301" s="1" t="s">
        <v>423</v>
      </c>
    </row>
    <row r="302" spans="1:4" hidden="1" x14ac:dyDescent="0.3">
      <c r="A302">
        <v>300</v>
      </c>
      <c r="B302" t="s">
        <v>424</v>
      </c>
      <c r="C302" t="s">
        <v>73</v>
      </c>
      <c r="D302">
        <v>1.0000524401123001</v>
      </c>
    </row>
    <row r="303" spans="1:4" hidden="1" x14ac:dyDescent="0.3">
      <c r="A303">
        <v>301</v>
      </c>
      <c r="B303" t="s">
        <v>74</v>
      </c>
      <c r="C303" t="s">
        <v>75</v>
      </c>
      <c r="D303">
        <v>2.7397260273972599E-3</v>
      </c>
    </row>
    <row r="304" spans="1:4" hidden="1" x14ac:dyDescent="0.3">
      <c r="A304">
        <v>302</v>
      </c>
      <c r="B304" t="s">
        <v>76</v>
      </c>
      <c r="C304" t="s">
        <v>77</v>
      </c>
      <c r="D304">
        <v>0</v>
      </c>
    </row>
    <row r="305" spans="1:4" hidden="1" x14ac:dyDescent="0.3">
      <c r="A305">
        <v>303</v>
      </c>
      <c r="B305" t="s">
        <v>78</v>
      </c>
      <c r="C305" t="s">
        <v>79</v>
      </c>
      <c r="D305">
        <v>0</v>
      </c>
    </row>
    <row r="306" spans="1:4" hidden="1" x14ac:dyDescent="0.3">
      <c r="A306">
        <v>304</v>
      </c>
      <c r="B306" s="1" t="s">
        <v>425</v>
      </c>
      <c r="C306" t="s">
        <v>81</v>
      </c>
      <c r="D306" s="1" t="s">
        <v>426</v>
      </c>
    </row>
    <row r="307" spans="1:4" hidden="1" x14ac:dyDescent="0.3">
      <c r="A307">
        <v>305</v>
      </c>
      <c r="B307" t="s">
        <v>427</v>
      </c>
      <c r="C307" t="s">
        <v>84</v>
      </c>
      <c r="D307">
        <v>1.00003663319179</v>
      </c>
    </row>
    <row r="308" spans="1:4" hidden="1" x14ac:dyDescent="0.3">
      <c r="A308">
        <v>306</v>
      </c>
      <c r="B308" s="1" t="s">
        <v>428</v>
      </c>
      <c r="C308" t="s">
        <v>86</v>
      </c>
      <c r="D308" s="1" t="s">
        <v>429</v>
      </c>
    </row>
    <row r="309" spans="1:4" hidden="1" x14ac:dyDescent="0.3">
      <c r="A309">
        <v>307</v>
      </c>
      <c r="B309" t="s">
        <v>430</v>
      </c>
      <c r="C309" t="s">
        <v>89</v>
      </c>
      <c r="D309">
        <v>99996336.815014496</v>
      </c>
    </row>
    <row r="310" spans="1:4" hidden="1" x14ac:dyDescent="0.3">
      <c r="A310">
        <v>308</v>
      </c>
      <c r="B310" s="1" t="s">
        <v>431</v>
      </c>
      <c r="C310" t="s">
        <v>91</v>
      </c>
      <c r="D310" s="1" t="s">
        <v>377</v>
      </c>
    </row>
    <row r="311" spans="1:4" hidden="1" x14ac:dyDescent="0.3">
      <c r="A311">
        <v>309</v>
      </c>
      <c r="B311" t="s">
        <v>432</v>
      </c>
      <c r="C311" t="s">
        <v>94</v>
      </c>
      <c r="D311">
        <v>80001729.402503103</v>
      </c>
    </row>
    <row r="312" spans="1:4" hidden="1" x14ac:dyDescent="0.3">
      <c r="A312">
        <v>310</v>
      </c>
      <c r="B312" t="s">
        <v>433</v>
      </c>
      <c r="C312" t="s">
        <v>96</v>
      </c>
      <c r="D312">
        <v>40000744.435408197</v>
      </c>
    </row>
    <row r="313" spans="1:4" hidden="1" x14ac:dyDescent="0.3">
      <c r="A313">
        <v>311</v>
      </c>
      <c r="B313" t="s">
        <v>434</v>
      </c>
      <c r="C313" t="s">
        <v>98</v>
      </c>
      <c r="D313">
        <v>29981156.604199398</v>
      </c>
    </row>
    <row r="314" spans="1:4" hidden="1" x14ac:dyDescent="0.3">
      <c r="A314">
        <v>312</v>
      </c>
      <c r="B314" s="1" t="s">
        <v>435</v>
      </c>
      <c r="C314" t="s">
        <v>100</v>
      </c>
      <c r="D314" s="1" t="s">
        <v>436</v>
      </c>
    </row>
    <row r="315" spans="1:4" hidden="1" x14ac:dyDescent="0.3">
      <c r="A315">
        <v>313</v>
      </c>
      <c r="B315" t="s">
        <v>437</v>
      </c>
      <c r="C315" t="s">
        <v>103</v>
      </c>
      <c r="D315">
        <v>1.01029717732509E-2</v>
      </c>
    </row>
    <row r="316" spans="1:4" hidden="1" x14ac:dyDescent="0.3">
      <c r="A316">
        <v>314</v>
      </c>
      <c r="B316" t="s">
        <v>438</v>
      </c>
      <c r="C316" t="s">
        <v>105</v>
      </c>
      <c r="D316">
        <v>2.82591366484878E-3</v>
      </c>
    </row>
    <row r="317" spans="1:4" hidden="1" x14ac:dyDescent="0.3">
      <c r="A317">
        <v>315</v>
      </c>
      <c r="B317" t="s">
        <v>439</v>
      </c>
      <c r="C317" t="s">
        <v>107</v>
      </c>
      <c r="D317">
        <v>2.1147590463667099E-2</v>
      </c>
    </row>
    <row r="318" spans="1:4" hidden="1" x14ac:dyDescent="0.3">
      <c r="A318">
        <v>316</v>
      </c>
      <c r="B318" s="1" t="s">
        <v>440</v>
      </c>
      <c r="C318" t="s">
        <v>109</v>
      </c>
      <c r="D318" s="1" t="s">
        <v>441</v>
      </c>
    </row>
    <row r="319" spans="1:4" x14ac:dyDescent="0.3">
      <c r="A319">
        <v>317</v>
      </c>
      <c r="B319" t="s">
        <v>442</v>
      </c>
      <c r="C319" t="s">
        <v>197</v>
      </c>
      <c r="D319">
        <v>149983083.273283</v>
      </c>
    </row>
    <row r="320" spans="1:4" hidden="1" x14ac:dyDescent="0.3">
      <c r="A320">
        <v>318</v>
      </c>
      <c r="B320" t="s">
        <v>443</v>
      </c>
      <c r="C320" t="s">
        <v>199</v>
      </c>
      <c r="D320">
        <v>1264.50800258041</v>
      </c>
    </row>
    <row r="321" spans="1:4" hidden="1" x14ac:dyDescent="0.3">
      <c r="A321">
        <v>319</v>
      </c>
      <c r="B321" t="s">
        <v>444</v>
      </c>
      <c r="C321" t="s">
        <v>201</v>
      </c>
      <c r="D321">
        <v>632.25412731709196</v>
      </c>
    </row>
    <row r="322" spans="1:4" hidden="1" x14ac:dyDescent="0.3">
      <c r="A322">
        <v>320</v>
      </c>
      <c r="B322" s="1" t="s">
        <v>445</v>
      </c>
      <c r="C322" t="s">
        <v>203</v>
      </c>
      <c r="D322" s="1" t="s">
        <v>446</v>
      </c>
    </row>
    <row r="323" spans="1:4" hidden="1" x14ac:dyDescent="0.3">
      <c r="A323">
        <v>321</v>
      </c>
      <c r="B323" t="s">
        <v>447</v>
      </c>
      <c r="C323" t="s">
        <v>206</v>
      </c>
      <c r="D323">
        <v>80000043.336944699</v>
      </c>
    </row>
    <row r="324" spans="1:4" hidden="1" x14ac:dyDescent="0.3">
      <c r="A324">
        <v>322</v>
      </c>
      <c r="B324" t="s">
        <v>448</v>
      </c>
      <c r="C324" t="s">
        <v>208</v>
      </c>
      <c r="D324">
        <v>40000029.641657397</v>
      </c>
    </row>
    <row r="325" spans="1:4" hidden="1" x14ac:dyDescent="0.3">
      <c r="A325">
        <v>323</v>
      </c>
      <c r="B325" t="s">
        <v>449</v>
      </c>
      <c r="C325" t="s">
        <v>210</v>
      </c>
      <c r="D325">
        <v>29980639.648323201</v>
      </c>
    </row>
    <row r="326" spans="1:4" hidden="1" x14ac:dyDescent="0.3">
      <c r="A326">
        <v>324</v>
      </c>
      <c r="B326" s="1" t="s">
        <v>450</v>
      </c>
      <c r="C326" t="s">
        <v>212</v>
      </c>
      <c r="D326" s="1" t="s">
        <v>451</v>
      </c>
    </row>
    <row r="327" spans="1:4" hidden="1" x14ac:dyDescent="0.3">
      <c r="A327">
        <v>325</v>
      </c>
      <c r="B327" t="s">
        <v>452</v>
      </c>
      <c r="C327" t="s">
        <v>215</v>
      </c>
      <c r="D327">
        <v>99994756.263751805</v>
      </c>
    </row>
    <row r="328" spans="1:4" hidden="1" x14ac:dyDescent="0.3">
      <c r="A328">
        <v>326</v>
      </c>
      <c r="B328" t="s">
        <v>453</v>
      </c>
      <c r="C328" t="s">
        <v>217</v>
      </c>
      <c r="D328">
        <v>1580.55126269161</v>
      </c>
    </row>
    <row r="329" spans="1:4" hidden="1" x14ac:dyDescent="0.3">
      <c r="A329">
        <v>327</v>
      </c>
      <c r="B329" s="1" t="s">
        <v>454</v>
      </c>
      <c r="C329" t="s">
        <v>219</v>
      </c>
      <c r="D329" s="1" t="s">
        <v>455</v>
      </c>
    </row>
    <row r="330" spans="1:4" hidden="1" x14ac:dyDescent="0.3">
      <c r="A330">
        <v>328</v>
      </c>
      <c r="B330" t="s">
        <v>456</v>
      </c>
      <c r="C330" t="s">
        <v>112</v>
      </c>
      <c r="D330">
        <v>-421.55755577486099</v>
      </c>
    </row>
    <row r="331" spans="1:4" hidden="1" x14ac:dyDescent="0.3">
      <c r="A331">
        <v>329</v>
      </c>
      <c r="B331" t="s">
        <v>457</v>
      </c>
      <c r="C331" t="s">
        <v>114</v>
      </c>
      <c r="D331">
        <v>-82.539623508356698</v>
      </c>
    </row>
    <row r="332" spans="1:4" hidden="1" x14ac:dyDescent="0.3">
      <c r="A332">
        <v>330</v>
      </c>
      <c r="B332" s="1" t="s">
        <v>458</v>
      </c>
      <c r="C332" t="s">
        <v>116</v>
      </c>
      <c r="D332" s="1" t="s">
        <v>459</v>
      </c>
    </row>
    <row r="333" spans="1:4" hidden="1" x14ac:dyDescent="0.3">
      <c r="A333">
        <v>331</v>
      </c>
      <c r="B333" t="s">
        <v>460</v>
      </c>
      <c r="C333" t="s">
        <v>119</v>
      </c>
      <c r="D333">
        <v>80000043.336944699</v>
      </c>
    </row>
    <row r="334" spans="1:4" hidden="1" x14ac:dyDescent="0.3">
      <c r="A334">
        <v>332</v>
      </c>
      <c r="B334" t="s">
        <v>461</v>
      </c>
      <c r="C334" t="s">
        <v>121</v>
      </c>
      <c r="D334">
        <v>40000029.641657397</v>
      </c>
    </row>
    <row r="335" spans="1:4" hidden="1" x14ac:dyDescent="0.3">
      <c r="A335">
        <v>333</v>
      </c>
      <c r="B335" s="1" t="s">
        <v>462</v>
      </c>
      <c r="C335" t="s">
        <v>123</v>
      </c>
      <c r="D335" s="1" t="s">
        <v>463</v>
      </c>
    </row>
    <row r="336" spans="1:4" hidden="1" x14ac:dyDescent="0.3">
      <c r="A336">
        <v>334</v>
      </c>
      <c r="B336" t="s">
        <v>464</v>
      </c>
      <c r="C336" t="s">
        <v>126</v>
      </c>
      <c r="D336">
        <v>0.800013078449473</v>
      </c>
    </row>
    <row r="337" spans="1:4" hidden="1" x14ac:dyDescent="0.3">
      <c r="A337">
        <v>335</v>
      </c>
      <c r="B337" t="s">
        <v>465</v>
      </c>
      <c r="C337" t="s">
        <v>128</v>
      </c>
      <c r="D337">
        <v>0.400006618957847</v>
      </c>
    </row>
    <row r="338" spans="1:4" hidden="1" x14ac:dyDescent="0.3">
      <c r="A338">
        <v>336</v>
      </c>
      <c r="B338" s="1" t="s">
        <v>466</v>
      </c>
      <c r="C338" t="s">
        <v>130</v>
      </c>
      <c r="D338" s="1" t="s">
        <v>467</v>
      </c>
    </row>
    <row r="339" spans="1:4" hidden="1" x14ac:dyDescent="0.3">
      <c r="A339">
        <v>337</v>
      </c>
      <c r="B339" s="1" t="s">
        <v>3</v>
      </c>
      <c r="C339" t="s">
        <v>4</v>
      </c>
      <c r="D339" t="s">
        <v>5</v>
      </c>
    </row>
    <row r="340" spans="1:4" hidden="1" x14ac:dyDescent="0.3">
      <c r="A340">
        <v>338</v>
      </c>
      <c r="B340" t="s">
        <v>6</v>
      </c>
      <c r="C340" t="s">
        <v>7</v>
      </c>
      <c r="D340">
        <v>1950.52</v>
      </c>
    </row>
    <row r="341" spans="1:4" hidden="1" x14ac:dyDescent="0.3">
      <c r="A341">
        <v>339</v>
      </c>
      <c r="B341" s="1" t="s">
        <v>132</v>
      </c>
      <c r="C341" t="s">
        <v>9</v>
      </c>
      <c r="D341" s="1" t="s">
        <v>133</v>
      </c>
    </row>
    <row r="342" spans="1:4" hidden="1" x14ac:dyDescent="0.3">
      <c r="A342">
        <v>340</v>
      </c>
      <c r="B342" t="s">
        <v>13</v>
      </c>
      <c r="C342" t="s">
        <v>14</v>
      </c>
      <c r="D342">
        <v>90.82421875</v>
      </c>
    </row>
    <row r="343" spans="1:4" hidden="1" x14ac:dyDescent="0.3">
      <c r="A343">
        <v>341</v>
      </c>
      <c r="B343" t="s">
        <v>15</v>
      </c>
      <c r="C343" t="s">
        <v>16</v>
      </c>
      <c r="D343">
        <v>4.2527792330373497</v>
      </c>
    </row>
    <row r="344" spans="1:4" hidden="1" x14ac:dyDescent="0.3">
      <c r="A344">
        <v>342</v>
      </c>
      <c r="B344" s="1" t="s">
        <v>134</v>
      </c>
      <c r="C344" t="s">
        <v>135</v>
      </c>
      <c r="D344" s="1" t="s">
        <v>136</v>
      </c>
    </row>
    <row r="345" spans="1:4" hidden="1" x14ac:dyDescent="0.3">
      <c r="A345">
        <v>343</v>
      </c>
      <c r="B345" t="s">
        <v>21</v>
      </c>
      <c r="C345" t="s">
        <v>22</v>
      </c>
      <c r="D345">
        <v>62.9</v>
      </c>
    </row>
    <row r="346" spans="1:4" hidden="1" x14ac:dyDescent="0.3">
      <c r="A346">
        <v>344</v>
      </c>
      <c r="B346" t="s">
        <v>468</v>
      </c>
      <c r="C346" t="s">
        <v>24</v>
      </c>
      <c r="D346">
        <v>4.0782520738323296</v>
      </c>
    </row>
    <row r="347" spans="1:4" hidden="1" x14ac:dyDescent="0.3">
      <c r="A347">
        <v>345</v>
      </c>
      <c r="B347" s="1" t="s">
        <v>469</v>
      </c>
      <c r="C347" t="s">
        <v>139</v>
      </c>
      <c r="D347" s="1" t="s">
        <v>470</v>
      </c>
    </row>
    <row r="348" spans="1:4" hidden="1" x14ac:dyDescent="0.3">
      <c r="A348">
        <v>346</v>
      </c>
      <c r="B348" t="s">
        <v>471</v>
      </c>
      <c r="C348" t="s">
        <v>35</v>
      </c>
      <c r="D348">
        <v>-1.1619207192558501</v>
      </c>
    </row>
    <row r="349" spans="1:4" hidden="1" x14ac:dyDescent="0.3">
      <c r="A349">
        <v>347</v>
      </c>
      <c r="B349" t="s">
        <v>472</v>
      </c>
      <c r="C349" t="s">
        <v>143</v>
      </c>
      <c r="D349">
        <v>0.54610109171073895</v>
      </c>
    </row>
    <row r="350" spans="1:4" hidden="1" x14ac:dyDescent="0.3">
      <c r="A350">
        <v>348</v>
      </c>
      <c r="B350" s="1" t="s">
        <v>473</v>
      </c>
      <c r="C350" t="s">
        <v>145</v>
      </c>
      <c r="D350" s="1" t="s">
        <v>474</v>
      </c>
    </row>
    <row r="351" spans="1:4" hidden="1" x14ac:dyDescent="0.3">
      <c r="A351">
        <v>349</v>
      </c>
      <c r="B351" t="s">
        <v>475</v>
      </c>
      <c r="C351" t="s">
        <v>30</v>
      </c>
      <c r="D351">
        <v>1.06049175720398</v>
      </c>
    </row>
    <row r="352" spans="1:4" hidden="1" x14ac:dyDescent="0.3">
      <c r="A352">
        <v>350</v>
      </c>
      <c r="B352" t="s">
        <v>476</v>
      </c>
      <c r="C352" t="s">
        <v>32</v>
      </c>
      <c r="D352">
        <v>0.36614799093504202</v>
      </c>
    </row>
    <row r="353" spans="1:4" hidden="1" x14ac:dyDescent="0.3">
      <c r="A353">
        <v>351</v>
      </c>
      <c r="B353" s="1" t="s">
        <v>477</v>
      </c>
      <c r="C353" t="s">
        <v>149</v>
      </c>
      <c r="D353" s="1" t="s">
        <v>478</v>
      </c>
    </row>
    <row r="354" spans="1:4" hidden="1" x14ac:dyDescent="0.3">
      <c r="A354">
        <v>352</v>
      </c>
      <c r="B354" t="s">
        <v>479</v>
      </c>
      <c r="C354" t="s">
        <v>40</v>
      </c>
      <c r="D354">
        <v>1.10142896205186</v>
      </c>
    </row>
    <row r="355" spans="1:4" hidden="1" x14ac:dyDescent="0.3">
      <c r="A355">
        <v>353</v>
      </c>
      <c r="B355" t="s">
        <v>480</v>
      </c>
      <c r="C355" t="s">
        <v>42</v>
      </c>
      <c r="D355">
        <v>0.46501480141052498</v>
      </c>
    </row>
    <row r="356" spans="1:4" hidden="1" x14ac:dyDescent="0.3">
      <c r="A356">
        <v>354</v>
      </c>
      <c r="B356" s="1" t="s">
        <v>481</v>
      </c>
      <c r="C356" t="s">
        <v>153</v>
      </c>
      <c r="D356" s="1" t="s">
        <v>482</v>
      </c>
    </row>
    <row r="357" spans="1:4" hidden="1" x14ac:dyDescent="0.3">
      <c r="A357">
        <v>355</v>
      </c>
      <c r="B357" t="s">
        <v>154</v>
      </c>
      <c r="C357" t="s">
        <v>155</v>
      </c>
      <c r="D357">
        <v>1</v>
      </c>
    </row>
    <row r="358" spans="1:4" hidden="1" x14ac:dyDescent="0.3">
      <c r="A358">
        <v>356</v>
      </c>
      <c r="B358" t="s">
        <v>156</v>
      </c>
      <c r="C358" t="s">
        <v>157</v>
      </c>
      <c r="D358">
        <v>1</v>
      </c>
    </row>
    <row r="359" spans="1:4" hidden="1" x14ac:dyDescent="0.3">
      <c r="A359">
        <v>357</v>
      </c>
      <c r="B359" s="1" t="s">
        <v>483</v>
      </c>
      <c r="C359" t="s">
        <v>159</v>
      </c>
      <c r="D359" s="1" t="s">
        <v>484</v>
      </c>
    </row>
    <row r="360" spans="1:4" hidden="1" x14ac:dyDescent="0.3">
      <c r="A360">
        <v>358</v>
      </c>
      <c r="B360" t="s">
        <v>485</v>
      </c>
      <c r="C360" t="s">
        <v>162</v>
      </c>
      <c r="D360">
        <v>1.00240204837064</v>
      </c>
    </row>
    <row r="361" spans="1:4" hidden="1" x14ac:dyDescent="0.3">
      <c r="A361">
        <v>359</v>
      </c>
      <c r="B361" t="s">
        <v>486</v>
      </c>
      <c r="C361" t="s">
        <v>164</v>
      </c>
      <c r="D361">
        <v>0.99607542668207105</v>
      </c>
    </row>
    <row r="362" spans="1:4" hidden="1" x14ac:dyDescent="0.3">
      <c r="A362">
        <v>360</v>
      </c>
      <c r="B362" s="1" t="s">
        <v>487</v>
      </c>
      <c r="C362" t="s">
        <v>166</v>
      </c>
      <c r="D362" s="1" t="s">
        <v>488</v>
      </c>
    </row>
    <row r="363" spans="1:4" hidden="1" x14ac:dyDescent="0.3">
      <c r="A363">
        <v>361</v>
      </c>
      <c r="B363" s="1" t="s">
        <v>489</v>
      </c>
      <c r="C363" t="s">
        <v>55</v>
      </c>
      <c r="D363" s="1" t="s">
        <v>490</v>
      </c>
    </row>
    <row r="364" spans="1:4" hidden="1" x14ac:dyDescent="0.3">
      <c r="A364">
        <v>362</v>
      </c>
      <c r="B364" s="1" t="s">
        <v>491</v>
      </c>
      <c r="C364" t="s">
        <v>52</v>
      </c>
      <c r="D364" s="1" t="s">
        <v>492</v>
      </c>
    </row>
    <row r="365" spans="1:4" hidden="1" x14ac:dyDescent="0.3">
      <c r="A365">
        <v>363</v>
      </c>
      <c r="B365" s="1" t="s">
        <v>493</v>
      </c>
      <c r="C365" t="s">
        <v>58</v>
      </c>
      <c r="D365" s="1" t="s">
        <v>494</v>
      </c>
    </row>
    <row r="366" spans="1:4" hidden="1" x14ac:dyDescent="0.3">
      <c r="A366">
        <v>364</v>
      </c>
      <c r="B366" t="s">
        <v>495</v>
      </c>
      <c r="C366" t="s">
        <v>61</v>
      </c>
      <c r="D366">
        <v>149974306.70334101</v>
      </c>
    </row>
    <row r="367" spans="1:4" hidden="1" x14ac:dyDescent="0.3">
      <c r="A367">
        <v>365</v>
      </c>
      <c r="B367" t="s">
        <v>496</v>
      </c>
      <c r="C367" t="s">
        <v>63</v>
      </c>
      <c r="D367">
        <v>80000043.336944699</v>
      </c>
    </row>
    <row r="368" spans="1:4" hidden="1" x14ac:dyDescent="0.3">
      <c r="A368">
        <v>366</v>
      </c>
      <c r="B368" t="s">
        <v>497</v>
      </c>
      <c r="C368" t="s">
        <v>65</v>
      </c>
      <c r="D368">
        <v>40000029.641657397</v>
      </c>
    </row>
    <row r="369" spans="1:4" hidden="1" x14ac:dyDescent="0.3">
      <c r="A369">
        <v>367</v>
      </c>
      <c r="B369" s="1" t="s">
        <v>498</v>
      </c>
      <c r="C369" t="s">
        <v>67</v>
      </c>
      <c r="D369" s="1" t="s">
        <v>499</v>
      </c>
    </row>
    <row r="370" spans="1:4" hidden="1" x14ac:dyDescent="0.3">
      <c r="A370">
        <v>368</v>
      </c>
      <c r="B370" s="1" t="s">
        <v>500</v>
      </c>
      <c r="C370" t="s">
        <v>70</v>
      </c>
      <c r="D370" s="1" t="s">
        <v>501</v>
      </c>
    </row>
    <row r="371" spans="1:4" hidden="1" x14ac:dyDescent="0.3">
      <c r="A371">
        <v>369</v>
      </c>
      <c r="B371" t="s">
        <v>502</v>
      </c>
      <c r="C371" t="s">
        <v>73</v>
      </c>
      <c r="D371">
        <v>1.00003663319179</v>
      </c>
    </row>
    <row r="372" spans="1:4" hidden="1" x14ac:dyDescent="0.3">
      <c r="A372">
        <v>370</v>
      </c>
      <c r="B372" t="s">
        <v>74</v>
      </c>
      <c r="C372" t="s">
        <v>75</v>
      </c>
      <c r="D372">
        <v>2.7397260273972599E-3</v>
      </c>
    </row>
    <row r="373" spans="1:4" hidden="1" x14ac:dyDescent="0.3">
      <c r="A373">
        <v>371</v>
      </c>
      <c r="B373" t="s">
        <v>76</v>
      </c>
      <c r="C373" t="s">
        <v>77</v>
      </c>
      <c r="D373">
        <v>0</v>
      </c>
    </row>
    <row r="374" spans="1:4" hidden="1" x14ac:dyDescent="0.3">
      <c r="A374">
        <v>372</v>
      </c>
      <c r="B374" t="s">
        <v>503</v>
      </c>
      <c r="C374" t="s">
        <v>79</v>
      </c>
      <c r="D374" s="2">
        <v>2.2204460492503101E-16</v>
      </c>
    </row>
    <row r="375" spans="1:4" hidden="1" x14ac:dyDescent="0.3">
      <c r="A375">
        <v>373</v>
      </c>
      <c r="B375" s="1" t="s">
        <v>504</v>
      </c>
      <c r="C375" t="s">
        <v>81</v>
      </c>
      <c r="D375" s="1" t="s">
        <v>505</v>
      </c>
    </row>
    <row r="376" spans="1:4" hidden="1" x14ac:dyDescent="0.3">
      <c r="A376">
        <v>374</v>
      </c>
      <c r="B376" t="s">
        <v>506</v>
      </c>
      <c r="C376" t="s">
        <v>84</v>
      </c>
      <c r="D376">
        <v>1.0000710400205099</v>
      </c>
    </row>
    <row r="377" spans="1:4" hidden="1" x14ac:dyDescent="0.3">
      <c r="A377">
        <v>375</v>
      </c>
      <c r="B377" s="1" t="s">
        <v>507</v>
      </c>
      <c r="C377" t="s">
        <v>86</v>
      </c>
      <c r="D377" s="1" t="s">
        <v>508</v>
      </c>
    </row>
    <row r="378" spans="1:4" hidden="1" x14ac:dyDescent="0.3">
      <c r="A378">
        <v>376</v>
      </c>
      <c r="B378" t="s">
        <v>509</v>
      </c>
      <c r="C378" t="s">
        <v>89</v>
      </c>
      <c r="D378">
        <v>99992896.502580598</v>
      </c>
    </row>
    <row r="379" spans="1:4" hidden="1" x14ac:dyDescent="0.3">
      <c r="A379">
        <v>377</v>
      </c>
      <c r="B379" s="1" t="s">
        <v>510</v>
      </c>
      <c r="C379" t="s">
        <v>91</v>
      </c>
      <c r="D379" s="1" t="s">
        <v>455</v>
      </c>
    </row>
    <row r="380" spans="1:4" hidden="1" x14ac:dyDescent="0.3">
      <c r="A380">
        <v>378</v>
      </c>
      <c r="B380" t="s">
        <v>511</v>
      </c>
      <c r="C380" t="s">
        <v>94</v>
      </c>
      <c r="D380">
        <v>80000043.336944699</v>
      </c>
    </row>
    <row r="381" spans="1:4" hidden="1" x14ac:dyDescent="0.3">
      <c r="A381">
        <v>379</v>
      </c>
      <c r="B381" t="s">
        <v>512</v>
      </c>
      <c r="C381" t="s">
        <v>96</v>
      </c>
      <c r="D381">
        <v>40000029.641657397</v>
      </c>
    </row>
    <row r="382" spans="1:4" hidden="1" x14ac:dyDescent="0.3">
      <c r="A382">
        <v>380</v>
      </c>
      <c r="B382" t="s">
        <v>513</v>
      </c>
      <c r="C382" t="s">
        <v>98</v>
      </c>
      <c r="D382">
        <v>29974233.724738799</v>
      </c>
    </row>
    <row r="383" spans="1:4" hidden="1" x14ac:dyDescent="0.3">
      <c r="A383">
        <v>381</v>
      </c>
      <c r="B383" s="1" t="s">
        <v>514</v>
      </c>
      <c r="C383" t="s">
        <v>100</v>
      </c>
      <c r="D383" s="1" t="s">
        <v>515</v>
      </c>
    </row>
    <row r="384" spans="1:4" hidden="1" x14ac:dyDescent="0.3">
      <c r="A384">
        <v>382</v>
      </c>
      <c r="B384" t="s">
        <v>516</v>
      </c>
      <c r="C384" t="s">
        <v>103</v>
      </c>
      <c r="D384">
        <v>1.01294778384783E-2</v>
      </c>
    </row>
    <row r="385" spans="1:4" hidden="1" x14ac:dyDescent="0.3">
      <c r="A385">
        <v>383</v>
      </c>
      <c r="B385" t="s">
        <v>517</v>
      </c>
      <c r="C385" t="s">
        <v>105</v>
      </c>
      <c r="D385">
        <v>2.80017566143993E-3</v>
      </c>
    </row>
    <row r="386" spans="1:4" hidden="1" x14ac:dyDescent="0.3">
      <c r="A386">
        <v>384</v>
      </c>
      <c r="B386" t="s">
        <v>518</v>
      </c>
      <c r="C386" t="s">
        <v>107</v>
      </c>
      <c r="D386">
        <v>2.1256461353519E-2</v>
      </c>
    </row>
    <row r="387" spans="1:4" hidden="1" x14ac:dyDescent="0.3">
      <c r="A387">
        <v>385</v>
      </c>
      <c r="B387" s="1" t="s">
        <v>519</v>
      </c>
      <c r="C387" t="s">
        <v>109</v>
      </c>
      <c r="D387" s="1" t="s">
        <v>520</v>
      </c>
    </row>
    <row r="388" spans="1:4" x14ac:dyDescent="0.3">
      <c r="A388">
        <v>386</v>
      </c>
      <c r="B388" t="s">
        <v>521</v>
      </c>
      <c r="C388" t="s">
        <v>197</v>
      </c>
      <c r="D388">
        <v>149975498.31542701</v>
      </c>
    </row>
    <row r="389" spans="1:4" hidden="1" x14ac:dyDescent="0.3">
      <c r="A389">
        <v>387</v>
      </c>
      <c r="B389" t="s">
        <v>522</v>
      </c>
      <c r="C389" t="s">
        <v>199</v>
      </c>
      <c r="D389">
        <v>-2752.4772625907999</v>
      </c>
    </row>
    <row r="390" spans="1:4" hidden="1" x14ac:dyDescent="0.3">
      <c r="A390">
        <v>388</v>
      </c>
      <c r="B390" t="s">
        <v>523</v>
      </c>
      <c r="C390" t="s">
        <v>201</v>
      </c>
      <c r="D390">
        <v>-1376.2296991447899</v>
      </c>
    </row>
    <row r="391" spans="1:4" hidden="1" x14ac:dyDescent="0.3">
      <c r="A391">
        <v>389</v>
      </c>
      <c r="B391" s="1" t="s">
        <v>524</v>
      </c>
      <c r="C391" t="s">
        <v>203</v>
      </c>
      <c r="D391" s="1" t="s">
        <v>525</v>
      </c>
    </row>
    <row r="392" spans="1:4" hidden="1" x14ac:dyDescent="0.3">
      <c r="A392">
        <v>390</v>
      </c>
      <c r="B392" t="s">
        <v>526</v>
      </c>
      <c r="C392" t="s">
        <v>206</v>
      </c>
      <c r="D392">
        <v>80003676.617421895</v>
      </c>
    </row>
    <row r="393" spans="1:4" hidden="1" x14ac:dyDescent="0.3">
      <c r="A393">
        <v>391</v>
      </c>
      <c r="B393" t="s">
        <v>527</v>
      </c>
      <c r="C393" t="s">
        <v>208</v>
      </c>
      <c r="D393">
        <v>40001578.686261497</v>
      </c>
    </row>
    <row r="394" spans="1:4" hidden="1" x14ac:dyDescent="0.3">
      <c r="A394">
        <v>392</v>
      </c>
      <c r="B394" t="s">
        <v>528</v>
      </c>
      <c r="C394" t="s">
        <v>210</v>
      </c>
      <c r="D394">
        <v>29975403.0039999</v>
      </c>
    </row>
    <row r="395" spans="1:4" hidden="1" x14ac:dyDescent="0.3">
      <c r="A395">
        <v>393</v>
      </c>
      <c r="B395" s="1" t="s">
        <v>529</v>
      </c>
      <c r="C395" t="s">
        <v>212</v>
      </c>
      <c r="D395" s="1" t="s">
        <v>530</v>
      </c>
    </row>
    <row r="396" spans="1:4" hidden="1" x14ac:dyDescent="0.3">
      <c r="A396">
        <v>394</v>
      </c>
      <c r="B396" t="s">
        <v>531</v>
      </c>
      <c r="C396" t="s">
        <v>215</v>
      </c>
      <c r="D396">
        <v>99996336.815014496</v>
      </c>
    </row>
    <row r="397" spans="1:4" hidden="1" x14ac:dyDescent="0.3">
      <c r="A397">
        <v>395</v>
      </c>
      <c r="B397" t="s">
        <v>532</v>
      </c>
      <c r="C397" t="s">
        <v>217</v>
      </c>
      <c r="D397">
        <v>-3440.3124339133501</v>
      </c>
    </row>
    <row r="398" spans="1:4" hidden="1" x14ac:dyDescent="0.3">
      <c r="A398">
        <v>396</v>
      </c>
      <c r="B398" s="1" t="s">
        <v>533</v>
      </c>
      <c r="C398" t="s">
        <v>219</v>
      </c>
      <c r="D398" s="1" t="s">
        <v>534</v>
      </c>
    </row>
    <row r="399" spans="1:4" hidden="1" x14ac:dyDescent="0.3">
      <c r="A399">
        <v>397</v>
      </c>
      <c r="B399" t="s">
        <v>535</v>
      </c>
      <c r="C399" t="s">
        <v>112</v>
      </c>
      <c r="D399">
        <v>880.80321452856197</v>
      </c>
    </row>
    <row r="400" spans="1:4" hidden="1" x14ac:dyDescent="0.3">
      <c r="A400">
        <v>398</v>
      </c>
      <c r="B400" t="s">
        <v>536</v>
      </c>
      <c r="C400" t="s">
        <v>114</v>
      </c>
      <c r="D400">
        <v>172.81490494254399</v>
      </c>
    </row>
    <row r="401" spans="1:4" hidden="1" x14ac:dyDescent="0.3">
      <c r="A401">
        <v>399</v>
      </c>
      <c r="B401" s="1" t="s">
        <v>537</v>
      </c>
      <c r="C401" t="s">
        <v>116</v>
      </c>
      <c r="D401" s="1" t="s">
        <v>538</v>
      </c>
    </row>
    <row r="402" spans="1:4" hidden="1" x14ac:dyDescent="0.3">
      <c r="A402">
        <v>400</v>
      </c>
      <c r="B402" t="s">
        <v>539</v>
      </c>
      <c r="C402" t="s">
        <v>119</v>
      </c>
      <c r="D402">
        <v>80003676.617421895</v>
      </c>
    </row>
    <row r="403" spans="1:4" hidden="1" x14ac:dyDescent="0.3">
      <c r="A403">
        <v>401</v>
      </c>
      <c r="B403" t="s">
        <v>540</v>
      </c>
      <c r="C403" t="s">
        <v>121</v>
      </c>
      <c r="D403">
        <v>40001578.686261497</v>
      </c>
    </row>
    <row r="404" spans="1:4" hidden="1" x14ac:dyDescent="0.3">
      <c r="A404">
        <v>402</v>
      </c>
      <c r="B404" s="1" t="s">
        <v>541</v>
      </c>
      <c r="C404" t="s">
        <v>123</v>
      </c>
      <c r="D404" s="1" t="s">
        <v>542</v>
      </c>
    </row>
    <row r="405" spans="1:4" hidden="1" x14ac:dyDescent="0.3">
      <c r="A405">
        <v>403</v>
      </c>
      <c r="B405" t="s">
        <v>543</v>
      </c>
      <c r="C405" t="s">
        <v>126</v>
      </c>
      <c r="D405">
        <v>0.80000924140159302</v>
      </c>
    </row>
    <row r="406" spans="1:4" hidden="1" x14ac:dyDescent="0.3">
      <c r="A406">
        <v>404</v>
      </c>
      <c r="B406" t="s">
        <v>544</v>
      </c>
      <c r="C406" t="s">
        <v>128</v>
      </c>
      <c r="D406">
        <v>0.400002024565623</v>
      </c>
    </row>
    <row r="407" spans="1:4" hidden="1" x14ac:dyDescent="0.3">
      <c r="A407">
        <v>405</v>
      </c>
      <c r="B407" s="1" t="s">
        <v>545</v>
      </c>
      <c r="C407" t="s">
        <v>130</v>
      </c>
      <c r="D407" s="1" t="s">
        <v>546</v>
      </c>
    </row>
    <row r="408" spans="1:4" hidden="1" x14ac:dyDescent="0.3">
      <c r="A408">
        <v>406</v>
      </c>
      <c r="B408" s="1" t="s">
        <v>3</v>
      </c>
      <c r="C408" t="s">
        <v>4</v>
      </c>
      <c r="D408" t="s">
        <v>5</v>
      </c>
    </row>
    <row r="409" spans="1:4" hidden="1" x14ac:dyDescent="0.3">
      <c r="A409">
        <v>407</v>
      </c>
      <c r="B409" t="s">
        <v>6</v>
      </c>
      <c r="C409" t="s">
        <v>7</v>
      </c>
      <c r="D409">
        <v>1950.52</v>
      </c>
    </row>
    <row r="410" spans="1:4" hidden="1" x14ac:dyDescent="0.3">
      <c r="A410">
        <v>408</v>
      </c>
      <c r="B410" s="1" t="s">
        <v>132</v>
      </c>
      <c r="C410" t="s">
        <v>9</v>
      </c>
      <c r="D410" s="1" t="s">
        <v>133</v>
      </c>
    </row>
    <row r="411" spans="1:4" hidden="1" x14ac:dyDescent="0.3">
      <c r="A411">
        <v>409</v>
      </c>
      <c r="B411" t="s">
        <v>13</v>
      </c>
      <c r="C411" t="s">
        <v>14</v>
      </c>
      <c r="D411">
        <v>90.82421875</v>
      </c>
    </row>
    <row r="412" spans="1:4" hidden="1" x14ac:dyDescent="0.3">
      <c r="A412">
        <v>410</v>
      </c>
      <c r="B412" t="s">
        <v>15</v>
      </c>
      <c r="C412" t="s">
        <v>16</v>
      </c>
      <c r="D412">
        <v>4.2527792330373497</v>
      </c>
    </row>
    <row r="413" spans="1:4" hidden="1" x14ac:dyDescent="0.3">
      <c r="A413">
        <v>411</v>
      </c>
      <c r="B413" s="1" t="s">
        <v>134</v>
      </c>
      <c r="C413" t="s">
        <v>135</v>
      </c>
      <c r="D413" s="1" t="s">
        <v>136</v>
      </c>
    </row>
    <row r="414" spans="1:4" hidden="1" x14ac:dyDescent="0.3">
      <c r="A414">
        <v>412</v>
      </c>
      <c r="B414" t="s">
        <v>21</v>
      </c>
      <c r="C414" t="s">
        <v>22</v>
      </c>
      <c r="D414">
        <v>62.9</v>
      </c>
    </row>
    <row r="415" spans="1:4" hidden="1" x14ac:dyDescent="0.3">
      <c r="A415">
        <v>413</v>
      </c>
      <c r="B415" t="s">
        <v>547</v>
      </c>
      <c r="C415" t="s">
        <v>24</v>
      </c>
      <c r="D415">
        <v>4.0641834114149296</v>
      </c>
    </row>
    <row r="416" spans="1:4" hidden="1" x14ac:dyDescent="0.3">
      <c r="A416">
        <v>414</v>
      </c>
      <c r="B416" s="1" t="s">
        <v>548</v>
      </c>
      <c r="C416" t="s">
        <v>139</v>
      </c>
      <c r="D416" s="1" t="s">
        <v>549</v>
      </c>
    </row>
    <row r="417" spans="1:4" hidden="1" x14ac:dyDescent="0.3">
      <c r="A417">
        <v>415</v>
      </c>
      <c r="B417" t="s">
        <v>550</v>
      </c>
      <c r="C417" t="s">
        <v>35</v>
      </c>
      <c r="D417">
        <v>-1.24325265209033</v>
      </c>
    </row>
    <row r="418" spans="1:4" hidden="1" x14ac:dyDescent="0.3">
      <c r="A418">
        <v>416</v>
      </c>
      <c r="B418" t="s">
        <v>551</v>
      </c>
      <c r="C418" t="s">
        <v>143</v>
      </c>
      <c r="D418">
        <v>0.54608358710666005</v>
      </c>
    </row>
    <row r="419" spans="1:4" hidden="1" x14ac:dyDescent="0.3">
      <c r="A419">
        <v>417</v>
      </c>
      <c r="B419" s="1" t="s">
        <v>552</v>
      </c>
      <c r="C419" t="s">
        <v>145</v>
      </c>
      <c r="D419" s="1" t="s">
        <v>553</v>
      </c>
    </row>
    <row r="420" spans="1:4" hidden="1" x14ac:dyDescent="0.3">
      <c r="A420">
        <v>418</v>
      </c>
      <c r="B420" t="s">
        <v>554</v>
      </c>
      <c r="C420" t="s">
        <v>30</v>
      </c>
      <c r="D420">
        <v>1.1347238824592001</v>
      </c>
    </row>
    <row r="421" spans="1:4" hidden="1" x14ac:dyDescent="0.3">
      <c r="A421">
        <v>419</v>
      </c>
      <c r="B421" t="s">
        <v>555</v>
      </c>
      <c r="C421" t="s">
        <v>32</v>
      </c>
      <c r="D421">
        <v>0.36606368496017999</v>
      </c>
    </row>
    <row r="422" spans="1:4" hidden="1" x14ac:dyDescent="0.3">
      <c r="A422">
        <v>420</v>
      </c>
      <c r="B422" s="1" t="s">
        <v>556</v>
      </c>
      <c r="C422" t="s">
        <v>149</v>
      </c>
      <c r="D422" s="1" t="s">
        <v>557</v>
      </c>
    </row>
    <row r="423" spans="1:4" hidden="1" x14ac:dyDescent="0.3">
      <c r="A423">
        <v>421</v>
      </c>
      <c r="B423" t="s">
        <v>558</v>
      </c>
      <c r="C423" t="s">
        <v>40</v>
      </c>
      <c r="D423">
        <v>1.1085287696311199</v>
      </c>
    </row>
    <row r="424" spans="1:4" hidden="1" x14ac:dyDescent="0.3">
      <c r="A424">
        <v>422</v>
      </c>
      <c r="B424" t="s">
        <v>559</v>
      </c>
      <c r="C424" t="s">
        <v>42</v>
      </c>
      <c r="D424">
        <v>0.46515780495557701</v>
      </c>
    </row>
    <row r="425" spans="1:4" hidden="1" x14ac:dyDescent="0.3">
      <c r="A425">
        <v>423</v>
      </c>
      <c r="B425" s="1" t="s">
        <v>560</v>
      </c>
      <c r="C425" t="s">
        <v>153</v>
      </c>
      <c r="D425" s="1" t="s">
        <v>561</v>
      </c>
    </row>
    <row r="426" spans="1:4" hidden="1" x14ac:dyDescent="0.3">
      <c r="A426">
        <v>424</v>
      </c>
      <c r="B426" t="s">
        <v>154</v>
      </c>
      <c r="C426" t="s">
        <v>155</v>
      </c>
      <c r="D426">
        <v>1</v>
      </c>
    </row>
    <row r="427" spans="1:4" hidden="1" x14ac:dyDescent="0.3">
      <c r="A427">
        <v>425</v>
      </c>
      <c r="B427" t="s">
        <v>156</v>
      </c>
      <c r="C427" t="s">
        <v>157</v>
      </c>
      <c r="D427">
        <v>1</v>
      </c>
    </row>
    <row r="428" spans="1:4" hidden="1" x14ac:dyDescent="0.3">
      <c r="A428">
        <v>426</v>
      </c>
      <c r="B428" s="1" t="s">
        <v>562</v>
      </c>
      <c r="C428" t="s">
        <v>159</v>
      </c>
      <c r="D428" s="1" t="s">
        <v>563</v>
      </c>
    </row>
    <row r="429" spans="1:4" hidden="1" x14ac:dyDescent="0.3">
      <c r="A429">
        <v>427</v>
      </c>
      <c r="B429" t="s">
        <v>564</v>
      </c>
      <c r="C429" t="s">
        <v>162</v>
      </c>
      <c r="D429">
        <v>0.99998867822797999</v>
      </c>
    </row>
    <row r="430" spans="1:4" hidden="1" x14ac:dyDescent="0.3">
      <c r="A430">
        <v>428</v>
      </c>
      <c r="B430" t="s">
        <v>565</v>
      </c>
      <c r="C430" t="s">
        <v>164</v>
      </c>
      <c r="D430">
        <v>0.99993828928094097</v>
      </c>
    </row>
    <row r="431" spans="1:4" hidden="1" x14ac:dyDescent="0.3">
      <c r="A431">
        <v>429</v>
      </c>
      <c r="B431" s="1" t="s">
        <v>566</v>
      </c>
      <c r="C431" t="s">
        <v>166</v>
      </c>
      <c r="D431" s="1" t="s">
        <v>567</v>
      </c>
    </row>
    <row r="432" spans="1:4" hidden="1" x14ac:dyDescent="0.3">
      <c r="A432">
        <v>430</v>
      </c>
      <c r="B432" s="1" t="s">
        <v>568</v>
      </c>
      <c r="C432" t="s">
        <v>55</v>
      </c>
      <c r="D432" s="1" t="s">
        <v>569</v>
      </c>
    </row>
    <row r="433" spans="1:4" hidden="1" x14ac:dyDescent="0.3">
      <c r="A433">
        <v>431</v>
      </c>
      <c r="B433" s="1" t="s">
        <v>570</v>
      </c>
      <c r="C433" t="s">
        <v>52</v>
      </c>
      <c r="D433" s="1" t="s">
        <v>571</v>
      </c>
    </row>
    <row r="434" spans="1:4" hidden="1" x14ac:dyDescent="0.3">
      <c r="A434">
        <v>432</v>
      </c>
      <c r="B434" s="1" t="s">
        <v>572</v>
      </c>
      <c r="C434" t="s">
        <v>58</v>
      </c>
      <c r="D434" s="1" t="s">
        <v>573</v>
      </c>
    </row>
    <row r="435" spans="1:4" hidden="1" x14ac:dyDescent="0.3">
      <c r="A435">
        <v>433</v>
      </c>
      <c r="B435" t="s">
        <v>574</v>
      </c>
      <c r="C435" t="s">
        <v>61</v>
      </c>
      <c r="D435">
        <v>149974362.02773201</v>
      </c>
    </row>
    <row r="436" spans="1:4" hidden="1" x14ac:dyDescent="0.3">
      <c r="A436">
        <v>434</v>
      </c>
      <c r="B436" t="s">
        <v>575</v>
      </c>
      <c r="C436" t="s">
        <v>63</v>
      </c>
      <c r="D436">
        <v>80003676.617421895</v>
      </c>
    </row>
    <row r="437" spans="1:4" hidden="1" x14ac:dyDescent="0.3">
      <c r="A437">
        <v>435</v>
      </c>
      <c r="B437" t="s">
        <v>576</v>
      </c>
      <c r="C437" t="s">
        <v>65</v>
      </c>
      <c r="D437">
        <v>40001578.686261497</v>
      </c>
    </row>
    <row r="438" spans="1:4" hidden="1" x14ac:dyDescent="0.3">
      <c r="A438">
        <v>436</v>
      </c>
      <c r="B438" s="1" t="s">
        <v>577</v>
      </c>
      <c r="C438" t="s">
        <v>67</v>
      </c>
      <c r="D438" s="1" t="s">
        <v>578</v>
      </c>
    </row>
    <row r="439" spans="1:4" hidden="1" x14ac:dyDescent="0.3">
      <c r="A439">
        <v>437</v>
      </c>
      <c r="B439" s="1" t="s">
        <v>579</v>
      </c>
      <c r="C439" t="s">
        <v>70</v>
      </c>
      <c r="D439" s="1" t="s">
        <v>580</v>
      </c>
    </row>
    <row r="440" spans="1:4" hidden="1" x14ac:dyDescent="0.3">
      <c r="A440">
        <v>438</v>
      </c>
      <c r="B440" t="s">
        <v>581</v>
      </c>
      <c r="C440" t="s">
        <v>73</v>
      </c>
      <c r="D440">
        <v>1.0000710400205099</v>
      </c>
    </row>
    <row r="441" spans="1:4" hidden="1" x14ac:dyDescent="0.3">
      <c r="A441">
        <v>439</v>
      </c>
      <c r="B441" t="s">
        <v>74</v>
      </c>
      <c r="C441" t="s">
        <v>75</v>
      </c>
      <c r="D441">
        <v>2.7397260273972599E-3</v>
      </c>
    </row>
    <row r="442" spans="1:4" hidden="1" x14ac:dyDescent="0.3">
      <c r="A442">
        <v>440</v>
      </c>
      <c r="B442" t="s">
        <v>76</v>
      </c>
      <c r="C442" t="s">
        <v>77</v>
      </c>
      <c r="D442">
        <v>0</v>
      </c>
    </row>
    <row r="443" spans="1:4" hidden="1" x14ac:dyDescent="0.3">
      <c r="A443">
        <v>441</v>
      </c>
      <c r="B443" t="s">
        <v>78</v>
      </c>
      <c r="C443" t="s">
        <v>79</v>
      </c>
      <c r="D443">
        <v>0</v>
      </c>
    </row>
    <row r="444" spans="1:4" hidden="1" x14ac:dyDescent="0.3">
      <c r="A444">
        <v>442</v>
      </c>
      <c r="B444" s="1" t="s">
        <v>582</v>
      </c>
      <c r="C444" t="s">
        <v>81</v>
      </c>
      <c r="D444" s="1" t="s">
        <v>583</v>
      </c>
    </row>
    <row r="445" spans="1:4" hidden="1" x14ac:dyDescent="0.3">
      <c r="A445">
        <v>443</v>
      </c>
      <c r="B445" t="s">
        <v>584</v>
      </c>
      <c r="C445" t="s">
        <v>84</v>
      </c>
      <c r="D445">
        <v>1.00007206620919</v>
      </c>
    </row>
    <row r="446" spans="1:4" hidden="1" x14ac:dyDescent="0.3">
      <c r="A446">
        <v>444</v>
      </c>
      <c r="B446" s="1" t="s">
        <v>585</v>
      </c>
      <c r="C446" t="s">
        <v>86</v>
      </c>
      <c r="D446" s="1" t="s">
        <v>586</v>
      </c>
    </row>
    <row r="447" spans="1:4" hidden="1" x14ac:dyDescent="0.3">
      <c r="A447">
        <v>445</v>
      </c>
      <c r="B447" t="s">
        <v>587</v>
      </c>
      <c r="C447" t="s">
        <v>89</v>
      </c>
      <c r="D447">
        <v>99992793.898396999</v>
      </c>
    </row>
    <row r="448" spans="1:4" hidden="1" x14ac:dyDescent="0.3">
      <c r="A448">
        <v>446</v>
      </c>
      <c r="B448" s="1" t="s">
        <v>588</v>
      </c>
      <c r="C448" t="s">
        <v>91</v>
      </c>
      <c r="D448" s="1" t="s">
        <v>534</v>
      </c>
    </row>
    <row r="449" spans="1:4" hidden="1" x14ac:dyDescent="0.3">
      <c r="A449">
        <v>447</v>
      </c>
      <c r="B449" t="s">
        <v>589</v>
      </c>
      <c r="C449" t="s">
        <v>94</v>
      </c>
      <c r="D449">
        <v>80003676.617421895</v>
      </c>
    </row>
    <row r="450" spans="1:4" hidden="1" x14ac:dyDescent="0.3">
      <c r="A450">
        <v>448</v>
      </c>
      <c r="B450" t="s">
        <v>590</v>
      </c>
      <c r="C450" t="s">
        <v>96</v>
      </c>
      <c r="D450">
        <v>40001578.686261497</v>
      </c>
    </row>
    <row r="451" spans="1:4" hidden="1" x14ac:dyDescent="0.3">
      <c r="A451">
        <v>449</v>
      </c>
      <c r="B451" t="s">
        <v>591</v>
      </c>
      <c r="C451" t="s">
        <v>98</v>
      </c>
      <c r="D451">
        <v>29969106.724048801</v>
      </c>
    </row>
    <row r="452" spans="1:4" hidden="1" x14ac:dyDescent="0.3">
      <c r="A452">
        <v>450</v>
      </c>
      <c r="B452" s="1" t="s">
        <v>592</v>
      </c>
      <c r="C452" t="s">
        <v>100</v>
      </c>
      <c r="D452" s="1" t="s">
        <v>593</v>
      </c>
    </row>
    <row r="453" spans="1:4" hidden="1" x14ac:dyDescent="0.3">
      <c r="A453">
        <v>451</v>
      </c>
      <c r="B453" t="s">
        <v>594</v>
      </c>
      <c r="C453" t="s">
        <v>103</v>
      </c>
      <c r="D453">
        <v>1.01485628522015E-2</v>
      </c>
    </row>
    <row r="454" spans="1:4" hidden="1" x14ac:dyDescent="0.3">
      <c r="A454">
        <v>452</v>
      </c>
      <c r="B454" t="s">
        <v>595</v>
      </c>
      <c r="C454" t="s">
        <v>105</v>
      </c>
      <c r="D454">
        <v>2.8030240831607299E-3</v>
      </c>
    </row>
    <row r="455" spans="1:4" hidden="1" x14ac:dyDescent="0.3">
      <c r="A455">
        <v>453</v>
      </c>
      <c r="B455" t="s">
        <v>596</v>
      </c>
      <c r="C455" t="s">
        <v>107</v>
      </c>
      <c r="D455">
        <v>2.1363448205729801E-2</v>
      </c>
    </row>
    <row r="456" spans="1:4" hidden="1" x14ac:dyDescent="0.3">
      <c r="A456">
        <v>454</v>
      </c>
      <c r="B456" s="1" t="s">
        <v>597</v>
      </c>
      <c r="C456" t="s">
        <v>109</v>
      </c>
      <c r="D456" s="1" t="s">
        <v>598</v>
      </c>
    </row>
    <row r="457" spans="1:4" x14ac:dyDescent="0.3">
      <c r="A457">
        <v>455</v>
      </c>
      <c r="B457" t="s">
        <v>599</v>
      </c>
      <c r="C457" t="s">
        <v>197</v>
      </c>
      <c r="D457">
        <v>149974397.54036099</v>
      </c>
    </row>
    <row r="458" spans="1:4" hidden="1" x14ac:dyDescent="0.3">
      <c r="A458">
        <v>456</v>
      </c>
      <c r="B458" t="s">
        <v>600</v>
      </c>
      <c r="C458" t="s">
        <v>199</v>
      </c>
      <c r="D458">
        <v>-82.093061912728601</v>
      </c>
    </row>
    <row r="459" spans="1:4" hidden="1" x14ac:dyDescent="0.3">
      <c r="A459">
        <v>457</v>
      </c>
      <c r="B459" t="s">
        <v>601</v>
      </c>
      <c r="C459" t="s">
        <v>201</v>
      </c>
      <c r="D459">
        <v>-41.046256346073399</v>
      </c>
    </row>
    <row r="460" spans="1:4" hidden="1" x14ac:dyDescent="0.3">
      <c r="A460">
        <v>458</v>
      </c>
      <c r="B460" s="1" t="s">
        <v>602</v>
      </c>
      <c r="C460" t="s">
        <v>203</v>
      </c>
      <c r="D460" s="1" t="s">
        <v>603</v>
      </c>
    </row>
    <row r="461" spans="1:4" hidden="1" x14ac:dyDescent="0.3">
      <c r="A461">
        <v>459</v>
      </c>
      <c r="B461" t="s">
        <v>604</v>
      </c>
      <c r="C461" t="s">
        <v>206</v>
      </c>
      <c r="D461">
        <v>80003784.986708701</v>
      </c>
    </row>
    <row r="462" spans="1:4" hidden="1" x14ac:dyDescent="0.3">
      <c r="A462">
        <v>460</v>
      </c>
      <c r="B462" t="s">
        <v>605</v>
      </c>
      <c r="C462" t="s">
        <v>208</v>
      </c>
      <c r="D462">
        <v>40001624.871923901</v>
      </c>
    </row>
    <row r="463" spans="1:4" hidden="1" x14ac:dyDescent="0.3">
      <c r="A463">
        <v>461</v>
      </c>
      <c r="B463" t="s">
        <v>606</v>
      </c>
      <c r="C463" t="s">
        <v>210</v>
      </c>
      <c r="D463">
        <v>29969141.572824601</v>
      </c>
    </row>
    <row r="464" spans="1:4" hidden="1" x14ac:dyDescent="0.3">
      <c r="A464">
        <v>462</v>
      </c>
      <c r="B464" s="1" t="s">
        <v>607</v>
      </c>
      <c r="C464" t="s">
        <v>212</v>
      </c>
      <c r="D464" s="1" t="s">
        <v>608</v>
      </c>
    </row>
    <row r="465" spans="1:4" hidden="1" x14ac:dyDescent="0.3">
      <c r="A465">
        <v>463</v>
      </c>
      <c r="B465" t="s">
        <v>609</v>
      </c>
      <c r="C465" t="s">
        <v>215</v>
      </c>
      <c r="D465">
        <v>99992896.502580598</v>
      </c>
    </row>
    <row r="466" spans="1:4" hidden="1" x14ac:dyDescent="0.3">
      <c r="A466">
        <v>464</v>
      </c>
      <c r="B466" t="s">
        <v>610</v>
      </c>
      <c r="C466" t="s">
        <v>217</v>
      </c>
      <c r="D466">
        <v>-102.604183599352</v>
      </c>
    </row>
    <row r="467" spans="1:4" hidden="1" x14ac:dyDescent="0.3">
      <c r="A467">
        <v>465</v>
      </c>
      <c r="B467" s="1" t="s">
        <v>611</v>
      </c>
      <c r="C467" t="s">
        <v>219</v>
      </c>
      <c r="D467" s="1" t="s">
        <v>612</v>
      </c>
    </row>
    <row r="468" spans="1:4" hidden="1" x14ac:dyDescent="0.3">
      <c r="A468">
        <v>466</v>
      </c>
      <c r="B468" t="s">
        <v>613</v>
      </c>
      <c r="C468" t="s">
        <v>112</v>
      </c>
      <c r="D468">
        <v>26.276224954999101</v>
      </c>
    </row>
    <row r="469" spans="1:4" hidden="1" x14ac:dyDescent="0.3">
      <c r="A469">
        <v>467</v>
      </c>
      <c r="B469" t="s">
        <v>614</v>
      </c>
      <c r="C469" t="s">
        <v>114</v>
      </c>
      <c r="D469">
        <v>5.1394060247745097</v>
      </c>
    </row>
    <row r="470" spans="1:4" hidden="1" x14ac:dyDescent="0.3">
      <c r="A470">
        <v>468</v>
      </c>
      <c r="B470" s="1" t="s">
        <v>615</v>
      </c>
      <c r="C470" t="s">
        <v>116</v>
      </c>
      <c r="D470" s="1" t="s">
        <v>616</v>
      </c>
    </row>
    <row r="471" spans="1:4" hidden="1" x14ac:dyDescent="0.3">
      <c r="A471">
        <v>469</v>
      </c>
      <c r="B471" t="s">
        <v>617</v>
      </c>
      <c r="C471" t="s">
        <v>119</v>
      </c>
      <c r="D471">
        <v>80003784.986708701</v>
      </c>
    </row>
    <row r="472" spans="1:4" hidden="1" x14ac:dyDescent="0.3">
      <c r="A472">
        <v>470</v>
      </c>
      <c r="B472" t="s">
        <v>618</v>
      </c>
      <c r="C472" t="s">
        <v>121</v>
      </c>
      <c r="D472">
        <v>40001624.871923901</v>
      </c>
    </row>
    <row r="473" spans="1:4" hidden="1" x14ac:dyDescent="0.3">
      <c r="A473">
        <v>471</v>
      </c>
      <c r="B473" s="1" t="s">
        <v>619</v>
      </c>
      <c r="C473" t="s">
        <v>123</v>
      </c>
      <c r="D473" s="1" t="s">
        <v>620</v>
      </c>
    </row>
    <row r="474" spans="1:4" hidden="1" x14ac:dyDescent="0.3">
      <c r="A474">
        <v>472</v>
      </c>
      <c r="B474" t="s">
        <v>621</v>
      </c>
      <c r="C474" t="s">
        <v>126</v>
      </c>
      <c r="D474">
        <v>0.800037028936468</v>
      </c>
    </row>
    <row r="475" spans="1:4" hidden="1" x14ac:dyDescent="0.3">
      <c r="A475">
        <v>473</v>
      </c>
      <c r="B475" t="s">
        <v>622</v>
      </c>
      <c r="C475" t="s">
        <v>128</v>
      </c>
      <c r="D475">
        <v>0.40001583825667503</v>
      </c>
    </row>
    <row r="476" spans="1:4" hidden="1" x14ac:dyDescent="0.3">
      <c r="A476">
        <v>474</v>
      </c>
      <c r="B476" s="1" t="s">
        <v>623</v>
      </c>
      <c r="C476" t="s">
        <v>130</v>
      </c>
      <c r="D476" s="1" t="s">
        <v>624</v>
      </c>
    </row>
    <row r="477" spans="1:4" hidden="1" x14ac:dyDescent="0.3">
      <c r="A477">
        <v>475</v>
      </c>
      <c r="B477" s="1" t="s">
        <v>3</v>
      </c>
      <c r="C477" t="s">
        <v>4</v>
      </c>
      <c r="D477" t="s">
        <v>5</v>
      </c>
    </row>
    <row r="478" spans="1:4" hidden="1" x14ac:dyDescent="0.3">
      <c r="A478">
        <v>476</v>
      </c>
      <c r="B478" t="s">
        <v>6</v>
      </c>
      <c r="C478" t="s">
        <v>7</v>
      </c>
      <c r="D478">
        <v>1950.52</v>
      </c>
    </row>
    <row r="479" spans="1:4" hidden="1" x14ac:dyDescent="0.3">
      <c r="A479">
        <v>477</v>
      </c>
      <c r="B479" s="1" t="s">
        <v>132</v>
      </c>
      <c r="C479" t="s">
        <v>9</v>
      </c>
      <c r="D479" s="1" t="s">
        <v>133</v>
      </c>
    </row>
    <row r="480" spans="1:4" hidden="1" x14ac:dyDescent="0.3">
      <c r="A480">
        <v>478</v>
      </c>
      <c r="B480" t="s">
        <v>13</v>
      </c>
      <c r="C480" t="s">
        <v>14</v>
      </c>
      <c r="D480">
        <v>90.82421875</v>
      </c>
    </row>
    <row r="481" spans="1:4" hidden="1" x14ac:dyDescent="0.3">
      <c r="A481">
        <v>479</v>
      </c>
      <c r="B481" t="s">
        <v>15</v>
      </c>
      <c r="C481" t="s">
        <v>16</v>
      </c>
      <c r="D481">
        <v>4.2527792330373497</v>
      </c>
    </row>
    <row r="482" spans="1:4" hidden="1" x14ac:dyDescent="0.3">
      <c r="A482">
        <v>480</v>
      </c>
      <c r="B482" s="1" t="s">
        <v>134</v>
      </c>
      <c r="C482" t="s">
        <v>135</v>
      </c>
      <c r="D482" s="1" t="s">
        <v>136</v>
      </c>
    </row>
    <row r="483" spans="1:4" hidden="1" x14ac:dyDescent="0.3">
      <c r="A483">
        <v>481</v>
      </c>
      <c r="B483" t="s">
        <v>21</v>
      </c>
      <c r="C483" t="s">
        <v>22</v>
      </c>
      <c r="D483">
        <v>62.9</v>
      </c>
    </row>
    <row r="484" spans="1:4" hidden="1" x14ac:dyDescent="0.3">
      <c r="A484">
        <v>482</v>
      </c>
      <c r="B484" t="s">
        <v>625</v>
      </c>
      <c r="C484" t="s">
        <v>24</v>
      </c>
      <c r="D484">
        <v>4.0490949839149897</v>
      </c>
    </row>
    <row r="485" spans="1:4" hidden="1" x14ac:dyDescent="0.3">
      <c r="A485">
        <v>483</v>
      </c>
      <c r="B485" s="1" t="s">
        <v>626</v>
      </c>
      <c r="C485" t="s">
        <v>139</v>
      </c>
      <c r="D485" s="1" t="s">
        <v>627</v>
      </c>
    </row>
    <row r="486" spans="1:4" hidden="1" x14ac:dyDescent="0.3">
      <c r="A486">
        <v>484</v>
      </c>
      <c r="B486" t="s">
        <v>628</v>
      </c>
      <c r="C486" t="s">
        <v>35</v>
      </c>
      <c r="D486">
        <v>-1.12448301706381</v>
      </c>
    </row>
    <row r="487" spans="1:4" hidden="1" x14ac:dyDescent="0.3">
      <c r="A487">
        <v>485</v>
      </c>
      <c r="B487" t="s">
        <v>629</v>
      </c>
      <c r="C487" t="s">
        <v>143</v>
      </c>
      <c r="D487">
        <v>0.54722235188129198</v>
      </c>
    </row>
    <row r="488" spans="1:4" hidden="1" x14ac:dyDescent="0.3">
      <c r="A488">
        <v>486</v>
      </c>
      <c r="B488" s="1" t="s">
        <v>630</v>
      </c>
      <c r="C488" t="s">
        <v>145</v>
      </c>
      <c r="D488" s="1" t="s">
        <v>631</v>
      </c>
    </row>
    <row r="489" spans="1:4" hidden="1" x14ac:dyDescent="0.3">
      <c r="A489">
        <v>487</v>
      </c>
      <c r="B489" t="s">
        <v>632</v>
      </c>
      <c r="C489" t="s">
        <v>30</v>
      </c>
      <c r="D489">
        <v>1.0263221499963999</v>
      </c>
    </row>
    <row r="490" spans="1:4" hidden="1" x14ac:dyDescent="0.3">
      <c r="A490">
        <v>488</v>
      </c>
      <c r="B490" t="s">
        <v>633</v>
      </c>
      <c r="C490" t="s">
        <v>32</v>
      </c>
      <c r="D490">
        <v>0.364772430404885</v>
      </c>
    </row>
    <row r="491" spans="1:4" hidden="1" x14ac:dyDescent="0.3">
      <c r="A491">
        <v>489</v>
      </c>
      <c r="B491" s="1" t="s">
        <v>634</v>
      </c>
      <c r="C491" t="s">
        <v>149</v>
      </c>
      <c r="D491" s="1" t="s">
        <v>635</v>
      </c>
    </row>
    <row r="492" spans="1:4" hidden="1" x14ac:dyDescent="0.3">
      <c r="A492">
        <v>490</v>
      </c>
      <c r="B492" t="s">
        <v>636</v>
      </c>
      <c r="C492" t="s">
        <v>40</v>
      </c>
      <c r="D492">
        <v>1.0981608670673999</v>
      </c>
    </row>
    <row r="493" spans="1:4" hidden="1" x14ac:dyDescent="0.3">
      <c r="A493">
        <v>491</v>
      </c>
      <c r="B493" t="s">
        <v>637</v>
      </c>
      <c r="C493" t="s">
        <v>42</v>
      </c>
      <c r="D493">
        <v>0.46263830412031398</v>
      </c>
    </row>
    <row r="494" spans="1:4" hidden="1" x14ac:dyDescent="0.3">
      <c r="A494">
        <v>492</v>
      </c>
      <c r="B494" s="1" t="s">
        <v>638</v>
      </c>
      <c r="C494" t="s">
        <v>153</v>
      </c>
      <c r="D494" s="1" t="s">
        <v>639</v>
      </c>
    </row>
    <row r="495" spans="1:4" hidden="1" x14ac:dyDescent="0.3">
      <c r="A495">
        <v>493</v>
      </c>
      <c r="B495" t="s">
        <v>154</v>
      </c>
      <c r="C495" t="s">
        <v>155</v>
      </c>
      <c r="D495">
        <v>1</v>
      </c>
    </row>
    <row r="496" spans="1:4" hidden="1" x14ac:dyDescent="0.3">
      <c r="A496">
        <v>494</v>
      </c>
      <c r="B496" t="s">
        <v>156</v>
      </c>
      <c r="C496" t="s">
        <v>157</v>
      </c>
      <c r="D496">
        <v>1</v>
      </c>
    </row>
    <row r="497" spans="1:4" hidden="1" x14ac:dyDescent="0.3">
      <c r="A497">
        <v>495</v>
      </c>
      <c r="B497" s="1" t="s">
        <v>640</v>
      </c>
      <c r="C497" t="s">
        <v>159</v>
      </c>
      <c r="D497" s="1" t="s">
        <v>641</v>
      </c>
    </row>
    <row r="498" spans="1:4" hidden="1" x14ac:dyDescent="0.3">
      <c r="A498">
        <v>496</v>
      </c>
      <c r="B498" t="s">
        <v>642</v>
      </c>
      <c r="C498" t="s">
        <v>162</v>
      </c>
      <c r="D498">
        <v>1.00073654800046</v>
      </c>
    </row>
    <row r="499" spans="1:4" hidden="1" x14ac:dyDescent="0.3">
      <c r="A499">
        <v>497</v>
      </c>
      <c r="B499" t="s">
        <v>643</v>
      </c>
      <c r="C499" t="s">
        <v>164</v>
      </c>
      <c r="D499">
        <v>0.99905476254913195</v>
      </c>
    </row>
    <row r="500" spans="1:4" hidden="1" x14ac:dyDescent="0.3">
      <c r="A500">
        <v>498</v>
      </c>
      <c r="B500" s="1" t="s">
        <v>644</v>
      </c>
      <c r="C500" t="s">
        <v>166</v>
      </c>
      <c r="D500" s="1" t="s">
        <v>645</v>
      </c>
    </row>
    <row r="501" spans="1:4" hidden="1" x14ac:dyDescent="0.3">
      <c r="A501">
        <v>499</v>
      </c>
      <c r="B501" s="1" t="s">
        <v>646</v>
      </c>
      <c r="C501" t="s">
        <v>55</v>
      </c>
      <c r="D501" s="1" t="s">
        <v>647</v>
      </c>
    </row>
    <row r="502" spans="1:4" hidden="1" x14ac:dyDescent="0.3">
      <c r="A502">
        <v>500</v>
      </c>
      <c r="B502" s="1" t="s">
        <v>648</v>
      </c>
      <c r="C502" t="s">
        <v>52</v>
      </c>
      <c r="D502" s="1" t="s">
        <v>649</v>
      </c>
    </row>
    <row r="503" spans="1:4" hidden="1" x14ac:dyDescent="0.3">
      <c r="A503">
        <v>501</v>
      </c>
      <c r="B503" s="1" t="s">
        <v>650</v>
      </c>
      <c r="C503" t="s">
        <v>58</v>
      </c>
      <c r="D503" s="1" t="s">
        <v>651</v>
      </c>
    </row>
    <row r="504" spans="1:4" hidden="1" x14ac:dyDescent="0.3">
      <c r="A504">
        <v>502</v>
      </c>
      <c r="B504" t="s">
        <v>652</v>
      </c>
      <c r="C504" t="s">
        <v>61</v>
      </c>
      <c r="D504">
        <v>149967798.75865701</v>
      </c>
    </row>
    <row r="505" spans="1:4" hidden="1" x14ac:dyDescent="0.3">
      <c r="A505">
        <v>503</v>
      </c>
      <c r="B505" t="s">
        <v>653</v>
      </c>
      <c r="C505" t="s">
        <v>63</v>
      </c>
      <c r="D505">
        <v>80003784.986708701</v>
      </c>
    </row>
    <row r="506" spans="1:4" hidden="1" x14ac:dyDescent="0.3">
      <c r="A506">
        <v>504</v>
      </c>
      <c r="B506" t="s">
        <v>654</v>
      </c>
      <c r="C506" t="s">
        <v>65</v>
      </c>
      <c r="D506">
        <v>40001624.871923901</v>
      </c>
    </row>
    <row r="507" spans="1:4" hidden="1" x14ac:dyDescent="0.3">
      <c r="A507">
        <v>505</v>
      </c>
      <c r="B507" s="1" t="s">
        <v>655</v>
      </c>
      <c r="C507" t="s">
        <v>67</v>
      </c>
      <c r="D507" s="1" t="s">
        <v>656</v>
      </c>
    </row>
    <row r="508" spans="1:4" hidden="1" x14ac:dyDescent="0.3">
      <c r="A508">
        <v>506</v>
      </c>
      <c r="B508" s="1" t="s">
        <v>657</v>
      </c>
      <c r="C508" t="s">
        <v>70</v>
      </c>
      <c r="D508" s="1" t="s">
        <v>658</v>
      </c>
    </row>
    <row r="509" spans="1:4" hidden="1" x14ac:dyDescent="0.3">
      <c r="A509">
        <v>507</v>
      </c>
      <c r="B509" t="s">
        <v>659</v>
      </c>
      <c r="C509" t="s">
        <v>73</v>
      </c>
      <c r="D509">
        <v>1.00007206620919</v>
      </c>
    </row>
    <row r="510" spans="1:4" hidden="1" x14ac:dyDescent="0.3">
      <c r="A510">
        <v>508</v>
      </c>
      <c r="B510" t="s">
        <v>74</v>
      </c>
      <c r="C510" t="s">
        <v>75</v>
      </c>
      <c r="D510">
        <v>2.7397260273972599E-3</v>
      </c>
    </row>
    <row r="511" spans="1:4" hidden="1" x14ac:dyDescent="0.3">
      <c r="A511">
        <v>509</v>
      </c>
      <c r="B511" t="s">
        <v>76</v>
      </c>
      <c r="C511" t="s">
        <v>77</v>
      </c>
      <c r="D511">
        <v>0</v>
      </c>
    </row>
    <row r="512" spans="1:4" hidden="1" x14ac:dyDescent="0.3">
      <c r="A512">
        <v>510</v>
      </c>
      <c r="B512" t="s">
        <v>78</v>
      </c>
      <c r="C512" t="s">
        <v>79</v>
      </c>
      <c r="D512">
        <v>0</v>
      </c>
    </row>
    <row r="513" spans="1:4" hidden="1" x14ac:dyDescent="0.3">
      <c r="A513">
        <v>511</v>
      </c>
      <c r="B513" s="1" t="s">
        <v>660</v>
      </c>
      <c r="C513" t="s">
        <v>81</v>
      </c>
      <c r="D513" s="1" t="s">
        <v>661</v>
      </c>
    </row>
    <row r="514" spans="1:4" hidden="1" x14ac:dyDescent="0.3">
      <c r="A514">
        <v>512</v>
      </c>
      <c r="B514" t="s">
        <v>662</v>
      </c>
      <c r="C514" t="s">
        <v>84</v>
      </c>
      <c r="D514">
        <v>1.00009788272605</v>
      </c>
    </row>
    <row r="515" spans="1:4" hidden="1" x14ac:dyDescent="0.3">
      <c r="A515">
        <v>513</v>
      </c>
      <c r="B515" s="1" t="s">
        <v>663</v>
      </c>
      <c r="C515" t="s">
        <v>86</v>
      </c>
      <c r="D515" s="1" t="s">
        <v>664</v>
      </c>
    </row>
    <row r="516" spans="1:4" hidden="1" x14ac:dyDescent="0.3">
      <c r="A516">
        <v>514</v>
      </c>
      <c r="B516" t="s">
        <v>665</v>
      </c>
      <c r="C516" t="s">
        <v>89</v>
      </c>
      <c r="D516">
        <v>99990212.685403302</v>
      </c>
    </row>
    <row r="517" spans="1:4" hidden="1" x14ac:dyDescent="0.3">
      <c r="A517">
        <v>515</v>
      </c>
      <c r="B517" s="1" t="s">
        <v>666</v>
      </c>
      <c r="C517" t="s">
        <v>91</v>
      </c>
      <c r="D517" s="1" t="s">
        <v>612</v>
      </c>
    </row>
    <row r="518" spans="1:4" hidden="1" x14ac:dyDescent="0.3">
      <c r="A518">
        <v>516</v>
      </c>
      <c r="B518" t="s">
        <v>667</v>
      </c>
      <c r="C518" t="s">
        <v>94</v>
      </c>
      <c r="D518">
        <v>80003784.986708701</v>
      </c>
    </row>
    <row r="519" spans="1:4" hidden="1" x14ac:dyDescent="0.3">
      <c r="A519">
        <v>517</v>
      </c>
      <c r="B519" t="s">
        <v>668</v>
      </c>
      <c r="C519" t="s">
        <v>96</v>
      </c>
      <c r="D519">
        <v>40001624.871923901</v>
      </c>
    </row>
    <row r="520" spans="1:4" hidden="1" x14ac:dyDescent="0.3">
      <c r="A520">
        <v>518</v>
      </c>
      <c r="B520" t="s">
        <v>669</v>
      </c>
      <c r="C520" t="s">
        <v>98</v>
      </c>
      <c r="D520">
        <v>29962388.9000251</v>
      </c>
    </row>
    <row r="521" spans="1:4" hidden="1" x14ac:dyDescent="0.3">
      <c r="A521">
        <v>519</v>
      </c>
      <c r="B521" s="1" t="s">
        <v>670</v>
      </c>
      <c r="C521" t="s">
        <v>100</v>
      </c>
      <c r="D521" s="1" t="s">
        <v>671</v>
      </c>
    </row>
    <row r="522" spans="1:4" hidden="1" x14ac:dyDescent="0.3">
      <c r="A522">
        <v>520</v>
      </c>
      <c r="B522" t="s">
        <v>672</v>
      </c>
      <c r="C522" t="s">
        <v>103</v>
      </c>
      <c r="D522">
        <v>1.0176907024541999E-2</v>
      </c>
    </row>
    <row r="523" spans="1:4" hidden="1" x14ac:dyDescent="0.3">
      <c r="A523">
        <v>521</v>
      </c>
      <c r="B523" t="s">
        <v>673</v>
      </c>
      <c r="C523" t="s">
        <v>105</v>
      </c>
      <c r="D523">
        <v>2.8088691454655501E-3</v>
      </c>
    </row>
    <row r="524" spans="1:4" hidden="1" x14ac:dyDescent="0.3">
      <c r="A524">
        <v>522</v>
      </c>
      <c r="B524" t="s">
        <v>674</v>
      </c>
      <c r="C524" t="s">
        <v>107</v>
      </c>
      <c r="D524">
        <v>2.14781718890679E-2</v>
      </c>
    </row>
    <row r="525" spans="1:4" hidden="1" x14ac:dyDescent="0.3">
      <c r="A525">
        <v>523</v>
      </c>
      <c r="B525" s="1" t="s">
        <v>675</v>
      </c>
      <c r="C525" t="s">
        <v>109</v>
      </c>
      <c r="D525" s="1" t="s">
        <v>676</v>
      </c>
    </row>
    <row r="526" spans="1:4" x14ac:dyDescent="0.3">
      <c r="A526">
        <v>524</v>
      </c>
      <c r="B526" t="s">
        <v>677</v>
      </c>
      <c r="C526" t="s">
        <v>197</v>
      </c>
      <c r="D526">
        <v>149968692.366597</v>
      </c>
    </row>
    <row r="527" spans="1:4" hidden="1" x14ac:dyDescent="0.3">
      <c r="A527">
        <v>525</v>
      </c>
      <c r="B527" t="s">
        <v>678</v>
      </c>
      <c r="C527" t="s">
        <v>199</v>
      </c>
      <c r="D527">
        <v>-2065.2872921881299</v>
      </c>
    </row>
    <row r="528" spans="1:4" hidden="1" x14ac:dyDescent="0.3">
      <c r="A528">
        <v>526</v>
      </c>
      <c r="B528" t="s">
        <v>679</v>
      </c>
      <c r="C528" t="s">
        <v>201</v>
      </c>
      <c r="D528">
        <v>-1032.6315454325099</v>
      </c>
    </row>
    <row r="529" spans="1:4" hidden="1" x14ac:dyDescent="0.3">
      <c r="A529">
        <v>527</v>
      </c>
      <c r="B529" s="1" t="s">
        <v>680</v>
      </c>
      <c r="C529" t="s">
        <v>203</v>
      </c>
      <c r="D529" s="1" t="s">
        <v>681</v>
      </c>
    </row>
    <row r="530" spans="1:4" hidden="1" x14ac:dyDescent="0.3">
      <c r="A530">
        <v>528</v>
      </c>
      <c r="B530" t="s">
        <v>682</v>
      </c>
      <c r="C530" t="s">
        <v>206</v>
      </c>
      <c r="D530">
        <v>80006511.300800398</v>
      </c>
    </row>
    <row r="531" spans="1:4" hidden="1" x14ac:dyDescent="0.3">
      <c r="A531">
        <v>529</v>
      </c>
      <c r="B531" t="s">
        <v>683</v>
      </c>
      <c r="C531" t="s">
        <v>208</v>
      </c>
      <c r="D531">
        <v>40002786.886698902</v>
      </c>
    </row>
    <row r="532" spans="1:4" hidden="1" x14ac:dyDescent="0.3">
      <c r="A532">
        <v>530</v>
      </c>
      <c r="B532" t="s">
        <v>684</v>
      </c>
      <c r="C532" t="s">
        <v>210</v>
      </c>
      <c r="D532">
        <v>29963265.5693767</v>
      </c>
    </row>
    <row r="533" spans="1:4" hidden="1" x14ac:dyDescent="0.3">
      <c r="A533">
        <v>531</v>
      </c>
      <c r="B533" s="1" t="s">
        <v>685</v>
      </c>
      <c r="C533" t="s">
        <v>212</v>
      </c>
      <c r="D533" s="1" t="s">
        <v>686</v>
      </c>
    </row>
    <row r="534" spans="1:4" hidden="1" x14ac:dyDescent="0.3">
      <c r="A534">
        <v>532</v>
      </c>
      <c r="B534" t="s">
        <v>687</v>
      </c>
      <c r="C534" t="s">
        <v>215</v>
      </c>
      <c r="D534">
        <v>99992793.898396999</v>
      </c>
    </row>
    <row r="535" spans="1:4" hidden="1" x14ac:dyDescent="0.3">
      <c r="A535">
        <v>533</v>
      </c>
      <c r="B535" t="s">
        <v>688</v>
      </c>
      <c r="C535" t="s">
        <v>217</v>
      </c>
      <c r="D535">
        <v>-2581.2129936814299</v>
      </c>
    </row>
    <row r="536" spans="1:4" hidden="1" x14ac:dyDescent="0.3">
      <c r="A536">
        <v>534</v>
      </c>
      <c r="B536" s="1" t="s">
        <v>689</v>
      </c>
      <c r="C536" t="s">
        <v>219</v>
      </c>
      <c r="D536" s="1" t="s">
        <v>690</v>
      </c>
    </row>
    <row r="537" spans="1:4" hidden="1" x14ac:dyDescent="0.3">
      <c r="A537">
        <v>535</v>
      </c>
      <c r="B537" t="s">
        <v>691</v>
      </c>
      <c r="C537" t="s">
        <v>112</v>
      </c>
      <c r="D537">
        <v>661.02679953479401</v>
      </c>
    </row>
    <row r="538" spans="1:4" hidden="1" x14ac:dyDescent="0.3">
      <c r="A538">
        <v>536</v>
      </c>
      <c r="B538" t="s">
        <v>692</v>
      </c>
      <c r="C538" t="s">
        <v>114</v>
      </c>
      <c r="D538">
        <v>129.38322956309901</v>
      </c>
    </row>
    <row r="539" spans="1:4" hidden="1" x14ac:dyDescent="0.3">
      <c r="A539">
        <v>537</v>
      </c>
      <c r="B539" s="1" t="s">
        <v>693</v>
      </c>
      <c r="C539" t="s">
        <v>116</v>
      </c>
      <c r="D539" s="1" t="s">
        <v>694</v>
      </c>
    </row>
    <row r="540" spans="1:4" hidden="1" x14ac:dyDescent="0.3">
      <c r="A540">
        <v>538</v>
      </c>
      <c r="B540" t="s">
        <v>695</v>
      </c>
      <c r="C540" t="s">
        <v>119</v>
      </c>
      <c r="D540">
        <v>80006511.300800398</v>
      </c>
    </row>
    <row r="541" spans="1:4" hidden="1" x14ac:dyDescent="0.3">
      <c r="A541">
        <v>539</v>
      </c>
      <c r="B541" t="s">
        <v>696</v>
      </c>
      <c r="C541" t="s">
        <v>121</v>
      </c>
      <c r="D541">
        <v>40002786.886698902</v>
      </c>
    </row>
    <row r="542" spans="1:4" hidden="1" x14ac:dyDescent="0.3">
      <c r="A542">
        <v>540</v>
      </c>
      <c r="B542" s="1" t="s">
        <v>697</v>
      </c>
      <c r="C542" t="s">
        <v>123</v>
      </c>
      <c r="D542" s="1" t="s">
        <v>698</v>
      </c>
    </row>
    <row r="543" spans="1:4" hidden="1" x14ac:dyDescent="0.3">
      <c r="A543">
        <v>541</v>
      </c>
      <c r="B543" t="s">
        <v>699</v>
      </c>
      <c r="C543" t="s">
        <v>126</v>
      </c>
      <c r="D543">
        <v>0.80004446013508201</v>
      </c>
    </row>
    <row r="544" spans="1:4" hidden="1" x14ac:dyDescent="0.3">
      <c r="A544">
        <v>542</v>
      </c>
      <c r="B544" t="s">
        <v>700</v>
      </c>
      <c r="C544" t="s">
        <v>128</v>
      </c>
      <c r="D544">
        <v>0.40001754255153399</v>
      </c>
    </row>
    <row r="545" spans="1:4" hidden="1" x14ac:dyDescent="0.3">
      <c r="A545">
        <v>543</v>
      </c>
      <c r="B545" s="1" t="s">
        <v>701</v>
      </c>
      <c r="C545" t="s">
        <v>130</v>
      </c>
      <c r="D545" s="1" t="s">
        <v>702</v>
      </c>
    </row>
    <row r="546" spans="1:4" hidden="1" x14ac:dyDescent="0.3">
      <c r="A546">
        <v>544</v>
      </c>
      <c r="B546" s="1" t="s">
        <v>3</v>
      </c>
      <c r="C546" t="s">
        <v>4</v>
      </c>
      <c r="D546" t="s">
        <v>5</v>
      </c>
    </row>
    <row r="547" spans="1:4" hidden="1" x14ac:dyDescent="0.3">
      <c r="A547">
        <v>545</v>
      </c>
      <c r="B547" t="s">
        <v>6</v>
      </c>
      <c r="C547" t="s">
        <v>7</v>
      </c>
      <c r="D547">
        <v>1950.52</v>
      </c>
    </row>
    <row r="548" spans="1:4" hidden="1" x14ac:dyDescent="0.3">
      <c r="A548">
        <v>546</v>
      </c>
      <c r="B548" s="1" t="s">
        <v>132</v>
      </c>
      <c r="C548" t="s">
        <v>9</v>
      </c>
      <c r="D548" s="1" t="s">
        <v>133</v>
      </c>
    </row>
    <row r="549" spans="1:4" hidden="1" x14ac:dyDescent="0.3">
      <c r="A549">
        <v>547</v>
      </c>
      <c r="B549" t="s">
        <v>13</v>
      </c>
      <c r="C549" t="s">
        <v>14</v>
      </c>
      <c r="D549">
        <v>90.82421875</v>
      </c>
    </row>
    <row r="550" spans="1:4" hidden="1" x14ac:dyDescent="0.3">
      <c r="A550">
        <v>548</v>
      </c>
      <c r="B550" t="s">
        <v>15</v>
      </c>
      <c r="C550" t="s">
        <v>16</v>
      </c>
      <c r="D550">
        <v>4.2527792330373497</v>
      </c>
    </row>
    <row r="551" spans="1:4" hidden="1" x14ac:dyDescent="0.3">
      <c r="A551">
        <v>549</v>
      </c>
      <c r="B551" s="1" t="s">
        <v>134</v>
      </c>
      <c r="C551" t="s">
        <v>135</v>
      </c>
      <c r="D551" s="1" t="s">
        <v>136</v>
      </c>
    </row>
    <row r="552" spans="1:4" hidden="1" x14ac:dyDescent="0.3">
      <c r="A552">
        <v>550</v>
      </c>
      <c r="B552" t="s">
        <v>21</v>
      </c>
      <c r="C552" t="s">
        <v>22</v>
      </c>
      <c r="D552">
        <v>62.9</v>
      </c>
    </row>
    <row r="553" spans="1:4" hidden="1" x14ac:dyDescent="0.3">
      <c r="A553">
        <v>551</v>
      </c>
      <c r="B553" t="s">
        <v>703</v>
      </c>
      <c r="C553" t="s">
        <v>24</v>
      </c>
      <c r="D553">
        <v>4.03366732553883</v>
      </c>
    </row>
    <row r="554" spans="1:4" hidden="1" x14ac:dyDescent="0.3">
      <c r="A554">
        <v>552</v>
      </c>
      <c r="B554" s="1" t="s">
        <v>704</v>
      </c>
      <c r="C554" t="s">
        <v>139</v>
      </c>
      <c r="D554" s="1" t="s">
        <v>705</v>
      </c>
    </row>
    <row r="555" spans="1:4" hidden="1" x14ac:dyDescent="0.3">
      <c r="A555">
        <v>553</v>
      </c>
      <c r="B555" t="s">
        <v>706</v>
      </c>
      <c r="C555" t="s">
        <v>35</v>
      </c>
      <c r="D555">
        <v>-1.17553689782787</v>
      </c>
    </row>
    <row r="556" spans="1:4" hidden="1" x14ac:dyDescent="0.3">
      <c r="A556">
        <v>554</v>
      </c>
      <c r="B556" t="s">
        <v>707</v>
      </c>
      <c r="C556" t="s">
        <v>143</v>
      </c>
      <c r="D556">
        <v>0.54663940933453203</v>
      </c>
    </row>
    <row r="557" spans="1:4" hidden="1" x14ac:dyDescent="0.3">
      <c r="A557">
        <v>555</v>
      </c>
      <c r="B557" s="1" t="s">
        <v>708</v>
      </c>
      <c r="C557" t="s">
        <v>145</v>
      </c>
      <c r="D557" s="1" t="s">
        <v>709</v>
      </c>
    </row>
    <row r="558" spans="1:4" hidden="1" x14ac:dyDescent="0.3">
      <c r="A558">
        <v>556</v>
      </c>
      <c r="B558" t="s">
        <v>710</v>
      </c>
      <c r="C558" t="s">
        <v>30</v>
      </c>
      <c r="D558">
        <v>1.07291932209799</v>
      </c>
    </row>
    <row r="559" spans="1:4" hidden="1" x14ac:dyDescent="0.3">
      <c r="A559">
        <v>557</v>
      </c>
      <c r="B559" t="s">
        <v>711</v>
      </c>
      <c r="C559" t="s">
        <v>32</v>
      </c>
      <c r="D559">
        <v>0.36543681036188902</v>
      </c>
    </row>
    <row r="560" spans="1:4" hidden="1" x14ac:dyDescent="0.3">
      <c r="A560">
        <v>558</v>
      </c>
      <c r="B560" s="1" t="s">
        <v>712</v>
      </c>
      <c r="C560" t="s">
        <v>149</v>
      </c>
      <c r="D560" s="1" t="s">
        <v>713</v>
      </c>
    </row>
    <row r="561" spans="1:4" hidden="1" x14ac:dyDescent="0.3">
      <c r="A561">
        <v>559</v>
      </c>
      <c r="B561" t="s">
        <v>714</v>
      </c>
      <c r="C561" t="s">
        <v>40</v>
      </c>
      <c r="D561">
        <v>1.10261757572987</v>
      </c>
    </row>
    <row r="562" spans="1:4" hidden="1" x14ac:dyDescent="0.3">
      <c r="A562">
        <v>560</v>
      </c>
      <c r="B562" t="s">
        <v>715</v>
      </c>
      <c r="C562" t="s">
        <v>42</v>
      </c>
      <c r="D562">
        <v>0.46392269596675001</v>
      </c>
    </row>
    <row r="563" spans="1:4" hidden="1" x14ac:dyDescent="0.3">
      <c r="A563">
        <v>561</v>
      </c>
      <c r="B563" s="1" t="s">
        <v>716</v>
      </c>
      <c r="C563" t="s">
        <v>153</v>
      </c>
      <c r="D563" s="1" t="s">
        <v>717</v>
      </c>
    </row>
    <row r="564" spans="1:4" hidden="1" x14ac:dyDescent="0.3">
      <c r="A564">
        <v>562</v>
      </c>
      <c r="B564" t="s">
        <v>154</v>
      </c>
      <c r="C564" t="s">
        <v>155</v>
      </c>
      <c r="D564">
        <v>1</v>
      </c>
    </row>
    <row r="565" spans="1:4" hidden="1" x14ac:dyDescent="0.3">
      <c r="A565">
        <v>563</v>
      </c>
      <c r="B565" t="s">
        <v>156</v>
      </c>
      <c r="C565" t="s">
        <v>157</v>
      </c>
      <c r="D565">
        <v>1</v>
      </c>
    </row>
    <row r="566" spans="1:4" hidden="1" x14ac:dyDescent="0.3">
      <c r="A566">
        <v>564</v>
      </c>
      <c r="B566" s="1" t="s">
        <v>718</v>
      </c>
      <c r="C566" t="s">
        <v>159</v>
      </c>
      <c r="D566" s="1" t="s">
        <v>719</v>
      </c>
    </row>
    <row r="567" spans="1:4" hidden="1" x14ac:dyDescent="0.3">
      <c r="A567">
        <v>565</v>
      </c>
      <c r="B567" t="s">
        <v>720</v>
      </c>
      <c r="C567" t="s">
        <v>162</v>
      </c>
      <c r="D567">
        <v>0.99962323285593002</v>
      </c>
    </row>
    <row r="568" spans="1:4" hidden="1" x14ac:dyDescent="0.3">
      <c r="A568">
        <v>566</v>
      </c>
      <c r="B568" t="s">
        <v>721</v>
      </c>
      <c r="C568" t="s">
        <v>164</v>
      </c>
      <c r="D568">
        <v>1.0004868064024399</v>
      </c>
    </row>
    <row r="569" spans="1:4" hidden="1" x14ac:dyDescent="0.3">
      <c r="A569">
        <v>567</v>
      </c>
      <c r="B569" s="1" t="s">
        <v>722</v>
      </c>
      <c r="C569" t="s">
        <v>166</v>
      </c>
      <c r="D569" s="1" t="s">
        <v>723</v>
      </c>
    </row>
    <row r="570" spans="1:4" hidden="1" x14ac:dyDescent="0.3">
      <c r="A570">
        <v>568</v>
      </c>
      <c r="B570" s="1" t="s">
        <v>724</v>
      </c>
      <c r="C570" t="s">
        <v>55</v>
      </c>
      <c r="D570" s="1" t="s">
        <v>725</v>
      </c>
    </row>
    <row r="571" spans="1:4" hidden="1" x14ac:dyDescent="0.3">
      <c r="A571">
        <v>569</v>
      </c>
      <c r="B571" s="1" t="s">
        <v>726</v>
      </c>
      <c r="C571" t="s">
        <v>52</v>
      </c>
      <c r="D571" s="1" t="s">
        <v>727</v>
      </c>
    </row>
    <row r="572" spans="1:4" hidden="1" x14ac:dyDescent="0.3">
      <c r="A572">
        <v>570</v>
      </c>
      <c r="B572" s="1" t="s">
        <v>728</v>
      </c>
      <c r="C572" t="s">
        <v>58</v>
      </c>
      <c r="D572" s="1" t="s">
        <v>729</v>
      </c>
    </row>
    <row r="573" spans="1:4" hidden="1" x14ac:dyDescent="0.3">
      <c r="A573">
        <v>571</v>
      </c>
      <c r="B573" t="s">
        <v>730</v>
      </c>
      <c r="C573" t="s">
        <v>61</v>
      </c>
      <c r="D573">
        <v>149965659.06271699</v>
      </c>
    </row>
    <row r="574" spans="1:4" hidden="1" x14ac:dyDescent="0.3">
      <c r="A574">
        <v>572</v>
      </c>
      <c r="B574" t="s">
        <v>731</v>
      </c>
      <c r="C574" t="s">
        <v>63</v>
      </c>
      <c r="D574">
        <v>80006511.300800398</v>
      </c>
    </row>
    <row r="575" spans="1:4" hidden="1" x14ac:dyDescent="0.3">
      <c r="A575">
        <v>573</v>
      </c>
      <c r="B575" t="s">
        <v>732</v>
      </c>
      <c r="C575" t="s">
        <v>65</v>
      </c>
      <c r="D575">
        <v>40002786.886698902</v>
      </c>
    </row>
    <row r="576" spans="1:4" hidden="1" x14ac:dyDescent="0.3">
      <c r="A576">
        <v>574</v>
      </c>
      <c r="B576" s="1" t="s">
        <v>733</v>
      </c>
      <c r="C576" t="s">
        <v>67</v>
      </c>
      <c r="D576" s="1" t="s">
        <v>734</v>
      </c>
    </row>
    <row r="577" spans="1:4" hidden="1" x14ac:dyDescent="0.3">
      <c r="A577">
        <v>575</v>
      </c>
      <c r="B577" s="1" t="s">
        <v>735</v>
      </c>
      <c r="C577" t="s">
        <v>70</v>
      </c>
      <c r="D577" s="1" t="s">
        <v>736</v>
      </c>
    </row>
    <row r="578" spans="1:4" hidden="1" x14ac:dyDescent="0.3">
      <c r="A578">
        <v>576</v>
      </c>
      <c r="B578" t="s">
        <v>737</v>
      </c>
      <c r="C578" t="s">
        <v>73</v>
      </c>
      <c r="D578">
        <v>1.00009788272605</v>
      </c>
    </row>
    <row r="579" spans="1:4" hidden="1" x14ac:dyDescent="0.3">
      <c r="A579">
        <v>577</v>
      </c>
      <c r="B579" t="s">
        <v>74</v>
      </c>
      <c r="C579" t="s">
        <v>75</v>
      </c>
      <c r="D579">
        <v>2.7397260273972599E-3</v>
      </c>
    </row>
    <row r="580" spans="1:4" hidden="1" x14ac:dyDescent="0.3">
      <c r="A580">
        <v>578</v>
      </c>
      <c r="B580" t="s">
        <v>76</v>
      </c>
      <c r="C580" t="s">
        <v>77</v>
      </c>
      <c r="D580">
        <v>0</v>
      </c>
    </row>
    <row r="581" spans="1:4" hidden="1" x14ac:dyDescent="0.3">
      <c r="A581">
        <v>579</v>
      </c>
      <c r="B581" t="s">
        <v>78</v>
      </c>
      <c r="C581" t="s">
        <v>79</v>
      </c>
      <c r="D581">
        <v>0</v>
      </c>
    </row>
    <row r="582" spans="1:4" hidden="1" x14ac:dyDescent="0.3">
      <c r="A582">
        <v>580</v>
      </c>
      <c r="B582" s="1" t="s">
        <v>738</v>
      </c>
      <c r="C582" t="s">
        <v>81</v>
      </c>
      <c r="D582" s="1" t="s">
        <v>739</v>
      </c>
    </row>
    <row r="583" spans="1:4" hidden="1" x14ac:dyDescent="0.3">
      <c r="A583">
        <v>581</v>
      </c>
      <c r="B583" t="s">
        <v>740</v>
      </c>
      <c r="C583" t="s">
        <v>84</v>
      </c>
      <c r="D583">
        <v>1.00006950579658</v>
      </c>
    </row>
    <row r="584" spans="1:4" hidden="1" x14ac:dyDescent="0.3">
      <c r="A584">
        <v>582</v>
      </c>
      <c r="B584" s="1" t="s">
        <v>741</v>
      </c>
      <c r="C584" t="s">
        <v>86</v>
      </c>
      <c r="D584" s="1" t="s">
        <v>742</v>
      </c>
    </row>
    <row r="585" spans="1:4" hidden="1" x14ac:dyDescent="0.3">
      <c r="A585">
        <v>583</v>
      </c>
      <c r="B585" t="s">
        <v>743</v>
      </c>
      <c r="C585" t="s">
        <v>89</v>
      </c>
      <c r="D585">
        <v>99993049.903413698</v>
      </c>
    </row>
    <row r="586" spans="1:4" hidden="1" x14ac:dyDescent="0.3">
      <c r="A586">
        <v>584</v>
      </c>
      <c r="B586" s="1" t="s">
        <v>744</v>
      </c>
      <c r="C586" t="s">
        <v>91</v>
      </c>
      <c r="D586" s="1" t="s">
        <v>690</v>
      </c>
    </row>
    <row r="587" spans="1:4" hidden="1" x14ac:dyDescent="0.3">
      <c r="A587">
        <v>585</v>
      </c>
      <c r="B587" t="s">
        <v>745</v>
      </c>
      <c r="C587" t="s">
        <v>94</v>
      </c>
      <c r="D587">
        <v>80006511.300800398</v>
      </c>
    </row>
    <row r="588" spans="1:4" hidden="1" x14ac:dyDescent="0.3">
      <c r="A588">
        <v>586</v>
      </c>
      <c r="B588" t="s">
        <v>746</v>
      </c>
      <c r="C588" t="s">
        <v>96</v>
      </c>
      <c r="D588">
        <v>40002786.886698902</v>
      </c>
    </row>
    <row r="589" spans="1:4" hidden="1" x14ac:dyDescent="0.3">
      <c r="A589">
        <v>587</v>
      </c>
      <c r="B589" t="s">
        <v>747</v>
      </c>
      <c r="C589" t="s">
        <v>98</v>
      </c>
      <c r="D589">
        <v>29956360.875218399</v>
      </c>
    </row>
    <row r="590" spans="1:4" hidden="1" x14ac:dyDescent="0.3">
      <c r="A590">
        <v>588</v>
      </c>
      <c r="B590" s="1" t="s">
        <v>748</v>
      </c>
      <c r="C590" t="s">
        <v>100</v>
      </c>
      <c r="D590" s="1" t="s">
        <v>749</v>
      </c>
    </row>
    <row r="591" spans="1:4" hidden="1" x14ac:dyDescent="0.3">
      <c r="A591">
        <v>589</v>
      </c>
      <c r="B591" t="s">
        <v>750</v>
      </c>
      <c r="C591" t="s">
        <v>103</v>
      </c>
      <c r="D591">
        <v>1.02265002735644E-2</v>
      </c>
    </row>
    <row r="592" spans="1:4" hidden="1" x14ac:dyDescent="0.3">
      <c r="A592">
        <v>590</v>
      </c>
      <c r="B592" t="s">
        <v>751</v>
      </c>
      <c r="C592" t="s">
        <v>105</v>
      </c>
      <c r="D592">
        <v>2.8230466916731299E-3</v>
      </c>
    </row>
    <row r="593" spans="1:4" hidden="1" x14ac:dyDescent="0.3">
      <c r="A593">
        <v>591</v>
      </c>
      <c r="B593" t="s">
        <v>752</v>
      </c>
      <c r="C593" t="s">
        <v>107</v>
      </c>
      <c r="D593">
        <v>2.1595455530536201E-2</v>
      </c>
    </row>
    <row r="594" spans="1:4" hidden="1" x14ac:dyDescent="0.3">
      <c r="A594">
        <v>592</v>
      </c>
      <c r="B594" s="1" t="s">
        <v>753</v>
      </c>
      <c r="C594" t="s">
        <v>109</v>
      </c>
      <c r="D594" s="1" t="s">
        <v>754</v>
      </c>
    </row>
    <row r="595" spans="1:4" x14ac:dyDescent="0.3">
      <c r="A595">
        <v>593</v>
      </c>
      <c r="B595" t="s">
        <v>755</v>
      </c>
      <c r="C595" t="s">
        <v>197</v>
      </c>
      <c r="D595">
        <v>149964677.12179899</v>
      </c>
    </row>
    <row r="596" spans="1:4" hidden="1" x14ac:dyDescent="0.3">
      <c r="A596">
        <v>594</v>
      </c>
      <c r="B596" t="s">
        <v>756</v>
      </c>
      <c r="C596" t="s">
        <v>199</v>
      </c>
      <c r="D596">
        <v>2270.0954470154902</v>
      </c>
    </row>
    <row r="597" spans="1:4" hidden="1" x14ac:dyDescent="0.3">
      <c r="A597">
        <v>595</v>
      </c>
      <c r="B597" t="s">
        <v>757</v>
      </c>
      <c r="C597" t="s">
        <v>201</v>
      </c>
      <c r="D597">
        <v>1135.0409619842901</v>
      </c>
    </row>
    <row r="598" spans="1:4" hidden="1" x14ac:dyDescent="0.3">
      <c r="A598">
        <v>596</v>
      </c>
      <c r="B598" s="1" t="s">
        <v>758</v>
      </c>
      <c r="C598" t="s">
        <v>203</v>
      </c>
      <c r="D598" s="1" t="s">
        <v>759</v>
      </c>
    </row>
    <row r="599" spans="1:4" hidden="1" x14ac:dyDescent="0.3">
      <c r="A599">
        <v>597</v>
      </c>
      <c r="B599" t="s">
        <v>760</v>
      </c>
      <c r="C599" t="s">
        <v>206</v>
      </c>
      <c r="D599">
        <v>80003484.304956302</v>
      </c>
    </row>
    <row r="600" spans="1:4" hidden="1" x14ac:dyDescent="0.3">
      <c r="A600">
        <v>598</v>
      </c>
      <c r="B600" t="s">
        <v>761</v>
      </c>
      <c r="C600" t="s">
        <v>208</v>
      </c>
      <c r="D600">
        <v>40001503.860543601</v>
      </c>
    </row>
    <row r="601" spans="1:4" hidden="1" x14ac:dyDescent="0.3">
      <c r="A601">
        <v>599</v>
      </c>
      <c r="B601" t="s">
        <v>762</v>
      </c>
      <c r="C601" t="s">
        <v>210</v>
      </c>
      <c r="D601">
        <v>29955433.835735999</v>
      </c>
    </row>
    <row r="602" spans="1:4" hidden="1" x14ac:dyDescent="0.3">
      <c r="A602">
        <v>600</v>
      </c>
      <c r="B602" s="1" t="s">
        <v>763</v>
      </c>
      <c r="C602" t="s">
        <v>212</v>
      </c>
      <c r="D602" s="1" t="s">
        <v>764</v>
      </c>
    </row>
    <row r="603" spans="1:4" hidden="1" x14ac:dyDescent="0.3">
      <c r="A603">
        <v>601</v>
      </c>
      <c r="B603" t="s">
        <v>765</v>
      </c>
      <c r="C603" t="s">
        <v>215</v>
      </c>
      <c r="D603">
        <v>99990212.685403302</v>
      </c>
    </row>
    <row r="604" spans="1:4" hidden="1" x14ac:dyDescent="0.3">
      <c r="A604">
        <v>602</v>
      </c>
      <c r="B604" t="s">
        <v>766</v>
      </c>
      <c r="C604" t="s">
        <v>217</v>
      </c>
      <c r="D604">
        <v>2837.2180103808601</v>
      </c>
    </row>
    <row r="605" spans="1:4" hidden="1" x14ac:dyDescent="0.3">
      <c r="A605">
        <v>603</v>
      </c>
      <c r="B605" s="1" t="s">
        <v>767</v>
      </c>
      <c r="C605" t="s">
        <v>219</v>
      </c>
      <c r="D605" s="1" t="s">
        <v>768</v>
      </c>
    </row>
    <row r="606" spans="1:4" hidden="1" x14ac:dyDescent="0.3">
      <c r="A606">
        <v>604</v>
      </c>
      <c r="B606" t="s">
        <v>769</v>
      </c>
      <c r="C606" t="s">
        <v>112</v>
      </c>
      <c r="D606">
        <v>-756.90039709331495</v>
      </c>
    </row>
    <row r="607" spans="1:4" hidden="1" x14ac:dyDescent="0.3">
      <c r="A607">
        <v>605</v>
      </c>
      <c r="B607" t="s">
        <v>770</v>
      </c>
      <c r="C607" t="s">
        <v>114</v>
      </c>
      <c r="D607">
        <v>-147.98519325377001</v>
      </c>
    </row>
    <row r="608" spans="1:4" hidden="1" x14ac:dyDescent="0.3">
      <c r="A608">
        <v>606</v>
      </c>
      <c r="B608" s="1" t="s">
        <v>771</v>
      </c>
      <c r="C608" t="s">
        <v>116</v>
      </c>
      <c r="D608" s="1" t="s">
        <v>772</v>
      </c>
    </row>
    <row r="609" spans="1:4" hidden="1" x14ac:dyDescent="0.3">
      <c r="A609">
        <v>607</v>
      </c>
      <c r="B609" t="s">
        <v>773</v>
      </c>
      <c r="C609" t="s">
        <v>119</v>
      </c>
      <c r="D609">
        <v>80003484.304956302</v>
      </c>
    </row>
    <row r="610" spans="1:4" hidden="1" x14ac:dyDescent="0.3">
      <c r="A610">
        <v>608</v>
      </c>
      <c r="B610" t="s">
        <v>774</v>
      </c>
      <c r="C610" t="s">
        <v>121</v>
      </c>
      <c r="D610">
        <v>40001503.860543601</v>
      </c>
    </row>
    <row r="611" spans="1:4" hidden="1" x14ac:dyDescent="0.3">
      <c r="A611">
        <v>609</v>
      </c>
      <c r="B611" s="1" t="s">
        <v>775</v>
      </c>
      <c r="C611" t="s">
        <v>123</v>
      </c>
      <c r="D611" s="1" t="s">
        <v>776</v>
      </c>
    </row>
    <row r="612" spans="1:4" hidden="1" x14ac:dyDescent="0.3">
      <c r="A612">
        <v>610</v>
      </c>
      <c r="B612" t="s">
        <v>777</v>
      </c>
      <c r="C612" t="s">
        <v>126</v>
      </c>
      <c r="D612">
        <v>0.80005754400403295</v>
      </c>
    </row>
    <row r="613" spans="1:4" hidden="1" x14ac:dyDescent="0.3">
      <c r="A613">
        <v>611</v>
      </c>
      <c r="B613" t="s">
        <v>778</v>
      </c>
      <c r="C613" t="s">
        <v>128</v>
      </c>
      <c r="D613">
        <v>0.40002638901505599</v>
      </c>
    </row>
    <row r="614" spans="1:4" hidden="1" x14ac:dyDescent="0.3">
      <c r="A614">
        <v>612</v>
      </c>
      <c r="B614" s="1" t="s">
        <v>779</v>
      </c>
      <c r="C614" t="s">
        <v>130</v>
      </c>
      <c r="D614" s="1" t="s">
        <v>780</v>
      </c>
    </row>
    <row r="615" spans="1:4" hidden="1" x14ac:dyDescent="0.3">
      <c r="A615">
        <v>613</v>
      </c>
      <c r="B615" s="1" t="s">
        <v>3</v>
      </c>
      <c r="C615" t="s">
        <v>4</v>
      </c>
      <c r="D615" t="s">
        <v>5</v>
      </c>
    </row>
    <row r="616" spans="1:4" hidden="1" x14ac:dyDescent="0.3">
      <c r="A616">
        <v>614</v>
      </c>
      <c r="B616" t="s">
        <v>6</v>
      </c>
      <c r="C616" t="s">
        <v>7</v>
      </c>
      <c r="D616">
        <v>1950.52</v>
      </c>
    </row>
    <row r="617" spans="1:4" hidden="1" x14ac:dyDescent="0.3">
      <c r="A617">
        <v>615</v>
      </c>
      <c r="B617" s="1" t="s">
        <v>132</v>
      </c>
      <c r="C617" t="s">
        <v>9</v>
      </c>
      <c r="D617" s="1" t="s">
        <v>133</v>
      </c>
    </row>
    <row r="618" spans="1:4" hidden="1" x14ac:dyDescent="0.3">
      <c r="A618">
        <v>616</v>
      </c>
      <c r="B618" t="s">
        <v>13</v>
      </c>
      <c r="C618" t="s">
        <v>14</v>
      </c>
      <c r="D618">
        <v>90.82421875</v>
      </c>
    </row>
    <row r="619" spans="1:4" hidden="1" x14ac:dyDescent="0.3">
      <c r="A619">
        <v>617</v>
      </c>
      <c r="B619" t="s">
        <v>15</v>
      </c>
      <c r="C619" t="s">
        <v>16</v>
      </c>
      <c r="D619">
        <v>4.2527792330373497</v>
      </c>
    </row>
    <row r="620" spans="1:4" hidden="1" x14ac:dyDescent="0.3">
      <c r="A620">
        <v>618</v>
      </c>
      <c r="B620" s="1" t="s">
        <v>134</v>
      </c>
      <c r="C620" t="s">
        <v>135</v>
      </c>
      <c r="D620" s="1" t="s">
        <v>136</v>
      </c>
    </row>
    <row r="621" spans="1:4" hidden="1" x14ac:dyDescent="0.3">
      <c r="A621">
        <v>619</v>
      </c>
      <c r="B621" t="s">
        <v>21</v>
      </c>
      <c r="C621" t="s">
        <v>22</v>
      </c>
      <c r="D621">
        <v>62.9</v>
      </c>
    </row>
    <row r="622" spans="1:4" hidden="1" x14ac:dyDescent="0.3">
      <c r="A622">
        <v>620</v>
      </c>
      <c r="B622" t="s">
        <v>781</v>
      </c>
      <c r="C622" t="s">
        <v>24</v>
      </c>
      <c r="D622">
        <v>4.0203812132677603</v>
      </c>
    </row>
    <row r="623" spans="1:4" hidden="1" x14ac:dyDescent="0.3">
      <c r="A623">
        <v>621</v>
      </c>
      <c r="B623" s="1" t="s">
        <v>782</v>
      </c>
      <c r="C623" t="s">
        <v>139</v>
      </c>
      <c r="D623" s="1" t="s">
        <v>783</v>
      </c>
    </row>
    <row r="624" spans="1:4" hidden="1" x14ac:dyDescent="0.3">
      <c r="A624">
        <v>622</v>
      </c>
      <c r="B624" t="s">
        <v>784</v>
      </c>
      <c r="C624" t="s">
        <v>35</v>
      </c>
      <c r="D624">
        <v>-1.15619586167953</v>
      </c>
    </row>
    <row r="625" spans="1:4" hidden="1" x14ac:dyDescent="0.3">
      <c r="A625">
        <v>623</v>
      </c>
      <c r="B625" t="s">
        <v>785</v>
      </c>
      <c r="C625" t="s">
        <v>143</v>
      </c>
      <c r="D625">
        <v>0.55063100077383198</v>
      </c>
    </row>
    <row r="626" spans="1:4" hidden="1" x14ac:dyDescent="0.3">
      <c r="A626">
        <v>624</v>
      </c>
      <c r="B626" s="1" t="s">
        <v>786</v>
      </c>
      <c r="C626" t="s">
        <v>145</v>
      </c>
      <c r="D626" s="1" t="s">
        <v>787</v>
      </c>
    </row>
    <row r="627" spans="1:4" hidden="1" x14ac:dyDescent="0.3">
      <c r="A627">
        <v>625</v>
      </c>
      <c r="B627" t="s">
        <v>788</v>
      </c>
      <c r="C627" t="s">
        <v>30</v>
      </c>
      <c r="D627">
        <v>1.05526664660028</v>
      </c>
    </row>
    <row r="628" spans="1:4" hidden="1" x14ac:dyDescent="0.3">
      <c r="A628">
        <v>626</v>
      </c>
      <c r="B628" t="s">
        <v>789</v>
      </c>
      <c r="C628" t="s">
        <v>32</v>
      </c>
      <c r="D628">
        <v>0.35969215562378098</v>
      </c>
    </row>
    <row r="629" spans="1:4" hidden="1" x14ac:dyDescent="0.3">
      <c r="A629">
        <v>627</v>
      </c>
      <c r="B629" s="1" t="s">
        <v>790</v>
      </c>
      <c r="C629" t="s">
        <v>149</v>
      </c>
      <c r="D629" s="1" t="s">
        <v>791</v>
      </c>
    </row>
    <row r="630" spans="1:4" hidden="1" x14ac:dyDescent="0.3">
      <c r="A630">
        <v>628</v>
      </c>
      <c r="B630" t="s">
        <v>792</v>
      </c>
      <c r="C630" t="s">
        <v>40</v>
      </c>
      <c r="D630">
        <v>1.10092921507925</v>
      </c>
    </row>
    <row r="631" spans="1:4" hidden="1" x14ac:dyDescent="0.3">
      <c r="A631">
        <v>629</v>
      </c>
      <c r="B631" t="s">
        <v>793</v>
      </c>
      <c r="C631" t="s">
        <v>42</v>
      </c>
      <c r="D631">
        <v>0.45640610000411502</v>
      </c>
    </row>
    <row r="632" spans="1:4" hidden="1" x14ac:dyDescent="0.3">
      <c r="A632">
        <v>630</v>
      </c>
      <c r="B632" s="1" t="s">
        <v>794</v>
      </c>
      <c r="C632" t="s">
        <v>153</v>
      </c>
      <c r="D632" s="1" t="s">
        <v>795</v>
      </c>
    </row>
    <row r="633" spans="1:4" hidden="1" x14ac:dyDescent="0.3">
      <c r="A633">
        <v>631</v>
      </c>
      <c r="B633" t="s">
        <v>154</v>
      </c>
      <c r="C633" t="s">
        <v>155</v>
      </c>
      <c r="D633">
        <v>1</v>
      </c>
    </row>
    <row r="634" spans="1:4" hidden="1" x14ac:dyDescent="0.3">
      <c r="A634">
        <v>632</v>
      </c>
      <c r="B634" t="s">
        <v>156</v>
      </c>
      <c r="C634" t="s">
        <v>157</v>
      </c>
      <c r="D634">
        <v>1</v>
      </c>
    </row>
    <row r="635" spans="1:4" hidden="1" x14ac:dyDescent="0.3">
      <c r="A635">
        <v>633</v>
      </c>
      <c r="B635" s="1" t="s">
        <v>796</v>
      </c>
      <c r="C635" t="s">
        <v>159</v>
      </c>
      <c r="D635" s="1" t="s">
        <v>797</v>
      </c>
    </row>
    <row r="636" spans="1:4" hidden="1" x14ac:dyDescent="0.3">
      <c r="A636">
        <v>634</v>
      </c>
      <c r="B636" t="s">
        <v>798</v>
      </c>
      <c r="C636" t="s">
        <v>162</v>
      </c>
      <c r="D636">
        <v>1.0025808158095599</v>
      </c>
    </row>
    <row r="637" spans="1:4" hidden="1" x14ac:dyDescent="0.3">
      <c r="A637">
        <v>635</v>
      </c>
      <c r="B637" t="s">
        <v>799</v>
      </c>
      <c r="C637" t="s">
        <v>164</v>
      </c>
      <c r="D637">
        <v>0.99579280806367998</v>
      </c>
    </row>
    <row r="638" spans="1:4" hidden="1" x14ac:dyDescent="0.3">
      <c r="A638">
        <v>636</v>
      </c>
      <c r="B638" s="1" t="s">
        <v>800</v>
      </c>
      <c r="C638" t="s">
        <v>166</v>
      </c>
      <c r="D638" s="1" t="s">
        <v>801</v>
      </c>
    </row>
    <row r="639" spans="1:4" hidden="1" x14ac:dyDescent="0.3">
      <c r="A639">
        <v>637</v>
      </c>
      <c r="B639" s="1" t="s">
        <v>802</v>
      </c>
      <c r="C639" t="s">
        <v>55</v>
      </c>
      <c r="D639" s="1" t="s">
        <v>803</v>
      </c>
    </row>
    <row r="640" spans="1:4" hidden="1" x14ac:dyDescent="0.3">
      <c r="A640">
        <v>638</v>
      </c>
      <c r="B640" s="1" t="s">
        <v>804</v>
      </c>
      <c r="C640" t="s">
        <v>52</v>
      </c>
      <c r="D640" s="1" t="s">
        <v>805</v>
      </c>
    </row>
    <row r="641" spans="1:4" hidden="1" x14ac:dyDescent="0.3">
      <c r="A641">
        <v>639</v>
      </c>
      <c r="B641" s="1" t="s">
        <v>806</v>
      </c>
      <c r="C641" t="s">
        <v>58</v>
      </c>
      <c r="D641" s="1" t="s">
        <v>807</v>
      </c>
    </row>
    <row r="642" spans="1:4" hidden="1" x14ac:dyDescent="0.3">
      <c r="A642">
        <v>640</v>
      </c>
      <c r="B642" t="s">
        <v>808</v>
      </c>
      <c r="C642" t="s">
        <v>61</v>
      </c>
      <c r="D642">
        <v>149954475.94638801</v>
      </c>
    </row>
    <row r="643" spans="1:4" hidden="1" x14ac:dyDescent="0.3">
      <c r="A643">
        <v>641</v>
      </c>
      <c r="B643" t="s">
        <v>809</v>
      </c>
      <c r="C643" t="s">
        <v>63</v>
      </c>
      <c r="D643">
        <v>80003484.304956302</v>
      </c>
    </row>
    <row r="644" spans="1:4" hidden="1" x14ac:dyDescent="0.3">
      <c r="A644">
        <v>642</v>
      </c>
      <c r="B644" t="s">
        <v>810</v>
      </c>
      <c r="C644" t="s">
        <v>65</v>
      </c>
      <c r="D644">
        <v>40001503.860543601</v>
      </c>
    </row>
    <row r="645" spans="1:4" hidden="1" x14ac:dyDescent="0.3">
      <c r="A645">
        <v>643</v>
      </c>
      <c r="B645" s="1" t="s">
        <v>811</v>
      </c>
      <c r="C645" t="s">
        <v>67</v>
      </c>
      <c r="D645" s="1" t="s">
        <v>812</v>
      </c>
    </row>
    <row r="646" spans="1:4" hidden="1" x14ac:dyDescent="0.3">
      <c r="A646">
        <v>644</v>
      </c>
      <c r="B646" s="1" t="s">
        <v>813</v>
      </c>
      <c r="C646" t="s">
        <v>70</v>
      </c>
      <c r="D646" s="1" t="s">
        <v>814</v>
      </c>
    </row>
    <row r="647" spans="1:4" hidden="1" x14ac:dyDescent="0.3">
      <c r="A647">
        <v>645</v>
      </c>
      <c r="B647" t="s">
        <v>815</v>
      </c>
      <c r="C647" t="s">
        <v>73</v>
      </c>
      <c r="D647">
        <v>1.00006950579658</v>
      </c>
    </row>
    <row r="648" spans="1:4" hidden="1" x14ac:dyDescent="0.3">
      <c r="A648">
        <v>646</v>
      </c>
      <c r="B648" t="s">
        <v>74</v>
      </c>
      <c r="C648" t="s">
        <v>75</v>
      </c>
      <c r="D648">
        <v>2.7397260273972599E-3</v>
      </c>
    </row>
    <row r="649" spans="1:4" hidden="1" x14ac:dyDescent="0.3">
      <c r="A649">
        <v>647</v>
      </c>
      <c r="B649" t="s">
        <v>76</v>
      </c>
      <c r="C649" t="s">
        <v>77</v>
      </c>
      <c r="D649">
        <v>0</v>
      </c>
    </row>
    <row r="650" spans="1:4" hidden="1" x14ac:dyDescent="0.3">
      <c r="A650">
        <v>648</v>
      </c>
      <c r="B650" t="s">
        <v>78</v>
      </c>
      <c r="C650" t="s">
        <v>79</v>
      </c>
      <c r="D650">
        <v>0</v>
      </c>
    </row>
    <row r="651" spans="1:4" hidden="1" x14ac:dyDescent="0.3">
      <c r="A651">
        <v>649</v>
      </c>
      <c r="B651" s="1" t="s">
        <v>816</v>
      </c>
      <c r="C651" t="s">
        <v>81</v>
      </c>
      <c r="D651" s="1" t="s">
        <v>817</v>
      </c>
    </row>
    <row r="652" spans="1:4" hidden="1" x14ac:dyDescent="0.3">
      <c r="A652">
        <v>650</v>
      </c>
      <c r="B652" t="s">
        <v>818</v>
      </c>
      <c r="C652" t="s">
        <v>84</v>
      </c>
      <c r="D652">
        <v>1.00006610136286</v>
      </c>
    </row>
    <row r="653" spans="1:4" hidden="1" x14ac:dyDescent="0.3">
      <c r="A653">
        <v>651</v>
      </c>
      <c r="B653" s="1" t="s">
        <v>819</v>
      </c>
      <c r="C653" t="s">
        <v>86</v>
      </c>
      <c r="D653" s="1" t="s">
        <v>820</v>
      </c>
    </row>
    <row r="654" spans="1:4" hidden="1" x14ac:dyDescent="0.3">
      <c r="A654">
        <v>652</v>
      </c>
      <c r="B654" t="s">
        <v>821</v>
      </c>
      <c r="C654" t="s">
        <v>89</v>
      </c>
      <c r="D654">
        <v>99993390.300623402</v>
      </c>
    </row>
    <row r="655" spans="1:4" hidden="1" x14ac:dyDescent="0.3">
      <c r="A655">
        <v>653</v>
      </c>
      <c r="B655" s="1" t="s">
        <v>822</v>
      </c>
      <c r="C655" t="s">
        <v>91</v>
      </c>
      <c r="D655" s="1" t="s">
        <v>768</v>
      </c>
    </row>
    <row r="656" spans="1:4" hidden="1" x14ac:dyDescent="0.3">
      <c r="A656">
        <v>654</v>
      </c>
      <c r="B656" t="s">
        <v>823</v>
      </c>
      <c r="C656" t="s">
        <v>94</v>
      </c>
      <c r="D656">
        <v>80003484.304956302</v>
      </c>
    </row>
    <row r="657" spans="1:4" hidden="1" x14ac:dyDescent="0.3">
      <c r="A657">
        <v>655</v>
      </c>
      <c r="B657" t="s">
        <v>824</v>
      </c>
      <c r="C657" t="s">
        <v>96</v>
      </c>
      <c r="D657">
        <v>40001503.860543601</v>
      </c>
    </row>
    <row r="658" spans="1:4" hidden="1" x14ac:dyDescent="0.3">
      <c r="A658">
        <v>656</v>
      </c>
      <c r="B658" t="s">
        <v>825</v>
      </c>
      <c r="C658" t="s">
        <v>98</v>
      </c>
      <c r="D658">
        <v>29949487.780888401</v>
      </c>
    </row>
    <row r="659" spans="1:4" hidden="1" x14ac:dyDescent="0.3">
      <c r="A659">
        <v>657</v>
      </c>
      <c r="B659" s="1" t="s">
        <v>826</v>
      </c>
      <c r="C659" t="s">
        <v>100</v>
      </c>
      <c r="D659" s="1" t="s">
        <v>827</v>
      </c>
    </row>
    <row r="660" spans="1:4" hidden="1" x14ac:dyDescent="0.3">
      <c r="A660">
        <v>658</v>
      </c>
      <c r="B660" t="s">
        <v>828</v>
      </c>
      <c r="C660" t="s">
        <v>103</v>
      </c>
      <c r="D660">
        <v>1.0229692984877499E-2</v>
      </c>
    </row>
    <row r="661" spans="1:4" hidden="1" x14ac:dyDescent="0.3">
      <c r="A661">
        <v>659</v>
      </c>
      <c r="B661" t="s">
        <v>829</v>
      </c>
      <c r="C661" t="s">
        <v>105</v>
      </c>
      <c r="D661">
        <v>2.7895843458881401E-3</v>
      </c>
    </row>
    <row r="662" spans="1:4" hidden="1" x14ac:dyDescent="0.3">
      <c r="A662">
        <v>660</v>
      </c>
      <c r="B662" t="s">
        <v>830</v>
      </c>
      <c r="C662" t="s">
        <v>107</v>
      </c>
      <c r="D662">
        <v>2.16964431007339E-2</v>
      </c>
    </row>
    <row r="663" spans="1:4" hidden="1" x14ac:dyDescent="0.3">
      <c r="A663">
        <v>661</v>
      </c>
      <c r="B663" s="1" t="s">
        <v>831</v>
      </c>
      <c r="C663" t="s">
        <v>109</v>
      </c>
      <c r="D663" s="1" t="s">
        <v>832</v>
      </c>
    </row>
    <row r="664" spans="1:4" x14ac:dyDescent="0.3">
      <c r="A664">
        <v>662</v>
      </c>
      <c r="B664" t="s">
        <v>833</v>
      </c>
      <c r="C664" t="s">
        <v>197</v>
      </c>
      <c r="D664">
        <v>149954358.02638301</v>
      </c>
    </row>
    <row r="665" spans="1:4" hidden="1" x14ac:dyDescent="0.3">
      <c r="A665">
        <v>663</v>
      </c>
      <c r="B665" t="s">
        <v>834</v>
      </c>
      <c r="C665" t="s">
        <v>199</v>
      </c>
      <c r="D665">
        <v>272.347320474941</v>
      </c>
    </row>
    <row r="666" spans="1:4" hidden="1" x14ac:dyDescent="0.3">
      <c r="A666">
        <v>664</v>
      </c>
      <c r="B666" t="s">
        <v>835</v>
      </c>
      <c r="C666" t="s">
        <v>201</v>
      </c>
      <c r="D666">
        <v>136.172942939157</v>
      </c>
    </row>
    <row r="667" spans="1:4" hidden="1" x14ac:dyDescent="0.3">
      <c r="A667">
        <v>665</v>
      </c>
      <c r="B667" s="1" t="s">
        <v>836</v>
      </c>
      <c r="C667" t="s">
        <v>203</v>
      </c>
      <c r="D667" s="1" t="s">
        <v>837</v>
      </c>
    </row>
    <row r="668" spans="1:4" hidden="1" x14ac:dyDescent="0.3">
      <c r="A668">
        <v>666</v>
      </c>
      <c r="B668" t="s">
        <v>838</v>
      </c>
      <c r="C668" t="s">
        <v>206</v>
      </c>
      <c r="D668">
        <v>80003121.147223204</v>
      </c>
    </row>
    <row r="669" spans="1:4" hidden="1" x14ac:dyDescent="0.3">
      <c r="A669">
        <v>667</v>
      </c>
      <c r="B669" t="s">
        <v>839</v>
      </c>
      <c r="C669" t="s">
        <v>208</v>
      </c>
      <c r="D669">
        <v>40001349.864346199</v>
      </c>
    </row>
    <row r="670" spans="1:4" hidden="1" x14ac:dyDescent="0.3">
      <c r="A670">
        <v>668</v>
      </c>
      <c r="B670" t="s">
        <v>840</v>
      </c>
      <c r="C670" t="s">
        <v>210</v>
      </c>
      <c r="D670">
        <v>29949376.540622499</v>
      </c>
    </row>
    <row r="671" spans="1:4" hidden="1" x14ac:dyDescent="0.3">
      <c r="A671">
        <v>669</v>
      </c>
      <c r="B671" s="1" t="s">
        <v>841</v>
      </c>
      <c r="C671" t="s">
        <v>212</v>
      </c>
      <c r="D671" s="1" t="s">
        <v>842</v>
      </c>
    </row>
    <row r="672" spans="1:4" hidden="1" x14ac:dyDescent="0.3">
      <c r="A672">
        <v>670</v>
      </c>
      <c r="B672" t="s">
        <v>843</v>
      </c>
      <c r="C672" t="s">
        <v>215</v>
      </c>
      <c r="D672">
        <v>99993049.903413698</v>
      </c>
    </row>
    <row r="673" spans="1:4" hidden="1" x14ac:dyDescent="0.3">
      <c r="A673">
        <v>671</v>
      </c>
      <c r="B673" t="s">
        <v>844</v>
      </c>
      <c r="C673" t="s">
        <v>217</v>
      </c>
      <c r="D673">
        <v>340.39720971882298</v>
      </c>
    </row>
    <row r="674" spans="1:4" hidden="1" x14ac:dyDescent="0.3">
      <c r="A674">
        <v>672</v>
      </c>
      <c r="B674" s="1" t="s">
        <v>845</v>
      </c>
      <c r="C674" t="s">
        <v>219</v>
      </c>
      <c r="D674" s="1" t="s">
        <v>846</v>
      </c>
    </row>
    <row r="675" spans="1:4" hidden="1" x14ac:dyDescent="0.3">
      <c r="A675">
        <v>673</v>
      </c>
      <c r="B675" t="s">
        <v>847</v>
      </c>
      <c r="C675" t="s">
        <v>112</v>
      </c>
      <c r="D675">
        <v>-90.810412634137293</v>
      </c>
    </row>
    <row r="676" spans="1:4" hidden="1" x14ac:dyDescent="0.3">
      <c r="A676">
        <v>674</v>
      </c>
      <c r="B676" t="s">
        <v>848</v>
      </c>
      <c r="C676" t="s">
        <v>114</v>
      </c>
      <c r="D676">
        <v>-17.823254457418599</v>
      </c>
    </row>
    <row r="677" spans="1:4" hidden="1" x14ac:dyDescent="0.3">
      <c r="A677">
        <v>675</v>
      </c>
      <c r="B677" s="1" t="s">
        <v>849</v>
      </c>
      <c r="C677" t="s">
        <v>116</v>
      </c>
      <c r="D677" s="1" t="s">
        <v>850</v>
      </c>
    </row>
    <row r="678" spans="1:4" hidden="1" x14ac:dyDescent="0.3">
      <c r="A678">
        <v>676</v>
      </c>
      <c r="B678" t="s">
        <v>851</v>
      </c>
      <c r="C678" t="s">
        <v>119</v>
      </c>
      <c r="D678">
        <v>80003121.147223204</v>
      </c>
    </row>
    <row r="679" spans="1:4" hidden="1" x14ac:dyDescent="0.3">
      <c r="A679">
        <v>677</v>
      </c>
      <c r="B679" t="s">
        <v>852</v>
      </c>
      <c r="C679" t="s">
        <v>121</v>
      </c>
      <c r="D679">
        <v>40001349.864346199</v>
      </c>
    </row>
    <row r="680" spans="1:4" hidden="1" x14ac:dyDescent="0.3">
      <c r="A680">
        <v>678</v>
      </c>
      <c r="B680" s="1" t="s">
        <v>853</v>
      </c>
      <c r="C680" t="s">
        <v>123</v>
      </c>
      <c r="D680" s="1" t="s">
        <v>854</v>
      </c>
    </row>
    <row r="681" spans="1:4" hidden="1" x14ac:dyDescent="0.3">
      <c r="A681">
        <v>679</v>
      </c>
      <c r="B681" t="s">
        <v>855</v>
      </c>
      <c r="C681" t="s">
        <v>126</v>
      </c>
      <c r="D681">
        <v>0.80003393494543695</v>
      </c>
    </row>
    <row r="682" spans="1:4" hidden="1" x14ac:dyDescent="0.3">
      <c r="A682">
        <v>680</v>
      </c>
      <c r="B682" t="s">
        <v>856</v>
      </c>
      <c r="C682" t="s">
        <v>128</v>
      </c>
      <c r="D682">
        <v>0.40001486037289202</v>
      </c>
    </row>
    <row r="683" spans="1:4" hidden="1" x14ac:dyDescent="0.3">
      <c r="A683">
        <v>681</v>
      </c>
      <c r="B683" s="1" t="s">
        <v>857</v>
      </c>
      <c r="C683" t="s">
        <v>130</v>
      </c>
      <c r="D683" s="1" t="s">
        <v>858</v>
      </c>
    </row>
    <row r="684" spans="1:4" hidden="1" x14ac:dyDescent="0.3">
      <c r="A684">
        <v>682</v>
      </c>
      <c r="B684" s="1" t="s">
        <v>3</v>
      </c>
      <c r="C684" t="s">
        <v>4</v>
      </c>
      <c r="D684" t="s">
        <v>5</v>
      </c>
    </row>
    <row r="685" spans="1:4" hidden="1" x14ac:dyDescent="0.3">
      <c r="A685">
        <v>683</v>
      </c>
      <c r="B685" t="s">
        <v>6</v>
      </c>
      <c r="C685" t="s">
        <v>7</v>
      </c>
      <c r="D685">
        <v>1950.52</v>
      </c>
    </row>
    <row r="686" spans="1:4" hidden="1" x14ac:dyDescent="0.3">
      <c r="A686">
        <v>684</v>
      </c>
      <c r="B686" s="1" t="s">
        <v>132</v>
      </c>
      <c r="C686" t="s">
        <v>9</v>
      </c>
      <c r="D686" s="1" t="s">
        <v>133</v>
      </c>
    </row>
    <row r="687" spans="1:4" hidden="1" x14ac:dyDescent="0.3">
      <c r="A687">
        <v>685</v>
      </c>
      <c r="B687" t="s">
        <v>13</v>
      </c>
      <c r="C687" t="s">
        <v>14</v>
      </c>
      <c r="D687">
        <v>90.82421875</v>
      </c>
    </row>
    <row r="688" spans="1:4" hidden="1" x14ac:dyDescent="0.3">
      <c r="A688">
        <v>686</v>
      </c>
      <c r="B688" t="s">
        <v>15</v>
      </c>
      <c r="C688" t="s">
        <v>16</v>
      </c>
      <c r="D688">
        <v>4.2527792330373497</v>
      </c>
    </row>
    <row r="689" spans="1:4" hidden="1" x14ac:dyDescent="0.3">
      <c r="A689">
        <v>687</v>
      </c>
      <c r="B689" s="1" t="s">
        <v>134</v>
      </c>
      <c r="C689" t="s">
        <v>135</v>
      </c>
      <c r="D689" s="1" t="s">
        <v>136</v>
      </c>
    </row>
    <row r="690" spans="1:4" hidden="1" x14ac:dyDescent="0.3">
      <c r="A690">
        <v>688</v>
      </c>
      <c r="B690" t="s">
        <v>21</v>
      </c>
      <c r="C690" t="s">
        <v>22</v>
      </c>
      <c r="D690">
        <v>62.9</v>
      </c>
    </row>
    <row r="691" spans="1:4" hidden="1" x14ac:dyDescent="0.3">
      <c r="A691">
        <v>689</v>
      </c>
      <c r="B691" t="s">
        <v>859</v>
      </c>
      <c r="C691" t="s">
        <v>24</v>
      </c>
      <c r="D691">
        <v>4.0230713483885898</v>
      </c>
    </row>
    <row r="692" spans="1:4" hidden="1" x14ac:dyDescent="0.3">
      <c r="A692">
        <v>690</v>
      </c>
      <c r="B692" s="1" t="s">
        <v>860</v>
      </c>
      <c r="C692" t="s">
        <v>139</v>
      </c>
      <c r="D692" s="1" t="s">
        <v>861</v>
      </c>
    </row>
    <row r="693" spans="1:4" hidden="1" x14ac:dyDescent="0.3">
      <c r="A693">
        <v>691</v>
      </c>
      <c r="B693" t="s">
        <v>862</v>
      </c>
      <c r="C693" t="s">
        <v>35</v>
      </c>
      <c r="D693">
        <v>-1.1865705743864701</v>
      </c>
    </row>
    <row r="694" spans="1:4" hidden="1" x14ac:dyDescent="0.3">
      <c r="A694">
        <v>692</v>
      </c>
      <c r="B694" t="s">
        <v>863</v>
      </c>
      <c r="C694" t="s">
        <v>143</v>
      </c>
      <c r="D694">
        <v>0.55046485272360601</v>
      </c>
    </row>
    <row r="695" spans="1:4" hidden="1" x14ac:dyDescent="0.3">
      <c r="A695">
        <v>693</v>
      </c>
      <c r="B695" s="1" t="s">
        <v>864</v>
      </c>
      <c r="C695" t="s">
        <v>145</v>
      </c>
      <c r="D695" s="1" t="s">
        <v>865</v>
      </c>
    </row>
    <row r="696" spans="1:4" hidden="1" x14ac:dyDescent="0.3">
      <c r="A696">
        <v>694</v>
      </c>
      <c r="B696" t="s">
        <v>866</v>
      </c>
      <c r="C696" t="s">
        <v>30</v>
      </c>
      <c r="D696">
        <v>1.08298982247563</v>
      </c>
    </row>
    <row r="697" spans="1:4" hidden="1" x14ac:dyDescent="0.3">
      <c r="A697">
        <v>695</v>
      </c>
      <c r="B697" t="s">
        <v>867</v>
      </c>
      <c r="C697" t="s">
        <v>32</v>
      </c>
      <c r="D697">
        <v>0.35985763635603102</v>
      </c>
    </row>
    <row r="698" spans="1:4" hidden="1" x14ac:dyDescent="0.3">
      <c r="A698">
        <v>696</v>
      </c>
      <c r="B698" s="1" t="s">
        <v>868</v>
      </c>
      <c r="C698" t="s">
        <v>149</v>
      </c>
      <c r="D698" s="1" t="s">
        <v>869</v>
      </c>
    </row>
    <row r="699" spans="1:4" hidden="1" x14ac:dyDescent="0.3">
      <c r="A699">
        <v>697</v>
      </c>
      <c r="B699" t="s">
        <v>870</v>
      </c>
      <c r="C699" t="s">
        <v>40</v>
      </c>
      <c r="D699">
        <v>1.10358075191084</v>
      </c>
    </row>
    <row r="700" spans="1:4" hidden="1" x14ac:dyDescent="0.3">
      <c r="A700">
        <v>698</v>
      </c>
      <c r="B700" t="s">
        <v>871</v>
      </c>
      <c r="C700" t="s">
        <v>42</v>
      </c>
      <c r="D700">
        <v>0.45678877631167902</v>
      </c>
    </row>
    <row r="701" spans="1:4" hidden="1" x14ac:dyDescent="0.3">
      <c r="A701">
        <v>699</v>
      </c>
      <c r="B701" s="1" t="s">
        <v>872</v>
      </c>
      <c r="C701" t="s">
        <v>153</v>
      </c>
      <c r="D701" s="1" t="s">
        <v>873</v>
      </c>
    </row>
    <row r="702" spans="1:4" hidden="1" x14ac:dyDescent="0.3">
      <c r="A702">
        <v>700</v>
      </c>
      <c r="B702" t="s">
        <v>154</v>
      </c>
      <c r="C702" t="s">
        <v>155</v>
      </c>
      <c r="D702">
        <v>1</v>
      </c>
    </row>
    <row r="703" spans="1:4" hidden="1" x14ac:dyDescent="0.3">
      <c r="A703">
        <v>701</v>
      </c>
      <c r="B703" t="s">
        <v>156</v>
      </c>
      <c r="C703" t="s">
        <v>157</v>
      </c>
      <c r="D703">
        <v>1</v>
      </c>
    </row>
    <row r="704" spans="1:4" hidden="1" x14ac:dyDescent="0.3">
      <c r="A704">
        <v>702</v>
      </c>
      <c r="B704" s="1" t="s">
        <v>874</v>
      </c>
      <c r="C704" t="s">
        <v>159</v>
      </c>
      <c r="D704" s="1" t="s">
        <v>875</v>
      </c>
    </row>
    <row r="705" spans="1:4" hidden="1" x14ac:dyDescent="0.3">
      <c r="A705">
        <v>703</v>
      </c>
      <c r="B705" t="s">
        <v>876</v>
      </c>
      <c r="C705" t="s">
        <v>162</v>
      </c>
      <c r="D705">
        <v>0.99989285132946304</v>
      </c>
    </row>
    <row r="706" spans="1:4" hidden="1" x14ac:dyDescent="0.3">
      <c r="A706">
        <v>704</v>
      </c>
      <c r="B706" t="s">
        <v>877</v>
      </c>
      <c r="C706" t="s">
        <v>164</v>
      </c>
      <c r="D706">
        <v>1.0001217045575801</v>
      </c>
    </row>
    <row r="707" spans="1:4" hidden="1" x14ac:dyDescent="0.3">
      <c r="A707">
        <v>705</v>
      </c>
      <c r="B707" s="1" t="s">
        <v>878</v>
      </c>
      <c r="C707" t="s">
        <v>166</v>
      </c>
      <c r="D707" s="1" t="s">
        <v>879</v>
      </c>
    </row>
    <row r="708" spans="1:4" hidden="1" x14ac:dyDescent="0.3">
      <c r="A708">
        <v>706</v>
      </c>
      <c r="B708" s="1" t="s">
        <v>880</v>
      </c>
      <c r="C708" t="s">
        <v>55</v>
      </c>
      <c r="D708" s="1" t="s">
        <v>881</v>
      </c>
    </row>
    <row r="709" spans="1:4" hidden="1" x14ac:dyDescent="0.3">
      <c r="A709">
        <v>707</v>
      </c>
      <c r="B709" s="1" t="s">
        <v>882</v>
      </c>
      <c r="C709" t="s">
        <v>52</v>
      </c>
      <c r="D709" s="1" t="s">
        <v>883</v>
      </c>
    </row>
    <row r="710" spans="1:4" hidden="1" x14ac:dyDescent="0.3">
      <c r="A710">
        <v>708</v>
      </c>
      <c r="B710" s="1" t="s">
        <v>884</v>
      </c>
      <c r="C710" t="s">
        <v>58</v>
      </c>
      <c r="D710" s="1" t="s">
        <v>885</v>
      </c>
    </row>
    <row r="711" spans="1:4" hidden="1" x14ac:dyDescent="0.3">
      <c r="A711">
        <v>709</v>
      </c>
      <c r="B711" t="s">
        <v>886</v>
      </c>
      <c r="C711" t="s">
        <v>61</v>
      </c>
      <c r="D711">
        <v>149955051.48839501</v>
      </c>
    </row>
    <row r="712" spans="1:4" hidden="1" x14ac:dyDescent="0.3">
      <c r="A712">
        <v>710</v>
      </c>
      <c r="B712" t="s">
        <v>887</v>
      </c>
      <c r="C712" t="s">
        <v>63</v>
      </c>
      <c r="D712">
        <v>80003121.147223204</v>
      </c>
    </row>
    <row r="713" spans="1:4" hidden="1" x14ac:dyDescent="0.3">
      <c r="A713">
        <v>711</v>
      </c>
      <c r="B713" t="s">
        <v>888</v>
      </c>
      <c r="C713" t="s">
        <v>65</v>
      </c>
      <c r="D713">
        <v>40001349.864346199</v>
      </c>
    </row>
    <row r="714" spans="1:4" hidden="1" x14ac:dyDescent="0.3">
      <c r="A714">
        <v>712</v>
      </c>
      <c r="B714" s="1" t="s">
        <v>889</v>
      </c>
      <c r="C714" t="s">
        <v>67</v>
      </c>
      <c r="D714" s="1" t="s">
        <v>890</v>
      </c>
    </row>
    <row r="715" spans="1:4" hidden="1" x14ac:dyDescent="0.3">
      <c r="A715">
        <v>713</v>
      </c>
      <c r="B715" s="1" t="s">
        <v>891</v>
      </c>
      <c r="C715" t="s">
        <v>70</v>
      </c>
      <c r="D715" s="1" t="s">
        <v>892</v>
      </c>
    </row>
    <row r="716" spans="1:4" hidden="1" x14ac:dyDescent="0.3">
      <c r="A716">
        <v>714</v>
      </c>
      <c r="B716" t="s">
        <v>893</v>
      </c>
      <c r="C716" t="s">
        <v>73</v>
      </c>
      <c r="D716">
        <v>1.00006610136286</v>
      </c>
    </row>
    <row r="717" spans="1:4" hidden="1" x14ac:dyDescent="0.3">
      <c r="A717">
        <v>715</v>
      </c>
      <c r="B717" t="s">
        <v>74</v>
      </c>
      <c r="C717" t="s">
        <v>75</v>
      </c>
      <c r="D717">
        <v>2.7397260273972599E-3</v>
      </c>
    </row>
    <row r="718" spans="1:4" hidden="1" x14ac:dyDescent="0.3">
      <c r="A718">
        <v>716</v>
      </c>
      <c r="B718" t="s">
        <v>76</v>
      </c>
      <c r="C718" t="s">
        <v>77</v>
      </c>
      <c r="D718">
        <v>0</v>
      </c>
    </row>
    <row r="719" spans="1:4" hidden="1" x14ac:dyDescent="0.3">
      <c r="A719">
        <v>717</v>
      </c>
      <c r="B719" t="s">
        <v>503</v>
      </c>
      <c r="C719" t="s">
        <v>79</v>
      </c>
      <c r="D719" s="2">
        <v>2.2204460492503101E-16</v>
      </c>
    </row>
    <row r="720" spans="1:4" hidden="1" x14ac:dyDescent="0.3">
      <c r="A720">
        <v>718</v>
      </c>
      <c r="B720" s="1" t="s">
        <v>894</v>
      </c>
      <c r="C720" t="s">
        <v>81</v>
      </c>
      <c r="D720" s="1" t="s">
        <v>895</v>
      </c>
    </row>
    <row r="721" spans="1:4" hidden="1" x14ac:dyDescent="0.3">
      <c r="A721">
        <v>719</v>
      </c>
      <c r="B721" t="s">
        <v>896</v>
      </c>
      <c r="C721" t="s">
        <v>84</v>
      </c>
      <c r="D721">
        <v>1.00003563569496</v>
      </c>
    </row>
    <row r="722" spans="1:4" hidden="1" x14ac:dyDescent="0.3">
      <c r="A722">
        <v>720</v>
      </c>
      <c r="B722" s="1" t="s">
        <v>897</v>
      </c>
      <c r="C722" t="s">
        <v>86</v>
      </c>
      <c r="D722" s="1" t="s">
        <v>898</v>
      </c>
    </row>
    <row r="723" spans="1:4" hidden="1" x14ac:dyDescent="0.3">
      <c r="A723">
        <v>721</v>
      </c>
      <c r="B723" t="s">
        <v>899</v>
      </c>
      <c r="C723" t="s">
        <v>89</v>
      </c>
      <c r="D723">
        <v>99996436.557489395</v>
      </c>
    </row>
    <row r="724" spans="1:4" hidden="1" x14ac:dyDescent="0.3">
      <c r="A724">
        <v>722</v>
      </c>
      <c r="B724" s="1" t="s">
        <v>900</v>
      </c>
      <c r="C724" t="s">
        <v>91</v>
      </c>
      <c r="D724" s="1" t="s">
        <v>846</v>
      </c>
    </row>
    <row r="725" spans="1:4" hidden="1" x14ac:dyDescent="0.3">
      <c r="A725">
        <v>723</v>
      </c>
      <c r="B725" t="s">
        <v>901</v>
      </c>
      <c r="C725" t="s">
        <v>94</v>
      </c>
      <c r="D725">
        <v>80003121.147223204</v>
      </c>
    </row>
    <row r="726" spans="1:4" hidden="1" x14ac:dyDescent="0.3">
      <c r="A726">
        <v>724</v>
      </c>
      <c r="B726" t="s">
        <v>902</v>
      </c>
      <c r="C726" t="s">
        <v>96</v>
      </c>
      <c r="D726">
        <v>40001349.864346199</v>
      </c>
    </row>
    <row r="727" spans="1:4" hidden="1" x14ac:dyDescent="0.3">
      <c r="A727">
        <v>725</v>
      </c>
      <c r="B727" t="s">
        <v>903</v>
      </c>
      <c r="C727" t="s">
        <v>98</v>
      </c>
      <c r="D727">
        <v>29950580.476825699</v>
      </c>
    </row>
    <row r="728" spans="1:4" hidden="1" x14ac:dyDescent="0.3">
      <c r="A728">
        <v>726</v>
      </c>
      <c r="B728" s="1" t="s">
        <v>904</v>
      </c>
      <c r="C728" t="s">
        <v>100</v>
      </c>
      <c r="D728" s="1" t="s">
        <v>905</v>
      </c>
    </row>
    <row r="729" spans="1:4" hidden="1" x14ac:dyDescent="0.3">
      <c r="A729">
        <v>727</v>
      </c>
      <c r="B729" t="s">
        <v>906</v>
      </c>
      <c r="C729" t="s">
        <v>103</v>
      </c>
      <c r="D729">
        <v>1.02772985333742E-2</v>
      </c>
    </row>
    <row r="730" spans="1:4" hidden="1" x14ac:dyDescent="0.3">
      <c r="A730">
        <v>728</v>
      </c>
      <c r="B730" t="s">
        <v>907</v>
      </c>
      <c r="C730" t="s">
        <v>105</v>
      </c>
      <c r="D730">
        <v>2.8040243105582801E-3</v>
      </c>
    </row>
    <row r="731" spans="1:4" hidden="1" x14ac:dyDescent="0.3">
      <c r="A731">
        <v>729</v>
      </c>
      <c r="B731" t="s">
        <v>908</v>
      </c>
      <c r="C731" t="s">
        <v>107</v>
      </c>
      <c r="D731">
        <v>2.1675996589176499E-2</v>
      </c>
    </row>
    <row r="732" spans="1:4" hidden="1" x14ac:dyDescent="0.3">
      <c r="A732">
        <v>730</v>
      </c>
      <c r="B732" s="1" t="s">
        <v>909</v>
      </c>
      <c r="C732" t="s">
        <v>109</v>
      </c>
      <c r="D732" s="1" t="s">
        <v>910</v>
      </c>
    </row>
    <row r="733" spans="1:4" x14ac:dyDescent="0.3">
      <c r="A733">
        <v>731</v>
      </c>
      <c r="B733" t="s">
        <v>911</v>
      </c>
      <c r="C733" t="s">
        <v>197</v>
      </c>
      <c r="D733">
        <v>149953997.13453299</v>
      </c>
    </row>
    <row r="734" spans="1:4" hidden="1" x14ac:dyDescent="0.3">
      <c r="A734">
        <v>732</v>
      </c>
      <c r="B734" t="s">
        <v>912</v>
      </c>
      <c r="C734" t="s">
        <v>199</v>
      </c>
      <c r="D734">
        <v>2437.1636493678998</v>
      </c>
    </row>
    <row r="735" spans="1:4" hidden="1" x14ac:dyDescent="0.3">
      <c r="A735">
        <v>733</v>
      </c>
      <c r="B735" t="s">
        <v>913</v>
      </c>
      <c r="C735" t="s">
        <v>201</v>
      </c>
      <c r="D735">
        <v>1218.5826416397699</v>
      </c>
    </row>
    <row r="736" spans="1:4" hidden="1" x14ac:dyDescent="0.3">
      <c r="A736">
        <v>734</v>
      </c>
      <c r="B736" s="1" t="s">
        <v>914</v>
      </c>
      <c r="C736" t="s">
        <v>203</v>
      </c>
      <c r="D736" s="1" t="s">
        <v>915</v>
      </c>
    </row>
    <row r="737" spans="1:4" hidden="1" x14ac:dyDescent="0.3">
      <c r="A737">
        <v>735</v>
      </c>
      <c r="B737" t="s">
        <v>916</v>
      </c>
      <c r="C737" t="s">
        <v>206</v>
      </c>
      <c r="D737">
        <v>79999903.730861902</v>
      </c>
    </row>
    <row r="738" spans="1:4" hidden="1" x14ac:dyDescent="0.3">
      <c r="A738">
        <v>736</v>
      </c>
      <c r="B738" t="s">
        <v>917</v>
      </c>
      <c r="C738" t="s">
        <v>208</v>
      </c>
      <c r="D738">
        <v>39999978.682007998</v>
      </c>
    </row>
    <row r="739" spans="1:4" hidden="1" x14ac:dyDescent="0.3">
      <c r="A739">
        <v>737</v>
      </c>
      <c r="B739" t="s">
        <v>918</v>
      </c>
      <c r="C739" t="s">
        <v>210</v>
      </c>
      <c r="D739">
        <v>29949546.574946899</v>
      </c>
    </row>
    <row r="740" spans="1:4" hidden="1" x14ac:dyDescent="0.3">
      <c r="A740">
        <v>738</v>
      </c>
      <c r="B740" s="1" t="s">
        <v>919</v>
      </c>
      <c r="C740" t="s">
        <v>212</v>
      </c>
      <c r="D740" s="1" t="s">
        <v>920</v>
      </c>
    </row>
    <row r="741" spans="1:4" hidden="1" x14ac:dyDescent="0.3">
      <c r="A741">
        <v>739</v>
      </c>
      <c r="B741" t="s">
        <v>921</v>
      </c>
      <c r="C741" t="s">
        <v>215</v>
      </c>
      <c r="D741">
        <v>99993390.300623402</v>
      </c>
    </row>
    <row r="742" spans="1:4" hidden="1" x14ac:dyDescent="0.3">
      <c r="A742">
        <v>740</v>
      </c>
      <c r="B742" t="s">
        <v>922</v>
      </c>
      <c r="C742" t="s">
        <v>217</v>
      </c>
      <c r="D742">
        <v>3046.2568659782401</v>
      </c>
    </row>
    <row r="743" spans="1:4" hidden="1" x14ac:dyDescent="0.3">
      <c r="A743">
        <v>741</v>
      </c>
      <c r="B743" s="1" t="s">
        <v>923</v>
      </c>
      <c r="C743" t="s">
        <v>219</v>
      </c>
      <c r="D743" s="1" t="s">
        <v>924</v>
      </c>
    </row>
    <row r="744" spans="1:4" hidden="1" x14ac:dyDescent="0.3">
      <c r="A744">
        <v>742</v>
      </c>
      <c r="B744" t="s">
        <v>925</v>
      </c>
      <c r="C744" t="s">
        <v>112</v>
      </c>
      <c r="D744">
        <v>-780.25271195789298</v>
      </c>
    </row>
    <row r="745" spans="1:4" hidden="1" x14ac:dyDescent="0.3">
      <c r="A745">
        <v>743</v>
      </c>
      <c r="B745" t="s">
        <v>926</v>
      </c>
      <c r="C745" t="s">
        <v>114</v>
      </c>
      <c r="D745">
        <v>-152.59969657684701</v>
      </c>
    </row>
    <row r="746" spans="1:4" hidden="1" x14ac:dyDescent="0.3">
      <c r="A746">
        <v>744</v>
      </c>
      <c r="B746" s="1" t="s">
        <v>927</v>
      </c>
      <c r="C746" t="s">
        <v>116</v>
      </c>
      <c r="D746" s="1" t="s">
        <v>928</v>
      </c>
    </row>
    <row r="747" spans="1:4" hidden="1" x14ac:dyDescent="0.3">
      <c r="A747">
        <v>745</v>
      </c>
      <c r="B747" t="s">
        <v>929</v>
      </c>
      <c r="C747" t="s">
        <v>119</v>
      </c>
      <c r="D747">
        <v>79999903.730861902</v>
      </c>
    </row>
    <row r="748" spans="1:4" hidden="1" x14ac:dyDescent="0.3">
      <c r="A748">
        <v>746</v>
      </c>
      <c r="B748" t="s">
        <v>930</v>
      </c>
      <c r="C748" t="s">
        <v>121</v>
      </c>
      <c r="D748">
        <v>39999978.682007998</v>
      </c>
    </row>
    <row r="749" spans="1:4" hidden="1" x14ac:dyDescent="0.3">
      <c r="A749">
        <v>747</v>
      </c>
      <c r="B749" s="1" t="s">
        <v>931</v>
      </c>
      <c r="C749" t="s">
        <v>123</v>
      </c>
      <c r="D749" s="1" t="s">
        <v>932</v>
      </c>
    </row>
    <row r="750" spans="1:4" hidden="1" x14ac:dyDescent="0.3">
      <c r="A750">
        <v>748</v>
      </c>
      <c r="B750" t="s">
        <v>933</v>
      </c>
      <c r="C750" t="s">
        <v>126</v>
      </c>
      <c r="D750">
        <v>0.80002340894511204</v>
      </c>
    </row>
    <row r="751" spans="1:4" hidden="1" x14ac:dyDescent="0.3">
      <c r="A751">
        <v>749</v>
      </c>
      <c r="B751" t="s">
        <v>934</v>
      </c>
      <c r="C751" t="s">
        <v>128</v>
      </c>
      <c r="D751">
        <v>0.40001197264649602</v>
      </c>
    </row>
    <row r="752" spans="1:4" hidden="1" x14ac:dyDescent="0.3">
      <c r="A752">
        <v>750</v>
      </c>
      <c r="B752" s="1" t="s">
        <v>935</v>
      </c>
      <c r="C752" t="s">
        <v>130</v>
      </c>
      <c r="D752" s="1" t="s">
        <v>936</v>
      </c>
    </row>
    <row r="753" spans="1:4" hidden="1" x14ac:dyDescent="0.3">
      <c r="A753">
        <v>751</v>
      </c>
      <c r="B753" s="1" t="s">
        <v>3</v>
      </c>
      <c r="C753" t="s">
        <v>4</v>
      </c>
      <c r="D753" t="s">
        <v>5</v>
      </c>
    </row>
    <row r="754" spans="1:4" hidden="1" x14ac:dyDescent="0.3">
      <c r="A754">
        <v>752</v>
      </c>
      <c r="B754" t="s">
        <v>6</v>
      </c>
      <c r="C754" t="s">
        <v>7</v>
      </c>
      <c r="D754">
        <v>1950.52</v>
      </c>
    </row>
    <row r="755" spans="1:4" hidden="1" x14ac:dyDescent="0.3">
      <c r="A755">
        <v>753</v>
      </c>
      <c r="B755" s="1" t="s">
        <v>132</v>
      </c>
      <c r="C755" t="s">
        <v>9</v>
      </c>
      <c r="D755" s="1" t="s">
        <v>133</v>
      </c>
    </row>
    <row r="756" spans="1:4" hidden="1" x14ac:dyDescent="0.3">
      <c r="A756">
        <v>754</v>
      </c>
      <c r="B756" t="s">
        <v>13</v>
      </c>
      <c r="C756" t="s">
        <v>14</v>
      </c>
      <c r="D756">
        <v>90.82421875</v>
      </c>
    </row>
    <row r="757" spans="1:4" hidden="1" x14ac:dyDescent="0.3">
      <c r="A757">
        <v>755</v>
      </c>
      <c r="B757" t="s">
        <v>15</v>
      </c>
      <c r="C757" t="s">
        <v>16</v>
      </c>
      <c r="D757">
        <v>4.2527792330373497</v>
      </c>
    </row>
    <row r="758" spans="1:4" hidden="1" x14ac:dyDescent="0.3">
      <c r="A758">
        <v>756</v>
      </c>
      <c r="B758" s="1" t="s">
        <v>134</v>
      </c>
      <c r="C758" t="s">
        <v>135</v>
      </c>
      <c r="D758" s="1" t="s">
        <v>136</v>
      </c>
    </row>
    <row r="759" spans="1:4" hidden="1" x14ac:dyDescent="0.3">
      <c r="A759">
        <v>757</v>
      </c>
      <c r="B759" t="s">
        <v>21</v>
      </c>
      <c r="C759" t="s">
        <v>22</v>
      </c>
      <c r="D759">
        <v>62.9</v>
      </c>
    </row>
    <row r="760" spans="1:4" hidden="1" x14ac:dyDescent="0.3">
      <c r="A760">
        <v>758</v>
      </c>
      <c r="B760" t="s">
        <v>937</v>
      </c>
      <c r="C760" t="s">
        <v>24</v>
      </c>
      <c r="D760">
        <v>4.0079204568873097</v>
      </c>
    </row>
    <row r="761" spans="1:4" hidden="1" x14ac:dyDescent="0.3">
      <c r="A761">
        <v>759</v>
      </c>
      <c r="B761" s="1" t="s">
        <v>938</v>
      </c>
      <c r="C761" t="s">
        <v>139</v>
      </c>
      <c r="D761" s="1" t="s">
        <v>939</v>
      </c>
    </row>
    <row r="762" spans="1:4" hidden="1" x14ac:dyDescent="0.3">
      <c r="A762">
        <v>760</v>
      </c>
      <c r="B762" t="s">
        <v>940</v>
      </c>
      <c r="C762" t="s">
        <v>35</v>
      </c>
      <c r="D762">
        <v>-1.1207046655630699</v>
      </c>
    </row>
    <row r="763" spans="1:4" hidden="1" x14ac:dyDescent="0.3">
      <c r="A763">
        <v>761</v>
      </c>
      <c r="B763" t="s">
        <v>941</v>
      </c>
      <c r="C763" t="s">
        <v>143</v>
      </c>
      <c r="D763">
        <v>0.54231596483398803</v>
      </c>
    </row>
    <row r="764" spans="1:4" hidden="1" x14ac:dyDescent="0.3">
      <c r="A764">
        <v>762</v>
      </c>
      <c r="B764" s="1" t="s">
        <v>942</v>
      </c>
      <c r="C764" t="s">
        <v>145</v>
      </c>
      <c r="D764" s="1" t="s">
        <v>943</v>
      </c>
    </row>
    <row r="765" spans="1:4" hidden="1" x14ac:dyDescent="0.3">
      <c r="A765">
        <v>763</v>
      </c>
      <c r="B765" t="s">
        <v>944</v>
      </c>
      <c r="C765" t="s">
        <v>30</v>
      </c>
      <c r="D765">
        <v>1.02287362674009</v>
      </c>
    </row>
    <row r="766" spans="1:4" hidden="1" x14ac:dyDescent="0.3">
      <c r="A766">
        <v>764</v>
      </c>
      <c r="B766" t="s">
        <v>945</v>
      </c>
      <c r="C766" t="s">
        <v>32</v>
      </c>
      <c r="D766">
        <v>0.37215456309073602</v>
      </c>
    </row>
    <row r="767" spans="1:4" hidden="1" x14ac:dyDescent="0.3">
      <c r="A767">
        <v>765</v>
      </c>
      <c r="B767" s="1" t="s">
        <v>946</v>
      </c>
      <c r="C767" t="s">
        <v>149</v>
      </c>
      <c r="D767" s="1" t="s">
        <v>947</v>
      </c>
    </row>
    <row r="768" spans="1:4" hidden="1" x14ac:dyDescent="0.3">
      <c r="A768">
        <v>766</v>
      </c>
      <c r="B768" t="s">
        <v>948</v>
      </c>
      <c r="C768" t="s">
        <v>40</v>
      </c>
      <c r="D768">
        <v>1.0978310388229799</v>
      </c>
    </row>
    <row r="769" spans="1:4" hidden="1" x14ac:dyDescent="0.3">
      <c r="A769">
        <v>767</v>
      </c>
      <c r="B769" t="s">
        <v>949</v>
      </c>
      <c r="C769" t="s">
        <v>42</v>
      </c>
      <c r="D769">
        <v>0.47178894004053501</v>
      </c>
    </row>
    <row r="770" spans="1:4" hidden="1" x14ac:dyDescent="0.3">
      <c r="A770">
        <v>768</v>
      </c>
      <c r="B770" s="1" t="s">
        <v>950</v>
      </c>
      <c r="C770" t="s">
        <v>153</v>
      </c>
      <c r="D770" s="1" t="s">
        <v>951</v>
      </c>
    </row>
    <row r="771" spans="1:4" hidden="1" x14ac:dyDescent="0.3">
      <c r="A771">
        <v>769</v>
      </c>
      <c r="B771" t="s">
        <v>154</v>
      </c>
      <c r="C771" t="s">
        <v>155</v>
      </c>
      <c r="D771">
        <v>1</v>
      </c>
    </row>
    <row r="772" spans="1:4" hidden="1" x14ac:dyDescent="0.3">
      <c r="A772">
        <v>770</v>
      </c>
      <c r="B772" t="s">
        <v>156</v>
      </c>
      <c r="C772" t="s">
        <v>157</v>
      </c>
      <c r="D772">
        <v>1</v>
      </c>
    </row>
    <row r="773" spans="1:4" hidden="1" x14ac:dyDescent="0.3">
      <c r="A773">
        <v>771</v>
      </c>
      <c r="B773" s="1" t="s">
        <v>952</v>
      </c>
      <c r="C773" t="s">
        <v>159</v>
      </c>
      <c r="D773" s="1" t="s">
        <v>953</v>
      </c>
    </row>
    <row r="774" spans="1:4" hidden="1" x14ac:dyDescent="0.3">
      <c r="A774">
        <v>772</v>
      </c>
      <c r="B774" t="s">
        <v>954</v>
      </c>
      <c r="C774" t="s">
        <v>162</v>
      </c>
      <c r="D774">
        <v>0.99474422920629002</v>
      </c>
    </row>
    <row r="775" spans="1:4" hidden="1" x14ac:dyDescent="0.3">
      <c r="A775">
        <v>773</v>
      </c>
      <c r="B775" t="s">
        <v>955</v>
      </c>
      <c r="C775" t="s">
        <v>164</v>
      </c>
      <c r="D775">
        <v>1.0090428044862501</v>
      </c>
    </row>
    <row r="776" spans="1:4" hidden="1" x14ac:dyDescent="0.3">
      <c r="A776">
        <v>774</v>
      </c>
      <c r="B776" s="1" t="s">
        <v>956</v>
      </c>
      <c r="C776" t="s">
        <v>166</v>
      </c>
      <c r="D776" s="1" t="s">
        <v>957</v>
      </c>
    </row>
    <row r="777" spans="1:4" hidden="1" x14ac:dyDescent="0.3">
      <c r="A777">
        <v>775</v>
      </c>
      <c r="B777" s="1" t="s">
        <v>958</v>
      </c>
      <c r="C777" t="s">
        <v>55</v>
      </c>
      <c r="D777" s="1" t="s">
        <v>959</v>
      </c>
    </row>
    <row r="778" spans="1:4" hidden="1" x14ac:dyDescent="0.3">
      <c r="A778">
        <v>776</v>
      </c>
      <c r="B778" s="1" t="s">
        <v>960</v>
      </c>
      <c r="C778" t="s">
        <v>52</v>
      </c>
      <c r="D778" s="1" t="s">
        <v>961</v>
      </c>
    </row>
    <row r="779" spans="1:4" hidden="1" x14ac:dyDescent="0.3">
      <c r="A779">
        <v>777</v>
      </c>
      <c r="B779" s="1" t="s">
        <v>962</v>
      </c>
      <c r="C779" t="s">
        <v>58</v>
      </c>
      <c r="D779" s="1" t="s">
        <v>963</v>
      </c>
    </row>
    <row r="780" spans="1:4" hidden="1" x14ac:dyDescent="0.3">
      <c r="A780">
        <v>778</v>
      </c>
      <c r="B780" t="s">
        <v>964</v>
      </c>
      <c r="C780" t="s">
        <v>61</v>
      </c>
      <c r="D780">
        <v>149942648.630586</v>
      </c>
    </row>
    <row r="781" spans="1:4" hidden="1" x14ac:dyDescent="0.3">
      <c r="A781">
        <v>779</v>
      </c>
      <c r="B781" t="s">
        <v>965</v>
      </c>
      <c r="C781" t="s">
        <v>63</v>
      </c>
      <c r="D781">
        <v>79999903.730861902</v>
      </c>
    </row>
    <row r="782" spans="1:4" hidden="1" x14ac:dyDescent="0.3">
      <c r="A782">
        <v>780</v>
      </c>
      <c r="B782" t="s">
        <v>966</v>
      </c>
      <c r="C782" t="s">
        <v>65</v>
      </c>
      <c r="D782">
        <v>39999978.682007998</v>
      </c>
    </row>
    <row r="783" spans="1:4" hidden="1" x14ac:dyDescent="0.3">
      <c r="A783">
        <v>781</v>
      </c>
      <c r="B783" s="1" t="s">
        <v>967</v>
      </c>
      <c r="C783" t="s">
        <v>67</v>
      </c>
      <c r="D783" s="1" t="s">
        <v>968</v>
      </c>
    </row>
    <row r="784" spans="1:4" hidden="1" x14ac:dyDescent="0.3">
      <c r="A784">
        <v>782</v>
      </c>
      <c r="B784" s="1" t="s">
        <v>969</v>
      </c>
      <c r="C784" t="s">
        <v>70</v>
      </c>
      <c r="D784" s="1" t="s">
        <v>970</v>
      </c>
    </row>
    <row r="785" spans="1:4" hidden="1" x14ac:dyDescent="0.3">
      <c r="A785">
        <v>783</v>
      </c>
      <c r="B785" t="s">
        <v>971</v>
      </c>
      <c r="C785" t="s">
        <v>73</v>
      </c>
      <c r="D785">
        <v>1.00003563569496</v>
      </c>
    </row>
    <row r="786" spans="1:4" hidden="1" x14ac:dyDescent="0.3">
      <c r="A786">
        <v>784</v>
      </c>
      <c r="B786" t="s">
        <v>74</v>
      </c>
      <c r="C786" t="s">
        <v>75</v>
      </c>
      <c r="D786">
        <v>2.7397260273972599E-3</v>
      </c>
    </row>
    <row r="787" spans="1:4" hidden="1" x14ac:dyDescent="0.3">
      <c r="A787">
        <v>785</v>
      </c>
      <c r="B787" t="s">
        <v>76</v>
      </c>
      <c r="C787" t="s">
        <v>77</v>
      </c>
      <c r="D787">
        <v>0</v>
      </c>
    </row>
    <row r="788" spans="1:4" hidden="1" x14ac:dyDescent="0.3">
      <c r="A788">
        <v>786</v>
      </c>
      <c r="B788" t="s">
        <v>78</v>
      </c>
      <c r="C788" t="s">
        <v>79</v>
      </c>
      <c r="D788">
        <v>0</v>
      </c>
    </row>
    <row r="789" spans="1:4" hidden="1" x14ac:dyDescent="0.3">
      <c r="A789">
        <v>787</v>
      </c>
      <c r="B789" s="1" t="s">
        <v>972</v>
      </c>
      <c r="C789" t="s">
        <v>81</v>
      </c>
      <c r="D789" s="1" t="s">
        <v>973</v>
      </c>
    </row>
    <row r="790" spans="1:4" hidden="1" x14ac:dyDescent="0.3">
      <c r="A790">
        <v>788</v>
      </c>
      <c r="B790" t="s">
        <v>974</v>
      </c>
      <c r="C790" t="s">
        <v>84</v>
      </c>
      <c r="D790">
        <v>1.0000642338332699</v>
      </c>
    </row>
    <row r="791" spans="1:4" hidden="1" x14ac:dyDescent="0.3">
      <c r="A791">
        <v>789</v>
      </c>
      <c r="B791" s="1" t="s">
        <v>975</v>
      </c>
      <c r="C791" t="s">
        <v>86</v>
      </c>
      <c r="D791" s="1" t="s">
        <v>976</v>
      </c>
    </row>
    <row r="792" spans="1:4" hidden="1" x14ac:dyDescent="0.3">
      <c r="A792">
        <v>790</v>
      </c>
      <c r="B792" t="s">
        <v>977</v>
      </c>
      <c r="C792" t="s">
        <v>89</v>
      </c>
      <c r="D792">
        <v>99993577.029244006</v>
      </c>
    </row>
    <row r="793" spans="1:4" hidden="1" x14ac:dyDescent="0.3">
      <c r="A793">
        <v>791</v>
      </c>
      <c r="B793" s="1" t="s">
        <v>978</v>
      </c>
      <c r="C793" t="s">
        <v>91</v>
      </c>
      <c r="D793" s="1" t="s">
        <v>924</v>
      </c>
    </row>
    <row r="794" spans="1:4" hidden="1" x14ac:dyDescent="0.3">
      <c r="A794">
        <v>792</v>
      </c>
      <c r="B794" t="s">
        <v>979</v>
      </c>
      <c r="C794" t="s">
        <v>94</v>
      </c>
      <c r="D794">
        <v>79999903.730861902</v>
      </c>
    </row>
    <row r="795" spans="1:4" hidden="1" x14ac:dyDescent="0.3">
      <c r="A795">
        <v>793</v>
      </c>
      <c r="B795" t="s">
        <v>980</v>
      </c>
      <c r="C795" t="s">
        <v>96</v>
      </c>
      <c r="D795">
        <v>39999978.682007998</v>
      </c>
    </row>
    <row r="796" spans="1:4" hidden="1" x14ac:dyDescent="0.3">
      <c r="A796">
        <v>794</v>
      </c>
      <c r="B796" t="s">
        <v>981</v>
      </c>
      <c r="C796" t="s">
        <v>98</v>
      </c>
      <c r="D796">
        <v>29942766.217716899</v>
      </c>
    </row>
    <row r="797" spans="1:4" hidden="1" x14ac:dyDescent="0.3">
      <c r="A797">
        <v>795</v>
      </c>
      <c r="B797" s="1" t="s">
        <v>982</v>
      </c>
      <c r="C797" t="s">
        <v>100</v>
      </c>
      <c r="D797" s="1" t="s">
        <v>983</v>
      </c>
    </row>
    <row r="798" spans="1:4" hidden="1" x14ac:dyDescent="0.3">
      <c r="A798">
        <v>796</v>
      </c>
      <c r="B798" t="s">
        <v>984</v>
      </c>
      <c r="C798" t="s">
        <v>103</v>
      </c>
      <c r="D798">
        <v>1.0097528447264499E-2</v>
      </c>
    </row>
    <row r="799" spans="1:4" hidden="1" x14ac:dyDescent="0.3">
      <c r="A799">
        <v>797</v>
      </c>
      <c r="B799" t="s">
        <v>985</v>
      </c>
      <c r="C799" t="s">
        <v>105</v>
      </c>
      <c r="D799">
        <v>2.81177800507771E-3</v>
      </c>
    </row>
    <row r="800" spans="1:4" hidden="1" x14ac:dyDescent="0.3">
      <c r="A800">
        <v>798</v>
      </c>
      <c r="B800" t="s">
        <v>986</v>
      </c>
      <c r="C800" t="s">
        <v>107</v>
      </c>
      <c r="D800">
        <v>2.1791143970628299E-2</v>
      </c>
    </row>
    <row r="801" spans="1:4" hidden="1" x14ac:dyDescent="0.3">
      <c r="A801">
        <v>799</v>
      </c>
      <c r="B801" s="1" t="s">
        <v>987</v>
      </c>
      <c r="C801" t="s">
        <v>109</v>
      </c>
      <c r="D801" s="1" t="s">
        <v>988</v>
      </c>
    </row>
    <row r="802" spans="1:4" x14ac:dyDescent="0.3">
      <c r="A802">
        <v>800</v>
      </c>
      <c r="B802" t="s">
        <v>989</v>
      </c>
      <c r="C802" t="s">
        <v>197</v>
      </c>
      <c r="D802">
        <v>149943636.648036</v>
      </c>
    </row>
    <row r="803" spans="1:4" hidden="1" x14ac:dyDescent="0.3">
      <c r="A803">
        <v>801</v>
      </c>
      <c r="B803" t="s">
        <v>990</v>
      </c>
      <c r="C803" t="s">
        <v>199</v>
      </c>
      <c r="D803">
        <v>-2287.7877391073198</v>
      </c>
    </row>
    <row r="804" spans="1:4" hidden="1" x14ac:dyDescent="0.3">
      <c r="A804">
        <v>802</v>
      </c>
      <c r="B804" t="s">
        <v>991</v>
      </c>
      <c r="C804" t="s">
        <v>201</v>
      </c>
      <c r="D804">
        <v>-1143.8882281883</v>
      </c>
    </row>
    <row r="805" spans="1:4" hidden="1" x14ac:dyDescent="0.3">
      <c r="A805">
        <v>803</v>
      </c>
      <c r="B805" s="1" t="s">
        <v>992</v>
      </c>
      <c r="C805" t="s">
        <v>203</v>
      </c>
      <c r="D805" s="1" t="s">
        <v>993</v>
      </c>
    </row>
    <row r="806" spans="1:4" hidden="1" x14ac:dyDescent="0.3">
      <c r="A806">
        <v>804</v>
      </c>
      <c r="B806" t="s">
        <v>994</v>
      </c>
      <c r="C806" t="s">
        <v>206</v>
      </c>
      <c r="D806">
        <v>80002924.217685506</v>
      </c>
    </row>
    <row r="807" spans="1:4" hidden="1" x14ac:dyDescent="0.3">
      <c r="A807">
        <v>805</v>
      </c>
      <c r="B807" t="s">
        <v>995</v>
      </c>
      <c r="C807" t="s">
        <v>208</v>
      </c>
      <c r="D807">
        <v>40001264.832794003</v>
      </c>
    </row>
    <row r="808" spans="1:4" hidden="1" x14ac:dyDescent="0.3">
      <c r="A808">
        <v>806</v>
      </c>
      <c r="B808" t="s">
        <v>996</v>
      </c>
      <c r="C808" t="s">
        <v>210</v>
      </c>
      <c r="D808">
        <v>29943735.553612899</v>
      </c>
    </row>
    <row r="809" spans="1:4" hidden="1" x14ac:dyDescent="0.3">
      <c r="A809">
        <v>807</v>
      </c>
      <c r="B809" s="1" t="s">
        <v>997</v>
      </c>
      <c r="C809" t="s">
        <v>212</v>
      </c>
      <c r="D809" s="1" t="s">
        <v>998</v>
      </c>
    </row>
    <row r="810" spans="1:4" hidden="1" x14ac:dyDescent="0.3">
      <c r="A810">
        <v>808</v>
      </c>
      <c r="B810" t="s">
        <v>999</v>
      </c>
      <c r="C810" t="s">
        <v>215</v>
      </c>
      <c r="D810">
        <v>99996436.557489395</v>
      </c>
    </row>
    <row r="811" spans="1:4" hidden="1" x14ac:dyDescent="0.3">
      <c r="A811">
        <v>809</v>
      </c>
      <c r="B811" t="s">
        <v>1000</v>
      </c>
      <c r="C811" t="s">
        <v>217</v>
      </c>
      <c r="D811">
        <v>-2859.5282453447498</v>
      </c>
    </row>
    <row r="812" spans="1:4" hidden="1" x14ac:dyDescent="0.3">
      <c r="A812">
        <v>810</v>
      </c>
      <c r="B812" s="1" t="s">
        <v>1001</v>
      </c>
      <c r="C812" t="s">
        <v>219</v>
      </c>
      <c r="D812" s="1" t="s">
        <v>1002</v>
      </c>
    </row>
    <row r="813" spans="1:4" hidden="1" x14ac:dyDescent="0.3">
      <c r="A813">
        <v>811</v>
      </c>
      <c r="B813" t="s">
        <v>1003</v>
      </c>
      <c r="C813" t="s">
        <v>112</v>
      </c>
      <c r="D813">
        <v>732.69908447167802</v>
      </c>
    </row>
    <row r="814" spans="1:4" hidden="1" x14ac:dyDescent="0.3">
      <c r="A814">
        <v>812</v>
      </c>
      <c r="B814" t="s">
        <v>1004</v>
      </c>
      <c r="C814" t="s">
        <v>114</v>
      </c>
      <c r="D814">
        <v>142.262557818305</v>
      </c>
    </row>
    <row r="815" spans="1:4" hidden="1" x14ac:dyDescent="0.3">
      <c r="A815">
        <v>813</v>
      </c>
      <c r="B815" s="1" t="s">
        <v>1005</v>
      </c>
      <c r="C815" t="s">
        <v>116</v>
      </c>
      <c r="D815" s="1" t="s">
        <v>1006</v>
      </c>
    </row>
    <row r="816" spans="1:4" hidden="1" x14ac:dyDescent="0.3">
      <c r="A816">
        <v>814</v>
      </c>
      <c r="B816" t="s">
        <v>1007</v>
      </c>
      <c r="C816" t="s">
        <v>119</v>
      </c>
      <c r="D816">
        <v>80002924.217685506</v>
      </c>
    </row>
    <row r="817" spans="1:4" hidden="1" x14ac:dyDescent="0.3">
      <c r="A817">
        <v>815</v>
      </c>
      <c r="B817" t="s">
        <v>1008</v>
      </c>
      <c r="C817" t="s">
        <v>121</v>
      </c>
      <c r="D817">
        <v>40001264.832794003</v>
      </c>
    </row>
    <row r="818" spans="1:4" hidden="1" x14ac:dyDescent="0.3">
      <c r="A818">
        <v>816</v>
      </c>
      <c r="B818" s="1" t="s">
        <v>1009</v>
      </c>
      <c r="C818" t="s">
        <v>123</v>
      </c>
      <c r="D818" s="1" t="s">
        <v>1010</v>
      </c>
    </row>
    <row r="819" spans="1:4" hidden="1" x14ac:dyDescent="0.3">
      <c r="A819">
        <v>817</v>
      </c>
      <c r="B819" t="s">
        <v>1011</v>
      </c>
      <c r="C819" t="s">
        <v>126</v>
      </c>
      <c r="D819">
        <v>0.80000636429946304</v>
      </c>
    </row>
    <row r="820" spans="1:4" hidden="1" x14ac:dyDescent="0.3">
      <c r="A820">
        <v>818</v>
      </c>
      <c r="B820" t="s">
        <v>1012</v>
      </c>
      <c r="C820" t="s">
        <v>128</v>
      </c>
      <c r="D820">
        <v>0.40000120944565798</v>
      </c>
    </row>
    <row r="821" spans="1:4" hidden="1" x14ac:dyDescent="0.3">
      <c r="A821">
        <v>819</v>
      </c>
      <c r="B821" s="1" t="s">
        <v>1013</v>
      </c>
      <c r="C821" t="s">
        <v>130</v>
      </c>
      <c r="D821" s="1" t="s">
        <v>1014</v>
      </c>
    </row>
    <row r="822" spans="1:4" hidden="1" x14ac:dyDescent="0.3">
      <c r="A822">
        <v>820</v>
      </c>
      <c r="B822" s="1" t="s">
        <v>3</v>
      </c>
      <c r="C822" t="s">
        <v>4</v>
      </c>
      <c r="D822" t="s">
        <v>5</v>
      </c>
    </row>
    <row r="823" spans="1:4" hidden="1" x14ac:dyDescent="0.3">
      <c r="A823">
        <v>821</v>
      </c>
      <c r="B823" t="s">
        <v>6</v>
      </c>
      <c r="C823" t="s">
        <v>7</v>
      </c>
      <c r="D823">
        <v>1950.52</v>
      </c>
    </row>
    <row r="824" spans="1:4" hidden="1" x14ac:dyDescent="0.3">
      <c r="A824">
        <v>822</v>
      </c>
      <c r="B824" s="1" t="s">
        <v>132</v>
      </c>
      <c r="C824" t="s">
        <v>9</v>
      </c>
      <c r="D824" s="1" t="s">
        <v>133</v>
      </c>
    </row>
    <row r="825" spans="1:4" hidden="1" x14ac:dyDescent="0.3">
      <c r="A825">
        <v>823</v>
      </c>
      <c r="B825" t="s">
        <v>13</v>
      </c>
      <c r="C825" t="s">
        <v>14</v>
      </c>
      <c r="D825">
        <v>90.82421875</v>
      </c>
    </row>
    <row r="826" spans="1:4" hidden="1" x14ac:dyDescent="0.3">
      <c r="A826">
        <v>824</v>
      </c>
      <c r="B826" t="s">
        <v>15</v>
      </c>
      <c r="C826" t="s">
        <v>16</v>
      </c>
      <c r="D826">
        <v>4.2527792330373497</v>
      </c>
    </row>
    <row r="827" spans="1:4" hidden="1" x14ac:dyDescent="0.3">
      <c r="A827">
        <v>825</v>
      </c>
      <c r="B827" s="1" t="s">
        <v>134</v>
      </c>
      <c r="C827" t="s">
        <v>135</v>
      </c>
      <c r="D827" s="1" t="s">
        <v>136</v>
      </c>
    </row>
    <row r="828" spans="1:4" hidden="1" x14ac:dyDescent="0.3">
      <c r="A828">
        <v>826</v>
      </c>
      <c r="B828" t="s">
        <v>21</v>
      </c>
      <c r="C828" t="s">
        <v>22</v>
      </c>
      <c r="D828">
        <v>62.9</v>
      </c>
    </row>
    <row r="829" spans="1:4" hidden="1" x14ac:dyDescent="0.3">
      <c r="A829">
        <v>827</v>
      </c>
      <c r="B829" t="s">
        <v>1015</v>
      </c>
      <c r="C829" t="s">
        <v>24</v>
      </c>
      <c r="D829">
        <v>3.9939711644511999</v>
      </c>
    </row>
    <row r="830" spans="1:4" hidden="1" x14ac:dyDescent="0.3">
      <c r="A830">
        <v>828</v>
      </c>
      <c r="B830" s="1" t="s">
        <v>1016</v>
      </c>
      <c r="C830" t="s">
        <v>139</v>
      </c>
      <c r="D830" s="1" t="s">
        <v>1017</v>
      </c>
    </row>
    <row r="831" spans="1:4" hidden="1" x14ac:dyDescent="0.3">
      <c r="A831">
        <v>829</v>
      </c>
      <c r="B831" t="s">
        <v>1018</v>
      </c>
      <c r="C831" t="s">
        <v>35</v>
      </c>
      <c r="D831">
        <v>-1.18635106592814</v>
      </c>
    </row>
    <row r="832" spans="1:4" hidden="1" x14ac:dyDescent="0.3">
      <c r="A832">
        <v>830</v>
      </c>
      <c r="B832" t="s">
        <v>1019</v>
      </c>
      <c r="C832" t="s">
        <v>143</v>
      </c>
      <c r="D832">
        <v>0.54182718231648797</v>
      </c>
    </row>
    <row r="833" spans="1:4" hidden="1" x14ac:dyDescent="0.3">
      <c r="A833">
        <v>831</v>
      </c>
      <c r="B833" s="1" t="s">
        <v>1020</v>
      </c>
      <c r="C833" t="s">
        <v>145</v>
      </c>
      <c r="D833" s="1" t="s">
        <v>1021</v>
      </c>
    </row>
    <row r="834" spans="1:4" hidden="1" x14ac:dyDescent="0.3">
      <c r="A834">
        <v>832</v>
      </c>
      <c r="B834" t="s">
        <v>1022</v>
      </c>
      <c r="C834" t="s">
        <v>30</v>
      </c>
      <c r="D834">
        <v>1.08278947583679</v>
      </c>
    </row>
    <row r="835" spans="1:4" hidden="1" x14ac:dyDescent="0.3">
      <c r="A835">
        <v>833</v>
      </c>
      <c r="B835" t="s">
        <v>1023</v>
      </c>
      <c r="C835" t="s">
        <v>32</v>
      </c>
      <c r="D835">
        <v>0.37275562012024599</v>
      </c>
    </row>
    <row r="836" spans="1:4" hidden="1" x14ac:dyDescent="0.3">
      <c r="A836">
        <v>834</v>
      </c>
      <c r="B836" s="1" t="s">
        <v>1024</v>
      </c>
      <c r="C836" t="s">
        <v>149</v>
      </c>
      <c r="D836" s="1" t="s">
        <v>1025</v>
      </c>
    </row>
    <row r="837" spans="1:4" hidden="1" x14ac:dyDescent="0.3">
      <c r="A837">
        <v>835</v>
      </c>
      <c r="B837" t="s">
        <v>1026</v>
      </c>
      <c r="C837" t="s">
        <v>40</v>
      </c>
      <c r="D837">
        <v>1.10356159009134</v>
      </c>
    </row>
    <row r="838" spans="1:4" hidden="1" x14ac:dyDescent="0.3">
      <c r="A838">
        <v>836</v>
      </c>
      <c r="B838" t="s">
        <v>1027</v>
      </c>
      <c r="C838" t="s">
        <v>42</v>
      </c>
      <c r="D838">
        <v>0.47285130518142199</v>
      </c>
    </row>
    <row r="839" spans="1:4" hidden="1" x14ac:dyDescent="0.3">
      <c r="A839">
        <v>837</v>
      </c>
      <c r="B839" s="1" t="s">
        <v>1028</v>
      </c>
      <c r="C839" t="s">
        <v>153</v>
      </c>
      <c r="D839" s="1" t="s">
        <v>1029</v>
      </c>
    </row>
    <row r="840" spans="1:4" hidden="1" x14ac:dyDescent="0.3">
      <c r="A840">
        <v>838</v>
      </c>
      <c r="B840" t="s">
        <v>154</v>
      </c>
      <c r="C840" t="s">
        <v>155</v>
      </c>
      <c r="D840">
        <v>1</v>
      </c>
    </row>
    <row r="841" spans="1:4" hidden="1" x14ac:dyDescent="0.3">
      <c r="A841">
        <v>839</v>
      </c>
      <c r="B841" t="s">
        <v>156</v>
      </c>
      <c r="C841" t="s">
        <v>157</v>
      </c>
      <c r="D841">
        <v>1</v>
      </c>
    </row>
    <row r="842" spans="1:4" hidden="1" x14ac:dyDescent="0.3">
      <c r="A842">
        <v>840</v>
      </c>
      <c r="B842" s="1" t="s">
        <v>1030</v>
      </c>
      <c r="C842" t="s">
        <v>159</v>
      </c>
      <c r="D842" s="1" t="s">
        <v>1031</v>
      </c>
    </row>
    <row r="843" spans="1:4" hidden="1" x14ac:dyDescent="0.3">
      <c r="A843">
        <v>841</v>
      </c>
      <c r="B843" t="s">
        <v>1032</v>
      </c>
      <c r="C843" t="s">
        <v>162</v>
      </c>
      <c r="D843">
        <v>0.99968308535433403</v>
      </c>
    </row>
    <row r="844" spans="1:4" hidden="1" x14ac:dyDescent="0.3">
      <c r="A844">
        <v>842</v>
      </c>
      <c r="B844" t="s">
        <v>1033</v>
      </c>
      <c r="C844" t="s">
        <v>164</v>
      </c>
      <c r="D844">
        <v>1.0004380388665199</v>
      </c>
    </row>
    <row r="845" spans="1:4" hidden="1" x14ac:dyDescent="0.3">
      <c r="A845">
        <v>843</v>
      </c>
      <c r="B845" s="1" t="s">
        <v>1034</v>
      </c>
      <c r="C845" t="s">
        <v>166</v>
      </c>
      <c r="D845" s="1" t="s">
        <v>1035</v>
      </c>
    </row>
    <row r="846" spans="1:4" hidden="1" x14ac:dyDescent="0.3">
      <c r="A846">
        <v>844</v>
      </c>
      <c r="B846" s="1" t="s">
        <v>1036</v>
      </c>
      <c r="C846" t="s">
        <v>55</v>
      </c>
      <c r="D846" s="1" t="s">
        <v>1037</v>
      </c>
    </row>
    <row r="847" spans="1:4" hidden="1" x14ac:dyDescent="0.3">
      <c r="A847">
        <v>845</v>
      </c>
      <c r="B847" s="1" t="s">
        <v>1038</v>
      </c>
      <c r="C847" t="s">
        <v>52</v>
      </c>
      <c r="D847" s="1" t="s">
        <v>1039</v>
      </c>
    </row>
    <row r="848" spans="1:4" hidden="1" x14ac:dyDescent="0.3">
      <c r="A848">
        <v>846</v>
      </c>
      <c r="B848" s="1" t="s">
        <v>1040</v>
      </c>
      <c r="C848" t="s">
        <v>58</v>
      </c>
      <c r="D848" s="1" t="s">
        <v>1041</v>
      </c>
    </row>
    <row r="849" spans="1:4" hidden="1" x14ac:dyDescent="0.3">
      <c r="A849">
        <v>847</v>
      </c>
      <c r="B849" t="s">
        <v>1042</v>
      </c>
      <c r="C849" t="s">
        <v>61</v>
      </c>
      <c r="D849">
        <v>149941681.78678399</v>
      </c>
    </row>
    <row r="850" spans="1:4" hidden="1" x14ac:dyDescent="0.3">
      <c r="A850">
        <v>848</v>
      </c>
      <c r="B850" t="s">
        <v>1043</v>
      </c>
      <c r="C850" t="s">
        <v>63</v>
      </c>
      <c r="D850">
        <v>80002924.217685506</v>
      </c>
    </row>
    <row r="851" spans="1:4" hidden="1" x14ac:dyDescent="0.3">
      <c r="A851">
        <v>849</v>
      </c>
      <c r="B851" t="s">
        <v>1044</v>
      </c>
      <c r="C851" t="s">
        <v>65</v>
      </c>
      <c r="D851">
        <v>40001264.832794003</v>
      </c>
    </row>
    <row r="852" spans="1:4" hidden="1" x14ac:dyDescent="0.3">
      <c r="A852">
        <v>850</v>
      </c>
      <c r="B852" s="1" t="s">
        <v>1045</v>
      </c>
      <c r="C852" t="s">
        <v>67</v>
      </c>
      <c r="D852" s="1" t="s">
        <v>1046</v>
      </c>
    </row>
    <row r="853" spans="1:4" hidden="1" x14ac:dyDescent="0.3">
      <c r="A853">
        <v>851</v>
      </c>
      <c r="B853" s="1" t="s">
        <v>1047</v>
      </c>
      <c r="C853" t="s">
        <v>70</v>
      </c>
      <c r="D853" s="1" t="s">
        <v>1048</v>
      </c>
    </row>
    <row r="854" spans="1:4" hidden="1" x14ac:dyDescent="0.3">
      <c r="A854">
        <v>852</v>
      </c>
      <c r="B854" t="s">
        <v>1049</v>
      </c>
      <c r="C854" t="s">
        <v>73</v>
      </c>
      <c r="D854">
        <v>1.0000642338332699</v>
      </c>
    </row>
    <row r="855" spans="1:4" hidden="1" x14ac:dyDescent="0.3">
      <c r="A855">
        <v>853</v>
      </c>
      <c r="B855" t="s">
        <v>74</v>
      </c>
      <c r="C855" t="s">
        <v>75</v>
      </c>
      <c r="D855">
        <v>2.7397260273972599E-3</v>
      </c>
    </row>
    <row r="856" spans="1:4" hidden="1" x14ac:dyDescent="0.3">
      <c r="A856">
        <v>854</v>
      </c>
      <c r="B856" t="s">
        <v>76</v>
      </c>
      <c r="C856" t="s">
        <v>77</v>
      </c>
      <c r="D856">
        <v>0</v>
      </c>
    </row>
    <row r="857" spans="1:4" hidden="1" x14ac:dyDescent="0.3">
      <c r="A857">
        <v>855</v>
      </c>
      <c r="B857" t="s">
        <v>78</v>
      </c>
      <c r="C857" t="s">
        <v>79</v>
      </c>
      <c r="D857">
        <v>0</v>
      </c>
    </row>
    <row r="858" spans="1:4" hidden="1" x14ac:dyDescent="0.3">
      <c r="A858">
        <v>856</v>
      </c>
      <c r="B858" s="1" t="s">
        <v>1050</v>
      </c>
      <c r="C858" t="s">
        <v>81</v>
      </c>
      <c r="D858" s="1" t="s">
        <v>1051</v>
      </c>
    </row>
    <row r="859" spans="1:4" hidden="1" x14ac:dyDescent="0.3">
      <c r="A859">
        <v>857</v>
      </c>
      <c r="B859" t="s">
        <v>1052</v>
      </c>
      <c r="C859" t="s">
        <v>84</v>
      </c>
      <c r="D859">
        <v>1.0000474797846299</v>
      </c>
    </row>
    <row r="860" spans="1:4" hidden="1" x14ac:dyDescent="0.3">
      <c r="A860">
        <v>858</v>
      </c>
      <c r="B860" s="1" t="s">
        <v>1053</v>
      </c>
      <c r="C860" t="s">
        <v>86</v>
      </c>
      <c r="D860" s="1" t="s">
        <v>1054</v>
      </c>
    </row>
    <row r="861" spans="1:4" hidden="1" x14ac:dyDescent="0.3">
      <c r="A861">
        <v>859</v>
      </c>
      <c r="B861" t="s">
        <v>1055</v>
      </c>
      <c r="C861" t="s">
        <v>89</v>
      </c>
      <c r="D861">
        <v>99995252.246958807</v>
      </c>
    </row>
    <row r="862" spans="1:4" hidden="1" x14ac:dyDescent="0.3">
      <c r="A862">
        <v>860</v>
      </c>
      <c r="B862" s="1" t="s">
        <v>1056</v>
      </c>
      <c r="C862" t="s">
        <v>91</v>
      </c>
      <c r="D862" s="1" t="s">
        <v>1002</v>
      </c>
    </row>
    <row r="863" spans="1:4" hidden="1" x14ac:dyDescent="0.3">
      <c r="A863">
        <v>861</v>
      </c>
      <c r="B863" t="s">
        <v>1057</v>
      </c>
      <c r="C863" t="s">
        <v>94</v>
      </c>
      <c r="D863">
        <v>80002924.217685506</v>
      </c>
    </row>
    <row r="864" spans="1:4" hidden="1" x14ac:dyDescent="0.3">
      <c r="A864">
        <v>862</v>
      </c>
      <c r="B864" t="s">
        <v>1058</v>
      </c>
      <c r="C864" t="s">
        <v>96</v>
      </c>
      <c r="D864">
        <v>40001264.832794003</v>
      </c>
    </row>
    <row r="865" spans="1:4" hidden="1" x14ac:dyDescent="0.3">
      <c r="A865">
        <v>863</v>
      </c>
      <c r="B865" t="s">
        <v>1059</v>
      </c>
      <c r="C865" t="s">
        <v>98</v>
      </c>
      <c r="D865">
        <v>29937492.736304998</v>
      </c>
    </row>
    <row r="866" spans="1:4" hidden="1" x14ac:dyDescent="0.3">
      <c r="A866">
        <v>864</v>
      </c>
      <c r="B866" s="1" t="s">
        <v>1060</v>
      </c>
      <c r="C866" t="s">
        <v>100</v>
      </c>
      <c r="D866" s="1" t="s">
        <v>1061</v>
      </c>
    </row>
    <row r="867" spans="1:4" hidden="1" x14ac:dyDescent="0.3">
      <c r="A867">
        <v>865</v>
      </c>
      <c r="B867" t="s">
        <v>1062</v>
      </c>
      <c r="C867" t="s">
        <v>103</v>
      </c>
      <c r="D867">
        <v>1.0145666867628E-2</v>
      </c>
    </row>
    <row r="868" spans="1:4" hidden="1" x14ac:dyDescent="0.3">
      <c r="A868">
        <v>866</v>
      </c>
      <c r="B868" t="s">
        <v>1063</v>
      </c>
      <c r="C868" t="s">
        <v>105</v>
      </c>
      <c r="D868">
        <v>2.8252911670175402E-3</v>
      </c>
    </row>
    <row r="869" spans="1:4" hidden="1" x14ac:dyDescent="0.3">
      <c r="A869">
        <v>867</v>
      </c>
      <c r="B869" t="s">
        <v>1064</v>
      </c>
      <c r="C869" t="s">
        <v>107</v>
      </c>
      <c r="D869">
        <v>2.1897142479987499E-2</v>
      </c>
    </row>
    <row r="870" spans="1:4" hidden="1" x14ac:dyDescent="0.3">
      <c r="A870">
        <v>868</v>
      </c>
      <c r="B870" s="1" t="s">
        <v>1065</v>
      </c>
      <c r="C870" t="s">
        <v>109</v>
      </c>
      <c r="D870" s="1" t="s">
        <v>1066</v>
      </c>
    </row>
    <row r="871" spans="1:4" x14ac:dyDescent="0.3">
      <c r="A871">
        <v>869</v>
      </c>
      <c r="B871" t="s">
        <v>1067</v>
      </c>
      <c r="C871" t="s">
        <v>197</v>
      </c>
      <c r="D871">
        <v>149941101.992239</v>
      </c>
    </row>
    <row r="872" spans="1:4" hidden="1" x14ac:dyDescent="0.3">
      <c r="A872">
        <v>870</v>
      </c>
      <c r="B872" t="s">
        <v>1068</v>
      </c>
      <c r="C872" t="s">
        <v>199</v>
      </c>
      <c r="D872">
        <v>1340.2793046806501</v>
      </c>
    </row>
    <row r="873" spans="1:4" hidden="1" x14ac:dyDescent="0.3">
      <c r="A873">
        <v>871</v>
      </c>
      <c r="B873" t="s">
        <v>1069</v>
      </c>
      <c r="C873" t="s">
        <v>201</v>
      </c>
      <c r="D873">
        <v>670.13862707331396</v>
      </c>
    </row>
    <row r="874" spans="1:4" hidden="1" x14ac:dyDescent="0.3">
      <c r="A874">
        <v>872</v>
      </c>
      <c r="B874" s="1" t="s">
        <v>1070</v>
      </c>
      <c r="C874" t="s">
        <v>203</v>
      </c>
      <c r="D874" s="1" t="s">
        <v>1071</v>
      </c>
    </row>
    <row r="875" spans="1:4" hidden="1" x14ac:dyDescent="0.3">
      <c r="A875">
        <v>873</v>
      </c>
      <c r="B875" t="s">
        <v>1072</v>
      </c>
      <c r="C875" t="s">
        <v>206</v>
      </c>
      <c r="D875">
        <v>80001136.994865701</v>
      </c>
    </row>
    <row r="876" spans="1:4" hidden="1" x14ac:dyDescent="0.3">
      <c r="A876">
        <v>874</v>
      </c>
      <c r="B876" t="s">
        <v>1073</v>
      </c>
      <c r="C876" t="s">
        <v>208</v>
      </c>
      <c r="D876">
        <v>40000507.2993479</v>
      </c>
    </row>
    <row r="877" spans="1:4" hidden="1" x14ac:dyDescent="0.3">
      <c r="A877">
        <v>875</v>
      </c>
      <c r="B877" t="s">
        <v>1074</v>
      </c>
      <c r="C877" t="s">
        <v>210</v>
      </c>
      <c r="D877">
        <v>29936945.738861699</v>
      </c>
    </row>
    <row r="878" spans="1:4" hidden="1" x14ac:dyDescent="0.3">
      <c r="A878">
        <v>876</v>
      </c>
      <c r="B878" s="1" t="s">
        <v>1075</v>
      </c>
      <c r="C878" t="s">
        <v>212</v>
      </c>
      <c r="D878" s="1" t="s">
        <v>1076</v>
      </c>
    </row>
    <row r="879" spans="1:4" hidden="1" x14ac:dyDescent="0.3">
      <c r="A879">
        <v>877</v>
      </c>
      <c r="B879" t="s">
        <v>1077</v>
      </c>
      <c r="C879" t="s">
        <v>215</v>
      </c>
      <c r="D879">
        <v>99993577.029244006</v>
      </c>
    </row>
    <row r="880" spans="1:4" hidden="1" x14ac:dyDescent="0.3">
      <c r="A880">
        <v>878</v>
      </c>
      <c r="B880" t="s">
        <v>1078</v>
      </c>
      <c r="C880" t="s">
        <v>217</v>
      </c>
      <c r="D880">
        <v>1675.2177147418199</v>
      </c>
    </row>
    <row r="881" spans="1:4" hidden="1" x14ac:dyDescent="0.3">
      <c r="A881">
        <v>879</v>
      </c>
      <c r="B881" s="1" t="s">
        <v>1079</v>
      </c>
      <c r="C881" t="s">
        <v>219</v>
      </c>
      <c r="D881" s="1" t="s">
        <v>1080</v>
      </c>
    </row>
    <row r="882" spans="1:4" hidden="1" x14ac:dyDescent="0.3">
      <c r="A882">
        <v>880</v>
      </c>
      <c r="B882" t="s">
        <v>1081</v>
      </c>
      <c r="C882" t="s">
        <v>112</v>
      </c>
      <c r="D882">
        <v>-446.94351514169898</v>
      </c>
    </row>
    <row r="883" spans="1:4" hidden="1" x14ac:dyDescent="0.3">
      <c r="A883">
        <v>881</v>
      </c>
      <c r="B883" t="s">
        <v>1082</v>
      </c>
      <c r="C883" t="s">
        <v>114</v>
      </c>
      <c r="D883">
        <v>-87.394819088729605</v>
      </c>
    </row>
    <row r="884" spans="1:4" hidden="1" x14ac:dyDescent="0.3">
      <c r="A884">
        <v>882</v>
      </c>
      <c r="B884" s="1" t="s">
        <v>1083</v>
      </c>
      <c r="C884" t="s">
        <v>116</v>
      </c>
      <c r="D884" s="1" t="s">
        <v>1084</v>
      </c>
    </row>
    <row r="885" spans="1:4" hidden="1" x14ac:dyDescent="0.3">
      <c r="A885">
        <v>883</v>
      </c>
      <c r="B885" t="s">
        <v>1085</v>
      </c>
      <c r="C885" t="s">
        <v>119</v>
      </c>
      <c r="D885">
        <v>80001136.994865701</v>
      </c>
    </row>
    <row r="886" spans="1:4" hidden="1" x14ac:dyDescent="0.3">
      <c r="A886">
        <v>884</v>
      </c>
      <c r="B886" t="s">
        <v>1086</v>
      </c>
      <c r="C886" t="s">
        <v>121</v>
      </c>
      <c r="D886">
        <v>40000507.2993479</v>
      </c>
    </row>
    <row r="887" spans="1:4" hidden="1" x14ac:dyDescent="0.3">
      <c r="A887">
        <v>885</v>
      </c>
      <c r="B887" s="1" t="s">
        <v>1087</v>
      </c>
      <c r="C887" t="s">
        <v>123</v>
      </c>
      <c r="D887" s="1" t="s">
        <v>1088</v>
      </c>
    </row>
    <row r="888" spans="1:4" hidden="1" x14ac:dyDescent="0.3">
      <c r="A888">
        <v>886</v>
      </c>
      <c r="B888" t="s">
        <v>1089</v>
      </c>
      <c r="C888" t="s">
        <v>126</v>
      </c>
      <c r="D888">
        <v>0.80002477274170303</v>
      </c>
    </row>
    <row r="889" spans="1:4" hidden="1" x14ac:dyDescent="0.3">
      <c r="A889">
        <v>887</v>
      </c>
      <c r="B889" t="s">
        <v>1090</v>
      </c>
      <c r="C889" t="s">
        <v>128</v>
      </c>
      <c r="D889">
        <v>0.400011774379749</v>
      </c>
    </row>
    <row r="890" spans="1:4" hidden="1" x14ac:dyDescent="0.3">
      <c r="A890">
        <v>888</v>
      </c>
      <c r="B890" s="1" t="s">
        <v>1091</v>
      </c>
      <c r="C890" t="s">
        <v>130</v>
      </c>
      <c r="D890" s="1" t="s">
        <v>1092</v>
      </c>
    </row>
    <row r="891" spans="1:4" ht="72" hidden="1" x14ac:dyDescent="0.3">
      <c r="A891">
        <v>889</v>
      </c>
      <c r="B891" s="1" t="s">
        <v>3</v>
      </c>
      <c r="C891" t="s">
        <v>4</v>
      </c>
      <c r="D891" t="s">
        <v>5</v>
      </c>
    </row>
    <row r="892" spans="1:4" hidden="1" x14ac:dyDescent="0.3">
      <c r="A892">
        <v>890</v>
      </c>
      <c r="B892" t="s">
        <v>6</v>
      </c>
      <c r="C892" t="s">
        <v>7</v>
      </c>
      <c r="D892">
        <v>1950.52</v>
      </c>
    </row>
    <row r="893" spans="1:4" hidden="1" x14ac:dyDescent="0.3">
      <c r="A893">
        <v>891</v>
      </c>
      <c r="B893" s="1" t="s">
        <v>132</v>
      </c>
      <c r="C893" t="s">
        <v>9</v>
      </c>
      <c r="D893" s="1" t="s">
        <v>133</v>
      </c>
    </row>
    <row r="894" spans="1:4" hidden="1" x14ac:dyDescent="0.3">
      <c r="A894">
        <v>892</v>
      </c>
      <c r="B894" t="s">
        <v>13</v>
      </c>
      <c r="C894" t="s">
        <v>14</v>
      </c>
      <c r="D894">
        <v>90.82421875</v>
      </c>
    </row>
    <row r="895" spans="1:4" hidden="1" x14ac:dyDescent="0.3">
      <c r="A895">
        <v>893</v>
      </c>
      <c r="B895" t="s">
        <v>15</v>
      </c>
      <c r="C895" t="s">
        <v>16</v>
      </c>
      <c r="D895">
        <v>4.2527792330373497</v>
      </c>
    </row>
    <row r="896" spans="1:4" hidden="1" x14ac:dyDescent="0.3">
      <c r="A896">
        <v>894</v>
      </c>
      <c r="B896" s="1" t="s">
        <v>134</v>
      </c>
      <c r="C896" t="s">
        <v>135</v>
      </c>
      <c r="D896" s="1" t="s">
        <v>136</v>
      </c>
    </row>
    <row r="897" spans="1:4" hidden="1" x14ac:dyDescent="0.3">
      <c r="A897">
        <v>895</v>
      </c>
      <c r="B897" t="s">
        <v>21</v>
      </c>
      <c r="C897" t="s">
        <v>22</v>
      </c>
      <c r="D897">
        <v>62.9</v>
      </c>
    </row>
    <row r="898" spans="1:4" hidden="1" x14ac:dyDescent="0.3">
      <c r="A898">
        <v>896</v>
      </c>
      <c r="B898" t="s">
        <v>1093</v>
      </c>
      <c r="C898" t="s">
        <v>24</v>
      </c>
      <c r="D898">
        <v>3.98028058189439</v>
      </c>
    </row>
    <row r="899" spans="1:4" hidden="1" x14ac:dyDescent="0.3">
      <c r="A899">
        <v>897</v>
      </c>
      <c r="B899" s="1" t="s">
        <v>1094</v>
      </c>
      <c r="C899" t="s">
        <v>139</v>
      </c>
      <c r="D899" s="1" t="s">
        <v>1095</v>
      </c>
    </row>
    <row r="900" spans="1:4" hidden="1" x14ac:dyDescent="0.3">
      <c r="A900">
        <v>898</v>
      </c>
      <c r="B900" t="s">
        <v>1096</v>
      </c>
      <c r="C900" t="s">
        <v>35</v>
      </c>
      <c r="D900">
        <v>-1.2407361249439599</v>
      </c>
    </row>
    <row r="901" spans="1:4" hidden="1" x14ac:dyDescent="0.3">
      <c r="A901">
        <v>899</v>
      </c>
      <c r="B901" t="s">
        <v>1097</v>
      </c>
      <c r="C901" t="s">
        <v>143</v>
      </c>
      <c r="D901">
        <v>0.542301194410997</v>
      </c>
    </row>
    <row r="902" spans="1:4" hidden="1" x14ac:dyDescent="0.3">
      <c r="A902">
        <v>900</v>
      </c>
      <c r="B902" s="1" t="s">
        <v>1098</v>
      </c>
      <c r="C902" t="s">
        <v>145</v>
      </c>
      <c r="D902" s="1" t="s">
        <v>1099</v>
      </c>
    </row>
    <row r="903" spans="1:4" hidden="1" x14ac:dyDescent="0.3">
      <c r="A903">
        <v>901</v>
      </c>
      <c r="B903" t="s">
        <v>1100</v>
      </c>
      <c r="C903" t="s">
        <v>30</v>
      </c>
      <c r="D903">
        <v>1.1324270335853699</v>
      </c>
    </row>
    <row r="904" spans="1:4" hidden="1" x14ac:dyDescent="0.3">
      <c r="A904">
        <v>902</v>
      </c>
      <c r="B904" t="s">
        <v>1101</v>
      </c>
      <c r="C904" t="s">
        <v>32</v>
      </c>
      <c r="D904">
        <v>0.37222649427771898</v>
      </c>
    </row>
    <row r="905" spans="1:4" hidden="1" x14ac:dyDescent="0.3">
      <c r="A905">
        <v>903</v>
      </c>
      <c r="B905" s="1" t="s">
        <v>1102</v>
      </c>
      <c r="C905" t="s">
        <v>149</v>
      </c>
      <c r="D905" s="1" t="s">
        <v>1103</v>
      </c>
    </row>
    <row r="906" spans="1:4" hidden="1" x14ac:dyDescent="0.3">
      <c r="A906">
        <v>904</v>
      </c>
      <c r="B906" t="s">
        <v>1104</v>
      </c>
      <c r="C906" t="s">
        <v>40</v>
      </c>
      <c r="D906">
        <v>1.10830909135859</v>
      </c>
    </row>
    <row r="907" spans="1:4" hidden="1" x14ac:dyDescent="0.3">
      <c r="A907">
        <v>905</v>
      </c>
      <c r="B907" t="s">
        <v>1105</v>
      </c>
      <c r="C907" t="s">
        <v>42</v>
      </c>
      <c r="D907">
        <v>0.47176723154491301</v>
      </c>
    </row>
    <row r="908" spans="1:4" hidden="1" x14ac:dyDescent="0.3">
      <c r="A908">
        <v>906</v>
      </c>
      <c r="B908" s="1" t="s">
        <v>1106</v>
      </c>
      <c r="C908" t="s">
        <v>153</v>
      </c>
      <c r="D908" s="1" t="s">
        <v>1107</v>
      </c>
    </row>
    <row r="909" spans="1:4" hidden="1" x14ac:dyDescent="0.3">
      <c r="A909">
        <v>907</v>
      </c>
      <c r="B909" t="s">
        <v>154</v>
      </c>
      <c r="C909" t="s">
        <v>155</v>
      </c>
      <c r="D909">
        <v>1</v>
      </c>
    </row>
    <row r="910" spans="1:4" hidden="1" x14ac:dyDescent="0.3">
      <c r="A910">
        <v>908</v>
      </c>
      <c r="B910" t="s">
        <v>156</v>
      </c>
      <c r="C910" t="s">
        <v>157</v>
      </c>
      <c r="D910">
        <v>1</v>
      </c>
    </row>
    <row r="911" spans="1:4" hidden="1" x14ac:dyDescent="0.3">
      <c r="A911">
        <v>909</v>
      </c>
      <c r="B911" s="1" t="s">
        <v>1108</v>
      </c>
      <c r="C911" t="s">
        <v>159</v>
      </c>
      <c r="D911" s="1" t="s">
        <v>1109</v>
      </c>
    </row>
    <row r="912" spans="1:4" hidden="1" x14ac:dyDescent="0.3">
      <c r="A912">
        <v>910</v>
      </c>
      <c r="B912" t="s">
        <v>1110</v>
      </c>
      <c r="C912" t="s">
        <v>162</v>
      </c>
      <c r="D912">
        <v>1.00030743529491</v>
      </c>
    </row>
    <row r="913" spans="1:4" hidden="1" x14ac:dyDescent="0.3">
      <c r="A913">
        <v>911</v>
      </c>
      <c r="B913" t="s">
        <v>1111</v>
      </c>
      <c r="C913" t="s">
        <v>164</v>
      </c>
      <c r="D913">
        <v>0.99961455204788696</v>
      </c>
    </row>
    <row r="914" spans="1:4" hidden="1" x14ac:dyDescent="0.3">
      <c r="A914">
        <v>912</v>
      </c>
      <c r="B914" s="1" t="s">
        <v>1112</v>
      </c>
      <c r="C914" t="s">
        <v>166</v>
      </c>
      <c r="D914" s="1" t="s">
        <v>1113</v>
      </c>
    </row>
    <row r="915" spans="1:4" hidden="1" x14ac:dyDescent="0.3">
      <c r="A915">
        <v>913</v>
      </c>
      <c r="B915" s="1" t="s">
        <v>1114</v>
      </c>
      <c r="C915" t="s">
        <v>55</v>
      </c>
      <c r="D915" s="1" t="s">
        <v>1115</v>
      </c>
    </row>
    <row r="916" spans="1:4" hidden="1" x14ac:dyDescent="0.3">
      <c r="A916">
        <v>914</v>
      </c>
      <c r="B916" s="1" t="s">
        <v>1116</v>
      </c>
      <c r="C916" t="s">
        <v>52</v>
      </c>
      <c r="D916" s="1" t="s">
        <v>1117</v>
      </c>
    </row>
    <row r="917" spans="1:4" hidden="1" x14ac:dyDescent="0.3">
      <c r="A917">
        <v>915</v>
      </c>
      <c r="B917" s="1" t="s">
        <v>1118</v>
      </c>
      <c r="C917" t="s">
        <v>58</v>
      </c>
      <c r="D917" s="1" t="s">
        <v>1119</v>
      </c>
    </row>
    <row r="918" spans="1:4" hidden="1" x14ac:dyDescent="0.3">
      <c r="A918">
        <v>916</v>
      </c>
      <c r="B918" t="s">
        <v>1120</v>
      </c>
      <c r="C918" t="s">
        <v>61</v>
      </c>
      <c r="D918">
        <v>149932463.109826</v>
      </c>
    </row>
    <row r="919" spans="1:4" hidden="1" x14ac:dyDescent="0.3">
      <c r="A919">
        <v>917</v>
      </c>
      <c r="B919" t="s">
        <v>1121</v>
      </c>
      <c r="C919" t="s">
        <v>63</v>
      </c>
      <c r="D919">
        <v>80001136.994865701</v>
      </c>
    </row>
    <row r="920" spans="1:4" hidden="1" x14ac:dyDescent="0.3">
      <c r="A920">
        <v>918</v>
      </c>
      <c r="B920" t="s">
        <v>1122</v>
      </c>
      <c r="C920" t="s">
        <v>65</v>
      </c>
      <c r="D920">
        <v>40000507.2993479</v>
      </c>
    </row>
    <row r="921" spans="1:4" hidden="1" x14ac:dyDescent="0.3">
      <c r="A921">
        <v>919</v>
      </c>
      <c r="B921" s="1" t="s">
        <v>1123</v>
      </c>
      <c r="C921" t="s">
        <v>67</v>
      </c>
      <c r="D921" s="1" t="s">
        <v>1124</v>
      </c>
    </row>
    <row r="922" spans="1:4" hidden="1" x14ac:dyDescent="0.3">
      <c r="A922">
        <v>920</v>
      </c>
      <c r="B922" s="1" t="s">
        <v>1125</v>
      </c>
      <c r="C922" t="s">
        <v>70</v>
      </c>
      <c r="D922" s="1" t="s">
        <v>1126</v>
      </c>
    </row>
    <row r="923" spans="1:4" hidden="1" x14ac:dyDescent="0.3">
      <c r="A923">
        <v>921</v>
      </c>
      <c r="B923" t="s">
        <v>1127</v>
      </c>
      <c r="C923" t="s">
        <v>73</v>
      </c>
      <c r="D923">
        <v>1.0000474797846299</v>
      </c>
    </row>
    <row r="924" spans="1:4" hidden="1" x14ac:dyDescent="0.3">
      <c r="A924">
        <v>922</v>
      </c>
      <c r="B924" t="s">
        <v>74</v>
      </c>
      <c r="C924" t="s">
        <v>75</v>
      </c>
      <c r="D924">
        <v>2.7397260273972599E-3</v>
      </c>
    </row>
    <row r="925" spans="1:4" hidden="1" x14ac:dyDescent="0.3">
      <c r="A925">
        <v>923</v>
      </c>
      <c r="B925" t="s">
        <v>76</v>
      </c>
      <c r="C925" t="s">
        <v>77</v>
      </c>
      <c r="D925">
        <v>0</v>
      </c>
    </row>
    <row r="926" spans="1:4" hidden="1" x14ac:dyDescent="0.3">
      <c r="A926">
        <v>924</v>
      </c>
      <c r="B926" t="s">
        <v>346</v>
      </c>
      <c r="C926" t="s">
        <v>79</v>
      </c>
      <c r="D926" s="2">
        <v>-2.2204460492503101E-16</v>
      </c>
    </row>
    <row r="927" spans="1:4" hidden="1" x14ac:dyDescent="0.3">
      <c r="A927">
        <v>925</v>
      </c>
      <c r="B927" s="1" t="s">
        <v>1128</v>
      </c>
      <c r="C927" t="s">
        <v>81</v>
      </c>
      <c r="D927" s="1" t="s">
        <v>1129</v>
      </c>
    </row>
    <row r="928" spans="1:4" hidden="1" x14ac:dyDescent="0.3">
      <c r="A928">
        <v>926</v>
      </c>
      <c r="B928" t="s">
        <v>1130</v>
      </c>
      <c r="C928" t="s">
        <v>84</v>
      </c>
      <c r="D928">
        <v>1.0000085642501899</v>
      </c>
    </row>
    <row r="929" spans="1:4" hidden="1" x14ac:dyDescent="0.3">
      <c r="A929">
        <v>927</v>
      </c>
      <c r="B929" s="1" t="s">
        <v>1131</v>
      </c>
      <c r="C929" t="s">
        <v>86</v>
      </c>
      <c r="D929" s="1" t="s">
        <v>1132</v>
      </c>
    </row>
    <row r="930" spans="1:4" hidden="1" x14ac:dyDescent="0.3">
      <c r="A930">
        <v>928</v>
      </c>
      <c r="B930" t="s">
        <v>1133</v>
      </c>
      <c r="C930" t="s">
        <v>89</v>
      </c>
      <c r="D930">
        <v>99999143.582315505</v>
      </c>
    </row>
    <row r="931" spans="1:4" hidden="1" x14ac:dyDescent="0.3">
      <c r="A931">
        <v>929</v>
      </c>
      <c r="B931" s="1" t="s">
        <v>1134</v>
      </c>
      <c r="C931" t="s">
        <v>91</v>
      </c>
      <c r="D931" s="1" t="s">
        <v>1080</v>
      </c>
    </row>
    <row r="932" spans="1:4" hidden="1" x14ac:dyDescent="0.3">
      <c r="A932">
        <v>930</v>
      </c>
      <c r="B932" t="s">
        <v>1135</v>
      </c>
      <c r="C932" t="s">
        <v>94</v>
      </c>
      <c r="D932">
        <v>80001136.994865701</v>
      </c>
    </row>
    <row r="933" spans="1:4" hidden="1" x14ac:dyDescent="0.3">
      <c r="A933">
        <v>931</v>
      </c>
      <c r="B933" t="s">
        <v>1136</v>
      </c>
      <c r="C933" t="s">
        <v>96</v>
      </c>
      <c r="D933">
        <v>40000507.2993479</v>
      </c>
    </row>
    <row r="934" spans="1:4" hidden="1" x14ac:dyDescent="0.3">
      <c r="A934">
        <v>932</v>
      </c>
      <c r="B934" t="s">
        <v>1137</v>
      </c>
      <c r="C934" t="s">
        <v>98</v>
      </c>
      <c r="D934">
        <v>29930818.8156128</v>
      </c>
    </row>
    <row r="935" spans="1:4" hidden="1" x14ac:dyDescent="0.3">
      <c r="A935">
        <v>933</v>
      </c>
      <c r="B935" s="1" t="s">
        <v>1138</v>
      </c>
      <c r="C935" t="s">
        <v>100</v>
      </c>
      <c r="D935" s="1" t="s">
        <v>1139</v>
      </c>
    </row>
    <row r="936" spans="1:4" hidden="1" x14ac:dyDescent="0.3">
      <c r="A936">
        <v>934</v>
      </c>
      <c r="B936" t="s">
        <v>1140</v>
      </c>
      <c r="C936" t="s">
        <v>103</v>
      </c>
      <c r="D936">
        <v>1.02042985191987E-2</v>
      </c>
    </row>
    <row r="937" spans="1:4" hidden="1" x14ac:dyDescent="0.3">
      <c r="A937">
        <v>935</v>
      </c>
      <c r="B937" t="s">
        <v>1141</v>
      </c>
      <c r="C937" t="s">
        <v>105</v>
      </c>
      <c r="D937">
        <v>2.8321927990270501E-3</v>
      </c>
    </row>
    <row r="938" spans="1:4" hidden="1" x14ac:dyDescent="0.3">
      <c r="A938">
        <v>936</v>
      </c>
      <c r="B938" t="s">
        <v>1142</v>
      </c>
      <c r="C938" t="s">
        <v>107</v>
      </c>
      <c r="D938">
        <v>2.20011595585301E-2</v>
      </c>
    </row>
    <row r="939" spans="1:4" hidden="1" x14ac:dyDescent="0.3">
      <c r="A939">
        <v>937</v>
      </c>
      <c r="B939" s="1" t="s">
        <v>1143</v>
      </c>
      <c r="C939" t="s">
        <v>109</v>
      </c>
      <c r="D939" s="1" t="s">
        <v>1144</v>
      </c>
    </row>
    <row r="940" spans="1:4" x14ac:dyDescent="0.3">
      <c r="A940">
        <v>938</v>
      </c>
      <c r="B940" t="s">
        <v>1145</v>
      </c>
      <c r="C940" t="s">
        <v>197</v>
      </c>
      <c r="D940">
        <v>149931116.05739301</v>
      </c>
    </row>
    <row r="941" spans="1:4" hidden="1" x14ac:dyDescent="0.3">
      <c r="A941">
        <v>939</v>
      </c>
      <c r="B941" t="s">
        <v>1146</v>
      </c>
      <c r="C941" t="s">
        <v>199</v>
      </c>
      <c r="D941">
        <v>3113.0987901365602</v>
      </c>
    </row>
    <row r="942" spans="1:4" hidden="1" x14ac:dyDescent="0.3">
      <c r="A942">
        <v>940</v>
      </c>
      <c r="B942" t="s">
        <v>1147</v>
      </c>
      <c r="C942" t="s">
        <v>201</v>
      </c>
      <c r="D942">
        <v>1556.5593088066</v>
      </c>
    </row>
    <row r="943" spans="1:4" hidden="1" x14ac:dyDescent="0.3">
      <c r="A943">
        <v>941</v>
      </c>
      <c r="B943" s="1" t="s">
        <v>1148</v>
      </c>
      <c r="C943" t="s">
        <v>203</v>
      </c>
      <c r="D943" s="1" t="s">
        <v>1149</v>
      </c>
    </row>
    <row r="944" spans="1:4" hidden="1" x14ac:dyDescent="0.3">
      <c r="A944">
        <v>942</v>
      </c>
      <c r="B944" t="s">
        <v>1150</v>
      </c>
      <c r="C944" t="s">
        <v>206</v>
      </c>
      <c r="D944">
        <v>79996985.675174296</v>
      </c>
    </row>
    <row r="945" spans="1:4" hidden="1" x14ac:dyDescent="0.3">
      <c r="A945">
        <v>943</v>
      </c>
      <c r="B945" t="s">
        <v>1151</v>
      </c>
      <c r="C945" t="s">
        <v>208</v>
      </c>
      <c r="D945">
        <v>39998747.589920901</v>
      </c>
    </row>
    <row r="946" spans="1:4" hidden="1" x14ac:dyDescent="0.3">
      <c r="A946">
        <v>944</v>
      </c>
      <c r="B946" t="s">
        <v>1152</v>
      </c>
      <c r="C946" t="s">
        <v>210</v>
      </c>
      <c r="D946">
        <v>29929548.419802099</v>
      </c>
    </row>
    <row r="947" spans="1:4" hidden="1" x14ac:dyDescent="0.3">
      <c r="A947">
        <v>945</v>
      </c>
      <c r="B947" s="1" t="s">
        <v>1153</v>
      </c>
      <c r="C947" t="s">
        <v>212</v>
      </c>
      <c r="D947" s="1" t="s">
        <v>1154</v>
      </c>
    </row>
    <row r="948" spans="1:4" hidden="1" x14ac:dyDescent="0.3">
      <c r="A948">
        <v>946</v>
      </c>
      <c r="B948" t="s">
        <v>1155</v>
      </c>
      <c r="C948" t="s">
        <v>215</v>
      </c>
      <c r="D948">
        <v>99995252.246958807</v>
      </c>
    </row>
    <row r="949" spans="1:4" hidden="1" x14ac:dyDescent="0.3">
      <c r="A949">
        <v>947</v>
      </c>
      <c r="B949" t="s">
        <v>1156</v>
      </c>
      <c r="C949" t="s">
        <v>217</v>
      </c>
      <c r="D949">
        <v>3891.3353567272402</v>
      </c>
    </row>
    <row r="950" spans="1:4" hidden="1" x14ac:dyDescent="0.3">
      <c r="A950">
        <v>948</v>
      </c>
      <c r="B950" s="1" t="s">
        <v>1157</v>
      </c>
      <c r="C950" t="s">
        <v>219</v>
      </c>
      <c r="D950" s="1" t="s">
        <v>1158</v>
      </c>
    </row>
    <row r="951" spans="1:4" hidden="1" x14ac:dyDescent="0.3">
      <c r="A951">
        <v>949</v>
      </c>
      <c r="B951" t="s">
        <v>1159</v>
      </c>
      <c r="C951" t="s">
        <v>112</v>
      </c>
      <c r="D951">
        <v>-1038.2209012722601</v>
      </c>
    </row>
    <row r="952" spans="1:4" hidden="1" x14ac:dyDescent="0.3">
      <c r="A952">
        <v>950</v>
      </c>
      <c r="B952" t="s">
        <v>1160</v>
      </c>
      <c r="C952" t="s">
        <v>114</v>
      </c>
      <c r="D952">
        <v>-203.15011815565001</v>
      </c>
    </row>
    <row r="953" spans="1:4" hidden="1" x14ac:dyDescent="0.3">
      <c r="A953">
        <v>951</v>
      </c>
      <c r="B953" s="1" t="s">
        <v>1161</v>
      </c>
      <c r="C953" t="s">
        <v>116</v>
      </c>
      <c r="D953" s="1" t="s">
        <v>1162</v>
      </c>
    </row>
    <row r="954" spans="1:4" hidden="1" x14ac:dyDescent="0.3">
      <c r="A954">
        <v>952</v>
      </c>
      <c r="B954" t="s">
        <v>1163</v>
      </c>
      <c r="C954" t="s">
        <v>119</v>
      </c>
      <c r="D954">
        <v>79996985.675174296</v>
      </c>
    </row>
    <row r="955" spans="1:4" hidden="1" x14ac:dyDescent="0.3">
      <c r="A955">
        <v>953</v>
      </c>
      <c r="B955" t="s">
        <v>1164</v>
      </c>
      <c r="C955" t="s">
        <v>121</v>
      </c>
      <c r="D955">
        <v>39998747.589920901</v>
      </c>
    </row>
    <row r="956" spans="1:4" hidden="1" x14ac:dyDescent="0.3">
      <c r="A956">
        <v>954</v>
      </c>
      <c r="B956" s="1" t="s">
        <v>1165</v>
      </c>
      <c r="C956" t="s">
        <v>123</v>
      </c>
      <c r="D956" s="1" t="s">
        <v>1166</v>
      </c>
    </row>
    <row r="957" spans="1:4" hidden="1" x14ac:dyDescent="0.3">
      <c r="A957">
        <v>955</v>
      </c>
      <c r="B957" t="s">
        <v>1167</v>
      </c>
      <c r="C957" t="s">
        <v>126</v>
      </c>
      <c r="D957">
        <v>0.80000098773964401</v>
      </c>
    </row>
    <row r="958" spans="1:4" hidden="1" x14ac:dyDescent="0.3">
      <c r="A958">
        <v>956</v>
      </c>
      <c r="B958" t="s">
        <v>1168</v>
      </c>
      <c r="C958" t="s">
        <v>128</v>
      </c>
      <c r="D958">
        <v>0.40000304149229698</v>
      </c>
    </row>
    <row r="959" spans="1:4" hidden="1" x14ac:dyDescent="0.3">
      <c r="A959">
        <v>957</v>
      </c>
      <c r="B959" s="1" t="s">
        <v>1169</v>
      </c>
      <c r="C959" t="s">
        <v>130</v>
      </c>
      <c r="D959" s="1" t="s">
        <v>1170</v>
      </c>
    </row>
    <row r="960" spans="1:4" hidden="1" x14ac:dyDescent="0.3">
      <c r="A960">
        <v>958</v>
      </c>
      <c r="B960" s="1" t="s">
        <v>3</v>
      </c>
      <c r="C960" t="s">
        <v>4</v>
      </c>
      <c r="D960" t="s">
        <v>5</v>
      </c>
    </row>
    <row r="961" spans="1:4" hidden="1" x14ac:dyDescent="0.3">
      <c r="A961">
        <v>959</v>
      </c>
      <c r="B961" t="s">
        <v>6</v>
      </c>
      <c r="C961" t="s">
        <v>7</v>
      </c>
      <c r="D961">
        <v>1950.52</v>
      </c>
    </row>
    <row r="962" spans="1:4" hidden="1" x14ac:dyDescent="0.3">
      <c r="A962">
        <v>960</v>
      </c>
      <c r="B962" s="1" t="s">
        <v>132</v>
      </c>
      <c r="C962" t="s">
        <v>9</v>
      </c>
      <c r="D962" s="1" t="s">
        <v>133</v>
      </c>
    </row>
    <row r="963" spans="1:4" hidden="1" x14ac:dyDescent="0.3">
      <c r="A963">
        <v>961</v>
      </c>
      <c r="B963" t="s">
        <v>13</v>
      </c>
      <c r="C963" t="s">
        <v>14</v>
      </c>
      <c r="D963">
        <v>90.82421875</v>
      </c>
    </row>
    <row r="964" spans="1:4" hidden="1" x14ac:dyDescent="0.3">
      <c r="A964">
        <v>962</v>
      </c>
      <c r="B964" t="s">
        <v>15</v>
      </c>
      <c r="C964" t="s">
        <v>16</v>
      </c>
      <c r="D964">
        <v>4.2527792330373497</v>
      </c>
    </row>
    <row r="965" spans="1:4" hidden="1" x14ac:dyDescent="0.3">
      <c r="A965">
        <v>963</v>
      </c>
      <c r="B965" s="1" t="s">
        <v>134</v>
      </c>
      <c r="C965" t="s">
        <v>135</v>
      </c>
      <c r="D965" s="1" t="s">
        <v>136</v>
      </c>
    </row>
    <row r="966" spans="1:4" hidden="1" x14ac:dyDescent="0.3">
      <c r="A966">
        <v>964</v>
      </c>
      <c r="B966" t="s">
        <v>21</v>
      </c>
      <c r="C966" t="s">
        <v>22</v>
      </c>
      <c r="D966">
        <v>62.9</v>
      </c>
    </row>
    <row r="967" spans="1:4" hidden="1" x14ac:dyDescent="0.3">
      <c r="A967">
        <v>965</v>
      </c>
      <c r="B967" t="s">
        <v>1171</v>
      </c>
      <c r="C967" t="s">
        <v>24</v>
      </c>
      <c r="D967">
        <v>3.96749002522678</v>
      </c>
    </row>
    <row r="968" spans="1:4" hidden="1" x14ac:dyDescent="0.3">
      <c r="A968">
        <v>966</v>
      </c>
      <c r="B968" s="1" t="s">
        <v>1172</v>
      </c>
      <c r="C968" t="s">
        <v>139</v>
      </c>
      <c r="D968" s="1" t="s">
        <v>1173</v>
      </c>
    </row>
    <row r="969" spans="1:4" hidden="1" x14ac:dyDescent="0.3">
      <c r="A969">
        <v>967</v>
      </c>
      <c r="B969" t="s">
        <v>1174</v>
      </c>
      <c r="C969" t="s">
        <v>35</v>
      </c>
      <c r="D969">
        <v>-1.26257637806186</v>
      </c>
    </row>
    <row r="970" spans="1:4" hidden="1" x14ac:dyDescent="0.3">
      <c r="A970">
        <v>968</v>
      </c>
      <c r="B970" t="s">
        <v>1175</v>
      </c>
      <c r="C970" t="s">
        <v>143</v>
      </c>
      <c r="D970">
        <v>0.54292533575355095</v>
      </c>
    </row>
    <row r="971" spans="1:4" hidden="1" x14ac:dyDescent="0.3">
      <c r="A971">
        <v>969</v>
      </c>
      <c r="B971" s="1" t="s">
        <v>1176</v>
      </c>
      <c r="C971" t="s">
        <v>145</v>
      </c>
      <c r="D971" s="1" t="s">
        <v>1177</v>
      </c>
    </row>
    <row r="972" spans="1:4" hidden="1" x14ac:dyDescent="0.3">
      <c r="A972">
        <v>970</v>
      </c>
      <c r="B972" t="s">
        <v>1178</v>
      </c>
      <c r="C972" t="s">
        <v>30</v>
      </c>
      <c r="D972">
        <v>1.1523607588584801</v>
      </c>
    </row>
    <row r="973" spans="1:4" hidden="1" x14ac:dyDescent="0.3">
      <c r="A973">
        <v>971</v>
      </c>
      <c r="B973" t="s">
        <v>1179</v>
      </c>
      <c r="C973" t="s">
        <v>32</v>
      </c>
      <c r="D973">
        <v>0.37148590052799202</v>
      </c>
    </row>
    <row r="974" spans="1:4" hidden="1" x14ac:dyDescent="0.3">
      <c r="A974">
        <v>972</v>
      </c>
      <c r="B974" s="1" t="s">
        <v>1180</v>
      </c>
      <c r="C974" t="s">
        <v>149</v>
      </c>
      <c r="D974" s="1" t="s">
        <v>1181</v>
      </c>
    </row>
    <row r="975" spans="1:4" hidden="1" x14ac:dyDescent="0.3">
      <c r="A975">
        <v>973</v>
      </c>
      <c r="B975" t="s">
        <v>1182</v>
      </c>
      <c r="C975" t="s">
        <v>40</v>
      </c>
      <c r="D975">
        <v>1.1102156192033801</v>
      </c>
    </row>
    <row r="976" spans="1:4" hidden="1" x14ac:dyDescent="0.3">
      <c r="A976">
        <v>974</v>
      </c>
      <c r="B976" t="s">
        <v>1183</v>
      </c>
      <c r="C976" t="s">
        <v>42</v>
      </c>
      <c r="D976">
        <v>0.47038798920686897</v>
      </c>
    </row>
    <row r="977" spans="1:4" hidden="1" x14ac:dyDescent="0.3">
      <c r="A977">
        <v>975</v>
      </c>
      <c r="B977" s="1" t="s">
        <v>1184</v>
      </c>
      <c r="C977" t="s">
        <v>153</v>
      </c>
      <c r="D977" s="1" t="s">
        <v>1185</v>
      </c>
    </row>
    <row r="978" spans="1:4" hidden="1" x14ac:dyDescent="0.3">
      <c r="A978">
        <v>976</v>
      </c>
      <c r="B978" t="s">
        <v>154</v>
      </c>
      <c r="C978" t="s">
        <v>155</v>
      </c>
      <c r="D978">
        <v>1</v>
      </c>
    </row>
    <row r="979" spans="1:4" hidden="1" x14ac:dyDescent="0.3">
      <c r="A979">
        <v>977</v>
      </c>
      <c r="B979" t="s">
        <v>156</v>
      </c>
      <c r="C979" t="s">
        <v>157</v>
      </c>
      <c r="D979">
        <v>1</v>
      </c>
    </row>
    <row r="980" spans="1:4" hidden="1" x14ac:dyDescent="0.3">
      <c r="A980">
        <v>978</v>
      </c>
      <c r="B980" s="1" t="s">
        <v>1186</v>
      </c>
      <c r="C980" t="s">
        <v>159</v>
      </c>
      <c r="D980" s="1" t="s">
        <v>1187</v>
      </c>
    </row>
    <row r="981" spans="1:4" hidden="1" x14ac:dyDescent="0.3">
      <c r="A981">
        <v>979</v>
      </c>
      <c r="B981" t="s">
        <v>1188</v>
      </c>
      <c r="C981" t="s">
        <v>162</v>
      </c>
      <c r="D981">
        <v>1.0004046818771899</v>
      </c>
    </row>
    <row r="982" spans="1:4" hidden="1" x14ac:dyDescent="0.3">
      <c r="A982">
        <v>980</v>
      </c>
      <c r="B982" t="s">
        <v>1189</v>
      </c>
      <c r="C982" t="s">
        <v>164</v>
      </c>
      <c r="D982">
        <v>0.99946029773305201</v>
      </c>
    </row>
    <row r="983" spans="1:4" hidden="1" x14ac:dyDescent="0.3">
      <c r="A983">
        <v>981</v>
      </c>
      <c r="B983" s="1" t="s">
        <v>1190</v>
      </c>
      <c r="C983" t="s">
        <v>166</v>
      </c>
      <c r="D983" s="1" t="s">
        <v>1191</v>
      </c>
    </row>
    <row r="984" spans="1:4" hidden="1" x14ac:dyDescent="0.3">
      <c r="A984">
        <v>982</v>
      </c>
      <c r="B984" s="1" t="s">
        <v>1192</v>
      </c>
      <c r="C984" t="s">
        <v>55</v>
      </c>
      <c r="D984" s="1" t="s">
        <v>1193</v>
      </c>
    </row>
    <row r="985" spans="1:4" hidden="1" x14ac:dyDescent="0.3">
      <c r="A985">
        <v>983</v>
      </c>
      <c r="B985" s="1" t="s">
        <v>1194</v>
      </c>
      <c r="C985" t="s">
        <v>52</v>
      </c>
      <c r="D985" s="1" t="s">
        <v>1195</v>
      </c>
    </row>
    <row r="986" spans="1:4" hidden="1" x14ac:dyDescent="0.3">
      <c r="A986">
        <v>984</v>
      </c>
      <c r="B986" s="1" t="s">
        <v>1196</v>
      </c>
      <c r="C986" t="s">
        <v>58</v>
      </c>
      <c r="D986" s="1" t="s">
        <v>1197</v>
      </c>
    </row>
    <row r="987" spans="1:4" hidden="1" x14ac:dyDescent="0.3">
      <c r="A987">
        <v>985</v>
      </c>
      <c r="B987" t="s">
        <v>1198</v>
      </c>
      <c r="C987" t="s">
        <v>61</v>
      </c>
      <c r="D987">
        <v>149919557.79166901</v>
      </c>
    </row>
    <row r="988" spans="1:4" hidden="1" x14ac:dyDescent="0.3">
      <c r="A988">
        <v>986</v>
      </c>
      <c r="B988" t="s">
        <v>1199</v>
      </c>
      <c r="C988" t="s">
        <v>63</v>
      </c>
      <c r="D988">
        <v>79996985.675174296</v>
      </c>
    </row>
    <row r="989" spans="1:4" hidden="1" x14ac:dyDescent="0.3">
      <c r="A989">
        <v>987</v>
      </c>
      <c r="B989" t="s">
        <v>1200</v>
      </c>
      <c r="C989" t="s">
        <v>65</v>
      </c>
      <c r="D989">
        <v>39998747.589920901</v>
      </c>
    </row>
    <row r="990" spans="1:4" hidden="1" x14ac:dyDescent="0.3">
      <c r="A990">
        <v>988</v>
      </c>
      <c r="B990" s="1" t="s">
        <v>1201</v>
      </c>
      <c r="C990" t="s">
        <v>67</v>
      </c>
      <c r="D990" s="1" t="s">
        <v>1202</v>
      </c>
    </row>
    <row r="991" spans="1:4" hidden="1" x14ac:dyDescent="0.3">
      <c r="A991">
        <v>989</v>
      </c>
      <c r="B991" s="1" t="s">
        <v>1203</v>
      </c>
      <c r="C991" t="s">
        <v>70</v>
      </c>
      <c r="D991" s="1" t="s">
        <v>1204</v>
      </c>
    </row>
    <row r="992" spans="1:4" hidden="1" x14ac:dyDescent="0.3">
      <c r="A992">
        <v>990</v>
      </c>
      <c r="B992" t="s">
        <v>1205</v>
      </c>
      <c r="C992" t="s">
        <v>73</v>
      </c>
      <c r="D992">
        <v>1.0000085642501899</v>
      </c>
    </row>
    <row r="993" spans="1:4" hidden="1" x14ac:dyDescent="0.3">
      <c r="A993">
        <v>991</v>
      </c>
      <c r="B993" t="s">
        <v>74</v>
      </c>
      <c r="C993" t="s">
        <v>75</v>
      </c>
      <c r="D993">
        <v>2.7397260273972599E-3</v>
      </c>
    </row>
    <row r="994" spans="1:4" hidden="1" x14ac:dyDescent="0.3">
      <c r="A994">
        <v>992</v>
      </c>
      <c r="B994" t="s">
        <v>76</v>
      </c>
      <c r="C994" t="s">
        <v>77</v>
      </c>
      <c r="D994">
        <v>0</v>
      </c>
    </row>
    <row r="995" spans="1:4" hidden="1" x14ac:dyDescent="0.3">
      <c r="A995">
        <v>993</v>
      </c>
      <c r="B995" t="s">
        <v>78</v>
      </c>
      <c r="C995" t="s">
        <v>79</v>
      </c>
      <c r="D995">
        <v>0</v>
      </c>
    </row>
    <row r="996" spans="1:4" hidden="1" x14ac:dyDescent="0.3">
      <c r="A996">
        <v>994</v>
      </c>
      <c r="B996" s="1" t="s">
        <v>1206</v>
      </c>
      <c r="C996" t="s">
        <v>81</v>
      </c>
      <c r="D996" s="1" t="s">
        <v>1207</v>
      </c>
    </row>
    <row r="997" spans="1:4" hidden="1" x14ac:dyDescent="0.3">
      <c r="A997">
        <v>995</v>
      </c>
      <c r="B997" t="s">
        <v>1208</v>
      </c>
      <c r="C997" t="s">
        <v>84</v>
      </c>
      <c r="D997">
        <v>1.00000674162832</v>
      </c>
    </row>
    <row r="998" spans="1:4" hidden="1" x14ac:dyDescent="0.3">
      <c r="A998">
        <v>996</v>
      </c>
      <c r="B998" s="1" t="s">
        <v>1209</v>
      </c>
      <c r="C998" t="s">
        <v>86</v>
      </c>
      <c r="D998" s="1" t="s">
        <v>1210</v>
      </c>
    </row>
    <row r="999" spans="1:4" hidden="1" x14ac:dyDescent="0.3">
      <c r="A999">
        <v>997</v>
      </c>
      <c r="B999" t="s">
        <v>1211</v>
      </c>
      <c r="C999" t="s">
        <v>89</v>
      </c>
      <c r="D999">
        <v>99999325.8417124</v>
      </c>
    </row>
    <row r="1000" spans="1:4" hidden="1" x14ac:dyDescent="0.3">
      <c r="A1000">
        <v>998</v>
      </c>
      <c r="B1000" s="1" t="s">
        <v>1212</v>
      </c>
      <c r="C1000" t="s">
        <v>91</v>
      </c>
      <c r="D1000" s="1" t="s">
        <v>1158</v>
      </c>
    </row>
    <row r="1001" spans="1:4" hidden="1" x14ac:dyDescent="0.3">
      <c r="A1001">
        <v>999</v>
      </c>
      <c r="B1001" t="s">
        <v>1213</v>
      </c>
      <c r="C1001" t="s">
        <v>94</v>
      </c>
      <c r="D1001">
        <v>79996985.675174296</v>
      </c>
    </row>
    <row r="1002" spans="1:4" hidden="1" x14ac:dyDescent="0.3">
      <c r="A1002">
        <v>1000</v>
      </c>
      <c r="B1002" t="s">
        <v>1214</v>
      </c>
      <c r="C1002" t="s">
        <v>96</v>
      </c>
      <c r="D1002">
        <v>39998747.589920901</v>
      </c>
    </row>
    <row r="1003" spans="1:4" hidden="1" x14ac:dyDescent="0.3">
      <c r="A1003">
        <v>1001</v>
      </c>
      <c r="B1003" t="s">
        <v>1215</v>
      </c>
      <c r="C1003" t="s">
        <v>98</v>
      </c>
      <c r="D1003">
        <v>29923824.526574198</v>
      </c>
    </row>
    <row r="1004" spans="1:4" hidden="1" x14ac:dyDescent="0.3">
      <c r="A1004">
        <v>1002</v>
      </c>
      <c r="B1004" s="1" t="s">
        <v>1216</v>
      </c>
      <c r="C1004" t="s">
        <v>100</v>
      </c>
      <c r="D1004" s="1" t="s">
        <v>1217</v>
      </c>
    </row>
    <row r="1005" spans="1:4" hidden="1" x14ac:dyDescent="0.3">
      <c r="A1005">
        <v>1003</v>
      </c>
      <c r="B1005" t="s">
        <v>1218</v>
      </c>
      <c r="C1005" t="s">
        <v>103</v>
      </c>
      <c r="D1005">
        <v>1.02249551645297E-2</v>
      </c>
    </row>
    <row r="1006" spans="1:4" hidden="1" x14ac:dyDescent="0.3">
      <c r="A1006">
        <v>1004</v>
      </c>
      <c r="B1006" t="s">
        <v>1219</v>
      </c>
      <c r="C1006" t="s">
        <v>105</v>
      </c>
      <c r="D1006">
        <v>2.8425488688206498E-3</v>
      </c>
    </row>
    <row r="1007" spans="1:4" hidden="1" x14ac:dyDescent="0.3">
      <c r="A1007">
        <v>1005</v>
      </c>
      <c r="B1007" t="s">
        <v>1220</v>
      </c>
      <c r="C1007" t="s">
        <v>107</v>
      </c>
      <c r="D1007">
        <v>2.2098324601634401E-2</v>
      </c>
    </row>
    <row r="1008" spans="1:4" hidden="1" x14ac:dyDescent="0.3">
      <c r="A1008">
        <v>1006</v>
      </c>
      <c r="B1008" s="1" t="s">
        <v>1221</v>
      </c>
      <c r="C1008" t="s">
        <v>109</v>
      </c>
      <c r="D1008" s="1" t="s">
        <v>1222</v>
      </c>
    </row>
    <row r="1009" spans="1:4" x14ac:dyDescent="0.3">
      <c r="A1009">
        <v>1007</v>
      </c>
      <c r="B1009" t="s">
        <v>1223</v>
      </c>
      <c r="C1009" t="s">
        <v>197</v>
      </c>
      <c r="D1009">
        <v>149919494.69913</v>
      </c>
    </row>
    <row r="1010" spans="1:4" hidden="1" x14ac:dyDescent="0.3">
      <c r="A1010">
        <v>1008</v>
      </c>
      <c r="B1010" t="s">
        <v>1224</v>
      </c>
      <c r="C1010" t="s">
        <v>199</v>
      </c>
      <c r="D1010">
        <v>145.80291794123499</v>
      </c>
    </row>
    <row r="1011" spans="1:4" hidden="1" x14ac:dyDescent="0.3">
      <c r="A1011">
        <v>1009</v>
      </c>
      <c r="B1011" t="s">
        <v>1225</v>
      </c>
      <c r="C1011" t="s">
        <v>201</v>
      </c>
      <c r="D1011">
        <v>72.901950253091599</v>
      </c>
    </row>
    <row r="1012" spans="1:4" hidden="1" x14ac:dyDescent="0.3">
      <c r="A1012">
        <v>1010</v>
      </c>
      <c r="B1012" s="1" t="s">
        <v>1226</v>
      </c>
      <c r="C1012" t="s">
        <v>203</v>
      </c>
      <c r="D1012" s="1" t="s">
        <v>1227</v>
      </c>
    </row>
    <row r="1013" spans="1:4" hidden="1" x14ac:dyDescent="0.3">
      <c r="A1013">
        <v>1011</v>
      </c>
      <c r="B1013" t="s">
        <v>1228</v>
      </c>
      <c r="C1013" t="s">
        <v>206</v>
      </c>
      <c r="D1013">
        <v>79996791.245087698</v>
      </c>
    </row>
    <row r="1014" spans="1:4" hidden="1" x14ac:dyDescent="0.3">
      <c r="A1014">
        <v>1012</v>
      </c>
      <c r="B1014" t="s">
        <v>1229</v>
      </c>
      <c r="C1014" t="s">
        <v>208</v>
      </c>
      <c r="D1014">
        <v>39998665.171480499</v>
      </c>
    </row>
    <row r="1015" spans="1:4" hidden="1" x14ac:dyDescent="0.3">
      <c r="A1015">
        <v>1013</v>
      </c>
      <c r="B1015" t="s">
        <v>1230</v>
      </c>
      <c r="C1015" t="s">
        <v>210</v>
      </c>
      <c r="D1015">
        <v>29923765.038352799</v>
      </c>
    </row>
    <row r="1016" spans="1:4" hidden="1" x14ac:dyDescent="0.3">
      <c r="A1016">
        <v>1014</v>
      </c>
      <c r="B1016" s="1" t="s">
        <v>1231</v>
      </c>
      <c r="C1016" t="s">
        <v>212</v>
      </c>
      <c r="D1016" s="1" t="s">
        <v>1232</v>
      </c>
    </row>
    <row r="1017" spans="1:4" hidden="1" x14ac:dyDescent="0.3">
      <c r="A1017">
        <v>1015</v>
      </c>
      <c r="B1017" t="s">
        <v>1233</v>
      </c>
      <c r="C1017" t="s">
        <v>215</v>
      </c>
      <c r="D1017">
        <v>99999143.582315505</v>
      </c>
    </row>
    <row r="1018" spans="1:4" hidden="1" x14ac:dyDescent="0.3">
      <c r="A1018">
        <v>1016</v>
      </c>
      <c r="B1018" t="s">
        <v>1234</v>
      </c>
      <c r="C1018" t="s">
        <v>217</v>
      </c>
      <c r="D1018">
        <v>182.259396895766</v>
      </c>
    </row>
    <row r="1019" spans="1:4" hidden="1" x14ac:dyDescent="0.3">
      <c r="A1019">
        <v>1017</v>
      </c>
      <c r="B1019" s="1" t="s">
        <v>1235</v>
      </c>
      <c r="C1019" t="s">
        <v>219</v>
      </c>
      <c r="D1019" s="1" t="s">
        <v>1236</v>
      </c>
    </row>
    <row r="1020" spans="1:4" hidden="1" x14ac:dyDescent="0.3">
      <c r="A1020">
        <v>1018</v>
      </c>
      <c r="B1020" t="s">
        <v>1237</v>
      </c>
      <c r="C1020" t="s">
        <v>112</v>
      </c>
      <c r="D1020">
        <v>-48.627168615124397</v>
      </c>
    </row>
    <row r="1021" spans="1:4" hidden="1" x14ac:dyDescent="0.3">
      <c r="A1021">
        <v>1019</v>
      </c>
      <c r="B1021" t="s">
        <v>1238</v>
      </c>
      <c r="C1021" t="s">
        <v>114</v>
      </c>
      <c r="D1021">
        <v>-9.5164901483008997</v>
      </c>
    </row>
    <row r="1022" spans="1:4" hidden="1" x14ac:dyDescent="0.3">
      <c r="A1022">
        <v>1020</v>
      </c>
      <c r="B1022" s="1" t="s">
        <v>1239</v>
      </c>
      <c r="C1022" t="s">
        <v>116</v>
      </c>
      <c r="D1022" s="1" t="s">
        <v>1240</v>
      </c>
    </row>
    <row r="1023" spans="1:4" hidden="1" x14ac:dyDescent="0.3">
      <c r="A1023">
        <v>1021</v>
      </c>
      <c r="B1023" t="s">
        <v>1241</v>
      </c>
      <c r="C1023" t="s">
        <v>119</v>
      </c>
      <c r="D1023">
        <v>79996791.245087698</v>
      </c>
    </row>
    <row r="1024" spans="1:4" hidden="1" x14ac:dyDescent="0.3">
      <c r="A1024">
        <v>1022</v>
      </c>
      <c r="B1024" t="s">
        <v>1242</v>
      </c>
      <c r="C1024" t="s">
        <v>121</v>
      </c>
      <c r="D1024">
        <v>39998665.171480499</v>
      </c>
    </row>
    <row r="1025" spans="1:4" hidden="1" x14ac:dyDescent="0.3">
      <c r="A1025">
        <v>1023</v>
      </c>
      <c r="B1025" s="1" t="s">
        <v>1243</v>
      </c>
      <c r="C1025" t="s">
        <v>123</v>
      </c>
      <c r="D1025" s="1" t="s">
        <v>1244</v>
      </c>
    </row>
    <row r="1026" spans="1:4" hidden="1" x14ac:dyDescent="0.3">
      <c r="A1026">
        <v>1024</v>
      </c>
      <c r="B1026" t="s">
        <v>1245</v>
      </c>
      <c r="C1026" t="s">
        <v>126</v>
      </c>
      <c r="D1026">
        <v>0.79996937048005701</v>
      </c>
    </row>
    <row r="1027" spans="1:4" hidden="1" x14ac:dyDescent="0.3">
      <c r="A1027">
        <v>1025</v>
      </c>
      <c r="B1027" t="s">
        <v>1246</v>
      </c>
      <c r="C1027" t="s">
        <v>128</v>
      </c>
      <c r="D1027">
        <v>0.39998738073430701</v>
      </c>
    </row>
    <row r="1028" spans="1:4" hidden="1" x14ac:dyDescent="0.3">
      <c r="A1028">
        <v>1026</v>
      </c>
      <c r="B1028" s="1" t="s">
        <v>1247</v>
      </c>
      <c r="C1028" t="s">
        <v>130</v>
      </c>
      <c r="D1028" s="1" t="s">
        <v>1248</v>
      </c>
    </row>
    <row r="1029" spans="1:4" hidden="1" x14ac:dyDescent="0.3">
      <c r="A1029">
        <v>1027</v>
      </c>
      <c r="B1029" s="1" t="s">
        <v>3</v>
      </c>
      <c r="C1029" t="s">
        <v>4</v>
      </c>
      <c r="D1029" t="s">
        <v>5</v>
      </c>
    </row>
    <row r="1030" spans="1:4" hidden="1" x14ac:dyDescent="0.3">
      <c r="A1030">
        <v>1028</v>
      </c>
      <c r="B1030" t="s">
        <v>6</v>
      </c>
      <c r="C1030" t="s">
        <v>7</v>
      </c>
      <c r="D1030">
        <v>1950.52</v>
      </c>
    </row>
    <row r="1031" spans="1:4" hidden="1" x14ac:dyDescent="0.3">
      <c r="A1031">
        <v>1029</v>
      </c>
      <c r="B1031" s="1" t="s">
        <v>132</v>
      </c>
      <c r="C1031" t="s">
        <v>9</v>
      </c>
      <c r="D1031" s="1" t="s">
        <v>133</v>
      </c>
    </row>
    <row r="1032" spans="1:4" hidden="1" x14ac:dyDescent="0.3">
      <c r="A1032">
        <v>1030</v>
      </c>
      <c r="B1032" t="s">
        <v>13</v>
      </c>
      <c r="C1032" t="s">
        <v>14</v>
      </c>
      <c r="D1032">
        <v>90.82421875</v>
      </c>
    </row>
    <row r="1033" spans="1:4" hidden="1" x14ac:dyDescent="0.3">
      <c r="A1033">
        <v>1031</v>
      </c>
      <c r="B1033" t="s">
        <v>15</v>
      </c>
      <c r="C1033" t="s">
        <v>16</v>
      </c>
      <c r="D1033">
        <v>4.2527792330373497</v>
      </c>
    </row>
    <row r="1034" spans="1:4" hidden="1" x14ac:dyDescent="0.3">
      <c r="A1034">
        <v>1032</v>
      </c>
      <c r="B1034" s="1" t="s">
        <v>134</v>
      </c>
      <c r="C1034" t="s">
        <v>135</v>
      </c>
      <c r="D1034" s="1" t="s">
        <v>136</v>
      </c>
    </row>
    <row r="1035" spans="1:4" hidden="1" x14ac:dyDescent="0.3">
      <c r="A1035">
        <v>1033</v>
      </c>
      <c r="B1035" t="s">
        <v>21</v>
      </c>
      <c r="C1035" t="s">
        <v>22</v>
      </c>
      <c r="D1035">
        <v>62.9</v>
      </c>
    </row>
    <row r="1036" spans="1:4" hidden="1" x14ac:dyDescent="0.3">
      <c r="A1036">
        <v>1034</v>
      </c>
      <c r="B1036" t="s">
        <v>1249</v>
      </c>
      <c r="C1036" t="s">
        <v>24</v>
      </c>
      <c r="D1036">
        <v>3.9577658922760701</v>
      </c>
    </row>
    <row r="1037" spans="1:4" hidden="1" x14ac:dyDescent="0.3">
      <c r="A1037">
        <v>1035</v>
      </c>
      <c r="B1037" s="1" t="s">
        <v>1250</v>
      </c>
      <c r="C1037" t="s">
        <v>139</v>
      </c>
      <c r="D1037" s="1" t="s">
        <v>1251</v>
      </c>
    </row>
    <row r="1038" spans="1:4" hidden="1" x14ac:dyDescent="0.3">
      <c r="A1038">
        <v>1036</v>
      </c>
      <c r="B1038" t="s">
        <v>1252</v>
      </c>
      <c r="C1038" t="s">
        <v>35</v>
      </c>
      <c r="D1038">
        <v>-1.2210133685087601</v>
      </c>
    </row>
    <row r="1039" spans="1:4" hidden="1" x14ac:dyDescent="0.3">
      <c r="A1039">
        <v>1037</v>
      </c>
      <c r="B1039" t="s">
        <v>1253</v>
      </c>
      <c r="C1039" t="s">
        <v>143</v>
      </c>
      <c r="D1039">
        <v>0.54299971224061505</v>
      </c>
    </row>
    <row r="1040" spans="1:4" hidden="1" x14ac:dyDescent="0.3">
      <c r="A1040">
        <v>1038</v>
      </c>
      <c r="B1040" s="1" t="s">
        <v>1254</v>
      </c>
      <c r="C1040" t="s">
        <v>145</v>
      </c>
      <c r="D1040" s="1" t="s">
        <v>1255</v>
      </c>
    </row>
    <row r="1041" spans="1:4" hidden="1" x14ac:dyDescent="0.3">
      <c r="A1041">
        <v>1039</v>
      </c>
      <c r="B1041" t="s">
        <v>1256</v>
      </c>
      <c r="C1041" t="s">
        <v>30</v>
      </c>
      <c r="D1041">
        <v>1.11442595977521</v>
      </c>
    </row>
    <row r="1042" spans="1:4" hidden="1" x14ac:dyDescent="0.3">
      <c r="A1042">
        <v>1040</v>
      </c>
      <c r="B1042" t="s">
        <v>1257</v>
      </c>
      <c r="C1042" t="s">
        <v>32</v>
      </c>
      <c r="D1042">
        <v>0.37126818346818702</v>
      </c>
    </row>
    <row r="1043" spans="1:4" hidden="1" x14ac:dyDescent="0.3">
      <c r="A1043">
        <v>1041</v>
      </c>
      <c r="B1043" s="1" t="s">
        <v>1258</v>
      </c>
      <c r="C1043" t="s">
        <v>149</v>
      </c>
      <c r="D1043" s="1" t="s">
        <v>1259</v>
      </c>
    </row>
    <row r="1044" spans="1:4" hidden="1" x14ac:dyDescent="0.3">
      <c r="A1044">
        <v>1042</v>
      </c>
      <c r="B1044" t="s">
        <v>1260</v>
      </c>
      <c r="C1044" t="s">
        <v>40</v>
      </c>
      <c r="D1044">
        <v>1.1065874087335399</v>
      </c>
    </row>
    <row r="1045" spans="1:4" hidden="1" x14ac:dyDescent="0.3">
      <c r="A1045">
        <v>1043</v>
      </c>
      <c r="B1045" t="s">
        <v>1261</v>
      </c>
      <c r="C1045" t="s">
        <v>42</v>
      </c>
      <c r="D1045">
        <v>0.47035341863843999</v>
      </c>
    </row>
    <row r="1046" spans="1:4" hidden="1" x14ac:dyDescent="0.3">
      <c r="A1046">
        <v>1044</v>
      </c>
      <c r="B1046" s="1" t="s">
        <v>1262</v>
      </c>
      <c r="C1046" t="s">
        <v>153</v>
      </c>
      <c r="D1046" s="1" t="s">
        <v>1263</v>
      </c>
    </row>
    <row r="1047" spans="1:4" hidden="1" x14ac:dyDescent="0.3">
      <c r="A1047">
        <v>1045</v>
      </c>
      <c r="B1047" t="s">
        <v>154</v>
      </c>
      <c r="C1047" t="s">
        <v>155</v>
      </c>
      <c r="D1047">
        <v>1</v>
      </c>
    </row>
    <row r="1048" spans="1:4" hidden="1" x14ac:dyDescent="0.3">
      <c r="A1048">
        <v>1046</v>
      </c>
      <c r="B1048" t="s">
        <v>156</v>
      </c>
      <c r="C1048" t="s">
        <v>157</v>
      </c>
      <c r="D1048">
        <v>1</v>
      </c>
    </row>
    <row r="1049" spans="1:4" hidden="1" x14ac:dyDescent="0.3">
      <c r="A1049">
        <v>1047</v>
      </c>
      <c r="B1049" s="1" t="s">
        <v>1264</v>
      </c>
      <c r="C1049" t="s">
        <v>159</v>
      </c>
      <c r="D1049" s="1" t="s">
        <v>1265</v>
      </c>
    </row>
    <row r="1050" spans="1:4" hidden="1" x14ac:dyDescent="0.3">
      <c r="A1050">
        <v>1048</v>
      </c>
      <c r="B1050" t="s">
        <v>1266</v>
      </c>
      <c r="C1050" t="s">
        <v>162</v>
      </c>
      <c r="D1050">
        <v>1.0000482048517401</v>
      </c>
    </row>
    <row r="1051" spans="1:4" hidden="1" x14ac:dyDescent="0.3">
      <c r="A1051">
        <v>1049</v>
      </c>
      <c r="B1051" t="s">
        <v>1267</v>
      </c>
      <c r="C1051" t="s">
        <v>164</v>
      </c>
      <c r="D1051">
        <v>0.99984125461317397</v>
      </c>
    </row>
    <row r="1052" spans="1:4" hidden="1" x14ac:dyDescent="0.3">
      <c r="A1052">
        <v>1050</v>
      </c>
      <c r="B1052" s="1" t="s">
        <v>1268</v>
      </c>
      <c r="C1052" t="s">
        <v>166</v>
      </c>
      <c r="D1052" s="1" t="s">
        <v>1269</v>
      </c>
    </row>
    <row r="1053" spans="1:4" hidden="1" x14ac:dyDescent="0.3">
      <c r="A1053">
        <v>1051</v>
      </c>
      <c r="B1053" s="1" t="s">
        <v>1270</v>
      </c>
      <c r="C1053" t="s">
        <v>55</v>
      </c>
      <c r="D1053" s="1" t="s">
        <v>1271</v>
      </c>
    </row>
    <row r="1054" spans="1:4" hidden="1" x14ac:dyDescent="0.3">
      <c r="A1054">
        <v>1052</v>
      </c>
      <c r="B1054" s="1" t="s">
        <v>1272</v>
      </c>
      <c r="C1054" t="s">
        <v>52</v>
      </c>
      <c r="D1054" s="1" t="s">
        <v>1273</v>
      </c>
    </row>
    <row r="1055" spans="1:4" hidden="1" x14ac:dyDescent="0.3">
      <c r="A1055">
        <v>1053</v>
      </c>
      <c r="B1055" s="1" t="s">
        <v>1274</v>
      </c>
      <c r="C1055" t="s">
        <v>58</v>
      </c>
      <c r="D1055" s="1" t="s">
        <v>1275</v>
      </c>
    </row>
    <row r="1056" spans="1:4" hidden="1" x14ac:dyDescent="0.3">
      <c r="A1056">
        <v>1054</v>
      </c>
      <c r="B1056" t="s">
        <v>1276</v>
      </c>
      <c r="C1056" t="s">
        <v>61</v>
      </c>
      <c r="D1056">
        <v>149914869.823515</v>
      </c>
    </row>
    <row r="1057" spans="1:4" hidden="1" x14ac:dyDescent="0.3">
      <c r="A1057">
        <v>1055</v>
      </c>
      <c r="B1057" t="s">
        <v>1277</v>
      </c>
      <c r="C1057" t="s">
        <v>63</v>
      </c>
      <c r="D1057">
        <v>79996791.245087698</v>
      </c>
    </row>
    <row r="1058" spans="1:4" hidden="1" x14ac:dyDescent="0.3">
      <c r="A1058">
        <v>1056</v>
      </c>
      <c r="B1058" t="s">
        <v>1278</v>
      </c>
      <c r="C1058" t="s">
        <v>65</v>
      </c>
      <c r="D1058">
        <v>39998665.171480499</v>
      </c>
    </row>
    <row r="1059" spans="1:4" hidden="1" x14ac:dyDescent="0.3">
      <c r="A1059">
        <v>1057</v>
      </c>
      <c r="B1059" s="1" t="s">
        <v>1279</v>
      </c>
      <c r="C1059" t="s">
        <v>67</v>
      </c>
      <c r="D1059" s="1" t="s">
        <v>1280</v>
      </c>
    </row>
    <row r="1060" spans="1:4" hidden="1" x14ac:dyDescent="0.3">
      <c r="A1060">
        <v>1058</v>
      </c>
      <c r="B1060" s="1" t="s">
        <v>1281</v>
      </c>
      <c r="C1060" t="s">
        <v>70</v>
      </c>
      <c r="D1060" s="1" t="s">
        <v>1282</v>
      </c>
    </row>
    <row r="1061" spans="1:4" hidden="1" x14ac:dyDescent="0.3">
      <c r="A1061">
        <v>1059</v>
      </c>
      <c r="B1061" t="s">
        <v>1283</v>
      </c>
      <c r="C1061" t="s">
        <v>73</v>
      </c>
      <c r="D1061">
        <v>1.00000674162832</v>
      </c>
    </row>
    <row r="1062" spans="1:4" hidden="1" x14ac:dyDescent="0.3">
      <c r="A1062">
        <v>1060</v>
      </c>
      <c r="B1062" t="s">
        <v>74</v>
      </c>
      <c r="C1062" t="s">
        <v>75</v>
      </c>
      <c r="D1062">
        <v>2.7397260273972599E-3</v>
      </c>
    </row>
    <row r="1063" spans="1:4" hidden="1" x14ac:dyDescent="0.3">
      <c r="A1063">
        <v>1061</v>
      </c>
      <c r="B1063" t="s">
        <v>76</v>
      </c>
      <c r="C1063" t="s">
        <v>77</v>
      </c>
      <c r="D1063">
        <v>0</v>
      </c>
    </row>
    <row r="1064" spans="1:4" hidden="1" x14ac:dyDescent="0.3">
      <c r="A1064">
        <v>1062</v>
      </c>
      <c r="B1064" t="s">
        <v>78</v>
      </c>
      <c r="C1064" t="s">
        <v>79</v>
      </c>
      <c r="D1064">
        <v>0</v>
      </c>
    </row>
    <row r="1065" spans="1:4" hidden="1" x14ac:dyDescent="0.3">
      <c r="A1065">
        <v>1063</v>
      </c>
      <c r="B1065" s="1" t="s">
        <v>1284</v>
      </c>
      <c r="C1065" t="s">
        <v>81</v>
      </c>
      <c r="D1065" s="1" t="s">
        <v>1285</v>
      </c>
    </row>
    <row r="1066" spans="1:4" hidden="1" x14ac:dyDescent="0.3">
      <c r="A1066">
        <v>1064</v>
      </c>
      <c r="B1066" t="s">
        <v>1286</v>
      </c>
      <c r="C1066" t="s">
        <v>84</v>
      </c>
      <c r="D1066">
        <v>1.0000418847983501</v>
      </c>
    </row>
    <row r="1067" spans="1:4" hidden="1" x14ac:dyDescent="0.3">
      <c r="A1067">
        <v>1065</v>
      </c>
      <c r="B1067" s="1" t="s">
        <v>1287</v>
      </c>
      <c r="C1067" t="s">
        <v>86</v>
      </c>
      <c r="D1067" s="1" t="s">
        <v>1288</v>
      </c>
    </row>
    <row r="1068" spans="1:4" hidden="1" x14ac:dyDescent="0.3">
      <c r="A1068">
        <v>1066</v>
      </c>
      <c r="B1068" t="s">
        <v>1289</v>
      </c>
      <c r="C1068" t="s">
        <v>89</v>
      </c>
      <c r="D1068">
        <v>99995811.695591107</v>
      </c>
    </row>
    <row r="1069" spans="1:4" hidden="1" x14ac:dyDescent="0.3">
      <c r="A1069">
        <v>1067</v>
      </c>
      <c r="B1069" s="1" t="s">
        <v>1290</v>
      </c>
      <c r="C1069" t="s">
        <v>91</v>
      </c>
      <c r="D1069" s="1" t="s">
        <v>1236</v>
      </c>
    </row>
    <row r="1070" spans="1:4" hidden="1" x14ac:dyDescent="0.3">
      <c r="A1070">
        <v>1068</v>
      </c>
      <c r="B1070" t="s">
        <v>1291</v>
      </c>
      <c r="C1070" t="s">
        <v>94</v>
      </c>
      <c r="D1070">
        <v>79996791.245087698</v>
      </c>
    </row>
    <row r="1071" spans="1:4" hidden="1" x14ac:dyDescent="0.3">
      <c r="A1071">
        <v>1069</v>
      </c>
      <c r="B1071" t="s">
        <v>1292</v>
      </c>
      <c r="C1071" t="s">
        <v>96</v>
      </c>
      <c r="D1071">
        <v>39998665.171480499</v>
      </c>
    </row>
    <row r="1072" spans="1:4" hidden="1" x14ac:dyDescent="0.3">
      <c r="A1072">
        <v>1070</v>
      </c>
      <c r="B1072" t="s">
        <v>1293</v>
      </c>
      <c r="C1072" t="s">
        <v>98</v>
      </c>
      <c r="D1072">
        <v>29919413.406947002</v>
      </c>
    </row>
    <row r="1073" spans="1:4" hidden="1" x14ac:dyDescent="0.3">
      <c r="A1073">
        <v>1071</v>
      </c>
      <c r="B1073" s="1" t="s">
        <v>1294</v>
      </c>
      <c r="C1073" t="s">
        <v>100</v>
      </c>
      <c r="D1073" s="1" t="s">
        <v>1295</v>
      </c>
    </row>
    <row r="1074" spans="1:4" hidden="1" x14ac:dyDescent="0.3">
      <c r="A1074">
        <v>1072</v>
      </c>
      <c r="B1074" t="s">
        <v>1296</v>
      </c>
      <c r="C1074" t="s">
        <v>103</v>
      </c>
      <c r="D1074">
        <v>1.02786685951964E-2</v>
      </c>
    </row>
    <row r="1075" spans="1:4" hidden="1" x14ac:dyDescent="0.3">
      <c r="A1075">
        <v>1073</v>
      </c>
      <c r="B1075" t="s">
        <v>1297</v>
      </c>
      <c r="C1075" t="s">
        <v>105</v>
      </c>
      <c r="D1075">
        <v>2.8508539776869201E-3</v>
      </c>
    </row>
    <row r="1076" spans="1:4" hidden="1" x14ac:dyDescent="0.3">
      <c r="A1076">
        <v>1074</v>
      </c>
      <c r="B1076" t="s">
        <v>1298</v>
      </c>
      <c r="C1076" t="s">
        <v>107</v>
      </c>
      <c r="D1076">
        <v>2.21721861969425E-2</v>
      </c>
    </row>
    <row r="1077" spans="1:4" hidden="1" x14ac:dyDescent="0.3">
      <c r="A1077">
        <v>1075</v>
      </c>
      <c r="B1077" s="1" t="s">
        <v>1299</v>
      </c>
      <c r="C1077" t="s">
        <v>109</v>
      </c>
      <c r="D1077" s="1" t="s">
        <v>1300</v>
      </c>
    </row>
    <row r="1078" spans="1:4" x14ac:dyDescent="0.3">
      <c r="A1078">
        <v>1076</v>
      </c>
      <c r="B1078" t="s">
        <v>1301</v>
      </c>
      <c r="C1078" t="s">
        <v>197</v>
      </c>
      <c r="D1078">
        <v>149916086.19297901</v>
      </c>
    </row>
    <row r="1079" spans="1:4" hidden="1" x14ac:dyDescent="0.3">
      <c r="A1079">
        <v>1077</v>
      </c>
      <c r="B1079" t="s">
        <v>1302</v>
      </c>
      <c r="C1079" t="s">
        <v>199</v>
      </c>
      <c r="D1079">
        <v>-2811.35352122839</v>
      </c>
    </row>
    <row r="1080" spans="1:4" hidden="1" x14ac:dyDescent="0.3">
      <c r="A1080">
        <v>1078</v>
      </c>
      <c r="B1080" t="s">
        <v>1303</v>
      </c>
      <c r="C1080" t="s">
        <v>201</v>
      </c>
      <c r="D1080">
        <v>-1405.67660440957</v>
      </c>
    </row>
    <row r="1081" spans="1:4" hidden="1" x14ac:dyDescent="0.3">
      <c r="A1081">
        <v>1079</v>
      </c>
      <c r="B1081" s="1" t="s">
        <v>1304</v>
      </c>
      <c r="C1081" t="s">
        <v>203</v>
      </c>
      <c r="D1081" s="1" t="s">
        <v>1305</v>
      </c>
    </row>
    <row r="1082" spans="1:4" hidden="1" x14ac:dyDescent="0.3">
      <c r="A1082">
        <v>1080</v>
      </c>
      <c r="B1082" t="s">
        <v>1306</v>
      </c>
      <c r="C1082" t="s">
        <v>206</v>
      </c>
      <c r="D1082">
        <v>80000502.859596193</v>
      </c>
    </row>
    <row r="1083" spans="1:4" hidden="1" x14ac:dyDescent="0.3">
      <c r="A1083">
        <v>1081</v>
      </c>
      <c r="B1083" t="s">
        <v>1307</v>
      </c>
      <c r="C1083" t="s">
        <v>208</v>
      </c>
      <c r="D1083">
        <v>40000246.9848046</v>
      </c>
    </row>
    <row r="1084" spans="1:4" hidden="1" x14ac:dyDescent="0.3">
      <c r="A1084">
        <v>1082</v>
      </c>
      <c r="B1084" t="s">
        <v>1308</v>
      </c>
      <c r="C1084" t="s">
        <v>210</v>
      </c>
      <c r="D1084">
        <v>29920604.839567401</v>
      </c>
    </row>
    <row r="1085" spans="1:4" hidden="1" x14ac:dyDescent="0.3">
      <c r="A1085">
        <v>1083</v>
      </c>
      <c r="B1085" s="1" t="s">
        <v>1309</v>
      </c>
      <c r="C1085" t="s">
        <v>212</v>
      </c>
      <c r="D1085" s="1" t="s">
        <v>1310</v>
      </c>
    </row>
    <row r="1086" spans="1:4" hidden="1" x14ac:dyDescent="0.3">
      <c r="A1086">
        <v>1084</v>
      </c>
      <c r="B1086" t="s">
        <v>1311</v>
      </c>
      <c r="C1086" t="s">
        <v>215</v>
      </c>
      <c r="D1086">
        <v>99999325.8417124</v>
      </c>
    </row>
    <row r="1087" spans="1:4" hidden="1" x14ac:dyDescent="0.3">
      <c r="A1087">
        <v>1085</v>
      </c>
      <c r="B1087" t="s">
        <v>1312</v>
      </c>
      <c r="C1087" t="s">
        <v>217</v>
      </c>
      <c r="D1087">
        <v>-3514.1461212933</v>
      </c>
    </row>
    <row r="1088" spans="1:4" hidden="1" x14ac:dyDescent="0.3">
      <c r="A1088">
        <v>1086</v>
      </c>
      <c r="B1088" s="1" t="s">
        <v>1313</v>
      </c>
      <c r="C1088" t="s">
        <v>219</v>
      </c>
      <c r="D1088" s="1" t="s">
        <v>1314</v>
      </c>
    </row>
    <row r="1089" spans="1:4" hidden="1" x14ac:dyDescent="0.3">
      <c r="A1089">
        <v>1087</v>
      </c>
      <c r="B1089" t="s">
        <v>1315</v>
      </c>
      <c r="C1089" t="s">
        <v>112</v>
      </c>
      <c r="D1089">
        <v>900.26098724226199</v>
      </c>
    </row>
    <row r="1090" spans="1:4" hidden="1" x14ac:dyDescent="0.3">
      <c r="A1090">
        <v>1088</v>
      </c>
      <c r="B1090" t="s">
        <v>1316</v>
      </c>
      <c r="C1090" t="s">
        <v>114</v>
      </c>
      <c r="D1090">
        <v>176.13671968226899</v>
      </c>
    </row>
    <row r="1091" spans="1:4" hidden="1" x14ac:dyDescent="0.3">
      <c r="A1091">
        <v>1089</v>
      </c>
      <c r="B1091" s="1" t="s">
        <v>1317</v>
      </c>
      <c r="C1091" t="s">
        <v>116</v>
      </c>
      <c r="D1091" s="1" t="s">
        <v>1318</v>
      </c>
    </row>
    <row r="1092" spans="1:4" hidden="1" x14ac:dyDescent="0.3">
      <c r="A1092">
        <v>1090</v>
      </c>
      <c r="B1092" t="s">
        <v>1319</v>
      </c>
      <c r="C1092" t="s">
        <v>119</v>
      </c>
      <c r="D1092">
        <v>80000502.859596193</v>
      </c>
    </row>
    <row r="1093" spans="1:4" hidden="1" x14ac:dyDescent="0.3">
      <c r="A1093">
        <v>1091</v>
      </c>
      <c r="B1093" t="s">
        <v>1320</v>
      </c>
      <c r="C1093" t="s">
        <v>121</v>
      </c>
      <c r="D1093">
        <v>40000246.9848046</v>
      </c>
    </row>
    <row r="1094" spans="1:4" hidden="1" x14ac:dyDescent="0.3">
      <c r="A1094">
        <v>1092</v>
      </c>
      <c r="B1094" s="1" t="s">
        <v>1321</v>
      </c>
      <c r="C1094" t="s">
        <v>123</v>
      </c>
      <c r="D1094" s="1" t="s">
        <v>1322</v>
      </c>
    </row>
    <row r="1095" spans="1:4" hidden="1" x14ac:dyDescent="0.3">
      <c r="A1095">
        <v>1093</v>
      </c>
      <c r="B1095" t="s">
        <v>1323</v>
      </c>
      <c r="C1095" t="s">
        <v>126</v>
      </c>
      <c r="D1095">
        <v>0.79997691506074997</v>
      </c>
    </row>
    <row r="1096" spans="1:4" hidden="1" x14ac:dyDescent="0.3">
      <c r="A1096">
        <v>1094</v>
      </c>
      <c r="B1096" t="s">
        <v>1324</v>
      </c>
      <c r="C1096" t="s">
        <v>128</v>
      </c>
      <c r="D1096">
        <v>0.399988413082002</v>
      </c>
    </row>
    <row r="1097" spans="1:4" hidden="1" x14ac:dyDescent="0.3">
      <c r="A1097">
        <v>1095</v>
      </c>
      <c r="B1097" s="1" t="s">
        <v>1325</v>
      </c>
      <c r="C1097" t="s">
        <v>130</v>
      </c>
      <c r="D1097" s="1" t="s">
        <v>1326</v>
      </c>
    </row>
    <row r="1098" spans="1:4" hidden="1" x14ac:dyDescent="0.3">
      <c r="A1098">
        <v>1096</v>
      </c>
      <c r="B1098" s="1" t="s">
        <v>3</v>
      </c>
      <c r="C1098" t="s">
        <v>4</v>
      </c>
      <c r="D1098" t="s">
        <v>5</v>
      </c>
    </row>
    <row r="1099" spans="1:4" hidden="1" x14ac:dyDescent="0.3">
      <c r="A1099">
        <v>1097</v>
      </c>
      <c r="B1099" t="s">
        <v>6</v>
      </c>
      <c r="C1099" t="s">
        <v>7</v>
      </c>
      <c r="D1099">
        <v>1950.52</v>
      </c>
    </row>
    <row r="1100" spans="1:4" hidden="1" x14ac:dyDescent="0.3">
      <c r="A1100">
        <v>1098</v>
      </c>
      <c r="B1100" s="1" t="s">
        <v>132</v>
      </c>
      <c r="C1100" t="s">
        <v>9</v>
      </c>
      <c r="D1100" s="1" t="s">
        <v>133</v>
      </c>
    </row>
    <row r="1101" spans="1:4" hidden="1" x14ac:dyDescent="0.3">
      <c r="A1101">
        <v>1099</v>
      </c>
      <c r="B1101" t="s">
        <v>13</v>
      </c>
      <c r="C1101" t="s">
        <v>14</v>
      </c>
      <c r="D1101">
        <v>90.82421875</v>
      </c>
    </row>
    <row r="1102" spans="1:4" hidden="1" x14ac:dyDescent="0.3">
      <c r="A1102">
        <v>1100</v>
      </c>
      <c r="B1102" t="s">
        <v>15</v>
      </c>
      <c r="C1102" t="s">
        <v>16</v>
      </c>
      <c r="D1102">
        <v>4.2527792330373497</v>
      </c>
    </row>
    <row r="1103" spans="1:4" hidden="1" x14ac:dyDescent="0.3">
      <c r="A1103">
        <v>1101</v>
      </c>
      <c r="B1103" s="1" t="s">
        <v>134</v>
      </c>
      <c r="C1103" t="s">
        <v>135</v>
      </c>
      <c r="D1103" s="1" t="s">
        <v>136</v>
      </c>
    </row>
    <row r="1104" spans="1:4" hidden="1" x14ac:dyDescent="0.3">
      <c r="A1104">
        <v>1102</v>
      </c>
      <c r="B1104" t="s">
        <v>21</v>
      </c>
      <c r="C1104" t="s">
        <v>22</v>
      </c>
      <c r="D1104">
        <v>62.9</v>
      </c>
    </row>
    <row r="1105" spans="1:4" hidden="1" x14ac:dyDescent="0.3">
      <c r="A1105">
        <v>1103</v>
      </c>
      <c r="B1105" t="s">
        <v>1327</v>
      </c>
      <c r="C1105" t="s">
        <v>24</v>
      </c>
      <c r="D1105">
        <v>3.9451525341617502</v>
      </c>
    </row>
    <row r="1106" spans="1:4" hidden="1" x14ac:dyDescent="0.3">
      <c r="A1106">
        <v>1104</v>
      </c>
      <c r="B1106" s="1" t="s">
        <v>1328</v>
      </c>
      <c r="C1106" t="s">
        <v>139</v>
      </c>
      <c r="D1106" s="1" t="s">
        <v>1329</v>
      </c>
    </row>
    <row r="1107" spans="1:4" hidden="1" x14ac:dyDescent="0.3">
      <c r="A1107">
        <v>1105</v>
      </c>
      <c r="B1107" t="s">
        <v>1330</v>
      </c>
      <c r="C1107" t="s">
        <v>35</v>
      </c>
      <c r="D1107">
        <v>-1.1827920872798601</v>
      </c>
    </row>
    <row r="1108" spans="1:4" hidden="1" x14ac:dyDescent="0.3">
      <c r="A1108">
        <v>1106</v>
      </c>
      <c r="B1108" t="s">
        <v>1331</v>
      </c>
      <c r="C1108" t="s">
        <v>143</v>
      </c>
      <c r="D1108">
        <v>0.54620169002868002</v>
      </c>
    </row>
    <row r="1109" spans="1:4" hidden="1" x14ac:dyDescent="0.3">
      <c r="A1109">
        <v>1107</v>
      </c>
      <c r="B1109" s="1" t="s">
        <v>1332</v>
      </c>
      <c r="C1109" t="s">
        <v>145</v>
      </c>
      <c r="D1109" s="1" t="s">
        <v>1333</v>
      </c>
    </row>
    <row r="1110" spans="1:4" hidden="1" x14ac:dyDescent="0.3">
      <c r="A1110">
        <v>1108</v>
      </c>
      <c r="B1110" t="s">
        <v>1334</v>
      </c>
      <c r="C1110" t="s">
        <v>30</v>
      </c>
      <c r="D1110">
        <v>1.07954117545104</v>
      </c>
    </row>
    <row r="1111" spans="1:4" hidden="1" x14ac:dyDescent="0.3">
      <c r="A1111">
        <v>1109</v>
      </c>
      <c r="B1111" t="s">
        <v>1335</v>
      </c>
      <c r="C1111" t="s">
        <v>32</v>
      </c>
      <c r="D1111">
        <v>0.36649197313905701</v>
      </c>
    </row>
    <row r="1112" spans="1:4" hidden="1" x14ac:dyDescent="0.3">
      <c r="A1112">
        <v>1110</v>
      </c>
      <c r="B1112" s="1" t="s">
        <v>1336</v>
      </c>
      <c r="C1112" t="s">
        <v>149</v>
      </c>
      <c r="D1112" s="1" t="s">
        <v>1337</v>
      </c>
    </row>
    <row r="1113" spans="1:4" hidden="1" x14ac:dyDescent="0.3">
      <c r="A1113">
        <v>1111</v>
      </c>
      <c r="B1113" t="s">
        <v>1338</v>
      </c>
      <c r="C1113" t="s">
        <v>40</v>
      </c>
      <c r="D1113">
        <v>1.1032509118288101</v>
      </c>
    </row>
    <row r="1114" spans="1:4" hidden="1" x14ac:dyDescent="0.3">
      <c r="A1114">
        <v>1112</v>
      </c>
      <c r="B1114" t="s">
        <v>1339</v>
      </c>
      <c r="C1114" t="s">
        <v>42</v>
      </c>
      <c r="D1114">
        <v>0.464333559362482</v>
      </c>
    </row>
    <row r="1115" spans="1:4" hidden="1" x14ac:dyDescent="0.3">
      <c r="A1115">
        <v>1113</v>
      </c>
      <c r="B1115" s="1" t="s">
        <v>1340</v>
      </c>
      <c r="C1115" t="s">
        <v>153</v>
      </c>
      <c r="D1115" s="1" t="s">
        <v>1341</v>
      </c>
    </row>
    <row r="1116" spans="1:4" hidden="1" x14ac:dyDescent="0.3">
      <c r="A1116">
        <v>1114</v>
      </c>
      <c r="B1116" t="s">
        <v>154</v>
      </c>
      <c r="C1116" t="s">
        <v>155</v>
      </c>
      <c r="D1116">
        <v>1</v>
      </c>
    </row>
    <row r="1117" spans="1:4" hidden="1" x14ac:dyDescent="0.3">
      <c r="A1117">
        <v>1115</v>
      </c>
      <c r="B1117" t="s">
        <v>156</v>
      </c>
      <c r="C1117" t="s">
        <v>157</v>
      </c>
      <c r="D1117">
        <v>1</v>
      </c>
    </row>
    <row r="1118" spans="1:4" hidden="1" x14ac:dyDescent="0.3">
      <c r="A1118">
        <v>1116</v>
      </c>
      <c r="B1118" s="1" t="s">
        <v>1342</v>
      </c>
      <c r="C1118" t="s">
        <v>159</v>
      </c>
      <c r="D1118" s="1" t="s">
        <v>1343</v>
      </c>
    </row>
    <row r="1119" spans="1:4" hidden="1" x14ac:dyDescent="0.3">
      <c r="A1119">
        <v>1117</v>
      </c>
      <c r="B1119" t="s">
        <v>1344</v>
      </c>
      <c r="C1119" t="s">
        <v>162</v>
      </c>
      <c r="D1119">
        <v>1.00207516421595</v>
      </c>
    </row>
    <row r="1120" spans="1:4" hidden="1" x14ac:dyDescent="0.3">
      <c r="A1120">
        <v>1118</v>
      </c>
      <c r="B1120" t="s">
        <v>1345</v>
      </c>
      <c r="C1120" t="s">
        <v>164</v>
      </c>
      <c r="D1120">
        <v>0.99651693929261098</v>
      </c>
    </row>
    <row r="1121" spans="1:4" hidden="1" x14ac:dyDescent="0.3">
      <c r="A1121">
        <v>1119</v>
      </c>
      <c r="B1121" s="1" t="s">
        <v>1346</v>
      </c>
      <c r="C1121" t="s">
        <v>166</v>
      </c>
      <c r="D1121" s="1" t="s">
        <v>1347</v>
      </c>
    </row>
    <row r="1122" spans="1:4" hidden="1" x14ac:dyDescent="0.3">
      <c r="A1122">
        <v>1120</v>
      </c>
      <c r="B1122" s="1" t="s">
        <v>1348</v>
      </c>
      <c r="C1122" t="s">
        <v>55</v>
      </c>
      <c r="D1122" s="1" t="s">
        <v>1349</v>
      </c>
    </row>
    <row r="1123" spans="1:4" hidden="1" x14ac:dyDescent="0.3">
      <c r="A1123">
        <v>1121</v>
      </c>
      <c r="B1123" s="1" t="s">
        <v>1350</v>
      </c>
      <c r="C1123" t="s">
        <v>52</v>
      </c>
      <c r="D1123" s="1" t="s">
        <v>1351</v>
      </c>
    </row>
    <row r="1124" spans="1:4" hidden="1" x14ac:dyDescent="0.3">
      <c r="A1124">
        <v>1122</v>
      </c>
      <c r="B1124" s="1" t="s">
        <v>1352</v>
      </c>
      <c r="C1124" t="s">
        <v>58</v>
      </c>
      <c r="D1124" s="1" t="s">
        <v>1353</v>
      </c>
    </row>
    <row r="1125" spans="1:4" hidden="1" x14ac:dyDescent="0.3">
      <c r="A1125">
        <v>1123</v>
      </c>
      <c r="B1125" t="s">
        <v>1354</v>
      </c>
      <c r="C1125" t="s">
        <v>61</v>
      </c>
      <c r="D1125">
        <v>149915709.87518901</v>
      </c>
    </row>
    <row r="1126" spans="1:4" hidden="1" x14ac:dyDescent="0.3">
      <c r="A1126">
        <v>1124</v>
      </c>
      <c r="B1126" t="s">
        <v>1355</v>
      </c>
      <c r="C1126" t="s">
        <v>63</v>
      </c>
      <c r="D1126">
        <v>80000502.859596193</v>
      </c>
    </row>
    <row r="1127" spans="1:4" hidden="1" x14ac:dyDescent="0.3">
      <c r="A1127">
        <v>1125</v>
      </c>
      <c r="B1127" t="s">
        <v>1356</v>
      </c>
      <c r="C1127" t="s">
        <v>65</v>
      </c>
      <c r="D1127">
        <v>40000246.9848046</v>
      </c>
    </row>
    <row r="1128" spans="1:4" hidden="1" x14ac:dyDescent="0.3">
      <c r="A1128">
        <v>1126</v>
      </c>
      <c r="B1128" s="1" t="s">
        <v>1357</v>
      </c>
      <c r="C1128" t="s">
        <v>67</v>
      </c>
      <c r="D1128" s="1" t="s">
        <v>1358</v>
      </c>
    </row>
    <row r="1129" spans="1:4" hidden="1" x14ac:dyDescent="0.3">
      <c r="A1129">
        <v>1127</v>
      </c>
      <c r="B1129" s="1" t="s">
        <v>1359</v>
      </c>
      <c r="C1129" t="s">
        <v>70</v>
      </c>
      <c r="D1129" s="1" t="s">
        <v>1360</v>
      </c>
    </row>
    <row r="1130" spans="1:4" hidden="1" x14ac:dyDescent="0.3">
      <c r="A1130">
        <v>1128</v>
      </c>
      <c r="B1130" t="s">
        <v>1361</v>
      </c>
      <c r="C1130" t="s">
        <v>73</v>
      </c>
      <c r="D1130">
        <v>1.0000418847983501</v>
      </c>
    </row>
    <row r="1131" spans="1:4" hidden="1" x14ac:dyDescent="0.3">
      <c r="A1131">
        <v>1129</v>
      </c>
      <c r="B1131" t="s">
        <v>74</v>
      </c>
      <c r="C1131" t="s">
        <v>75</v>
      </c>
      <c r="D1131">
        <v>2.7397260273972599E-3</v>
      </c>
    </row>
    <row r="1132" spans="1:4" hidden="1" x14ac:dyDescent="0.3">
      <c r="A1132">
        <v>1130</v>
      </c>
      <c r="B1132" t="s">
        <v>76</v>
      </c>
      <c r="C1132" t="s">
        <v>77</v>
      </c>
      <c r="D1132">
        <v>0</v>
      </c>
    </row>
    <row r="1133" spans="1:4" hidden="1" x14ac:dyDescent="0.3">
      <c r="A1133">
        <v>1131</v>
      </c>
      <c r="B1133" t="s">
        <v>78</v>
      </c>
      <c r="C1133" t="s">
        <v>79</v>
      </c>
      <c r="D1133">
        <v>0</v>
      </c>
    </row>
    <row r="1134" spans="1:4" hidden="1" x14ac:dyDescent="0.3">
      <c r="A1134">
        <v>1132</v>
      </c>
      <c r="B1134" s="1" t="s">
        <v>1362</v>
      </c>
      <c r="C1134" t="s">
        <v>81</v>
      </c>
      <c r="D1134" s="1" t="s">
        <v>1363</v>
      </c>
    </row>
    <row r="1135" spans="1:4" hidden="1" x14ac:dyDescent="0.3">
      <c r="A1135">
        <v>1133</v>
      </c>
      <c r="B1135" t="s">
        <v>1364</v>
      </c>
      <c r="C1135" t="s">
        <v>84</v>
      </c>
      <c r="D1135">
        <v>1.0000206026224201</v>
      </c>
    </row>
    <row r="1136" spans="1:4" hidden="1" x14ac:dyDescent="0.3">
      <c r="A1136">
        <v>1134</v>
      </c>
      <c r="B1136" s="1" t="s">
        <v>1365</v>
      </c>
      <c r="C1136" t="s">
        <v>86</v>
      </c>
      <c r="D1136" s="1" t="s">
        <v>1366</v>
      </c>
    </row>
    <row r="1137" spans="1:4" hidden="1" x14ac:dyDescent="0.3">
      <c r="A1137">
        <v>1135</v>
      </c>
      <c r="B1137" t="s">
        <v>1367</v>
      </c>
      <c r="C1137" t="s">
        <v>89</v>
      </c>
      <c r="D1137">
        <v>99997939.780203596</v>
      </c>
    </row>
    <row r="1138" spans="1:4" hidden="1" x14ac:dyDescent="0.3">
      <c r="A1138">
        <v>1136</v>
      </c>
      <c r="B1138" s="1" t="s">
        <v>1368</v>
      </c>
      <c r="C1138" t="s">
        <v>91</v>
      </c>
      <c r="D1138" s="1" t="s">
        <v>1314</v>
      </c>
    </row>
    <row r="1139" spans="1:4" hidden="1" x14ac:dyDescent="0.3">
      <c r="A1139">
        <v>1137</v>
      </c>
      <c r="B1139" t="s">
        <v>1369</v>
      </c>
      <c r="C1139" t="s">
        <v>94</v>
      </c>
      <c r="D1139">
        <v>80000502.859596193</v>
      </c>
    </row>
    <row r="1140" spans="1:4" hidden="1" x14ac:dyDescent="0.3">
      <c r="A1140">
        <v>1138</v>
      </c>
      <c r="B1140" t="s">
        <v>1370</v>
      </c>
      <c r="C1140" t="s">
        <v>96</v>
      </c>
      <c r="D1140">
        <v>40000246.9848046</v>
      </c>
    </row>
    <row r="1141" spans="1:4" hidden="1" x14ac:dyDescent="0.3">
      <c r="A1141">
        <v>1139</v>
      </c>
      <c r="B1141" t="s">
        <v>1371</v>
      </c>
      <c r="C1141" t="s">
        <v>98</v>
      </c>
      <c r="D1141">
        <v>29914960.0307886</v>
      </c>
    </row>
    <row r="1142" spans="1:4" hidden="1" x14ac:dyDescent="0.3">
      <c r="A1142">
        <v>1140</v>
      </c>
      <c r="B1142" s="1" t="s">
        <v>1372</v>
      </c>
      <c r="C1142" t="s">
        <v>100</v>
      </c>
      <c r="D1142" s="1" t="s">
        <v>1373</v>
      </c>
    </row>
    <row r="1143" spans="1:4" hidden="1" x14ac:dyDescent="0.3">
      <c r="A1143">
        <v>1141</v>
      </c>
      <c r="B1143" t="s">
        <v>1374</v>
      </c>
      <c r="C1143" t="s">
        <v>103</v>
      </c>
      <c r="D1143">
        <v>1.0334436782094201E-2</v>
      </c>
    </row>
    <row r="1144" spans="1:4" hidden="1" x14ac:dyDescent="0.3">
      <c r="A1144">
        <v>1142</v>
      </c>
      <c r="B1144" t="s">
        <v>1375</v>
      </c>
      <c r="C1144" t="s">
        <v>105</v>
      </c>
      <c r="D1144">
        <v>2.8237553891399202E-3</v>
      </c>
    </row>
    <row r="1145" spans="1:4" hidden="1" x14ac:dyDescent="0.3">
      <c r="A1145">
        <v>1143</v>
      </c>
      <c r="B1145" t="s">
        <v>1376</v>
      </c>
      <c r="C1145" t="s">
        <v>107</v>
      </c>
      <c r="D1145">
        <v>2.22679819250232E-2</v>
      </c>
    </row>
    <row r="1146" spans="1:4" hidden="1" x14ac:dyDescent="0.3">
      <c r="A1146">
        <v>1144</v>
      </c>
      <c r="B1146" s="1" t="s">
        <v>1377</v>
      </c>
      <c r="C1146" t="s">
        <v>109</v>
      </c>
      <c r="D1146" s="1" t="s">
        <v>1378</v>
      </c>
    </row>
    <row r="1147" spans="1:4" x14ac:dyDescent="0.3">
      <c r="A1147">
        <v>1145</v>
      </c>
      <c r="B1147" t="s">
        <v>1379</v>
      </c>
      <c r="C1147" t="s">
        <v>197</v>
      </c>
      <c r="D1147">
        <v>149914972.745967</v>
      </c>
    </row>
    <row r="1148" spans="1:4" hidden="1" x14ac:dyDescent="0.3">
      <c r="A1148">
        <v>1146</v>
      </c>
      <c r="B1148" t="s">
        <v>1380</v>
      </c>
      <c r="C1148" t="s">
        <v>199</v>
      </c>
      <c r="D1148">
        <v>1702.5013825160499</v>
      </c>
    </row>
    <row r="1149" spans="1:4" hidden="1" x14ac:dyDescent="0.3">
      <c r="A1149">
        <v>1147</v>
      </c>
      <c r="B1149" t="s">
        <v>1381</v>
      </c>
      <c r="C1149" t="s">
        <v>201</v>
      </c>
      <c r="D1149">
        <v>851.25426807127894</v>
      </c>
    </row>
    <row r="1150" spans="1:4" hidden="1" x14ac:dyDescent="0.3">
      <c r="A1150">
        <v>1148</v>
      </c>
      <c r="B1150" s="1" t="s">
        <v>1382</v>
      </c>
      <c r="C1150" t="s">
        <v>203</v>
      </c>
      <c r="D1150" s="1" t="s">
        <v>1383</v>
      </c>
    </row>
    <row r="1151" spans="1:4" hidden="1" x14ac:dyDescent="0.3">
      <c r="A1151">
        <v>1149</v>
      </c>
      <c r="B1151" t="s">
        <v>1384</v>
      </c>
      <c r="C1151" t="s">
        <v>206</v>
      </c>
      <c r="D1151">
        <v>79998232.522560999</v>
      </c>
    </row>
    <row r="1152" spans="1:4" hidden="1" x14ac:dyDescent="0.3">
      <c r="A1152">
        <v>1150</v>
      </c>
      <c r="B1152" t="s">
        <v>1385</v>
      </c>
      <c r="C1152" t="s">
        <v>208</v>
      </c>
      <c r="D1152">
        <v>39999284.3308874</v>
      </c>
    </row>
    <row r="1153" spans="1:4" hidden="1" x14ac:dyDescent="0.3">
      <c r="A1153">
        <v>1151</v>
      </c>
      <c r="B1153" t="s">
        <v>1386</v>
      </c>
      <c r="C1153" t="s">
        <v>210</v>
      </c>
      <c r="D1153">
        <v>29914265.509323001</v>
      </c>
    </row>
    <row r="1154" spans="1:4" hidden="1" x14ac:dyDescent="0.3">
      <c r="A1154">
        <v>1152</v>
      </c>
      <c r="B1154" s="1" t="s">
        <v>1387</v>
      </c>
      <c r="C1154" t="s">
        <v>212</v>
      </c>
      <c r="D1154" s="1" t="s">
        <v>1388</v>
      </c>
    </row>
    <row r="1155" spans="1:4" hidden="1" x14ac:dyDescent="0.3">
      <c r="A1155">
        <v>1153</v>
      </c>
      <c r="B1155" t="s">
        <v>1389</v>
      </c>
      <c r="C1155" t="s">
        <v>215</v>
      </c>
      <c r="D1155">
        <v>99995811.695591107</v>
      </c>
    </row>
    <row r="1156" spans="1:4" hidden="1" x14ac:dyDescent="0.3">
      <c r="A1156">
        <v>1154</v>
      </c>
      <c r="B1156" t="s">
        <v>1390</v>
      </c>
      <c r="C1156" t="s">
        <v>217</v>
      </c>
      <c r="D1156">
        <v>2128.0846124887398</v>
      </c>
    </row>
    <row r="1157" spans="1:4" hidden="1" x14ac:dyDescent="0.3">
      <c r="A1157">
        <v>1155</v>
      </c>
      <c r="B1157" s="1" t="s">
        <v>1391</v>
      </c>
      <c r="C1157" t="s">
        <v>219</v>
      </c>
      <c r="D1157" s="1" t="s">
        <v>1392</v>
      </c>
    </row>
    <row r="1158" spans="1:4" hidden="1" x14ac:dyDescent="0.3">
      <c r="A1158">
        <v>1156</v>
      </c>
      <c r="B1158" t="s">
        <v>1393</v>
      </c>
      <c r="C1158" t="s">
        <v>112</v>
      </c>
      <c r="D1158">
        <v>-567.83565266482299</v>
      </c>
    </row>
    <row r="1159" spans="1:4" hidden="1" x14ac:dyDescent="0.3">
      <c r="A1159">
        <v>1157</v>
      </c>
      <c r="B1159" t="s">
        <v>1394</v>
      </c>
      <c r="C1159" t="s">
        <v>114</v>
      </c>
      <c r="D1159">
        <v>-111.39964907977</v>
      </c>
    </row>
    <row r="1160" spans="1:4" hidden="1" x14ac:dyDescent="0.3">
      <c r="A1160">
        <v>1158</v>
      </c>
      <c r="B1160" s="1" t="s">
        <v>1395</v>
      </c>
      <c r="C1160" t="s">
        <v>116</v>
      </c>
      <c r="D1160" s="1" t="s">
        <v>1396</v>
      </c>
    </row>
    <row r="1161" spans="1:4" hidden="1" x14ac:dyDescent="0.3">
      <c r="A1161">
        <v>1159</v>
      </c>
      <c r="B1161" t="s">
        <v>1397</v>
      </c>
      <c r="C1161" t="s">
        <v>119</v>
      </c>
      <c r="D1161">
        <v>79998232.522560999</v>
      </c>
    </row>
    <row r="1162" spans="1:4" hidden="1" x14ac:dyDescent="0.3">
      <c r="A1162">
        <v>1160</v>
      </c>
      <c r="B1162" t="s">
        <v>1398</v>
      </c>
      <c r="C1162" t="s">
        <v>121</v>
      </c>
      <c r="D1162">
        <v>39999284.3308874</v>
      </c>
    </row>
    <row r="1163" spans="1:4" hidden="1" x14ac:dyDescent="0.3">
      <c r="A1163">
        <v>1161</v>
      </c>
      <c r="B1163" s="1" t="s">
        <v>1399</v>
      </c>
      <c r="C1163" t="s">
        <v>123</v>
      </c>
      <c r="D1163" s="1" t="s">
        <v>1400</v>
      </c>
    </row>
    <row r="1164" spans="1:4" hidden="1" x14ac:dyDescent="0.3">
      <c r="A1164">
        <v>1162</v>
      </c>
      <c r="B1164" t="s">
        <v>1401</v>
      </c>
      <c r="C1164" t="s">
        <v>126</v>
      </c>
      <c r="D1164">
        <v>0.79999935023943503</v>
      </c>
    </row>
    <row r="1165" spans="1:4" hidden="1" x14ac:dyDescent="0.3">
      <c r="A1165">
        <v>1163</v>
      </c>
      <c r="B1165" t="s">
        <v>1402</v>
      </c>
      <c r="C1165" t="s">
        <v>128</v>
      </c>
      <c r="D1165">
        <v>0.400001355851555</v>
      </c>
    </row>
    <row r="1166" spans="1:4" hidden="1" x14ac:dyDescent="0.3">
      <c r="A1166">
        <v>1164</v>
      </c>
      <c r="B1166" s="1" t="s">
        <v>1403</v>
      </c>
      <c r="C1166" t="s">
        <v>130</v>
      </c>
      <c r="D1166" s="1" t="s">
        <v>1404</v>
      </c>
    </row>
    <row r="1167" spans="1:4" hidden="1" x14ac:dyDescent="0.3">
      <c r="A1167">
        <v>1165</v>
      </c>
      <c r="B1167" s="1" t="s">
        <v>3</v>
      </c>
      <c r="C1167" t="s">
        <v>4</v>
      </c>
      <c r="D1167" t="s">
        <v>5</v>
      </c>
    </row>
    <row r="1168" spans="1:4" hidden="1" x14ac:dyDescent="0.3">
      <c r="A1168">
        <v>1166</v>
      </c>
      <c r="B1168" t="s">
        <v>6</v>
      </c>
      <c r="C1168" t="s">
        <v>7</v>
      </c>
      <c r="D1168">
        <v>1950.52</v>
      </c>
    </row>
    <row r="1169" spans="1:4" hidden="1" x14ac:dyDescent="0.3">
      <c r="A1169">
        <v>1167</v>
      </c>
      <c r="B1169" s="1" t="s">
        <v>132</v>
      </c>
      <c r="C1169" t="s">
        <v>9</v>
      </c>
      <c r="D1169" s="1" t="s">
        <v>133</v>
      </c>
    </row>
    <row r="1170" spans="1:4" hidden="1" x14ac:dyDescent="0.3">
      <c r="A1170">
        <v>1168</v>
      </c>
      <c r="B1170" t="s">
        <v>13</v>
      </c>
      <c r="C1170" t="s">
        <v>14</v>
      </c>
      <c r="D1170">
        <v>90.82421875</v>
      </c>
    </row>
    <row r="1171" spans="1:4" hidden="1" x14ac:dyDescent="0.3">
      <c r="A1171">
        <v>1169</v>
      </c>
      <c r="B1171" t="s">
        <v>15</v>
      </c>
      <c r="C1171" t="s">
        <v>16</v>
      </c>
      <c r="D1171">
        <v>4.2527792330373497</v>
      </c>
    </row>
    <row r="1172" spans="1:4" hidden="1" x14ac:dyDescent="0.3">
      <c r="A1172">
        <v>1170</v>
      </c>
      <c r="B1172" s="1" t="s">
        <v>134</v>
      </c>
      <c r="C1172" t="s">
        <v>135</v>
      </c>
      <c r="D1172" s="1" t="s">
        <v>136</v>
      </c>
    </row>
    <row r="1173" spans="1:4" hidden="1" x14ac:dyDescent="0.3">
      <c r="A1173">
        <v>1171</v>
      </c>
      <c r="B1173" t="s">
        <v>21</v>
      </c>
      <c r="C1173" t="s">
        <v>22</v>
      </c>
      <c r="D1173">
        <v>62.9</v>
      </c>
    </row>
    <row r="1174" spans="1:4" hidden="1" x14ac:dyDescent="0.3">
      <c r="A1174">
        <v>1172</v>
      </c>
      <c r="B1174" t="s">
        <v>1405</v>
      </c>
      <c r="C1174" t="s">
        <v>24</v>
      </c>
      <c r="D1174">
        <v>3.9291386764323599</v>
      </c>
    </row>
    <row r="1175" spans="1:4" hidden="1" x14ac:dyDescent="0.3">
      <c r="A1175">
        <v>1173</v>
      </c>
      <c r="B1175" s="1" t="s">
        <v>1406</v>
      </c>
      <c r="C1175" t="s">
        <v>139</v>
      </c>
      <c r="D1175" s="1" t="s">
        <v>1407</v>
      </c>
    </row>
    <row r="1176" spans="1:4" hidden="1" x14ac:dyDescent="0.3">
      <c r="A1176">
        <v>1174</v>
      </c>
      <c r="B1176" t="s">
        <v>1408</v>
      </c>
      <c r="C1176" t="s">
        <v>35</v>
      </c>
      <c r="D1176">
        <v>-1.0765522898203901</v>
      </c>
    </row>
    <row r="1177" spans="1:4" hidden="1" x14ac:dyDescent="0.3">
      <c r="A1177">
        <v>1175</v>
      </c>
      <c r="B1177" t="s">
        <v>1409</v>
      </c>
      <c r="C1177" t="s">
        <v>143</v>
      </c>
      <c r="D1177">
        <v>0.54091490931804798</v>
      </c>
    </row>
    <row r="1178" spans="1:4" hidden="1" x14ac:dyDescent="0.3">
      <c r="A1178">
        <v>1176</v>
      </c>
      <c r="B1178" s="1" t="s">
        <v>1410</v>
      </c>
      <c r="C1178" t="s">
        <v>145</v>
      </c>
      <c r="D1178" s="1" t="s">
        <v>1411</v>
      </c>
    </row>
    <row r="1179" spans="1:4" hidden="1" x14ac:dyDescent="0.3">
      <c r="A1179">
        <v>1177</v>
      </c>
      <c r="B1179" t="s">
        <v>1412</v>
      </c>
      <c r="C1179" t="s">
        <v>30</v>
      </c>
      <c r="D1179">
        <v>0.98257549816719303</v>
      </c>
    </row>
    <row r="1180" spans="1:4" hidden="1" x14ac:dyDescent="0.3">
      <c r="A1180">
        <v>1178</v>
      </c>
      <c r="B1180" t="s">
        <v>1413</v>
      </c>
      <c r="C1180" t="s">
        <v>32</v>
      </c>
      <c r="D1180">
        <v>0.37466452291695401</v>
      </c>
    </row>
    <row r="1181" spans="1:4" hidden="1" x14ac:dyDescent="0.3">
      <c r="A1181">
        <v>1179</v>
      </c>
      <c r="B1181" s="1" t="s">
        <v>1414</v>
      </c>
      <c r="C1181" t="s">
        <v>149</v>
      </c>
      <c r="D1181" s="1" t="s">
        <v>1415</v>
      </c>
    </row>
    <row r="1182" spans="1:4" hidden="1" x14ac:dyDescent="0.3">
      <c r="A1182">
        <v>1180</v>
      </c>
      <c r="B1182" t="s">
        <v>1416</v>
      </c>
      <c r="C1182" t="s">
        <v>40</v>
      </c>
      <c r="D1182">
        <v>1.0939767916531999</v>
      </c>
    </row>
    <row r="1183" spans="1:4" hidden="1" x14ac:dyDescent="0.3">
      <c r="A1183">
        <v>1181</v>
      </c>
      <c r="B1183" t="s">
        <v>1417</v>
      </c>
      <c r="C1183" t="s">
        <v>42</v>
      </c>
      <c r="D1183">
        <v>0.47405508671764801</v>
      </c>
    </row>
    <row r="1184" spans="1:4" hidden="1" x14ac:dyDescent="0.3">
      <c r="A1184">
        <v>1182</v>
      </c>
      <c r="B1184" s="1" t="s">
        <v>1418</v>
      </c>
      <c r="C1184" t="s">
        <v>153</v>
      </c>
      <c r="D1184" s="1" t="s">
        <v>1419</v>
      </c>
    </row>
    <row r="1185" spans="1:4" hidden="1" x14ac:dyDescent="0.3">
      <c r="A1185">
        <v>1183</v>
      </c>
      <c r="B1185" t="s">
        <v>154</v>
      </c>
      <c r="C1185" t="s">
        <v>155</v>
      </c>
      <c r="D1185">
        <v>1</v>
      </c>
    </row>
    <row r="1186" spans="1:4" hidden="1" x14ac:dyDescent="0.3">
      <c r="A1186">
        <v>1184</v>
      </c>
      <c r="B1186" t="s">
        <v>156</v>
      </c>
      <c r="C1186" t="s">
        <v>157</v>
      </c>
      <c r="D1186">
        <v>1</v>
      </c>
    </row>
    <row r="1187" spans="1:4" hidden="1" x14ac:dyDescent="0.3">
      <c r="A1187">
        <v>1185</v>
      </c>
      <c r="B1187" s="1" t="s">
        <v>1420</v>
      </c>
      <c r="C1187" t="s">
        <v>159</v>
      </c>
      <c r="D1187" s="1" t="s">
        <v>1421</v>
      </c>
    </row>
    <row r="1188" spans="1:4" hidden="1" x14ac:dyDescent="0.3">
      <c r="A1188">
        <v>1186</v>
      </c>
      <c r="B1188" t="s">
        <v>1422</v>
      </c>
      <c r="C1188" t="s">
        <v>162</v>
      </c>
      <c r="D1188">
        <v>0.99658079489582396</v>
      </c>
    </row>
    <row r="1189" spans="1:4" hidden="1" x14ac:dyDescent="0.3">
      <c r="A1189">
        <v>1187</v>
      </c>
      <c r="B1189" t="s">
        <v>1423</v>
      </c>
      <c r="C1189" t="s">
        <v>164</v>
      </c>
      <c r="D1189">
        <v>1.0059806789491199</v>
      </c>
    </row>
    <row r="1190" spans="1:4" hidden="1" x14ac:dyDescent="0.3">
      <c r="A1190">
        <v>1188</v>
      </c>
      <c r="B1190" s="1" t="s">
        <v>1424</v>
      </c>
      <c r="C1190" t="s">
        <v>166</v>
      </c>
      <c r="D1190" s="1" t="s">
        <v>1425</v>
      </c>
    </row>
    <row r="1191" spans="1:4" hidden="1" x14ac:dyDescent="0.3">
      <c r="A1191">
        <v>1189</v>
      </c>
      <c r="B1191" s="1" t="s">
        <v>1426</v>
      </c>
      <c r="C1191" t="s">
        <v>55</v>
      </c>
      <c r="D1191" s="1" t="s">
        <v>1427</v>
      </c>
    </row>
    <row r="1192" spans="1:4" hidden="1" x14ac:dyDescent="0.3">
      <c r="A1192">
        <v>1190</v>
      </c>
      <c r="B1192" s="1" t="s">
        <v>1428</v>
      </c>
      <c r="C1192" t="s">
        <v>52</v>
      </c>
      <c r="D1192" s="1" t="s">
        <v>1429</v>
      </c>
    </row>
    <row r="1193" spans="1:4" hidden="1" x14ac:dyDescent="0.3">
      <c r="A1193">
        <v>1191</v>
      </c>
      <c r="B1193" s="1" t="s">
        <v>1430</v>
      </c>
      <c r="C1193" t="s">
        <v>58</v>
      </c>
      <c r="D1193" s="1" t="s">
        <v>1431</v>
      </c>
    </row>
    <row r="1194" spans="1:4" hidden="1" x14ac:dyDescent="0.3">
      <c r="A1194">
        <v>1192</v>
      </c>
      <c r="B1194" t="s">
        <v>1432</v>
      </c>
      <c r="C1194" t="s">
        <v>61</v>
      </c>
      <c r="D1194">
        <v>149904615.90755701</v>
      </c>
    </row>
    <row r="1195" spans="1:4" hidden="1" x14ac:dyDescent="0.3">
      <c r="A1195">
        <v>1193</v>
      </c>
      <c r="B1195" t="s">
        <v>1433</v>
      </c>
      <c r="C1195" t="s">
        <v>63</v>
      </c>
      <c r="D1195">
        <v>79998232.522560999</v>
      </c>
    </row>
    <row r="1196" spans="1:4" hidden="1" x14ac:dyDescent="0.3">
      <c r="A1196">
        <v>1194</v>
      </c>
      <c r="B1196" t="s">
        <v>1434</v>
      </c>
      <c r="C1196" t="s">
        <v>65</v>
      </c>
      <c r="D1196">
        <v>39999284.3308874</v>
      </c>
    </row>
    <row r="1197" spans="1:4" hidden="1" x14ac:dyDescent="0.3">
      <c r="A1197">
        <v>1195</v>
      </c>
      <c r="B1197" s="1" t="s">
        <v>1435</v>
      </c>
      <c r="C1197" t="s">
        <v>67</v>
      </c>
      <c r="D1197" s="1" t="s">
        <v>1436</v>
      </c>
    </row>
    <row r="1198" spans="1:4" hidden="1" x14ac:dyDescent="0.3">
      <c r="A1198">
        <v>1196</v>
      </c>
      <c r="B1198" s="1" t="s">
        <v>1437</v>
      </c>
      <c r="C1198" t="s">
        <v>70</v>
      </c>
      <c r="D1198" s="1" t="s">
        <v>1438</v>
      </c>
    </row>
    <row r="1199" spans="1:4" hidden="1" x14ac:dyDescent="0.3">
      <c r="A1199">
        <v>1197</v>
      </c>
      <c r="B1199" t="s">
        <v>1439</v>
      </c>
      <c r="C1199" t="s">
        <v>73</v>
      </c>
      <c r="D1199">
        <v>1.0000206026224201</v>
      </c>
    </row>
    <row r="1200" spans="1:4" hidden="1" x14ac:dyDescent="0.3">
      <c r="A1200">
        <v>1198</v>
      </c>
      <c r="B1200" t="s">
        <v>74</v>
      </c>
      <c r="C1200" t="s">
        <v>75</v>
      </c>
      <c r="D1200">
        <v>2.7397260273972599E-3</v>
      </c>
    </row>
    <row r="1201" spans="1:4" hidden="1" x14ac:dyDescent="0.3">
      <c r="A1201">
        <v>1199</v>
      </c>
      <c r="B1201" t="s">
        <v>76</v>
      </c>
      <c r="C1201" t="s">
        <v>77</v>
      </c>
      <c r="D1201">
        <v>0</v>
      </c>
    </row>
    <row r="1202" spans="1:4" hidden="1" x14ac:dyDescent="0.3">
      <c r="A1202">
        <v>1200</v>
      </c>
      <c r="B1202" t="s">
        <v>346</v>
      </c>
      <c r="C1202" t="s">
        <v>79</v>
      </c>
      <c r="D1202" s="2">
        <v>-2.2204460492503101E-16</v>
      </c>
    </row>
    <row r="1203" spans="1:4" hidden="1" x14ac:dyDescent="0.3">
      <c r="A1203">
        <v>1201</v>
      </c>
      <c r="B1203" s="1" t="s">
        <v>1440</v>
      </c>
      <c r="C1203" t="s">
        <v>81</v>
      </c>
      <c r="D1203" s="1" t="s">
        <v>1441</v>
      </c>
    </row>
    <row r="1204" spans="1:4" hidden="1" x14ac:dyDescent="0.3">
      <c r="A1204">
        <v>1202</v>
      </c>
      <c r="B1204" t="s">
        <v>1442</v>
      </c>
      <c r="C1204" t="s">
        <v>84</v>
      </c>
      <c r="D1204">
        <v>1.00001775051368</v>
      </c>
    </row>
    <row r="1205" spans="1:4" hidden="1" x14ac:dyDescent="0.3">
      <c r="A1205">
        <v>1203</v>
      </c>
      <c r="B1205" s="1" t="s">
        <v>1443</v>
      </c>
      <c r="C1205" t="s">
        <v>86</v>
      </c>
      <c r="D1205" s="1" t="s">
        <v>1444</v>
      </c>
    </row>
    <row r="1206" spans="1:4" hidden="1" x14ac:dyDescent="0.3">
      <c r="A1206">
        <v>1204</v>
      </c>
      <c r="B1206" t="s">
        <v>1445</v>
      </c>
      <c r="C1206" t="s">
        <v>89</v>
      </c>
      <c r="D1206">
        <v>99998224.9801386</v>
      </c>
    </row>
    <row r="1207" spans="1:4" hidden="1" x14ac:dyDescent="0.3">
      <c r="A1207">
        <v>1205</v>
      </c>
      <c r="B1207" s="1" t="s">
        <v>1446</v>
      </c>
      <c r="C1207" t="s">
        <v>91</v>
      </c>
      <c r="D1207" s="1" t="s">
        <v>1392</v>
      </c>
    </row>
    <row r="1208" spans="1:4" hidden="1" x14ac:dyDescent="0.3">
      <c r="A1208">
        <v>1206</v>
      </c>
      <c r="B1208" t="s">
        <v>1447</v>
      </c>
      <c r="C1208" t="s">
        <v>94</v>
      </c>
      <c r="D1208">
        <v>79998232.522560999</v>
      </c>
    </row>
    <row r="1209" spans="1:4" hidden="1" x14ac:dyDescent="0.3">
      <c r="A1209">
        <v>1207</v>
      </c>
      <c r="B1209" t="s">
        <v>1448</v>
      </c>
      <c r="C1209" t="s">
        <v>96</v>
      </c>
      <c r="D1209">
        <v>39999284.3308874</v>
      </c>
    </row>
    <row r="1210" spans="1:4" hidden="1" x14ac:dyDescent="0.3">
      <c r="A1210">
        <v>1208</v>
      </c>
      <c r="B1210" t="s">
        <v>1449</v>
      </c>
      <c r="C1210" t="s">
        <v>98</v>
      </c>
      <c r="D1210">
        <v>29907099.0541084</v>
      </c>
    </row>
    <row r="1211" spans="1:4" hidden="1" x14ac:dyDescent="0.3">
      <c r="A1211">
        <v>1209</v>
      </c>
      <c r="B1211" s="1" t="s">
        <v>1450</v>
      </c>
      <c r="C1211" t="s">
        <v>100</v>
      </c>
      <c r="D1211" s="1" t="s">
        <v>1451</v>
      </c>
    </row>
    <row r="1212" spans="1:4" hidden="1" x14ac:dyDescent="0.3">
      <c r="A1212">
        <v>1210</v>
      </c>
      <c r="B1212" t="s">
        <v>1452</v>
      </c>
      <c r="C1212" t="s">
        <v>103</v>
      </c>
      <c r="D1212">
        <v>1.0198726909541499E-2</v>
      </c>
    </row>
    <row r="1213" spans="1:4" hidden="1" x14ac:dyDescent="0.3">
      <c r="A1213">
        <v>1211</v>
      </c>
      <c r="B1213" t="s">
        <v>1453</v>
      </c>
      <c r="C1213" t="s">
        <v>105</v>
      </c>
      <c r="D1213">
        <v>2.8268110263509698E-3</v>
      </c>
    </row>
    <row r="1214" spans="1:4" hidden="1" x14ac:dyDescent="0.3">
      <c r="A1214">
        <v>1212</v>
      </c>
      <c r="B1214" t="s">
        <v>1454</v>
      </c>
      <c r="C1214" t="s">
        <v>107</v>
      </c>
      <c r="D1214">
        <v>2.2389584919379799E-2</v>
      </c>
    </row>
    <row r="1215" spans="1:4" hidden="1" x14ac:dyDescent="0.3">
      <c r="A1215">
        <v>1213</v>
      </c>
      <c r="B1215" s="1" t="s">
        <v>1455</v>
      </c>
      <c r="C1215" t="s">
        <v>109</v>
      </c>
      <c r="D1215" s="1" t="s">
        <v>1456</v>
      </c>
    </row>
    <row r="1216" spans="1:4" x14ac:dyDescent="0.3">
      <c r="A1216">
        <v>1214</v>
      </c>
      <c r="B1216" t="s">
        <v>1457</v>
      </c>
      <c r="C1216" t="s">
        <v>197</v>
      </c>
      <c r="D1216">
        <v>149904517.30001</v>
      </c>
    </row>
    <row r="1217" spans="1:4" hidden="1" x14ac:dyDescent="0.3">
      <c r="A1217">
        <v>1215</v>
      </c>
      <c r="B1217" t="s">
        <v>1458</v>
      </c>
      <c r="C1217" t="s">
        <v>199</v>
      </c>
      <c r="D1217">
        <v>228.15873994427201</v>
      </c>
    </row>
    <row r="1218" spans="1:4" hidden="1" x14ac:dyDescent="0.3">
      <c r="A1218">
        <v>1216</v>
      </c>
      <c r="B1218" t="s">
        <v>1459</v>
      </c>
      <c r="C1218" t="s">
        <v>201</v>
      </c>
      <c r="D1218">
        <v>114.079915583603</v>
      </c>
    </row>
    <row r="1219" spans="1:4" hidden="1" x14ac:dyDescent="0.3">
      <c r="A1219">
        <v>1217</v>
      </c>
      <c r="B1219" s="1" t="s">
        <v>1460</v>
      </c>
      <c r="C1219" t="s">
        <v>203</v>
      </c>
      <c r="D1219" s="1" t="s">
        <v>1461</v>
      </c>
    </row>
    <row r="1220" spans="1:4" hidden="1" x14ac:dyDescent="0.3">
      <c r="A1220">
        <v>1218</v>
      </c>
      <c r="B1220" t="s">
        <v>1462</v>
      </c>
      <c r="C1220" t="s">
        <v>206</v>
      </c>
      <c r="D1220">
        <v>79997928.262225896</v>
      </c>
    </row>
    <row r="1221" spans="1:4" hidden="1" x14ac:dyDescent="0.3">
      <c r="A1221">
        <v>1219</v>
      </c>
      <c r="B1221" t="s">
        <v>1463</v>
      </c>
      <c r="C1221" t="s">
        <v>208</v>
      </c>
      <c r="D1221">
        <v>39999155.435583897</v>
      </c>
    </row>
    <row r="1222" spans="1:4" hidden="1" x14ac:dyDescent="0.3">
      <c r="A1222">
        <v>1220</v>
      </c>
      <c r="B1222" t="s">
        <v>1464</v>
      </c>
      <c r="C1222" t="s">
        <v>210</v>
      </c>
      <c r="D1222">
        <v>29907006.067026101</v>
      </c>
    </row>
    <row r="1223" spans="1:4" hidden="1" x14ac:dyDescent="0.3">
      <c r="A1223">
        <v>1221</v>
      </c>
      <c r="B1223" s="1" t="s">
        <v>1465</v>
      </c>
      <c r="C1223" t="s">
        <v>212</v>
      </c>
      <c r="D1223" s="1" t="s">
        <v>1466</v>
      </c>
    </row>
    <row r="1224" spans="1:4" hidden="1" x14ac:dyDescent="0.3">
      <c r="A1224">
        <v>1222</v>
      </c>
      <c r="B1224" t="s">
        <v>1467</v>
      </c>
      <c r="C1224" t="s">
        <v>215</v>
      </c>
      <c r="D1224">
        <v>99997939.780203596</v>
      </c>
    </row>
    <row r="1225" spans="1:4" hidden="1" x14ac:dyDescent="0.3">
      <c r="A1225">
        <v>1223</v>
      </c>
      <c r="B1225" t="s">
        <v>1468</v>
      </c>
      <c r="C1225" t="s">
        <v>217</v>
      </c>
      <c r="D1225">
        <v>285.199934959411</v>
      </c>
    </row>
    <row r="1226" spans="1:4" hidden="1" x14ac:dyDescent="0.3">
      <c r="A1226">
        <v>1224</v>
      </c>
      <c r="B1226" s="1" t="s">
        <v>1469</v>
      </c>
      <c r="C1226" t="s">
        <v>219</v>
      </c>
      <c r="D1226" s="1" t="s">
        <v>1470</v>
      </c>
    </row>
    <row r="1227" spans="1:4" hidden="1" x14ac:dyDescent="0.3">
      <c r="A1227">
        <v>1225</v>
      </c>
      <c r="B1227" t="s">
        <v>1471</v>
      </c>
      <c r="C1227" t="s">
        <v>112</v>
      </c>
      <c r="D1227">
        <v>-76.101595123199601</v>
      </c>
    </row>
    <row r="1228" spans="1:4" hidden="1" x14ac:dyDescent="0.3">
      <c r="A1228">
        <v>1226</v>
      </c>
      <c r="B1228" t="s">
        <v>1472</v>
      </c>
      <c r="C1228" t="s">
        <v>114</v>
      </c>
      <c r="D1228">
        <v>-14.815387920663801</v>
      </c>
    </row>
    <row r="1229" spans="1:4" hidden="1" x14ac:dyDescent="0.3">
      <c r="A1229">
        <v>1227</v>
      </c>
      <c r="B1229" s="1" t="s">
        <v>1473</v>
      </c>
      <c r="C1229" t="s">
        <v>116</v>
      </c>
      <c r="D1229" s="1" t="s">
        <v>1474</v>
      </c>
    </row>
    <row r="1230" spans="1:4" hidden="1" x14ac:dyDescent="0.3">
      <c r="A1230">
        <v>1228</v>
      </c>
      <c r="B1230" t="s">
        <v>1475</v>
      </c>
      <c r="C1230" t="s">
        <v>119</v>
      </c>
      <c r="D1230">
        <v>79997928.262225896</v>
      </c>
    </row>
    <row r="1231" spans="1:4" hidden="1" x14ac:dyDescent="0.3">
      <c r="A1231">
        <v>1229</v>
      </c>
      <c r="B1231" t="s">
        <v>1476</v>
      </c>
      <c r="C1231" t="s">
        <v>121</v>
      </c>
      <c r="D1231">
        <v>39999155.435583897</v>
      </c>
    </row>
    <row r="1232" spans="1:4" hidden="1" x14ac:dyDescent="0.3">
      <c r="A1232">
        <v>1230</v>
      </c>
      <c r="B1232" s="1" t="s">
        <v>1477</v>
      </c>
      <c r="C1232" t="s">
        <v>123</v>
      </c>
      <c r="D1232" s="1" t="s">
        <v>1478</v>
      </c>
    </row>
    <row r="1233" spans="1:4" hidden="1" x14ac:dyDescent="0.3">
      <c r="A1233">
        <v>1231</v>
      </c>
      <c r="B1233" t="s">
        <v>1479</v>
      </c>
      <c r="C1233" t="s">
        <v>126</v>
      </c>
      <c r="D1233">
        <v>0.79998156420965905</v>
      </c>
    </row>
    <row r="1234" spans="1:4" hidden="1" x14ac:dyDescent="0.3">
      <c r="A1234">
        <v>1232</v>
      </c>
      <c r="B1234" t="s">
        <v>1480</v>
      </c>
      <c r="C1234" t="s">
        <v>128</v>
      </c>
      <c r="D1234">
        <v>0.39999269515499503</v>
      </c>
    </row>
    <row r="1235" spans="1:4" hidden="1" x14ac:dyDescent="0.3">
      <c r="A1235">
        <v>1233</v>
      </c>
      <c r="B1235" s="1" t="s">
        <v>1481</v>
      </c>
      <c r="C1235" t="s">
        <v>130</v>
      </c>
      <c r="D1235" s="1" t="s">
        <v>1482</v>
      </c>
    </row>
    <row r="1236" spans="1:4" hidden="1" x14ac:dyDescent="0.3">
      <c r="A1236">
        <v>1234</v>
      </c>
      <c r="B1236" s="1" t="s">
        <v>3</v>
      </c>
      <c r="C1236" t="s">
        <v>4</v>
      </c>
      <c r="D1236" t="s">
        <v>5</v>
      </c>
    </row>
    <row r="1237" spans="1:4" hidden="1" x14ac:dyDescent="0.3">
      <c r="A1237">
        <v>1235</v>
      </c>
      <c r="B1237" t="s">
        <v>6</v>
      </c>
      <c r="C1237" t="s">
        <v>7</v>
      </c>
      <c r="D1237">
        <v>1950.52</v>
      </c>
    </row>
    <row r="1238" spans="1:4" hidden="1" x14ac:dyDescent="0.3">
      <c r="A1238">
        <v>1236</v>
      </c>
      <c r="B1238" s="1" t="s">
        <v>132</v>
      </c>
      <c r="C1238" t="s">
        <v>9</v>
      </c>
      <c r="D1238" s="1" t="s">
        <v>133</v>
      </c>
    </row>
    <row r="1239" spans="1:4" hidden="1" x14ac:dyDescent="0.3">
      <c r="A1239">
        <v>1237</v>
      </c>
      <c r="B1239" t="s">
        <v>13</v>
      </c>
      <c r="C1239" t="s">
        <v>14</v>
      </c>
      <c r="D1239">
        <v>90.82421875</v>
      </c>
    </row>
    <row r="1240" spans="1:4" hidden="1" x14ac:dyDescent="0.3">
      <c r="A1240">
        <v>1238</v>
      </c>
      <c r="B1240" t="s">
        <v>15</v>
      </c>
      <c r="C1240" t="s">
        <v>16</v>
      </c>
      <c r="D1240">
        <v>4.2527792330373497</v>
      </c>
    </row>
    <row r="1241" spans="1:4" hidden="1" x14ac:dyDescent="0.3">
      <c r="A1241">
        <v>1239</v>
      </c>
      <c r="B1241" s="1" t="s">
        <v>134</v>
      </c>
      <c r="C1241" t="s">
        <v>135</v>
      </c>
      <c r="D1241" s="1" t="s">
        <v>136</v>
      </c>
    </row>
    <row r="1242" spans="1:4" hidden="1" x14ac:dyDescent="0.3">
      <c r="A1242">
        <v>1240</v>
      </c>
      <c r="B1242" t="s">
        <v>21</v>
      </c>
      <c r="C1242" t="s">
        <v>22</v>
      </c>
      <c r="D1242">
        <v>62.9</v>
      </c>
    </row>
    <row r="1243" spans="1:4" hidden="1" x14ac:dyDescent="0.3">
      <c r="A1243">
        <v>1241</v>
      </c>
      <c r="B1243" t="s">
        <v>1483</v>
      </c>
      <c r="C1243" t="s">
        <v>24</v>
      </c>
      <c r="D1243">
        <v>3.94442559513057</v>
      </c>
    </row>
    <row r="1244" spans="1:4" hidden="1" x14ac:dyDescent="0.3">
      <c r="A1244">
        <v>1242</v>
      </c>
      <c r="B1244" s="1" t="s">
        <v>1484</v>
      </c>
      <c r="C1244" t="s">
        <v>139</v>
      </c>
      <c r="D1244" s="1" t="s">
        <v>1485</v>
      </c>
    </row>
    <row r="1245" spans="1:4" hidden="1" x14ac:dyDescent="0.3">
      <c r="A1245">
        <v>1243</v>
      </c>
      <c r="B1245" t="s">
        <v>1486</v>
      </c>
      <c r="C1245" t="s">
        <v>35</v>
      </c>
      <c r="D1245">
        <v>-1.1887745172205499</v>
      </c>
    </row>
    <row r="1246" spans="1:4" hidden="1" x14ac:dyDescent="0.3">
      <c r="A1246">
        <v>1244</v>
      </c>
      <c r="B1246" t="s">
        <v>1487</v>
      </c>
      <c r="C1246" t="s">
        <v>143</v>
      </c>
      <c r="D1246">
        <v>0.54411832419705297</v>
      </c>
    </row>
    <row r="1247" spans="1:4" hidden="1" x14ac:dyDescent="0.3">
      <c r="A1247">
        <v>1245</v>
      </c>
      <c r="B1247" s="1" t="s">
        <v>1488</v>
      </c>
      <c r="C1247" t="s">
        <v>145</v>
      </c>
      <c r="D1247" s="1" t="s">
        <v>1489</v>
      </c>
    </row>
    <row r="1248" spans="1:4" hidden="1" x14ac:dyDescent="0.3">
      <c r="A1248">
        <v>1246</v>
      </c>
      <c r="B1248" t="s">
        <v>1490</v>
      </c>
      <c r="C1248" t="s">
        <v>30</v>
      </c>
      <c r="D1248">
        <v>1.0850013738406701</v>
      </c>
    </row>
    <row r="1249" spans="1:4" hidden="1" x14ac:dyDescent="0.3">
      <c r="A1249">
        <v>1247</v>
      </c>
      <c r="B1249" t="s">
        <v>1491</v>
      </c>
      <c r="C1249" t="s">
        <v>32</v>
      </c>
      <c r="D1249">
        <v>0.36959831924890102</v>
      </c>
    </row>
    <row r="1250" spans="1:4" hidden="1" x14ac:dyDescent="0.3">
      <c r="A1250">
        <v>1248</v>
      </c>
      <c r="B1250" s="1" t="s">
        <v>1492</v>
      </c>
      <c r="C1250" t="s">
        <v>149</v>
      </c>
      <c r="D1250" s="1" t="s">
        <v>1493</v>
      </c>
    </row>
    <row r="1251" spans="1:4" hidden="1" x14ac:dyDescent="0.3">
      <c r="A1251">
        <v>1249</v>
      </c>
      <c r="B1251" t="s">
        <v>1494</v>
      </c>
      <c r="C1251" t="s">
        <v>40</v>
      </c>
      <c r="D1251">
        <v>1.1037731433798701</v>
      </c>
    </row>
    <row r="1252" spans="1:4" hidden="1" x14ac:dyDescent="0.3">
      <c r="A1252">
        <v>1250</v>
      </c>
      <c r="B1252" t="s">
        <v>1495</v>
      </c>
      <c r="C1252" t="s">
        <v>42</v>
      </c>
      <c r="D1252">
        <v>0.46823723145724899</v>
      </c>
    </row>
    <row r="1253" spans="1:4" hidden="1" x14ac:dyDescent="0.3">
      <c r="A1253">
        <v>1251</v>
      </c>
      <c r="B1253" s="1" t="s">
        <v>1496</v>
      </c>
      <c r="C1253" t="s">
        <v>153</v>
      </c>
      <c r="D1253" s="1" t="s">
        <v>1497</v>
      </c>
    </row>
    <row r="1254" spans="1:4" hidden="1" x14ac:dyDescent="0.3">
      <c r="A1254">
        <v>1252</v>
      </c>
      <c r="B1254" t="s">
        <v>154</v>
      </c>
      <c r="C1254" t="s">
        <v>155</v>
      </c>
      <c r="D1254">
        <v>1</v>
      </c>
    </row>
    <row r="1255" spans="1:4" hidden="1" x14ac:dyDescent="0.3">
      <c r="A1255">
        <v>1253</v>
      </c>
      <c r="B1255" t="s">
        <v>156</v>
      </c>
      <c r="C1255" t="s">
        <v>157</v>
      </c>
      <c r="D1255">
        <v>1</v>
      </c>
    </row>
    <row r="1256" spans="1:4" hidden="1" x14ac:dyDescent="0.3">
      <c r="A1256">
        <v>1254</v>
      </c>
      <c r="B1256" s="1" t="s">
        <v>1498</v>
      </c>
      <c r="C1256" t="s">
        <v>159</v>
      </c>
      <c r="D1256" s="1" t="s">
        <v>1499</v>
      </c>
    </row>
    <row r="1257" spans="1:4" hidden="1" x14ac:dyDescent="0.3">
      <c r="A1257">
        <v>1255</v>
      </c>
      <c r="B1257" t="s">
        <v>1500</v>
      </c>
      <c r="C1257" t="s">
        <v>162</v>
      </c>
      <c r="D1257">
        <v>1.0020789044609999</v>
      </c>
    </row>
    <row r="1258" spans="1:4" hidden="1" x14ac:dyDescent="0.3">
      <c r="A1258">
        <v>1256</v>
      </c>
      <c r="B1258" t="s">
        <v>1501</v>
      </c>
      <c r="C1258" t="s">
        <v>164</v>
      </c>
      <c r="D1258">
        <v>0.99631458906257098</v>
      </c>
    </row>
    <row r="1259" spans="1:4" hidden="1" x14ac:dyDescent="0.3">
      <c r="A1259">
        <v>1257</v>
      </c>
      <c r="B1259" s="1" t="s">
        <v>1502</v>
      </c>
      <c r="C1259" t="s">
        <v>166</v>
      </c>
      <c r="D1259" s="1" t="s">
        <v>1503</v>
      </c>
    </row>
    <row r="1260" spans="1:4" hidden="1" x14ac:dyDescent="0.3">
      <c r="A1260">
        <v>1258</v>
      </c>
      <c r="B1260" s="1" t="s">
        <v>1504</v>
      </c>
      <c r="C1260" t="s">
        <v>55</v>
      </c>
      <c r="D1260" s="1" t="s">
        <v>1505</v>
      </c>
    </row>
    <row r="1261" spans="1:4" hidden="1" x14ac:dyDescent="0.3">
      <c r="A1261">
        <v>1259</v>
      </c>
      <c r="B1261" s="1" t="s">
        <v>1506</v>
      </c>
      <c r="C1261" t="s">
        <v>52</v>
      </c>
      <c r="D1261" s="1" t="s">
        <v>1507</v>
      </c>
    </row>
    <row r="1262" spans="1:4" hidden="1" x14ac:dyDescent="0.3">
      <c r="A1262">
        <v>1260</v>
      </c>
      <c r="B1262" s="1" t="s">
        <v>1508</v>
      </c>
      <c r="C1262" t="s">
        <v>58</v>
      </c>
      <c r="D1262" s="1" t="s">
        <v>1509</v>
      </c>
    </row>
    <row r="1263" spans="1:4" hidden="1" x14ac:dyDescent="0.3">
      <c r="A1263">
        <v>1261</v>
      </c>
      <c r="B1263" t="s">
        <v>1510</v>
      </c>
      <c r="C1263" t="s">
        <v>61</v>
      </c>
      <c r="D1263">
        <v>149910930.882038</v>
      </c>
    </row>
    <row r="1264" spans="1:4" hidden="1" x14ac:dyDescent="0.3">
      <c r="A1264">
        <v>1262</v>
      </c>
      <c r="B1264" t="s">
        <v>1511</v>
      </c>
      <c r="C1264" t="s">
        <v>63</v>
      </c>
      <c r="D1264">
        <v>79997928.262225896</v>
      </c>
    </row>
    <row r="1265" spans="1:4" hidden="1" x14ac:dyDescent="0.3">
      <c r="A1265">
        <v>1263</v>
      </c>
      <c r="B1265" t="s">
        <v>1512</v>
      </c>
      <c r="C1265" t="s">
        <v>65</v>
      </c>
      <c r="D1265">
        <v>39999155.435583897</v>
      </c>
    </row>
    <row r="1266" spans="1:4" hidden="1" x14ac:dyDescent="0.3">
      <c r="A1266">
        <v>1264</v>
      </c>
      <c r="B1266" s="1" t="s">
        <v>1513</v>
      </c>
      <c r="C1266" t="s">
        <v>67</v>
      </c>
      <c r="D1266" s="1" t="s">
        <v>1514</v>
      </c>
    </row>
    <row r="1267" spans="1:4" hidden="1" x14ac:dyDescent="0.3">
      <c r="A1267">
        <v>1265</v>
      </c>
      <c r="B1267" s="1" t="s">
        <v>1515</v>
      </c>
      <c r="C1267" t="s">
        <v>70</v>
      </c>
      <c r="D1267" s="1" t="s">
        <v>1516</v>
      </c>
    </row>
    <row r="1268" spans="1:4" hidden="1" x14ac:dyDescent="0.3">
      <c r="A1268">
        <v>1266</v>
      </c>
      <c r="B1268" t="s">
        <v>1517</v>
      </c>
      <c r="C1268" t="s">
        <v>73</v>
      </c>
      <c r="D1268">
        <v>1.00001775051368</v>
      </c>
    </row>
    <row r="1269" spans="1:4" hidden="1" x14ac:dyDescent="0.3">
      <c r="A1269">
        <v>1267</v>
      </c>
      <c r="B1269" t="s">
        <v>74</v>
      </c>
      <c r="C1269" t="s">
        <v>75</v>
      </c>
      <c r="D1269">
        <v>2.7397260273972599E-3</v>
      </c>
    </row>
    <row r="1270" spans="1:4" hidden="1" x14ac:dyDescent="0.3">
      <c r="A1270">
        <v>1268</v>
      </c>
      <c r="B1270" t="s">
        <v>76</v>
      </c>
      <c r="C1270" t="s">
        <v>77</v>
      </c>
      <c r="D1270">
        <v>0</v>
      </c>
    </row>
    <row r="1271" spans="1:4" hidden="1" x14ac:dyDescent="0.3">
      <c r="A1271">
        <v>1269</v>
      </c>
      <c r="B1271" t="s">
        <v>78</v>
      </c>
      <c r="C1271" t="s">
        <v>79</v>
      </c>
      <c r="D1271">
        <v>0</v>
      </c>
    </row>
    <row r="1272" spans="1:4" hidden="1" x14ac:dyDescent="0.3">
      <c r="A1272">
        <v>1270</v>
      </c>
      <c r="B1272" s="1" t="s">
        <v>1518</v>
      </c>
      <c r="C1272" t="s">
        <v>81</v>
      </c>
      <c r="D1272" s="1" t="s">
        <v>1519</v>
      </c>
    </row>
    <row r="1273" spans="1:4" hidden="1" x14ac:dyDescent="0.3">
      <c r="A1273">
        <v>1271</v>
      </c>
      <c r="B1273" t="s">
        <v>1520</v>
      </c>
      <c r="C1273" t="s">
        <v>84</v>
      </c>
      <c r="D1273">
        <v>0.99996201984344601</v>
      </c>
    </row>
    <row r="1274" spans="1:4" hidden="1" x14ac:dyDescent="0.3">
      <c r="A1274">
        <v>1272</v>
      </c>
      <c r="B1274" s="1" t="s">
        <v>1521</v>
      </c>
      <c r="C1274" t="s">
        <v>86</v>
      </c>
      <c r="D1274" s="1" t="s">
        <v>1522</v>
      </c>
    </row>
    <row r="1275" spans="1:4" hidden="1" x14ac:dyDescent="0.3">
      <c r="A1275">
        <v>1273</v>
      </c>
      <c r="B1275" t="s">
        <v>1523</v>
      </c>
      <c r="C1275" t="s">
        <v>89</v>
      </c>
      <c r="D1275">
        <v>100003798.15990999</v>
      </c>
    </row>
    <row r="1276" spans="1:4" hidden="1" x14ac:dyDescent="0.3">
      <c r="A1276">
        <v>1274</v>
      </c>
      <c r="B1276" s="1" t="s">
        <v>1524</v>
      </c>
      <c r="C1276" t="s">
        <v>91</v>
      </c>
      <c r="D1276" s="1" t="s">
        <v>1470</v>
      </c>
    </row>
    <row r="1277" spans="1:4" hidden="1" x14ac:dyDescent="0.3">
      <c r="A1277">
        <v>1275</v>
      </c>
      <c r="B1277" t="s">
        <v>1525</v>
      </c>
      <c r="C1277" t="s">
        <v>94</v>
      </c>
      <c r="D1277">
        <v>79997928.262225896</v>
      </c>
    </row>
    <row r="1278" spans="1:4" hidden="1" x14ac:dyDescent="0.3">
      <c r="A1278">
        <v>1276</v>
      </c>
      <c r="B1278" t="s">
        <v>1526</v>
      </c>
      <c r="C1278" t="s">
        <v>96</v>
      </c>
      <c r="D1278">
        <v>39999155.435583897</v>
      </c>
    </row>
    <row r="1279" spans="1:4" hidden="1" x14ac:dyDescent="0.3">
      <c r="A1279">
        <v>1277</v>
      </c>
      <c r="B1279" t="s">
        <v>1527</v>
      </c>
      <c r="C1279" t="s">
        <v>98</v>
      </c>
      <c r="D1279">
        <v>29913847.184229001</v>
      </c>
    </row>
    <row r="1280" spans="1:4" hidden="1" x14ac:dyDescent="0.3">
      <c r="A1280">
        <v>1278</v>
      </c>
      <c r="B1280" s="1" t="s">
        <v>1528</v>
      </c>
      <c r="C1280" t="s">
        <v>100</v>
      </c>
      <c r="D1280" s="1" t="s">
        <v>1529</v>
      </c>
    </row>
    <row r="1281" spans="1:4" hidden="1" x14ac:dyDescent="0.3">
      <c r="A1281">
        <v>1279</v>
      </c>
      <c r="B1281" t="s">
        <v>1530</v>
      </c>
      <c r="C1281" t="s">
        <v>103</v>
      </c>
      <c r="D1281">
        <v>1.0119735234056E-2</v>
      </c>
    </row>
    <row r="1282" spans="1:4" hidden="1" x14ac:dyDescent="0.3">
      <c r="A1282">
        <v>1280</v>
      </c>
      <c r="B1282" t="s">
        <v>1531</v>
      </c>
      <c r="C1282" t="s">
        <v>105</v>
      </c>
      <c r="D1282">
        <v>2.7632539050654898E-3</v>
      </c>
    </row>
    <row r="1283" spans="1:4" hidden="1" x14ac:dyDescent="0.3">
      <c r="A1283">
        <v>1281</v>
      </c>
      <c r="B1283" t="s">
        <v>1532</v>
      </c>
      <c r="C1283" t="s">
        <v>107</v>
      </c>
      <c r="D1283">
        <v>2.2273502472208499E-2</v>
      </c>
    </row>
    <row r="1284" spans="1:4" hidden="1" x14ac:dyDescent="0.3">
      <c r="A1284">
        <v>1282</v>
      </c>
      <c r="B1284" s="1" t="s">
        <v>1533</v>
      </c>
      <c r="C1284" t="s">
        <v>109</v>
      </c>
      <c r="D1284" s="1" t="s">
        <v>1534</v>
      </c>
    </row>
    <row r="1285" spans="1:4" x14ac:dyDescent="0.3">
      <c r="A1285">
        <v>1283</v>
      </c>
      <c r="B1285" t="s">
        <v>1535</v>
      </c>
      <c r="C1285" t="s">
        <v>197</v>
      </c>
      <c r="D1285">
        <v>149909000.456848</v>
      </c>
    </row>
    <row r="1286" spans="1:4" hidden="1" x14ac:dyDescent="0.3">
      <c r="A1286">
        <v>1284</v>
      </c>
      <c r="B1286" t="s">
        <v>1536</v>
      </c>
      <c r="C1286" t="s">
        <v>199</v>
      </c>
      <c r="D1286">
        <v>4458.1794614089604</v>
      </c>
    </row>
    <row r="1287" spans="1:4" hidden="1" x14ac:dyDescent="0.3">
      <c r="A1287">
        <v>1285</v>
      </c>
      <c r="B1287" t="s">
        <v>1537</v>
      </c>
      <c r="C1287" t="s">
        <v>201</v>
      </c>
      <c r="D1287">
        <v>2229.1245614525901</v>
      </c>
    </row>
    <row r="1288" spans="1:4" hidden="1" x14ac:dyDescent="0.3">
      <c r="A1288">
        <v>1286</v>
      </c>
      <c r="B1288" s="1" t="s">
        <v>1538</v>
      </c>
      <c r="C1288" t="s">
        <v>203</v>
      </c>
      <c r="D1288" s="1" t="s">
        <v>1539</v>
      </c>
    </row>
    <row r="1289" spans="1:4" hidden="1" x14ac:dyDescent="0.3">
      <c r="A1289">
        <v>1287</v>
      </c>
      <c r="B1289" t="s">
        <v>1540</v>
      </c>
      <c r="C1289" t="s">
        <v>206</v>
      </c>
      <c r="D1289">
        <v>79992042.436621204</v>
      </c>
    </row>
    <row r="1290" spans="1:4" hidden="1" x14ac:dyDescent="0.3">
      <c r="A1290">
        <v>1288</v>
      </c>
      <c r="B1290" t="s">
        <v>1541</v>
      </c>
      <c r="C1290" t="s">
        <v>208</v>
      </c>
      <c r="D1290">
        <v>39996646.178051397</v>
      </c>
    </row>
    <row r="1291" spans="1:4" hidden="1" x14ac:dyDescent="0.3">
      <c r="A1291">
        <v>1289</v>
      </c>
      <c r="B1291" t="s">
        <v>1542</v>
      </c>
      <c r="C1291" t="s">
        <v>210</v>
      </c>
      <c r="D1291">
        <v>29911957.461399</v>
      </c>
    </row>
    <row r="1292" spans="1:4" hidden="1" x14ac:dyDescent="0.3">
      <c r="A1292">
        <v>1290</v>
      </c>
      <c r="B1292" s="1" t="s">
        <v>1543</v>
      </c>
      <c r="C1292" t="s">
        <v>212</v>
      </c>
      <c r="D1292" s="1" t="s">
        <v>1544</v>
      </c>
    </row>
    <row r="1293" spans="1:4" hidden="1" x14ac:dyDescent="0.3">
      <c r="A1293">
        <v>1291</v>
      </c>
      <c r="B1293" t="s">
        <v>1545</v>
      </c>
      <c r="C1293" t="s">
        <v>215</v>
      </c>
      <c r="D1293">
        <v>99998224.9801386</v>
      </c>
    </row>
    <row r="1294" spans="1:4" hidden="1" x14ac:dyDescent="0.3">
      <c r="A1294">
        <v>1292</v>
      </c>
      <c r="B1294" t="s">
        <v>1546</v>
      </c>
      <c r="C1294" t="s">
        <v>217</v>
      </c>
      <c r="D1294">
        <v>5573.1797714382401</v>
      </c>
    </row>
    <row r="1295" spans="1:4" hidden="1" x14ac:dyDescent="0.3">
      <c r="A1295">
        <v>1293</v>
      </c>
      <c r="B1295" s="1" t="s">
        <v>1547</v>
      </c>
      <c r="C1295" t="s">
        <v>219</v>
      </c>
      <c r="D1295" s="1" t="s">
        <v>1548</v>
      </c>
    </row>
    <row r="1296" spans="1:4" hidden="1" x14ac:dyDescent="0.3">
      <c r="A1296">
        <v>1294</v>
      </c>
      <c r="B1296" t="s">
        <v>1549</v>
      </c>
      <c r="C1296" t="s">
        <v>112</v>
      </c>
      <c r="D1296">
        <v>-1427.6461433013601</v>
      </c>
    </row>
    <row r="1297" spans="1:4" hidden="1" x14ac:dyDescent="0.3">
      <c r="A1297">
        <v>1295</v>
      </c>
      <c r="B1297" t="s">
        <v>1550</v>
      </c>
      <c r="C1297" t="s">
        <v>114</v>
      </c>
      <c r="D1297">
        <v>-280.13297108101398</v>
      </c>
    </row>
    <row r="1298" spans="1:4" hidden="1" x14ac:dyDescent="0.3">
      <c r="A1298">
        <v>1296</v>
      </c>
      <c r="B1298" s="1" t="s">
        <v>1551</v>
      </c>
      <c r="C1298" t="s">
        <v>116</v>
      </c>
      <c r="D1298" s="1" t="s">
        <v>1552</v>
      </c>
    </row>
    <row r="1299" spans="1:4" hidden="1" x14ac:dyDescent="0.3">
      <c r="A1299">
        <v>1297</v>
      </c>
      <c r="B1299" t="s">
        <v>1553</v>
      </c>
      <c r="C1299" t="s">
        <v>119</v>
      </c>
      <c r="D1299">
        <v>79992042.436621204</v>
      </c>
    </row>
    <row r="1300" spans="1:4" hidden="1" x14ac:dyDescent="0.3">
      <c r="A1300">
        <v>1298</v>
      </c>
      <c r="B1300" t="s">
        <v>1554</v>
      </c>
      <c r="C1300" t="s">
        <v>121</v>
      </c>
      <c r="D1300">
        <v>39996646.178051397</v>
      </c>
    </row>
    <row r="1301" spans="1:4" hidden="1" x14ac:dyDescent="0.3">
      <c r="A1301">
        <v>1299</v>
      </c>
      <c r="B1301" s="1" t="s">
        <v>1555</v>
      </c>
      <c r="C1301" t="s">
        <v>123</v>
      </c>
      <c r="D1301" s="1" t="s">
        <v>1556</v>
      </c>
    </row>
    <row r="1302" spans="1:4" hidden="1" x14ac:dyDescent="0.3">
      <c r="A1302">
        <v>1300</v>
      </c>
      <c r="B1302" t="s">
        <v>1557</v>
      </c>
      <c r="C1302" t="s">
        <v>126</v>
      </c>
      <c r="D1302">
        <v>0.799965006160827</v>
      </c>
    </row>
    <row r="1303" spans="1:4" hidden="1" x14ac:dyDescent="0.3">
      <c r="A1303">
        <v>1301</v>
      </c>
      <c r="B1303" t="s">
        <v>1558</v>
      </c>
      <c r="C1303" t="s">
        <v>128</v>
      </c>
      <c r="D1303">
        <v>0.39998875302612902</v>
      </c>
    </row>
    <row r="1304" spans="1:4" hidden="1" x14ac:dyDescent="0.3">
      <c r="A1304">
        <v>1302</v>
      </c>
      <c r="B1304" s="1" t="s">
        <v>1559</v>
      </c>
      <c r="C1304" t="s">
        <v>130</v>
      </c>
      <c r="D1304" s="1" t="s">
        <v>1560</v>
      </c>
    </row>
    <row r="1305" spans="1:4" hidden="1" x14ac:dyDescent="0.3">
      <c r="A1305">
        <v>1303</v>
      </c>
      <c r="B1305" s="1" t="s">
        <v>3</v>
      </c>
      <c r="C1305" t="s">
        <v>4</v>
      </c>
      <c r="D1305" t="s">
        <v>5</v>
      </c>
    </row>
    <row r="1306" spans="1:4" hidden="1" x14ac:dyDescent="0.3">
      <c r="A1306">
        <v>1304</v>
      </c>
      <c r="B1306" t="s">
        <v>6</v>
      </c>
      <c r="C1306" t="s">
        <v>7</v>
      </c>
      <c r="D1306">
        <v>1950.52</v>
      </c>
    </row>
    <row r="1307" spans="1:4" hidden="1" x14ac:dyDescent="0.3">
      <c r="A1307">
        <v>1305</v>
      </c>
      <c r="B1307" s="1" t="s">
        <v>132</v>
      </c>
      <c r="C1307" t="s">
        <v>9</v>
      </c>
      <c r="D1307" s="1" t="s">
        <v>133</v>
      </c>
    </row>
    <row r="1308" spans="1:4" hidden="1" x14ac:dyDescent="0.3">
      <c r="A1308">
        <v>1306</v>
      </c>
      <c r="B1308" t="s">
        <v>13</v>
      </c>
      <c r="C1308" t="s">
        <v>14</v>
      </c>
      <c r="D1308">
        <v>90.82421875</v>
      </c>
    </row>
    <row r="1309" spans="1:4" hidden="1" x14ac:dyDescent="0.3">
      <c r="A1309">
        <v>1307</v>
      </c>
      <c r="B1309" t="s">
        <v>15</v>
      </c>
      <c r="C1309" t="s">
        <v>16</v>
      </c>
      <c r="D1309">
        <v>4.2527792330373497</v>
      </c>
    </row>
    <row r="1310" spans="1:4" hidden="1" x14ac:dyDescent="0.3">
      <c r="A1310">
        <v>1308</v>
      </c>
      <c r="B1310" s="1" t="s">
        <v>134</v>
      </c>
      <c r="C1310" t="s">
        <v>135</v>
      </c>
      <c r="D1310" s="1" t="s">
        <v>136</v>
      </c>
    </row>
    <row r="1311" spans="1:4" hidden="1" x14ac:dyDescent="0.3">
      <c r="A1311">
        <v>1309</v>
      </c>
      <c r="B1311" t="s">
        <v>21</v>
      </c>
      <c r="C1311" t="s">
        <v>22</v>
      </c>
      <c r="D1311">
        <v>62.9</v>
      </c>
    </row>
    <row r="1312" spans="1:4" hidden="1" x14ac:dyDescent="0.3">
      <c r="A1312">
        <v>1310</v>
      </c>
      <c r="B1312" t="s">
        <v>1561</v>
      </c>
      <c r="C1312" t="s">
        <v>24</v>
      </c>
      <c r="D1312">
        <v>3.9965952309872801</v>
      </c>
    </row>
    <row r="1313" spans="1:4" hidden="1" x14ac:dyDescent="0.3">
      <c r="A1313">
        <v>1311</v>
      </c>
      <c r="B1313" s="1" t="s">
        <v>1562</v>
      </c>
      <c r="C1313" t="s">
        <v>139</v>
      </c>
      <c r="D1313" s="1" t="s">
        <v>1563</v>
      </c>
    </row>
    <row r="1314" spans="1:4" hidden="1" x14ac:dyDescent="0.3">
      <c r="A1314">
        <v>1312</v>
      </c>
      <c r="B1314" t="s">
        <v>1564</v>
      </c>
      <c r="C1314" t="s">
        <v>35</v>
      </c>
      <c r="D1314">
        <v>-1.36336803312633</v>
      </c>
    </row>
    <row r="1315" spans="1:4" hidden="1" x14ac:dyDescent="0.3">
      <c r="A1315">
        <v>1313</v>
      </c>
      <c r="B1315" t="s">
        <v>1565</v>
      </c>
      <c r="C1315" t="s">
        <v>143</v>
      </c>
      <c r="D1315">
        <v>0.54402933767757899</v>
      </c>
    </row>
    <row r="1316" spans="1:4" hidden="1" x14ac:dyDescent="0.3">
      <c r="A1316">
        <v>1314</v>
      </c>
      <c r="B1316" s="1" t="s">
        <v>1566</v>
      </c>
      <c r="C1316" t="s">
        <v>145</v>
      </c>
      <c r="D1316" s="1" t="s">
        <v>1567</v>
      </c>
    </row>
    <row r="1317" spans="1:4" hidden="1" x14ac:dyDescent="0.3">
      <c r="A1317">
        <v>1315</v>
      </c>
      <c r="B1317" t="s">
        <v>1568</v>
      </c>
      <c r="C1317" t="s">
        <v>30</v>
      </c>
      <c r="D1317">
        <v>1.2443538850842299</v>
      </c>
    </row>
    <row r="1318" spans="1:4" hidden="1" x14ac:dyDescent="0.3">
      <c r="A1318">
        <v>1316</v>
      </c>
      <c r="B1318" t="s">
        <v>1569</v>
      </c>
      <c r="C1318" t="s">
        <v>32</v>
      </c>
      <c r="D1318">
        <v>0.37027126618887601</v>
      </c>
    </row>
    <row r="1319" spans="1:4" hidden="1" x14ac:dyDescent="0.3">
      <c r="A1319">
        <v>1317</v>
      </c>
      <c r="B1319" s="1" t="s">
        <v>1570</v>
      </c>
      <c r="C1319" t="s">
        <v>149</v>
      </c>
      <c r="D1319" s="1" t="s">
        <v>1571</v>
      </c>
    </row>
    <row r="1320" spans="1:4" hidden="1" x14ac:dyDescent="0.3">
      <c r="A1320">
        <v>1318</v>
      </c>
      <c r="B1320" t="s">
        <v>1572</v>
      </c>
      <c r="C1320" t="s">
        <v>40</v>
      </c>
      <c r="D1320">
        <v>1.1190141480421001</v>
      </c>
    </row>
    <row r="1321" spans="1:4" hidden="1" x14ac:dyDescent="0.3">
      <c r="A1321">
        <v>1319</v>
      </c>
      <c r="B1321" t="s">
        <v>1573</v>
      </c>
      <c r="C1321" t="s">
        <v>42</v>
      </c>
      <c r="D1321">
        <v>0.467864898064553</v>
      </c>
    </row>
    <row r="1322" spans="1:4" hidden="1" x14ac:dyDescent="0.3">
      <c r="A1322">
        <v>1320</v>
      </c>
      <c r="B1322" s="1" t="s">
        <v>1574</v>
      </c>
      <c r="C1322" t="s">
        <v>153</v>
      </c>
      <c r="D1322" s="1" t="s">
        <v>1575</v>
      </c>
    </row>
    <row r="1323" spans="1:4" hidden="1" x14ac:dyDescent="0.3">
      <c r="A1323">
        <v>1321</v>
      </c>
      <c r="B1323" t="s">
        <v>154</v>
      </c>
      <c r="C1323" t="s">
        <v>155</v>
      </c>
      <c r="D1323">
        <v>1</v>
      </c>
    </row>
    <row r="1324" spans="1:4" hidden="1" x14ac:dyDescent="0.3">
      <c r="A1324">
        <v>1322</v>
      </c>
      <c r="B1324" t="s">
        <v>156</v>
      </c>
      <c r="C1324" t="s">
        <v>157</v>
      </c>
      <c r="D1324">
        <v>1</v>
      </c>
    </row>
    <row r="1325" spans="1:4" hidden="1" x14ac:dyDescent="0.3">
      <c r="A1325">
        <v>1323</v>
      </c>
      <c r="B1325" s="1" t="s">
        <v>1576</v>
      </c>
      <c r="C1325" t="s">
        <v>159</v>
      </c>
      <c r="D1325" s="1" t="s">
        <v>1577</v>
      </c>
    </row>
    <row r="1326" spans="1:4" hidden="1" x14ac:dyDescent="0.3">
      <c r="A1326">
        <v>1324</v>
      </c>
      <c r="B1326" t="s">
        <v>1578</v>
      </c>
      <c r="C1326" t="s">
        <v>162</v>
      </c>
      <c r="D1326">
        <v>0.99994237066027902</v>
      </c>
    </row>
    <row r="1327" spans="1:4" hidden="1" x14ac:dyDescent="0.3">
      <c r="A1327">
        <v>1325</v>
      </c>
      <c r="B1327" t="s">
        <v>1579</v>
      </c>
      <c r="C1327" t="s">
        <v>164</v>
      </c>
      <c r="D1327">
        <v>1.00049134620751</v>
      </c>
    </row>
    <row r="1328" spans="1:4" hidden="1" x14ac:dyDescent="0.3">
      <c r="A1328">
        <v>1326</v>
      </c>
      <c r="B1328" s="1" t="s">
        <v>1580</v>
      </c>
      <c r="C1328" t="s">
        <v>166</v>
      </c>
      <c r="D1328" s="1" t="s">
        <v>1581</v>
      </c>
    </row>
    <row r="1329" spans="1:4" hidden="1" x14ac:dyDescent="0.3">
      <c r="A1329">
        <v>1327</v>
      </c>
      <c r="B1329" s="1" t="s">
        <v>1582</v>
      </c>
      <c r="C1329" t="s">
        <v>55</v>
      </c>
      <c r="D1329" s="1" t="s">
        <v>1583</v>
      </c>
    </row>
    <row r="1330" spans="1:4" hidden="1" x14ac:dyDescent="0.3">
      <c r="A1330">
        <v>1328</v>
      </c>
      <c r="B1330" s="1" t="s">
        <v>1584</v>
      </c>
      <c r="C1330" t="s">
        <v>52</v>
      </c>
      <c r="D1330" s="1" t="s">
        <v>1585</v>
      </c>
    </row>
    <row r="1331" spans="1:4" hidden="1" x14ac:dyDescent="0.3">
      <c r="A1331">
        <v>1329</v>
      </c>
      <c r="B1331" s="1" t="s">
        <v>1586</v>
      </c>
      <c r="C1331" t="s">
        <v>58</v>
      </c>
      <c r="D1331" s="1" t="s">
        <v>1587</v>
      </c>
    </row>
    <row r="1332" spans="1:4" hidden="1" x14ac:dyDescent="0.3">
      <c r="A1332">
        <v>1330</v>
      </c>
      <c r="B1332" t="s">
        <v>1588</v>
      </c>
      <c r="C1332" t="s">
        <v>61</v>
      </c>
      <c r="D1332">
        <v>149923991.267755</v>
      </c>
    </row>
    <row r="1333" spans="1:4" hidden="1" x14ac:dyDescent="0.3">
      <c r="A1333">
        <v>1331</v>
      </c>
      <c r="B1333" t="s">
        <v>1589</v>
      </c>
      <c r="C1333" t="s">
        <v>63</v>
      </c>
      <c r="D1333">
        <v>79992042.436621204</v>
      </c>
    </row>
    <row r="1334" spans="1:4" hidden="1" x14ac:dyDescent="0.3">
      <c r="A1334">
        <v>1332</v>
      </c>
      <c r="B1334" t="s">
        <v>1590</v>
      </c>
      <c r="C1334" t="s">
        <v>65</v>
      </c>
      <c r="D1334">
        <v>39996646.178051397</v>
      </c>
    </row>
    <row r="1335" spans="1:4" hidden="1" x14ac:dyDescent="0.3">
      <c r="A1335">
        <v>1333</v>
      </c>
      <c r="B1335" s="1" t="s">
        <v>1591</v>
      </c>
      <c r="C1335" t="s">
        <v>67</v>
      </c>
      <c r="D1335" s="1" t="s">
        <v>1592</v>
      </c>
    </row>
    <row r="1336" spans="1:4" hidden="1" x14ac:dyDescent="0.3">
      <c r="A1336">
        <v>1334</v>
      </c>
      <c r="B1336" s="1" t="s">
        <v>1593</v>
      </c>
      <c r="C1336" t="s">
        <v>70</v>
      </c>
      <c r="D1336" s="1" t="s">
        <v>1594</v>
      </c>
    </row>
    <row r="1337" spans="1:4" hidden="1" x14ac:dyDescent="0.3">
      <c r="A1337">
        <v>1335</v>
      </c>
      <c r="B1337" t="s">
        <v>1595</v>
      </c>
      <c r="C1337" t="s">
        <v>73</v>
      </c>
      <c r="D1337">
        <v>0.99996201984344601</v>
      </c>
    </row>
    <row r="1338" spans="1:4" hidden="1" x14ac:dyDescent="0.3">
      <c r="A1338">
        <v>1336</v>
      </c>
      <c r="B1338" t="s">
        <v>74</v>
      </c>
      <c r="C1338" t="s">
        <v>75</v>
      </c>
      <c r="D1338">
        <v>2.7397260273972599E-3</v>
      </c>
    </row>
    <row r="1339" spans="1:4" hidden="1" x14ac:dyDescent="0.3">
      <c r="A1339">
        <v>1337</v>
      </c>
      <c r="B1339" t="s">
        <v>76</v>
      </c>
      <c r="C1339" t="s">
        <v>77</v>
      </c>
      <c r="D1339">
        <v>0</v>
      </c>
    </row>
    <row r="1340" spans="1:4" hidden="1" x14ac:dyDescent="0.3">
      <c r="A1340">
        <v>1338</v>
      </c>
      <c r="B1340" t="s">
        <v>503</v>
      </c>
      <c r="C1340" t="s">
        <v>79</v>
      </c>
      <c r="D1340" s="2">
        <v>2.2204460492503101E-16</v>
      </c>
    </row>
    <row r="1341" spans="1:4" hidden="1" x14ac:dyDescent="0.3">
      <c r="A1341">
        <v>1339</v>
      </c>
      <c r="B1341" s="1" t="s">
        <v>1596</v>
      </c>
      <c r="C1341" t="s">
        <v>81</v>
      </c>
      <c r="D1341" s="1" t="s">
        <v>1597</v>
      </c>
    </row>
    <row r="1342" spans="1:4" hidden="1" x14ac:dyDescent="0.3">
      <c r="A1342">
        <v>1340</v>
      </c>
      <c r="B1342" t="s">
        <v>1598</v>
      </c>
      <c r="C1342" t="s">
        <v>84</v>
      </c>
      <c r="D1342">
        <v>0.99993617792500999</v>
      </c>
    </row>
    <row r="1343" spans="1:4" hidden="1" x14ac:dyDescent="0.3">
      <c r="A1343">
        <v>1341</v>
      </c>
      <c r="B1343" s="1" t="s">
        <v>1599</v>
      </c>
      <c r="C1343" t="s">
        <v>86</v>
      </c>
      <c r="D1343" s="1" t="s">
        <v>1600</v>
      </c>
    </row>
    <row r="1344" spans="1:4" hidden="1" x14ac:dyDescent="0.3">
      <c r="A1344">
        <v>1342</v>
      </c>
      <c r="B1344" t="s">
        <v>1601</v>
      </c>
      <c r="C1344" t="s">
        <v>89</v>
      </c>
      <c r="D1344">
        <v>100006382.61485</v>
      </c>
    </row>
    <row r="1345" spans="1:4" hidden="1" x14ac:dyDescent="0.3">
      <c r="A1345">
        <v>1343</v>
      </c>
      <c r="B1345" s="1" t="s">
        <v>1602</v>
      </c>
      <c r="C1345" t="s">
        <v>91</v>
      </c>
      <c r="D1345" s="1" t="s">
        <v>1548</v>
      </c>
    </row>
    <row r="1346" spans="1:4" hidden="1" x14ac:dyDescent="0.3">
      <c r="A1346">
        <v>1344</v>
      </c>
      <c r="B1346" t="s">
        <v>1603</v>
      </c>
      <c r="C1346" t="s">
        <v>94</v>
      </c>
      <c r="D1346">
        <v>79992042.436621204</v>
      </c>
    </row>
    <row r="1347" spans="1:4" hidden="1" x14ac:dyDescent="0.3">
      <c r="A1347">
        <v>1345</v>
      </c>
      <c r="B1347" t="s">
        <v>1604</v>
      </c>
      <c r="C1347" t="s">
        <v>96</v>
      </c>
      <c r="D1347">
        <v>39996646.178051397</v>
      </c>
    </row>
    <row r="1348" spans="1:4" hidden="1" x14ac:dyDescent="0.3">
      <c r="A1348">
        <v>1346</v>
      </c>
      <c r="B1348" t="s">
        <v>1605</v>
      </c>
      <c r="C1348" t="s">
        <v>98</v>
      </c>
      <c r="D1348">
        <v>29935302.6530829</v>
      </c>
    </row>
    <row r="1349" spans="1:4" hidden="1" x14ac:dyDescent="0.3">
      <c r="A1349">
        <v>1347</v>
      </c>
      <c r="B1349" s="1" t="s">
        <v>1606</v>
      </c>
      <c r="C1349" t="s">
        <v>100</v>
      </c>
      <c r="D1349" s="1" t="s">
        <v>1607</v>
      </c>
    </row>
    <row r="1350" spans="1:4" hidden="1" x14ac:dyDescent="0.3">
      <c r="A1350">
        <v>1348</v>
      </c>
      <c r="B1350" t="s">
        <v>1608</v>
      </c>
      <c r="C1350" t="s">
        <v>103</v>
      </c>
      <c r="D1350">
        <v>1.01815022518359E-2</v>
      </c>
    </row>
    <row r="1351" spans="1:4" hidden="1" x14ac:dyDescent="0.3">
      <c r="A1351">
        <v>1349</v>
      </c>
      <c r="B1351" t="s">
        <v>1609</v>
      </c>
      <c r="C1351" t="s">
        <v>105</v>
      </c>
      <c r="D1351">
        <v>2.7797203815367899E-3</v>
      </c>
    </row>
    <row r="1352" spans="1:4" hidden="1" x14ac:dyDescent="0.3">
      <c r="A1352">
        <v>1350</v>
      </c>
      <c r="B1352" t="s">
        <v>1610</v>
      </c>
      <c r="C1352" t="s">
        <v>107</v>
      </c>
      <c r="D1352">
        <v>2.18772038256317E-2</v>
      </c>
    </row>
    <row r="1353" spans="1:4" hidden="1" x14ac:dyDescent="0.3">
      <c r="A1353">
        <v>1351</v>
      </c>
      <c r="B1353" s="1" t="s">
        <v>1611</v>
      </c>
      <c r="C1353" t="s">
        <v>109</v>
      </c>
      <c r="D1353" s="1" t="s">
        <v>1612</v>
      </c>
    </row>
    <row r="1354" spans="1:4" x14ac:dyDescent="0.3">
      <c r="A1354">
        <v>1352</v>
      </c>
      <c r="B1354" t="s">
        <v>1613</v>
      </c>
      <c r="C1354" t="s">
        <v>197</v>
      </c>
      <c r="D1354">
        <v>149923096.827732</v>
      </c>
    </row>
    <row r="1355" spans="1:4" hidden="1" x14ac:dyDescent="0.3">
      <c r="A1355">
        <v>1353</v>
      </c>
      <c r="B1355" t="s">
        <v>1614</v>
      </c>
      <c r="C1355" t="s">
        <v>199</v>
      </c>
      <c r="D1355">
        <v>2067.2092430778598</v>
      </c>
    </row>
    <row r="1356" spans="1:4" hidden="1" x14ac:dyDescent="0.3">
      <c r="A1356">
        <v>1354</v>
      </c>
      <c r="B1356" t="s">
        <v>1615</v>
      </c>
      <c r="C1356" t="s">
        <v>201</v>
      </c>
      <c r="D1356">
        <v>1033.62598083938</v>
      </c>
    </row>
    <row r="1357" spans="1:4" hidden="1" x14ac:dyDescent="0.3">
      <c r="A1357">
        <v>1355</v>
      </c>
      <c r="B1357" s="1" t="s">
        <v>1616</v>
      </c>
      <c r="C1357" t="s">
        <v>203</v>
      </c>
      <c r="D1357" s="1" t="s">
        <v>1617</v>
      </c>
    </row>
    <row r="1358" spans="1:4" hidden="1" x14ac:dyDescent="0.3">
      <c r="A1358">
        <v>1356</v>
      </c>
      <c r="B1358" t="s">
        <v>1618</v>
      </c>
      <c r="C1358" t="s">
        <v>206</v>
      </c>
      <c r="D1358">
        <v>79989313.279834107</v>
      </c>
    </row>
    <row r="1359" spans="1:4" hidden="1" x14ac:dyDescent="0.3">
      <c r="A1359">
        <v>1357</v>
      </c>
      <c r="B1359" t="s">
        <v>1619</v>
      </c>
      <c r="C1359" t="s">
        <v>208</v>
      </c>
      <c r="D1359">
        <v>39995483.124115899</v>
      </c>
    </row>
    <row r="1360" spans="1:4" hidden="1" x14ac:dyDescent="0.3">
      <c r="A1360">
        <v>1358</v>
      </c>
      <c r="B1360" t="s">
        <v>1620</v>
      </c>
      <c r="C1360" t="s">
        <v>210</v>
      </c>
      <c r="D1360">
        <v>29934425.976190601</v>
      </c>
    </row>
    <row r="1361" spans="1:4" hidden="1" x14ac:dyDescent="0.3">
      <c r="A1361">
        <v>1359</v>
      </c>
      <c r="B1361" s="1" t="s">
        <v>1621</v>
      </c>
      <c r="C1361" t="s">
        <v>212</v>
      </c>
      <c r="D1361" s="1" t="s">
        <v>1622</v>
      </c>
    </row>
    <row r="1362" spans="1:4" hidden="1" x14ac:dyDescent="0.3">
      <c r="A1362">
        <v>1360</v>
      </c>
      <c r="B1362" t="s">
        <v>1623</v>
      </c>
      <c r="C1362" t="s">
        <v>215</v>
      </c>
      <c r="D1362">
        <v>100003798.15990999</v>
      </c>
    </row>
    <row r="1363" spans="1:4" hidden="1" x14ac:dyDescent="0.3">
      <c r="A1363">
        <v>1361</v>
      </c>
      <c r="B1363" t="s">
        <v>1624</v>
      </c>
      <c r="C1363" t="s">
        <v>217</v>
      </c>
      <c r="D1363">
        <v>2584.4549405723801</v>
      </c>
    </row>
    <row r="1364" spans="1:4" hidden="1" x14ac:dyDescent="0.3">
      <c r="A1364">
        <v>1362</v>
      </c>
      <c r="B1364" s="1" t="s">
        <v>1625</v>
      </c>
      <c r="C1364" t="s">
        <v>219</v>
      </c>
      <c r="D1364" s="1" t="s">
        <v>1626</v>
      </c>
    </row>
    <row r="1365" spans="1:4" hidden="1" x14ac:dyDescent="0.3">
      <c r="A1365">
        <v>1363</v>
      </c>
      <c r="B1365" t="s">
        <v>1627</v>
      </c>
      <c r="C1365" t="s">
        <v>112</v>
      </c>
      <c r="D1365">
        <v>-661.94754402493504</v>
      </c>
    </row>
    <row r="1366" spans="1:4" hidden="1" x14ac:dyDescent="0.3">
      <c r="A1366">
        <v>1364</v>
      </c>
      <c r="B1366" t="s">
        <v>1628</v>
      </c>
      <c r="C1366" t="s">
        <v>114</v>
      </c>
      <c r="D1366">
        <v>-129.42795464774201</v>
      </c>
    </row>
    <row r="1367" spans="1:4" hidden="1" x14ac:dyDescent="0.3">
      <c r="A1367">
        <v>1365</v>
      </c>
      <c r="B1367" s="1" t="s">
        <v>1629</v>
      </c>
      <c r="C1367" t="s">
        <v>116</v>
      </c>
      <c r="D1367" s="1" t="s">
        <v>1630</v>
      </c>
    </row>
    <row r="1368" spans="1:4" hidden="1" x14ac:dyDescent="0.3">
      <c r="A1368">
        <v>1366</v>
      </c>
      <c r="B1368" t="s">
        <v>1631</v>
      </c>
      <c r="C1368" t="s">
        <v>119</v>
      </c>
      <c r="D1368">
        <v>79989313.279834107</v>
      </c>
    </row>
    <row r="1369" spans="1:4" hidden="1" x14ac:dyDescent="0.3">
      <c r="A1369">
        <v>1367</v>
      </c>
      <c r="B1369" t="s">
        <v>1632</v>
      </c>
      <c r="C1369" t="s">
        <v>121</v>
      </c>
      <c r="D1369">
        <v>39995483.124115899</v>
      </c>
    </row>
    <row r="1370" spans="1:4" hidden="1" x14ac:dyDescent="0.3">
      <c r="A1370">
        <v>1368</v>
      </c>
      <c r="B1370" s="1" t="s">
        <v>1633</v>
      </c>
      <c r="C1370" t="s">
        <v>123</v>
      </c>
      <c r="D1370" s="1" t="s">
        <v>1634</v>
      </c>
    </row>
    <row r="1371" spans="1:4" hidden="1" x14ac:dyDescent="0.3">
      <c r="A1371">
        <v>1369</v>
      </c>
      <c r="B1371" t="s">
        <v>1635</v>
      </c>
      <c r="C1371" t="s">
        <v>126</v>
      </c>
      <c r="D1371">
        <v>0.79991380489077202</v>
      </c>
    </row>
    <row r="1372" spans="1:4" hidden="1" x14ac:dyDescent="0.3">
      <c r="A1372">
        <v>1370</v>
      </c>
      <c r="B1372" t="s">
        <v>1636</v>
      </c>
      <c r="C1372" t="s">
        <v>128</v>
      </c>
      <c r="D1372">
        <v>0.399965167500968</v>
      </c>
    </row>
    <row r="1373" spans="1:4" hidden="1" x14ac:dyDescent="0.3">
      <c r="A1373">
        <v>1371</v>
      </c>
      <c r="B1373" s="1" t="s">
        <v>1637</v>
      </c>
      <c r="C1373" t="s">
        <v>130</v>
      </c>
      <c r="D1373" s="1" t="s">
        <v>1638</v>
      </c>
    </row>
    <row r="1374" spans="1:4" hidden="1" x14ac:dyDescent="0.3">
      <c r="A1374">
        <v>1372</v>
      </c>
      <c r="B1374" s="1" t="s">
        <v>3</v>
      </c>
      <c r="C1374" t="s">
        <v>4</v>
      </c>
      <c r="D1374" t="s">
        <v>5</v>
      </c>
    </row>
    <row r="1375" spans="1:4" hidden="1" x14ac:dyDescent="0.3">
      <c r="A1375">
        <v>1373</v>
      </c>
      <c r="B1375" t="s">
        <v>6</v>
      </c>
      <c r="C1375" t="s">
        <v>7</v>
      </c>
      <c r="D1375">
        <v>1950.52</v>
      </c>
    </row>
    <row r="1376" spans="1:4" hidden="1" x14ac:dyDescent="0.3">
      <c r="A1376">
        <v>1374</v>
      </c>
      <c r="B1376" s="1" t="s">
        <v>132</v>
      </c>
      <c r="C1376" t="s">
        <v>9</v>
      </c>
      <c r="D1376" s="1" t="s">
        <v>133</v>
      </c>
    </row>
    <row r="1377" spans="1:4" hidden="1" x14ac:dyDescent="0.3">
      <c r="A1377">
        <v>1375</v>
      </c>
      <c r="B1377" t="s">
        <v>13</v>
      </c>
      <c r="C1377" t="s">
        <v>14</v>
      </c>
      <c r="D1377">
        <v>90.82421875</v>
      </c>
    </row>
    <row r="1378" spans="1:4" hidden="1" x14ac:dyDescent="0.3">
      <c r="A1378">
        <v>1376</v>
      </c>
      <c r="B1378" t="s">
        <v>15</v>
      </c>
      <c r="C1378" t="s">
        <v>16</v>
      </c>
      <c r="D1378">
        <v>4.2527792330373497</v>
      </c>
    </row>
    <row r="1379" spans="1:4" hidden="1" x14ac:dyDescent="0.3">
      <c r="A1379">
        <v>1377</v>
      </c>
      <c r="B1379" s="1" t="s">
        <v>134</v>
      </c>
      <c r="C1379" t="s">
        <v>135</v>
      </c>
      <c r="D1379" s="1" t="s">
        <v>136</v>
      </c>
    </row>
    <row r="1380" spans="1:4" hidden="1" x14ac:dyDescent="0.3">
      <c r="A1380">
        <v>1378</v>
      </c>
      <c r="B1380" t="s">
        <v>21</v>
      </c>
      <c r="C1380" t="s">
        <v>22</v>
      </c>
      <c r="D1380">
        <v>62.9</v>
      </c>
    </row>
    <row r="1381" spans="1:4" hidden="1" x14ac:dyDescent="0.3">
      <c r="A1381">
        <v>1379</v>
      </c>
      <c r="B1381" t="s">
        <v>1639</v>
      </c>
      <c r="C1381" t="s">
        <v>24</v>
      </c>
      <c r="D1381">
        <v>4.0361328399040897</v>
      </c>
    </row>
    <row r="1382" spans="1:4" hidden="1" x14ac:dyDescent="0.3">
      <c r="A1382">
        <v>1380</v>
      </c>
      <c r="B1382" s="1" t="s">
        <v>1640</v>
      </c>
      <c r="C1382" t="s">
        <v>139</v>
      </c>
      <c r="D1382" s="1" t="s">
        <v>1641</v>
      </c>
    </row>
    <row r="1383" spans="1:4" hidden="1" x14ac:dyDescent="0.3">
      <c r="A1383">
        <v>1381</v>
      </c>
      <c r="B1383" t="s">
        <v>1642</v>
      </c>
      <c r="C1383" t="s">
        <v>35</v>
      </c>
      <c r="D1383">
        <v>-1.1770725160836599</v>
      </c>
    </row>
    <row r="1384" spans="1:4" hidden="1" x14ac:dyDescent="0.3">
      <c r="A1384">
        <v>1382</v>
      </c>
      <c r="B1384" t="s">
        <v>1643</v>
      </c>
      <c r="C1384" t="s">
        <v>143</v>
      </c>
      <c r="D1384">
        <v>0.54922053688460504</v>
      </c>
    </row>
    <row r="1385" spans="1:4" hidden="1" x14ac:dyDescent="0.3">
      <c r="A1385">
        <v>1383</v>
      </c>
      <c r="B1385" s="1" t="s">
        <v>1644</v>
      </c>
      <c r="C1385" t="s">
        <v>145</v>
      </c>
      <c r="D1385" s="1" t="s">
        <v>1645</v>
      </c>
    </row>
    <row r="1386" spans="1:4" hidden="1" x14ac:dyDescent="0.3">
      <c r="A1386">
        <v>1384</v>
      </c>
      <c r="B1386" t="s">
        <v>1646</v>
      </c>
      <c r="C1386" t="s">
        <v>30</v>
      </c>
      <c r="D1386">
        <v>1.07432088975703</v>
      </c>
    </row>
    <row r="1387" spans="1:4" hidden="1" x14ac:dyDescent="0.3">
      <c r="A1387">
        <v>1385</v>
      </c>
      <c r="B1387" t="s">
        <v>1647</v>
      </c>
      <c r="C1387" t="s">
        <v>32</v>
      </c>
      <c r="D1387">
        <v>0.36163594452726799</v>
      </c>
    </row>
    <row r="1388" spans="1:4" hidden="1" x14ac:dyDescent="0.3">
      <c r="A1388">
        <v>1386</v>
      </c>
      <c r="B1388" s="1" t="s">
        <v>1648</v>
      </c>
      <c r="C1388" t="s">
        <v>149</v>
      </c>
      <c r="D1388" s="1" t="s">
        <v>1649</v>
      </c>
    </row>
    <row r="1389" spans="1:4" hidden="1" x14ac:dyDescent="0.3">
      <c r="A1389">
        <v>1387</v>
      </c>
      <c r="B1389" t="s">
        <v>1650</v>
      </c>
      <c r="C1389" t="s">
        <v>40</v>
      </c>
      <c r="D1389">
        <v>1.1027516263266199</v>
      </c>
    </row>
    <row r="1390" spans="1:4" hidden="1" x14ac:dyDescent="0.3">
      <c r="A1390">
        <v>1388</v>
      </c>
      <c r="B1390" t="s">
        <v>1651</v>
      </c>
      <c r="C1390" t="s">
        <v>42</v>
      </c>
      <c r="D1390">
        <v>0.45912626817583502</v>
      </c>
    </row>
    <row r="1391" spans="1:4" hidden="1" x14ac:dyDescent="0.3">
      <c r="A1391">
        <v>1389</v>
      </c>
      <c r="B1391" s="1" t="s">
        <v>1652</v>
      </c>
      <c r="C1391" t="s">
        <v>153</v>
      </c>
      <c r="D1391" s="1" t="s">
        <v>1653</v>
      </c>
    </row>
    <row r="1392" spans="1:4" hidden="1" x14ac:dyDescent="0.3">
      <c r="A1392">
        <v>1390</v>
      </c>
      <c r="B1392" t="s">
        <v>154</v>
      </c>
      <c r="C1392" t="s">
        <v>155</v>
      </c>
      <c r="D1392">
        <v>1</v>
      </c>
    </row>
    <row r="1393" spans="1:4" hidden="1" x14ac:dyDescent="0.3">
      <c r="A1393">
        <v>1391</v>
      </c>
      <c r="B1393" t="s">
        <v>156</v>
      </c>
      <c r="C1393" t="s">
        <v>157</v>
      </c>
      <c r="D1393">
        <v>1</v>
      </c>
    </row>
    <row r="1394" spans="1:4" hidden="1" x14ac:dyDescent="0.3">
      <c r="A1394">
        <v>1392</v>
      </c>
      <c r="B1394" s="1" t="s">
        <v>1654</v>
      </c>
      <c r="C1394" t="s">
        <v>159</v>
      </c>
      <c r="D1394" s="1" t="s">
        <v>1655</v>
      </c>
    </row>
    <row r="1395" spans="1:4" hidden="1" x14ac:dyDescent="0.3">
      <c r="A1395">
        <v>1393</v>
      </c>
      <c r="B1395" t="s">
        <v>1656</v>
      </c>
      <c r="C1395" t="s">
        <v>162</v>
      </c>
      <c r="D1395">
        <v>1.0033621117684399</v>
      </c>
    </row>
    <row r="1396" spans="1:4" hidden="1" x14ac:dyDescent="0.3">
      <c r="A1396">
        <v>1394</v>
      </c>
      <c r="B1396" t="s">
        <v>1657</v>
      </c>
      <c r="C1396" t="s">
        <v>164</v>
      </c>
      <c r="D1396">
        <v>0.99369809330846803</v>
      </c>
    </row>
    <row r="1397" spans="1:4" hidden="1" x14ac:dyDescent="0.3">
      <c r="A1397">
        <v>1395</v>
      </c>
      <c r="B1397" s="1" t="s">
        <v>1658</v>
      </c>
      <c r="C1397" t="s">
        <v>166</v>
      </c>
      <c r="D1397" s="1" t="s">
        <v>1659</v>
      </c>
    </row>
    <row r="1398" spans="1:4" hidden="1" x14ac:dyDescent="0.3">
      <c r="A1398">
        <v>1396</v>
      </c>
      <c r="B1398" s="1" t="s">
        <v>1660</v>
      </c>
      <c r="C1398" t="s">
        <v>55</v>
      </c>
      <c r="D1398" s="1" t="s">
        <v>1661</v>
      </c>
    </row>
    <row r="1399" spans="1:4" hidden="1" x14ac:dyDescent="0.3">
      <c r="A1399">
        <v>1397</v>
      </c>
      <c r="B1399" s="1" t="s">
        <v>1662</v>
      </c>
      <c r="C1399" t="s">
        <v>52</v>
      </c>
      <c r="D1399" s="1" t="s">
        <v>1663</v>
      </c>
    </row>
    <row r="1400" spans="1:4" hidden="1" x14ac:dyDescent="0.3">
      <c r="A1400">
        <v>1398</v>
      </c>
      <c r="B1400" s="1" t="s">
        <v>1664</v>
      </c>
      <c r="C1400" t="s">
        <v>58</v>
      </c>
      <c r="D1400" s="1" t="s">
        <v>1665</v>
      </c>
    </row>
    <row r="1401" spans="1:4" hidden="1" x14ac:dyDescent="0.3">
      <c r="A1401">
        <v>1399</v>
      </c>
      <c r="B1401" t="s">
        <v>1666</v>
      </c>
      <c r="C1401" t="s">
        <v>61</v>
      </c>
      <c r="D1401">
        <v>149936914.396054</v>
      </c>
    </row>
    <row r="1402" spans="1:4" hidden="1" x14ac:dyDescent="0.3">
      <c r="A1402">
        <v>1400</v>
      </c>
      <c r="B1402" t="s">
        <v>1667</v>
      </c>
      <c r="C1402" t="s">
        <v>63</v>
      </c>
      <c r="D1402">
        <v>79989313.279834107</v>
      </c>
    </row>
    <row r="1403" spans="1:4" hidden="1" x14ac:dyDescent="0.3">
      <c r="A1403">
        <v>1401</v>
      </c>
      <c r="B1403" t="s">
        <v>1668</v>
      </c>
      <c r="C1403" t="s">
        <v>65</v>
      </c>
      <c r="D1403">
        <v>39995483.124115899</v>
      </c>
    </row>
    <row r="1404" spans="1:4" hidden="1" x14ac:dyDescent="0.3">
      <c r="A1404">
        <v>1402</v>
      </c>
      <c r="B1404" s="1" t="s">
        <v>1669</v>
      </c>
      <c r="C1404" t="s">
        <v>67</v>
      </c>
      <c r="D1404" s="1" t="s">
        <v>1670</v>
      </c>
    </row>
    <row r="1405" spans="1:4" hidden="1" x14ac:dyDescent="0.3">
      <c r="A1405">
        <v>1403</v>
      </c>
      <c r="B1405" s="1" t="s">
        <v>1671</v>
      </c>
      <c r="C1405" t="s">
        <v>70</v>
      </c>
      <c r="D1405" s="1" t="s">
        <v>1672</v>
      </c>
    </row>
    <row r="1406" spans="1:4" hidden="1" x14ac:dyDescent="0.3">
      <c r="A1406">
        <v>1404</v>
      </c>
      <c r="B1406" t="s">
        <v>1673</v>
      </c>
      <c r="C1406" t="s">
        <v>73</v>
      </c>
      <c r="D1406">
        <v>0.99993617792500999</v>
      </c>
    </row>
    <row r="1407" spans="1:4" hidden="1" x14ac:dyDescent="0.3">
      <c r="A1407">
        <v>1405</v>
      </c>
      <c r="B1407" t="s">
        <v>74</v>
      </c>
      <c r="C1407" t="s">
        <v>75</v>
      </c>
      <c r="D1407">
        <v>2.7397260273972599E-3</v>
      </c>
    </row>
    <row r="1408" spans="1:4" hidden="1" x14ac:dyDescent="0.3">
      <c r="A1408">
        <v>1406</v>
      </c>
      <c r="B1408" t="s">
        <v>76</v>
      </c>
      <c r="C1408" t="s">
        <v>77</v>
      </c>
      <c r="D1408">
        <v>0</v>
      </c>
    </row>
    <row r="1409" spans="1:4" hidden="1" x14ac:dyDescent="0.3">
      <c r="A1409">
        <v>1407</v>
      </c>
      <c r="B1409" t="s">
        <v>346</v>
      </c>
      <c r="C1409" t="s">
        <v>79</v>
      </c>
      <c r="D1409" s="2">
        <v>-2.2204460492503101E-16</v>
      </c>
    </row>
    <row r="1410" spans="1:4" hidden="1" x14ac:dyDescent="0.3">
      <c r="A1410">
        <v>1408</v>
      </c>
      <c r="B1410" s="1" t="s">
        <v>1674</v>
      </c>
      <c r="C1410" t="s">
        <v>81</v>
      </c>
      <c r="D1410" s="1" t="s">
        <v>1675</v>
      </c>
    </row>
    <row r="1411" spans="1:4" hidden="1" x14ac:dyDescent="0.3">
      <c r="A1411">
        <v>1409</v>
      </c>
      <c r="B1411" t="s">
        <v>1676</v>
      </c>
      <c r="C1411" t="s">
        <v>84</v>
      </c>
      <c r="D1411">
        <v>0.99996188352169801</v>
      </c>
    </row>
    <row r="1412" spans="1:4" hidden="1" x14ac:dyDescent="0.3">
      <c r="A1412">
        <v>1410</v>
      </c>
      <c r="B1412" s="1" t="s">
        <v>1677</v>
      </c>
      <c r="C1412" t="s">
        <v>86</v>
      </c>
      <c r="D1412" s="1" t="s">
        <v>1678</v>
      </c>
    </row>
    <row r="1413" spans="1:4" hidden="1" x14ac:dyDescent="0.3">
      <c r="A1413">
        <v>1411</v>
      </c>
      <c r="B1413" t="s">
        <v>1679</v>
      </c>
      <c r="C1413" t="s">
        <v>89</v>
      </c>
      <c r="D1413">
        <v>100003811.79312199</v>
      </c>
    </row>
    <row r="1414" spans="1:4" hidden="1" x14ac:dyDescent="0.3">
      <c r="A1414">
        <v>1412</v>
      </c>
      <c r="B1414" s="1" t="s">
        <v>1680</v>
      </c>
      <c r="C1414" t="s">
        <v>91</v>
      </c>
      <c r="D1414" s="1" t="s">
        <v>1626</v>
      </c>
    </row>
    <row r="1415" spans="1:4" hidden="1" x14ac:dyDescent="0.3">
      <c r="A1415">
        <v>1413</v>
      </c>
      <c r="B1415" t="s">
        <v>1681</v>
      </c>
      <c r="C1415" t="s">
        <v>94</v>
      </c>
      <c r="D1415">
        <v>79989313.279834107</v>
      </c>
    </row>
    <row r="1416" spans="1:4" hidden="1" x14ac:dyDescent="0.3">
      <c r="A1416">
        <v>1414</v>
      </c>
      <c r="B1416" t="s">
        <v>1682</v>
      </c>
      <c r="C1416" t="s">
        <v>96</v>
      </c>
      <c r="D1416">
        <v>39995483.124115899</v>
      </c>
    </row>
    <row r="1417" spans="1:4" hidden="1" x14ac:dyDescent="0.3">
      <c r="A1417">
        <v>1415</v>
      </c>
      <c r="B1417" t="s">
        <v>1683</v>
      </c>
      <c r="C1417" t="s">
        <v>98</v>
      </c>
      <c r="D1417">
        <v>29952117.992104299</v>
      </c>
    </row>
    <row r="1418" spans="1:4" hidden="1" x14ac:dyDescent="0.3">
      <c r="A1418">
        <v>1416</v>
      </c>
      <c r="B1418" s="1" t="s">
        <v>1684</v>
      </c>
      <c r="C1418" t="s">
        <v>100</v>
      </c>
      <c r="D1418" s="1" t="s">
        <v>1685</v>
      </c>
    </row>
    <row r="1419" spans="1:4" hidden="1" x14ac:dyDescent="0.3">
      <c r="A1419">
        <v>1417</v>
      </c>
      <c r="B1419" t="s">
        <v>1686</v>
      </c>
      <c r="C1419" t="s">
        <v>103</v>
      </c>
      <c r="D1419">
        <v>1.00643104403368E-2</v>
      </c>
    </row>
    <row r="1420" spans="1:4" hidden="1" x14ac:dyDescent="0.3">
      <c r="A1420">
        <v>1418</v>
      </c>
      <c r="B1420" t="s">
        <v>1687</v>
      </c>
      <c r="C1420" t="s">
        <v>105</v>
      </c>
      <c r="D1420">
        <v>2.6937024441912E-3</v>
      </c>
    </row>
    <row r="1421" spans="1:4" hidden="1" x14ac:dyDescent="0.3">
      <c r="A1421">
        <v>1419</v>
      </c>
      <c r="B1421" t="s">
        <v>1688</v>
      </c>
      <c r="C1421" t="s">
        <v>107</v>
      </c>
      <c r="D1421">
        <v>2.1576713591294001E-2</v>
      </c>
    </row>
    <row r="1422" spans="1:4" hidden="1" x14ac:dyDescent="0.3">
      <c r="A1422">
        <v>1420</v>
      </c>
      <c r="B1422" s="1" t="s">
        <v>1689</v>
      </c>
      <c r="C1422" t="s">
        <v>109</v>
      </c>
      <c r="D1422" s="1" t="s">
        <v>1690</v>
      </c>
    </row>
    <row r="1423" spans="1:4" x14ac:dyDescent="0.3">
      <c r="A1423">
        <v>1421</v>
      </c>
      <c r="B1423" t="s">
        <v>1691</v>
      </c>
      <c r="C1423" t="s">
        <v>197</v>
      </c>
      <c r="D1423">
        <v>149937805.10890701</v>
      </c>
    </row>
    <row r="1424" spans="1:4" hidden="1" x14ac:dyDescent="0.3">
      <c r="A1424">
        <v>1422</v>
      </c>
      <c r="B1424" t="s">
        <v>1692</v>
      </c>
      <c r="C1424" t="s">
        <v>199</v>
      </c>
      <c r="D1424">
        <v>-2056.3218917088702</v>
      </c>
    </row>
    <row r="1425" spans="1:4" hidden="1" x14ac:dyDescent="0.3">
      <c r="A1425">
        <v>1423</v>
      </c>
      <c r="B1425" t="s">
        <v>1693</v>
      </c>
      <c r="C1425" t="s">
        <v>201</v>
      </c>
      <c r="D1425">
        <v>-1028.1768446812</v>
      </c>
    </row>
    <row r="1426" spans="1:4" hidden="1" x14ac:dyDescent="0.3">
      <c r="A1426">
        <v>1424</v>
      </c>
      <c r="B1426" s="1" t="s">
        <v>1694</v>
      </c>
      <c r="C1426" t="s">
        <v>203</v>
      </c>
      <c r="D1426" s="1" t="s">
        <v>1695</v>
      </c>
    </row>
    <row r="1427" spans="1:4" hidden="1" x14ac:dyDescent="0.3">
      <c r="A1427">
        <v>1425</v>
      </c>
      <c r="B1427" t="s">
        <v>1696</v>
      </c>
      <c r="C1427" t="s">
        <v>206</v>
      </c>
      <c r="D1427">
        <v>79992055.307247996</v>
      </c>
    </row>
    <row r="1428" spans="1:4" hidden="1" x14ac:dyDescent="0.3">
      <c r="A1428">
        <v>1426</v>
      </c>
      <c r="B1428" t="s">
        <v>1697</v>
      </c>
      <c r="C1428" t="s">
        <v>208</v>
      </c>
      <c r="D1428">
        <v>39996646.126750901</v>
      </c>
    </row>
    <row r="1429" spans="1:4" hidden="1" x14ac:dyDescent="0.3">
      <c r="A1429">
        <v>1427</v>
      </c>
      <c r="B1429" t="s">
        <v>1698</v>
      </c>
      <c r="C1429" t="s">
        <v>210</v>
      </c>
      <c r="D1429">
        <v>29952958.161656201</v>
      </c>
    </row>
    <row r="1430" spans="1:4" hidden="1" x14ac:dyDescent="0.3">
      <c r="A1430">
        <v>1428</v>
      </c>
      <c r="B1430" s="1" t="s">
        <v>1699</v>
      </c>
      <c r="C1430" t="s">
        <v>212</v>
      </c>
      <c r="D1430" s="1" t="s">
        <v>1700</v>
      </c>
    </row>
    <row r="1431" spans="1:4" hidden="1" x14ac:dyDescent="0.3">
      <c r="A1431">
        <v>1429</v>
      </c>
      <c r="B1431" t="s">
        <v>1701</v>
      </c>
      <c r="C1431" t="s">
        <v>215</v>
      </c>
      <c r="D1431">
        <v>100006382.61485</v>
      </c>
    </row>
    <row r="1432" spans="1:4" hidden="1" x14ac:dyDescent="0.3">
      <c r="A1432">
        <v>1430</v>
      </c>
      <c r="B1432" t="s">
        <v>1702</v>
      </c>
      <c r="C1432" t="s">
        <v>217</v>
      </c>
      <c r="D1432">
        <v>-2570.8217283785302</v>
      </c>
    </row>
    <row r="1433" spans="1:4" hidden="1" x14ac:dyDescent="0.3">
      <c r="A1433">
        <v>1431</v>
      </c>
      <c r="B1433" s="1" t="s">
        <v>1703</v>
      </c>
      <c r="C1433" t="s">
        <v>219</v>
      </c>
      <c r="D1433" s="1" t="s">
        <v>1704</v>
      </c>
    </row>
    <row r="1434" spans="1:4" hidden="1" x14ac:dyDescent="0.3">
      <c r="A1434">
        <v>1432</v>
      </c>
      <c r="B1434" t="s">
        <v>1705</v>
      </c>
      <c r="C1434" t="s">
        <v>112</v>
      </c>
      <c r="D1434">
        <v>685.70552216313797</v>
      </c>
    </row>
    <row r="1435" spans="1:4" hidden="1" x14ac:dyDescent="0.3">
      <c r="A1435">
        <v>1433</v>
      </c>
      <c r="B1435" t="s">
        <v>1706</v>
      </c>
      <c r="C1435" t="s">
        <v>114</v>
      </c>
      <c r="D1435">
        <v>134.82579028703501</v>
      </c>
    </row>
    <row r="1436" spans="1:4" hidden="1" x14ac:dyDescent="0.3">
      <c r="A1436">
        <v>1434</v>
      </c>
      <c r="B1436" s="1" t="s">
        <v>1707</v>
      </c>
      <c r="C1436" t="s">
        <v>116</v>
      </c>
      <c r="D1436" s="1" t="s">
        <v>1708</v>
      </c>
    </row>
    <row r="1437" spans="1:4" hidden="1" x14ac:dyDescent="0.3">
      <c r="A1437">
        <v>1435</v>
      </c>
      <c r="B1437" t="s">
        <v>1709</v>
      </c>
      <c r="C1437" t="s">
        <v>119</v>
      </c>
      <c r="D1437">
        <v>79992055.307247996</v>
      </c>
    </row>
    <row r="1438" spans="1:4" hidden="1" x14ac:dyDescent="0.3">
      <c r="A1438">
        <v>1436</v>
      </c>
      <c r="B1438" t="s">
        <v>1710</v>
      </c>
      <c r="C1438" t="s">
        <v>121</v>
      </c>
      <c r="D1438">
        <v>39996646.126750901</v>
      </c>
    </row>
    <row r="1439" spans="1:4" hidden="1" x14ac:dyDescent="0.3">
      <c r="A1439">
        <v>1437</v>
      </c>
      <c r="B1439" s="1" t="s">
        <v>1711</v>
      </c>
      <c r="C1439" t="s">
        <v>123</v>
      </c>
      <c r="D1439" s="1" t="s">
        <v>1712</v>
      </c>
    </row>
    <row r="1440" spans="1:4" hidden="1" x14ac:dyDescent="0.3">
      <c r="A1440">
        <v>1438</v>
      </c>
      <c r="B1440" t="s">
        <v>1713</v>
      </c>
      <c r="C1440" t="s">
        <v>126</v>
      </c>
      <c r="D1440">
        <v>0.79989998985356303</v>
      </c>
    </row>
    <row r="1441" spans="1:4" hidden="1" x14ac:dyDescent="0.3">
      <c r="A1441">
        <v>1439</v>
      </c>
      <c r="B1441" t="s">
        <v>1714</v>
      </c>
      <c r="C1441" t="s">
        <v>128</v>
      </c>
      <c r="D1441">
        <v>0.39995617949906198</v>
      </c>
    </row>
    <row r="1442" spans="1:4" hidden="1" x14ac:dyDescent="0.3">
      <c r="A1442">
        <v>1440</v>
      </c>
      <c r="B1442" s="1" t="s">
        <v>1715</v>
      </c>
      <c r="C1442" t="s">
        <v>130</v>
      </c>
      <c r="D1442" s="1" t="s">
        <v>1716</v>
      </c>
    </row>
    <row r="1443" spans="1:4" hidden="1" x14ac:dyDescent="0.3">
      <c r="A1443">
        <v>1441</v>
      </c>
      <c r="B1443" s="1" t="s">
        <v>3</v>
      </c>
      <c r="C1443" t="s">
        <v>4</v>
      </c>
      <c r="D1443" t="s">
        <v>5</v>
      </c>
    </row>
    <row r="1444" spans="1:4" hidden="1" x14ac:dyDescent="0.3">
      <c r="A1444">
        <v>1442</v>
      </c>
      <c r="B1444" t="s">
        <v>6</v>
      </c>
      <c r="C1444" t="s">
        <v>7</v>
      </c>
      <c r="D1444">
        <v>1950.52</v>
      </c>
    </row>
    <row r="1445" spans="1:4" hidden="1" x14ac:dyDescent="0.3">
      <c r="A1445">
        <v>1443</v>
      </c>
      <c r="B1445" s="1" t="s">
        <v>132</v>
      </c>
      <c r="C1445" t="s">
        <v>9</v>
      </c>
      <c r="D1445" s="1" t="s">
        <v>133</v>
      </c>
    </row>
    <row r="1446" spans="1:4" hidden="1" x14ac:dyDescent="0.3">
      <c r="A1446">
        <v>1444</v>
      </c>
      <c r="B1446" t="s">
        <v>13</v>
      </c>
      <c r="C1446" t="s">
        <v>14</v>
      </c>
      <c r="D1446">
        <v>90.82421875</v>
      </c>
    </row>
    <row r="1447" spans="1:4" hidden="1" x14ac:dyDescent="0.3">
      <c r="A1447">
        <v>1445</v>
      </c>
      <c r="B1447" t="s">
        <v>15</v>
      </c>
      <c r="C1447" t="s">
        <v>16</v>
      </c>
      <c r="D1447">
        <v>4.2527792330373497</v>
      </c>
    </row>
    <row r="1448" spans="1:4" hidden="1" x14ac:dyDescent="0.3">
      <c r="A1448">
        <v>1446</v>
      </c>
      <c r="B1448" s="1" t="s">
        <v>134</v>
      </c>
      <c r="C1448" t="s">
        <v>135</v>
      </c>
      <c r="D1448" s="1" t="s">
        <v>136</v>
      </c>
    </row>
    <row r="1449" spans="1:4" hidden="1" x14ac:dyDescent="0.3">
      <c r="A1449">
        <v>1447</v>
      </c>
      <c r="B1449" t="s">
        <v>21</v>
      </c>
      <c r="C1449" t="s">
        <v>22</v>
      </c>
      <c r="D1449">
        <v>62.9</v>
      </c>
    </row>
    <row r="1450" spans="1:4" hidden="1" x14ac:dyDescent="0.3">
      <c r="A1450">
        <v>1448</v>
      </c>
      <c r="B1450" t="s">
        <v>1717</v>
      </c>
      <c r="C1450" t="s">
        <v>24</v>
      </c>
      <c r="D1450">
        <v>4.0202289786319101</v>
      </c>
    </row>
    <row r="1451" spans="1:4" hidden="1" x14ac:dyDescent="0.3">
      <c r="A1451">
        <v>1449</v>
      </c>
      <c r="B1451" s="1" t="s">
        <v>1718</v>
      </c>
      <c r="C1451" t="s">
        <v>139</v>
      </c>
      <c r="D1451" s="1" t="s">
        <v>1719</v>
      </c>
    </row>
    <row r="1452" spans="1:4" hidden="1" x14ac:dyDescent="0.3">
      <c r="A1452">
        <v>1450</v>
      </c>
      <c r="B1452" t="s">
        <v>1720</v>
      </c>
      <c r="C1452" t="s">
        <v>35</v>
      </c>
      <c r="D1452">
        <v>-1.1397269986915499</v>
      </c>
    </row>
    <row r="1453" spans="1:4" hidden="1" x14ac:dyDescent="0.3">
      <c r="A1453">
        <v>1451</v>
      </c>
      <c r="B1453" t="s">
        <v>1721</v>
      </c>
      <c r="C1453" t="s">
        <v>143</v>
      </c>
      <c r="D1453">
        <v>0.54956926028192299</v>
      </c>
    </row>
    <row r="1454" spans="1:4" hidden="1" x14ac:dyDescent="0.3">
      <c r="A1454">
        <v>1452</v>
      </c>
      <c r="B1454" s="1" t="s">
        <v>1722</v>
      </c>
      <c r="C1454" t="s">
        <v>145</v>
      </c>
      <c r="D1454" s="1" t="s">
        <v>1723</v>
      </c>
    </row>
    <row r="1455" spans="1:4" hidden="1" x14ac:dyDescent="0.3">
      <c r="A1455">
        <v>1453</v>
      </c>
      <c r="B1455" t="s">
        <v>1724</v>
      </c>
      <c r="C1455" t="s">
        <v>30</v>
      </c>
      <c r="D1455">
        <v>1.0402354201492401</v>
      </c>
    </row>
    <row r="1456" spans="1:4" hidden="1" x14ac:dyDescent="0.3">
      <c r="A1456">
        <v>1454</v>
      </c>
      <c r="B1456" t="s">
        <v>1725</v>
      </c>
      <c r="C1456" t="s">
        <v>32</v>
      </c>
      <c r="D1456">
        <v>0.36130173302326501</v>
      </c>
    </row>
    <row r="1457" spans="1:4" hidden="1" x14ac:dyDescent="0.3">
      <c r="A1457">
        <v>1455</v>
      </c>
      <c r="B1457" s="1" t="s">
        <v>1726</v>
      </c>
      <c r="C1457" t="s">
        <v>149</v>
      </c>
      <c r="D1457" s="1" t="s">
        <v>1727</v>
      </c>
    </row>
    <row r="1458" spans="1:4" hidden="1" x14ac:dyDescent="0.3">
      <c r="A1458">
        <v>1456</v>
      </c>
      <c r="B1458" t="s">
        <v>1728</v>
      </c>
      <c r="C1458" t="s">
        <v>40</v>
      </c>
      <c r="D1458">
        <v>1.0994915785423001</v>
      </c>
    </row>
    <row r="1459" spans="1:4" hidden="1" x14ac:dyDescent="0.3">
      <c r="A1459">
        <v>1457</v>
      </c>
      <c r="B1459" t="s">
        <v>1729</v>
      </c>
      <c r="C1459" t="s">
        <v>42</v>
      </c>
      <c r="D1459">
        <v>0.45830513415669499</v>
      </c>
    </row>
    <row r="1460" spans="1:4" hidden="1" x14ac:dyDescent="0.3">
      <c r="A1460">
        <v>1458</v>
      </c>
      <c r="B1460" s="1" t="s">
        <v>1730</v>
      </c>
      <c r="C1460" t="s">
        <v>153</v>
      </c>
      <c r="D1460" s="1" t="s">
        <v>1731</v>
      </c>
    </row>
    <row r="1461" spans="1:4" hidden="1" x14ac:dyDescent="0.3">
      <c r="A1461">
        <v>1459</v>
      </c>
      <c r="B1461" t="s">
        <v>154</v>
      </c>
      <c r="C1461" t="s">
        <v>155</v>
      </c>
      <c r="D1461">
        <v>1</v>
      </c>
    </row>
    <row r="1462" spans="1:4" hidden="1" x14ac:dyDescent="0.3">
      <c r="A1462">
        <v>1460</v>
      </c>
      <c r="B1462" t="s">
        <v>156</v>
      </c>
      <c r="C1462" t="s">
        <v>157</v>
      </c>
      <c r="D1462">
        <v>1</v>
      </c>
    </row>
    <row r="1463" spans="1:4" hidden="1" x14ac:dyDescent="0.3">
      <c r="A1463">
        <v>1461</v>
      </c>
      <c r="B1463" s="1" t="s">
        <v>1732</v>
      </c>
      <c r="C1463" t="s">
        <v>159</v>
      </c>
      <c r="D1463" s="1" t="s">
        <v>1733</v>
      </c>
    </row>
    <row r="1464" spans="1:4" hidden="1" x14ac:dyDescent="0.3">
      <c r="A1464">
        <v>1462</v>
      </c>
      <c r="B1464" t="s">
        <v>1734</v>
      </c>
      <c r="C1464" t="s">
        <v>162</v>
      </c>
      <c r="D1464">
        <v>1.00022509603314</v>
      </c>
    </row>
    <row r="1465" spans="1:4" hidden="1" x14ac:dyDescent="0.3">
      <c r="A1465">
        <v>1463</v>
      </c>
      <c r="B1465" t="s">
        <v>1735</v>
      </c>
      <c r="C1465" t="s">
        <v>164</v>
      </c>
      <c r="D1465">
        <v>0.99975455149715597</v>
      </c>
    </row>
    <row r="1466" spans="1:4" hidden="1" x14ac:dyDescent="0.3">
      <c r="A1466">
        <v>1464</v>
      </c>
      <c r="B1466" s="1" t="s">
        <v>1736</v>
      </c>
      <c r="C1466" t="s">
        <v>166</v>
      </c>
      <c r="D1466" s="1" t="s">
        <v>1737</v>
      </c>
    </row>
    <row r="1467" spans="1:4" hidden="1" x14ac:dyDescent="0.3">
      <c r="A1467">
        <v>1465</v>
      </c>
      <c r="B1467" s="1" t="s">
        <v>1738</v>
      </c>
      <c r="C1467" t="s">
        <v>55</v>
      </c>
      <c r="D1467" s="1" t="s">
        <v>1739</v>
      </c>
    </row>
    <row r="1468" spans="1:4" hidden="1" x14ac:dyDescent="0.3">
      <c r="A1468">
        <v>1466</v>
      </c>
      <c r="B1468" s="1" t="s">
        <v>1740</v>
      </c>
      <c r="C1468" t="s">
        <v>52</v>
      </c>
      <c r="D1468" s="1" t="s">
        <v>1741</v>
      </c>
    </row>
    <row r="1469" spans="1:4" hidden="1" x14ac:dyDescent="0.3">
      <c r="A1469">
        <v>1467</v>
      </c>
      <c r="B1469" s="1" t="s">
        <v>1742</v>
      </c>
      <c r="C1469" t="s">
        <v>58</v>
      </c>
      <c r="D1469" s="1" t="s">
        <v>1743</v>
      </c>
    </row>
    <row r="1470" spans="1:4" hidden="1" x14ac:dyDescent="0.3">
      <c r="A1470">
        <v>1468</v>
      </c>
      <c r="B1470" t="s">
        <v>1744</v>
      </c>
      <c r="C1470" t="s">
        <v>61</v>
      </c>
      <c r="D1470">
        <v>149934542.84613401</v>
      </c>
    </row>
    <row r="1471" spans="1:4" hidden="1" x14ac:dyDescent="0.3">
      <c r="A1471">
        <v>1469</v>
      </c>
      <c r="B1471" t="s">
        <v>1745</v>
      </c>
      <c r="C1471" t="s">
        <v>63</v>
      </c>
      <c r="D1471">
        <v>79992055.307247996</v>
      </c>
    </row>
    <row r="1472" spans="1:4" hidden="1" x14ac:dyDescent="0.3">
      <c r="A1472">
        <v>1470</v>
      </c>
      <c r="B1472" t="s">
        <v>1746</v>
      </c>
      <c r="C1472" t="s">
        <v>65</v>
      </c>
      <c r="D1472">
        <v>39996646.126750901</v>
      </c>
    </row>
    <row r="1473" spans="1:4" hidden="1" x14ac:dyDescent="0.3">
      <c r="A1473">
        <v>1471</v>
      </c>
      <c r="B1473" s="1" t="s">
        <v>1747</v>
      </c>
      <c r="C1473" t="s">
        <v>67</v>
      </c>
      <c r="D1473" s="1" t="s">
        <v>1748</v>
      </c>
    </row>
    <row r="1474" spans="1:4" hidden="1" x14ac:dyDescent="0.3">
      <c r="A1474">
        <v>1472</v>
      </c>
      <c r="B1474" s="1" t="s">
        <v>1749</v>
      </c>
      <c r="C1474" t="s">
        <v>70</v>
      </c>
      <c r="D1474" s="1" t="s">
        <v>1750</v>
      </c>
    </row>
    <row r="1475" spans="1:4" hidden="1" x14ac:dyDescent="0.3">
      <c r="A1475">
        <v>1473</v>
      </c>
      <c r="B1475" t="s">
        <v>1751</v>
      </c>
      <c r="C1475" t="s">
        <v>73</v>
      </c>
      <c r="D1475">
        <v>0.99996188352169801</v>
      </c>
    </row>
    <row r="1476" spans="1:4" hidden="1" x14ac:dyDescent="0.3">
      <c r="A1476">
        <v>1474</v>
      </c>
      <c r="B1476" t="s">
        <v>74</v>
      </c>
      <c r="C1476" t="s">
        <v>75</v>
      </c>
      <c r="D1476">
        <v>2.7397260273972599E-3</v>
      </c>
    </row>
    <row r="1477" spans="1:4" hidden="1" x14ac:dyDescent="0.3">
      <c r="A1477">
        <v>1475</v>
      </c>
      <c r="B1477" t="s">
        <v>76</v>
      </c>
      <c r="C1477" t="s">
        <v>77</v>
      </c>
      <c r="D1477">
        <v>0</v>
      </c>
    </row>
    <row r="1478" spans="1:4" hidden="1" x14ac:dyDescent="0.3">
      <c r="A1478">
        <v>1476</v>
      </c>
      <c r="B1478" t="s">
        <v>503</v>
      </c>
      <c r="C1478" t="s">
        <v>79</v>
      </c>
      <c r="D1478" s="2">
        <v>2.2204460492503101E-16</v>
      </c>
    </row>
    <row r="1479" spans="1:4" hidden="1" x14ac:dyDescent="0.3">
      <c r="A1479">
        <v>1477</v>
      </c>
      <c r="B1479" s="1" t="s">
        <v>1752</v>
      </c>
      <c r="C1479" t="s">
        <v>81</v>
      </c>
      <c r="D1479" s="1" t="s">
        <v>1753</v>
      </c>
    </row>
    <row r="1480" spans="1:4" hidden="1" x14ac:dyDescent="0.3">
      <c r="A1480">
        <v>1478</v>
      </c>
      <c r="B1480" t="s">
        <v>1754</v>
      </c>
      <c r="C1480" t="s">
        <v>84</v>
      </c>
      <c r="D1480">
        <v>0.999929651680322</v>
      </c>
    </row>
    <row r="1481" spans="1:4" hidden="1" x14ac:dyDescent="0.3">
      <c r="A1481">
        <v>1479</v>
      </c>
      <c r="B1481" s="1" t="s">
        <v>1755</v>
      </c>
      <c r="C1481" t="s">
        <v>86</v>
      </c>
      <c r="D1481" s="1" t="s">
        <v>1756</v>
      </c>
    </row>
    <row r="1482" spans="1:4" hidden="1" x14ac:dyDescent="0.3">
      <c r="A1482">
        <v>1480</v>
      </c>
      <c r="B1482" t="s">
        <v>1757</v>
      </c>
      <c r="C1482" t="s">
        <v>89</v>
      </c>
      <c r="D1482">
        <v>100007035.32689101</v>
      </c>
    </row>
    <row r="1483" spans="1:4" hidden="1" x14ac:dyDescent="0.3">
      <c r="A1483">
        <v>1481</v>
      </c>
      <c r="B1483" s="1" t="s">
        <v>1758</v>
      </c>
      <c r="C1483" t="s">
        <v>91</v>
      </c>
      <c r="D1483" s="1" t="s">
        <v>1704</v>
      </c>
    </row>
    <row r="1484" spans="1:4" hidden="1" x14ac:dyDescent="0.3">
      <c r="A1484">
        <v>1482</v>
      </c>
      <c r="B1484" t="s">
        <v>1759</v>
      </c>
      <c r="C1484" t="s">
        <v>94</v>
      </c>
      <c r="D1484">
        <v>79992055.307247996</v>
      </c>
    </row>
    <row r="1485" spans="1:4" hidden="1" x14ac:dyDescent="0.3">
      <c r="A1485">
        <v>1483</v>
      </c>
      <c r="B1485" t="s">
        <v>1760</v>
      </c>
      <c r="C1485" t="s">
        <v>96</v>
      </c>
      <c r="D1485">
        <v>39996646.126750901</v>
      </c>
    </row>
    <row r="1486" spans="1:4" hidden="1" x14ac:dyDescent="0.3">
      <c r="A1486">
        <v>1484</v>
      </c>
      <c r="B1486" t="s">
        <v>1761</v>
      </c>
      <c r="C1486" t="s">
        <v>98</v>
      </c>
      <c r="D1486">
        <v>29945841.412135601</v>
      </c>
    </row>
    <row r="1487" spans="1:4" hidden="1" x14ac:dyDescent="0.3">
      <c r="A1487">
        <v>1485</v>
      </c>
      <c r="B1487" s="1" t="s">
        <v>1762</v>
      </c>
      <c r="C1487" t="s">
        <v>100</v>
      </c>
      <c r="D1487" s="1" t="s">
        <v>1763</v>
      </c>
    </row>
    <row r="1488" spans="1:4" hidden="1" x14ac:dyDescent="0.3">
      <c r="A1488">
        <v>1486</v>
      </c>
      <c r="B1488" t="s">
        <v>1764</v>
      </c>
      <c r="C1488" t="s">
        <v>103</v>
      </c>
      <c r="D1488">
        <v>1.0127726317084E-2</v>
      </c>
    </row>
    <row r="1489" spans="1:4" hidden="1" x14ac:dyDescent="0.3">
      <c r="A1489">
        <v>1487</v>
      </c>
      <c r="B1489" t="s">
        <v>1765</v>
      </c>
      <c r="C1489" t="s">
        <v>105</v>
      </c>
      <c r="D1489">
        <v>2.7026691501082401E-3</v>
      </c>
    </row>
    <row r="1490" spans="1:4" hidden="1" x14ac:dyDescent="0.3">
      <c r="A1490">
        <v>1488</v>
      </c>
      <c r="B1490" t="s">
        <v>1766</v>
      </c>
      <c r="C1490" t="s">
        <v>107</v>
      </c>
      <c r="D1490">
        <v>2.1697600150204499E-2</v>
      </c>
    </row>
    <row r="1491" spans="1:4" hidden="1" x14ac:dyDescent="0.3">
      <c r="A1491">
        <v>1489</v>
      </c>
      <c r="B1491" s="1" t="s">
        <v>1767</v>
      </c>
      <c r="C1491" t="s">
        <v>109</v>
      </c>
      <c r="D1491" s="1" t="s">
        <v>1768</v>
      </c>
    </row>
    <row r="1492" spans="1:4" x14ac:dyDescent="0.3">
      <c r="A1492">
        <v>1490</v>
      </c>
      <c r="B1492" t="s">
        <v>1769</v>
      </c>
      <c r="C1492" t="s">
        <v>197</v>
      </c>
      <c r="D1492">
        <v>149933427.13890401</v>
      </c>
    </row>
    <row r="1493" spans="1:4" hidden="1" x14ac:dyDescent="0.3">
      <c r="A1493">
        <v>1491</v>
      </c>
      <c r="B1493" t="s">
        <v>1770</v>
      </c>
      <c r="C1493" t="s">
        <v>199</v>
      </c>
      <c r="D1493">
        <v>2578.36180099279</v>
      </c>
    </row>
    <row r="1494" spans="1:4" hidden="1" x14ac:dyDescent="0.3">
      <c r="A1494">
        <v>1492</v>
      </c>
      <c r="B1494" t="s">
        <v>1771</v>
      </c>
      <c r="C1494" t="s">
        <v>201</v>
      </c>
      <c r="D1494">
        <v>1289.2092714564101</v>
      </c>
    </row>
    <row r="1495" spans="1:4" hidden="1" x14ac:dyDescent="0.3">
      <c r="A1495">
        <v>1493</v>
      </c>
      <c r="B1495" s="1" t="s">
        <v>1772</v>
      </c>
      <c r="C1495" t="s">
        <v>203</v>
      </c>
      <c r="D1495" s="1" t="s">
        <v>1773</v>
      </c>
    </row>
    <row r="1496" spans="1:4" hidden="1" x14ac:dyDescent="0.3">
      <c r="A1496">
        <v>1494</v>
      </c>
      <c r="B1496" t="s">
        <v>1774</v>
      </c>
      <c r="C1496" t="s">
        <v>206</v>
      </c>
      <c r="D1496">
        <v>79988617.079341397</v>
      </c>
    </row>
    <row r="1497" spans="1:4" hidden="1" x14ac:dyDescent="0.3">
      <c r="A1497">
        <v>1495</v>
      </c>
      <c r="B1497" t="s">
        <v>1775</v>
      </c>
      <c r="C1497" t="s">
        <v>208</v>
      </c>
      <c r="D1497">
        <v>39995188.6930518</v>
      </c>
    </row>
    <row r="1498" spans="1:4" hidden="1" x14ac:dyDescent="0.3">
      <c r="A1498">
        <v>1496</v>
      </c>
      <c r="B1498" t="s">
        <v>1776</v>
      </c>
      <c r="C1498" t="s">
        <v>210</v>
      </c>
      <c r="D1498">
        <v>29944788.5518604</v>
      </c>
    </row>
    <row r="1499" spans="1:4" hidden="1" x14ac:dyDescent="0.3">
      <c r="A1499">
        <v>1497</v>
      </c>
      <c r="B1499" s="1" t="s">
        <v>1777</v>
      </c>
      <c r="C1499" t="s">
        <v>212</v>
      </c>
      <c r="D1499" s="1" t="s">
        <v>1778</v>
      </c>
    </row>
    <row r="1500" spans="1:4" hidden="1" x14ac:dyDescent="0.3">
      <c r="A1500">
        <v>1498</v>
      </c>
      <c r="B1500" t="s">
        <v>1779</v>
      </c>
      <c r="C1500" t="s">
        <v>215</v>
      </c>
      <c r="D1500">
        <v>100003811.79312199</v>
      </c>
    </row>
    <row r="1501" spans="1:4" hidden="1" x14ac:dyDescent="0.3">
      <c r="A1501">
        <v>1499</v>
      </c>
      <c r="B1501" t="s">
        <v>1780</v>
      </c>
      <c r="C1501" t="s">
        <v>217</v>
      </c>
      <c r="D1501">
        <v>3223.5337688773802</v>
      </c>
    </row>
    <row r="1502" spans="1:4" hidden="1" x14ac:dyDescent="0.3">
      <c r="A1502">
        <v>1500</v>
      </c>
      <c r="B1502" s="1" t="s">
        <v>1781</v>
      </c>
      <c r="C1502" t="s">
        <v>219</v>
      </c>
      <c r="D1502" s="1" t="s">
        <v>1782</v>
      </c>
    </row>
    <row r="1503" spans="1:4" hidden="1" x14ac:dyDescent="0.3">
      <c r="A1503">
        <v>1501</v>
      </c>
      <c r="B1503" t="s">
        <v>1783</v>
      </c>
      <c r="C1503" t="s">
        <v>112</v>
      </c>
      <c r="D1503">
        <v>-859.86610565155399</v>
      </c>
    </row>
    <row r="1504" spans="1:4" hidden="1" x14ac:dyDescent="0.3">
      <c r="A1504">
        <v>1502</v>
      </c>
      <c r="B1504" t="s">
        <v>1784</v>
      </c>
      <c r="C1504" t="s">
        <v>114</v>
      </c>
      <c r="D1504">
        <v>-168.22442758161301</v>
      </c>
    </row>
    <row r="1505" spans="1:4" hidden="1" x14ac:dyDescent="0.3">
      <c r="A1505">
        <v>1503</v>
      </c>
      <c r="B1505" s="1" t="s">
        <v>1785</v>
      </c>
      <c r="C1505" t="s">
        <v>116</v>
      </c>
      <c r="D1505" s="1" t="s">
        <v>1786</v>
      </c>
    </row>
    <row r="1506" spans="1:4" hidden="1" x14ac:dyDescent="0.3">
      <c r="A1506">
        <v>1504</v>
      </c>
      <c r="B1506" t="s">
        <v>1787</v>
      </c>
      <c r="C1506" t="s">
        <v>119</v>
      </c>
      <c r="D1506">
        <v>79988617.079341397</v>
      </c>
    </row>
    <row r="1507" spans="1:4" hidden="1" x14ac:dyDescent="0.3">
      <c r="A1507">
        <v>1505</v>
      </c>
      <c r="B1507" t="s">
        <v>1788</v>
      </c>
      <c r="C1507" t="s">
        <v>121</v>
      </c>
      <c r="D1507">
        <v>39995188.6930518</v>
      </c>
    </row>
    <row r="1508" spans="1:4" hidden="1" x14ac:dyDescent="0.3">
      <c r="A1508">
        <v>1506</v>
      </c>
      <c r="B1508" s="1" t="s">
        <v>1789</v>
      </c>
      <c r="C1508" t="s">
        <v>123</v>
      </c>
      <c r="D1508" s="1" t="s">
        <v>1790</v>
      </c>
    </row>
    <row r="1509" spans="1:4" hidden="1" x14ac:dyDescent="0.3">
      <c r="A1509">
        <v>1507</v>
      </c>
      <c r="B1509" t="s">
        <v>1791</v>
      </c>
      <c r="C1509" t="s">
        <v>126</v>
      </c>
      <c r="D1509">
        <v>0.79991195441142404</v>
      </c>
    </row>
    <row r="1510" spans="1:4" hidden="1" x14ac:dyDescent="0.3">
      <c r="A1510">
        <v>1508</v>
      </c>
      <c r="B1510" t="s">
        <v>1792</v>
      </c>
      <c r="C1510" t="s">
        <v>128</v>
      </c>
      <c r="D1510">
        <v>0.39996477902323302</v>
      </c>
    </row>
    <row r="1511" spans="1:4" hidden="1" x14ac:dyDescent="0.3">
      <c r="A1511">
        <v>1509</v>
      </c>
      <c r="B1511" s="1" t="s">
        <v>1793</v>
      </c>
      <c r="C1511" t="s">
        <v>130</v>
      </c>
      <c r="D1511" s="1" t="s">
        <v>1794</v>
      </c>
    </row>
    <row r="1512" spans="1:4" hidden="1" x14ac:dyDescent="0.3">
      <c r="A1512">
        <v>1510</v>
      </c>
      <c r="B1512" s="1" t="s">
        <v>3</v>
      </c>
      <c r="C1512" t="s">
        <v>4</v>
      </c>
      <c r="D1512" t="s">
        <v>5</v>
      </c>
    </row>
    <row r="1513" spans="1:4" hidden="1" x14ac:dyDescent="0.3">
      <c r="A1513">
        <v>1511</v>
      </c>
      <c r="B1513" t="s">
        <v>6</v>
      </c>
      <c r="C1513" t="s">
        <v>7</v>
      </c>
      <c r="D1513">
        <v>1950.52</v>
      </c>
    </row>
    <row r="1514" spans="1:4" hidden="1" x14ac:dyDescent="0.3">
      <c r="A1514">
        <v>1512</v>
      </c>
      <c r="B1514" s="1" t="s">
        <v>132</v>
      </c>
      <c r="C1514" t="s">
        <v>9</v>
      </c>
      <c r="D1514" s="1" t="s">
        <v>133</v>
      </c>
    </row>
    <row r="1515" spans="1:4" hidden="1" x14ac:dyDescent="0.3">
      <c r="A1515">
        <v>1513</v>
      </c>
      <c r="B1515" t="s">
        <v>13</v>
      </c>
      <c r="C1515" t="s">
        <v>14</v>
      </c>
      <c r="D1515">
        <v>90.82421875</v>
      </c>
    </row>
    <row r="1516" spans="1:4" hidden="1" x14ac:dyDescent="0.3">
      <c r="A1516">
        <v>1514</v>
      </c>
      <c r="B1516" t="s">
        <v>15</v>
      </c>
      <c r="C1516" t="s">
        <v>16</v>
      </c>
      <c r="D1516">
        <v>4.2527792330373497</v>
      </c>
    </row>
    <row r="1517" spans="1:4" hidden="1" x14ac:dyDescent="0.3">
      <c r="A1517">
        <v>1515</v>
      </c>
      <c r="B1517" s="1" t="s">
        <v>134</v>
      </c>
      <c r="C1517" t="s">
        <v>135</v>
      </c>
      <c r="D1517" s="1" t="s">
        <v>136</v>
      </c>
    </row>
    <row r="1518" spans="1:4" hidden="1" x14ac:dyDescent="0.3">
      <c r="A1518">
        <v>1516</v>
      </c>
      <c r="B1518" t="s">
        <v>21</v>
      </c>
      <c r="C1518" t="s">
        <v>22</v>
      </c>
      <c r="D1518">
        <v>62.9</v>
      </c>
    </row>
    <row r="1519" spans="1:4" hidden="1" x14ac:dyDescent="0.3">
      <c r="A1519">
        <v>1517</v>
      </c>
      <c r="B1519" t="s">
        <v>1795</v>
      </c>
      <c r="C1519" t="s">
        <v>24</v>
      </c>
      <c r="D1519">
        <v>4.0055967657098597</v>
      </c>
    </row>
    <row r="1520" spans="1:4" hidden="1" x14ac:dyDescent="0.3">
      <c r="A1520">
        <v>1518</v>
      </c>
      <c r="B1520" s="1" t="s">
        <v>1796</v>
      </c>
      <c r="C1520" t="s">
        <v>139</v>
      </c>
      <c r="D1520" s="1" t="s">
        <v>1797</v>
      </c>
    </row>
    <row r="1521" spans="1:4" hidden="1" x14ac:dyDescent="0.3">
      <c r="A1521">
        <v>1519</v>
      </c>
      <c r="B1521" t="s">
        <v>1798</v>
      </c>
      <c r="C1521" t="s">
        <v>35</v>
      </c>
      <c r="D1521">
        <v>-1.20015739937822</v>
      </c>
    </row>
    <row r="1522" spans="1:4" hidden="1" x14ac:dyDescent="0.3">
      <c r="A1522">
        <v>1520</v>
      </c>
      <c r="B1522" t="s">
        <v>1799</v>
      </c>
      <c r="C1522" t="s">
        <v>143</v>
      </c>
      <c r="D1522">
        <v>0.55026867569245197</v>
      </c>
    </row>
    <row r="1523" spans="1:4" hidden="1" x14ac:dyDescent="0.3">
      <c r="A1523">
        <v>1521</v>
      </c>
      <c r="B1523" s="1" t="s">
        <v>1800</v>
      </c>
      <c r="C1523" t="s">
        <v>145</v>
      </c>
      <c r="D1523" s="1" t="s">
        <v>1801</v>
      </c>
    </row>
    <row r="1524" spans="1:4" hidden="1" x14ac:dyDescent="0.3">
      <c r="A1524">
        <v>1522</v>
      </c>
      <c r="B1524" t="s">
        <v>1802</v>
      </c>
      <c r="C1524" t="s">
        <v>30</v>
      </c>
      <c r="D1524">
        <v>1.0953905961872401</v>
      </c>
    </row>
    <row r="1525" spans="1:4" hidden="1" x14ac:dyDescent="0.3">
      <c r="A1525">
        <v>1523</v>
      </c>
      <c r="B1525" t="s">
        <v>1803</v>
      </c>
      <c r="C1525" t="s">
        <v>32</v>
      </c>
      <c r="D1525">
        <v>0.360218967757923</v>
      </c>
    </row>
    <row r="1526" spans="1:4" hidden="1" x14ac:dyDescent="0.3">
      <c r="A1526">
        <v>1524</v>
      </c>
      <c r="B1526" s="1" t="s">
        <v>1804</v>
      </c>
      <c r="C1526" t="s">
        <v>149</v>
      </c>
      <c r="D1526" s="1" t="s">
        <v>1805</v>
      </c>
    </row>
    <row r="1527" spans="1:4" hidden="1" x14ac:dyDescent="0.3">
      <c r="A1527">
        <v>1525</v>
      </c>
      <c r="B1527" t="s">
        <v>1806</v>
      </c>
      <c r="C1527" t="s">
        <v>40</v>
      </c>
      <c r="D1527">
        <v>1.1047668031909801</v>
      </c>
    </row>
    <row r="1528" spans="1:4" hidden="1" x14ac:dyDescent="0.3">
      <c r="A1528">
        <v>1526</v>
      </c>
      <c r="B1528" t="s">
        <v>1807</v>
      </c>
      <c r="C1528" t="s">
        <v>42</v>
      </c>
      <c r="D1528">
        <v>0.45707509998382201</v>
      </c>
    </row>
    <row r="1529" spans="1:4" hidden="1" x14ac:dyDescent="0.3">
      <c r="A1529">
        <v>1527</v>
      </c>
      <c r="B1529" s="1" t="s">
        <v>1808</v>
      </c>
      <c r="C1529" t="s">
        <v>153</v>
      </c>
      <c r="D1529" s="1" t="s">
        <v>1809</v>
      </c>
    </row>
    <row r="1530" spans="1:4" hidden="1" x14ac:dyDescent="0.3">
      <c r="A1530">
        <v>1528</v>
      </c>
      <c r="B1530" t="s">
        <v>154</v>
      </c>
      <c r="C1530" t="s">
        <v>155</v>
      </c>
      <c r="D1530">
        <v>1</v>
      </c>
    </row>
    <row r="1531" spans="1:4" hidden="1" x14ac:dyDescent="0.3">
      <c r="A1531">
        <v>1529</v>
      </c>
      <c r="B1531" t="s">
        <v>156</v>
      </c>
      <c r="C1531" t="s">
        <v>157</v>
      </c>
      <c r="D1531">
        <v>1</v>
      </c>
    </row>
    <row r="1532" spans="1:4" hidden="1" x14ac:dyDescent="0.3">
      <c r="A1532">
        <v>1530</v>
      </c>
      <c r="B1532" s="1" t="s">
        <v>1810</v>
      </c>
      <c r="C1532" t="s">
        <v>159</v>
      </c>
      <c r="D1532" s="1" t="s">
        <v>1811</v>
      </c>
    </row>
    <row r="1533" spans="1:4" hidden="1" x14ac:dyDescent="0.3">
      <c r="A1533">
        <v>1531</v>
      </c>
      <c r="B1533" t="s">
        <v>1812</v>
      </c>
      <c r="C1533" t="s">
        <v>162</v>
      </c>
      <c r="D1533">
        <v>1.00045136118046</v>
      </c>
    </row>
    <row r="1534" spans="1:4" hidden="1" x14ac:dyDescent="0.3">
      <c r="A1534">
        <v>1532</v>
      </c>
      <c r="B1534" t="s">
        <v>1813</v>
      </c>
      <c r="C1534" t="s">
        <v>164</v>
      </c>
      <c r="D1534">
        <v>0.999204610382051</v>
      </c>
    </row>
    <row r="1535" spans="1:4" hidden="1" x14ac:dyDescent="0.3">
      <c r="A1535">
        <v>1533</v>
      </c>
      <c r="B1535" s="1" t="s">
        <v>1814</v>
      </c>
      <c r="C1535" t="s">
        <v>166</v>
      </c>
      <c r="D1535" s="1" t="s">
        <v>1815</v>
      </c>
    </row>
    <row r="1536" spans="1:4" hidden="1" x14ac:dyDescent="0.3">
      <c r="A1536">
        <v>1534</v>
      </c>
      <c r="B1536" s="1" t="s">
        <v>1816</v>
      </c>
      <c r="C1536" t="s">
        <v>55</v>
      </c>
      <c r="D1536" s="1" t="s">
        <v>1817</v>
      </c>
    </row>
    <row r="1537" spans="1:4" hidden="1" x14ac:dyDescent="0.3">
      <c r="A1537">
        <v>1535</v>
      </c>
      <c r="B1537" s="1" t="s">
        <v>1818</v>
      </c>
      <c r="C1537" t="s">
        <v>52</v>
      </c>
      <c r="D1537" s="1" t="s">
        <v>1819</v>
      </c>
    </row>
    <row r="1538" spans="1:4" hidden="1" x14ac:dyDescent="0.3">
      <c r="A1538">
        <v>1536</v>
      </c>
      <c r="B1538" s="1" t="s">
        <v>1820</v>
      </c>
      <c r="C1538" t="s">
        <v>58</v>
      </c>
      <c r="D1538" s="1" t="s">
        <v>1821</v>
      </c>
    </row>
    <row r="1539" spans="1:4" hidden="1" x14ac:dyDescent="0.3">
      <c r="A1539">
        <v>1537</v>
      </c>
      <c r="B1539" t="s">
        <v>1822</v>
      </c>
      <c r="C1539" t="s">
        <v>61</v>
      </c>
      <c r="D1539">
        <v>149922046.84931701</v>
      </c>
    </row>
    <row r="1540" spans="1:4" hidden="1" x14ac:dyDescent="0.3">
      <c r="A1540">
        <v>1538</v>
      </c>
      <c r="B1540" t="s">
        <v>1823</v>
      </c>
      <c r="C1540" t="s">
        <v>63</v>
      </c>
      <c r="D1540">
        <v>79988617.079341397</v>
      </c>
    </row>
    <row r="1541" spans="1:4" hidden="1" x14ac:dyDescent="0.3">
      <c r="A1541">
        <v>1539</v>
      </c>
      <c r="B1541" t="s">
        <v>1824</v>
      </c>
      <c r="C1541" t="s">
        <v>65</v>
      </c>
      <c r="D1541">
        <v>39995188.6930518</v>
      </c>
    </row>
    <row r="1542" spans="1:4" hidden="1" x14ac:dyDescent="0.3">
      <c r="A1542">
        <v>1540</v>
      </c>
      <c r="B1542" s="1" t="s">
        <v>1825</v>
      </c>
      <c r="C1542" t="s">
        <v>67</v>
      </c>
      <c r="D1542" s="1" t="s">
        <v>1826</v>
      </c>
    </row>
    <row r="1543" spans="1:4" hidden="1" x14ac:dyDescent="0.3">
      <c r="A1543">
        <v>1541</v>
      </c>
      <c r="B1543" s="1" t="s">
        <v>1827</v>
      </c>
      <c r="C1543" t="s">
        <v>70</v>
      </c>
      <c r="D1543" s="1" t="s">
        <v>1828</v>
      </c>
    </row>
    <row r="1544" spans="1:4" hidden="1" x14ac:dyDescent="0.3">
      <c r="A1544">
        <v>1542</v>
      </c>
      <c r="B1544" t="s">
        <v>1829</v>
      </c>
      <c r="C1544" t="s">
        <v>73</v>
      </c>
      <c r="D1544">
        <v>0.999929651680322</v>
      </c>
    </row>
    <row r="1545" spans="1:4" hidden="1" x14ac:dyDescent="0.3">
      <c r="A1545">
        <v>1543</v>
      </c>
      <c r="B1545" t="s">
        <v>74</v>
      </c>
      <c r="C1545" t="s">
        <v>75</v>
      </c>
      <c r="D1545">
        <v>2.7397260273972599E-3</v>
      </c>
    </row>
    <row r="1546" spans="1:4" hidden="1" x14ac:dyDescent="0.3">
      <c r="A1546">
        <v>1544</v>
      </c>
      <c r="B1546" t="s">
        <v>76</v>
      </c>
      <c r="C1546" t="s">
        <v>77</v>
      </c>
      <c r="D1546">
        <v>0</v>
      </c>
    </row>
    <row r="1547" spans="1:4" hidden="1" x14ac:dyDescent="0.3">
      <c r="A1547">
        <v>1545</v>
      </c>
      <c r="B1547" t="s">
        <v>346</v>
      </c>
      <c r="C1547" t="s">
        <v>79</v>
      </c>
      <c r="D1547" s="2">
        <v>-2.2204460492503101E-16</v>
      </c>
    </row>
    <row r="1548" spans="1:4" hidden="1" x14ac:dyDescent="0.3">
      <c r="A1548">
        <v>1546</v>
      </c>
      <c r="B1548" s="1" t="s">
        <v>1830</v>
      </c>
      <c r="C1548" t="s">
        <v>81</v>
      </c>
      <c r="D1548" s="1" t="s">
        <v>1831</v>
      </c>
    </row>
    <row r="1549" spans="1:4" hidden="1" x14ac:dyDescent="0.3">
      <c r="A1549">
        <v>1547</v>
      </c>
      <c r="B1549" t="s">
        <v>1832</v>
      </c>
      <c r="C1549" t="s">
        <v>84</v>
      </c>
      <c r="D1549">
        <v>0.99995531242903202</v>
      </c>
    </row>
    <row r="1550" spans="1:4" hidden="1" x14ac:dyDescent="0.3">
      <c r="A1550">
        <v>1548</v>
      </c>
      <c r="B1550" s="1" t="s">
        <v>1833</v>
      </c>
      <c r="C1550" t="s">
        <v>86</v>
      </c>
      <c r="D1550" s="1" t="s">
        <v>1834</v>
      </c>
    </row>
    <row r="1551" spans="1:4" hidden="1" x14ac:dyDescent="0.3">
      <c r="A1551">
        <v>1549</v>
      </c>
      <c r="B1551" t="s">
        <v>1835</v>
      </c>
      <c r="C1551" t="s">
        <v>89</v>
      </c>
      <c r="D1551">
        <v>100004468.95680299</v>
      </c>
    </row>
    <row r="1552" spans="1:4" hidden="1" x14ac:dyDescent="0.3">
      <c r="A1552">
        <v>1550</v>
      </c>
      <c r="B1552" s="1" t="s">
        <v>1836</v>
      </c>
      <c r="C1552" t="s">
        <v>91</v>
      </c>
      <c r="D1552" s="1" t="s">
        <v>1782</v>
      </c>
    </row>
    <row r="1553" spans="1:4" hidden="1" x14ac:dyDescent="0.3">
      <c r="A1553">
        <v>1551</v>
      </c>
      <c r="B1553" t="s">
        <v>1837</v>
      </c>
      <c r="C1553" t="s">
        <v>94</v>
      </c>
      <c r="D1553">
        <v>79988617.079341397</v>
      </c>
    </row>
    <row r="1554" spans="1:4" hidden="1" x14ac:dyDescent="0.3">
      <c r="A1554">
        <v>1552</v>
      </c>
      <c r="B1554" t="s">
        <v>1838</v>
      </c>
      <c r="C1554" t="s">
        <v>96</v>
      </c>
      <c r="D1554">
        <v>39995188.6930518</v>
      </c>
    </row>
    <row r="1555" spans="1:4" hidden="1" x14ac:dyDescent="0.3">
      <c r="A1555">
        <v>1553</v>
      </c>
      <c r="B1555" t="s">
        <v>1839</v>
      </c>
      <c r="C1555" t="s">
        <v>98</v>
      </c>
      <c r="D1555">
        <v>29938241.076923698</v>
      </c>
    </row>
    <row r="1556" spans="1:4" hidden="1" x14ac:dyDescent="0.3">
      <c r="A1556">
        <v>1554</v>
      </c>
      <c r="B1556" s="1" t="s">
        <v>1840</v>
      </c>
      <c r="C1556" t="s">
        <v>100</v>
      </c>
      <c r="D1556" s="1" t="s">
        <v>1841</v>
      </c>
    </row>
    <row r="1557" spans="1:4" hidden="1" x14ac:dyDescent="0.3">
      <c r="A1557">
        <v>1555</v>
      </c>
      <c r="B1557" t="s">
        <v>1842</v>
      </c>
      <c r="C1557" t="s">
        <v>103</v>
      </c>
      <c r="D1557">
        <v>1.01916450411758E-2</v>
      </c>
    </row>
    <row r="1558" spans="1:4" hidden="1" x14ac:dyDescent="0.3">
      <c r="A1558">
        <v>1556</v>
      </c>
      <c r="B1558" t="s">
        <v>1843</v>
      </c>
      <c r="C1558" t="s">
        <v>105</v>
      </c>
      <c r="D1558">
        <v>2.7060820381856299E-3</v>
      </c>
    </row>
    <row r="1559" spans="1:4" hidden="1" x14ac:dyDescent="0.3">
      <c r="A1559">
        <v>1557</v>
      </c>
      <c r="B1559" t="s">
        <v>1844</v>
      </c>
      <c r="C1559" t="s">
        <v>107</v>
      </c>
      <c r="D1559">
        <v>2.1808802448701699E-2</v>
      </c>
    </row>
    <row r="1560" spans="1:4" hidden="1" x14ac:dyDescent="0.3">
      <c r="A1560">
        <v>1558</v>
      </c>
      <c r="B1560" s="1" t="s">
        <v>1845</v>
      </c>
      <c r="C1560" t="s">
        <v>109</v>
      </c>
      <c r="D1560" s="1" t="s">
        <v>1846</v>
      </c>
    </row>
    <row r="1561" spans="1:4" x14ac:dyDescent="0.3">
      <c r="A1561">
        <v>1559</v>
      </c>
      <c r="B1561" t="s">
        <v>1847</v>
      </c>
      <c r="C1561" t="s">
        <v>197</v>
      </c>
      <c r="D1561">
        <v>149922935.161917</v>
      </c>
    </row>
    <row r="1562" spans="1:4" hidden="1" x14ac:dyDescent="0.3">
      <c r="A1562">
        <v>1560</v>
      </c>
      <c r="B1562" t="s">
        <v>1848</v>
      </c>
      <c r="C1562" t="s">
        <v>199</v>
      </c>
      <c r="D1562">
        <v>-2052.7290743394501</v>
      </c>
    </row>
    <row r="1563" spans="1:4" hidden="1" x14ac:dyDescent="0.3">
      <c r="A1563">
        <v>1561</v>
      </c>
      <c r="B1563" t="s">
        <v>1849</v>
      </c>
      <c r="C1563" t="s">
        <v>201</v>
      </c>
      <c r="D1563">
        <v>-1026.3819922175601</v>
      </c>
    </row>
    <row r="1564" spans="1:4" hidden="1" x14ac:dyDescent="0.3">
      <c r="A1564">
        <v>1562</v>
      </c>
      <c r="B1564" s="1" t="s">
        <v>1850</v>
      </c>
      <c r="C1564" t="s">
        <v>203</v>
      </c>
      <c r="D1564" s="1" t="s">
        <v>1851</v>
      </c>
    </row>
    <row r="1565" spans="1:4" hidden="1" x14ac:dyDescent="0.3">
      <c r="A1565">
        <v>1563</v>
      </c>
      <c r="B1565" t="s">
        <v>1852</v>
      </c>
      <c r="C1565" t="s">
        <v>206</v>
      </c>
      <c r="D1565">
        <v>79991327.066046804</v>
      </c>
    </row>
    <row r="1566" spans="1:4" hidden="1" x14ac:dyDescent="0.3">
      <c r="A1566">
        <v>1564</v>
      </c>
      <c r="B1566" t="s">
        <v>1853</v>
      </c>
      <c r="C1566" t="s">
        <v>208</v>
      </c>
      <c r="D1566">
        <v>39996343.726263598</v>
      </c>
    </row>
    <row r="1567" spans="1:4" hidden="1" x14ac:dyDescent="0.3">
      <c r="A1567">
        <v>1565</v>
      </c>
      <c r="B1567" t="s">
        <v>1854</v>
      </c>
      <c r="C1567" t="s">
        <v>210</v>
      </c>
      <c r="D1567">
        <v>29939111.775031</v>
      </c>
    </row>
    <row r="1568" spans="1:4" hidden="1" x14ac:dyDescent="0.3">
      <c r="A1568">
        <v>1566</v>
      </c>
      <c r="B1568" s="1" t="s">
        <v>1855</v>
      </c>
      <c r="C1568" t="s">
        <v>212</v>
      </c>
      <c r="D1568" s="1" t="s">
        <v>1856</v>
      </c>
    </row>
    <row r="1569" spans="1:4" hidden="1" x14ac:dyDescent="0.3">
      <c r="A1569">
        <v>1567</v>
      </c>
      <c r="B1569" t="s">
        <v>1857</v>
      </c>
      <c r="C1569" t="s">
        <v>215</v>
      </c>
      <c r="D1569">
        <v>100007035.32689101</v>
      </c>
    </row>
    <row r="1570" spans="1:4" hidden="1" x14ac:dyDescent="0.3">
      <c r="A1570">
        <v>1568</v>
      </c>
      <c r="B1570" t="s">
        <v>1858</v>
      </c>
      <c r="C1570" t="s">
        <v>217</v>
      </c>
      <c r="D1570">
        <v>-2566.3700876533899</v>
      </c>
    </row>
    <row r="1571" spans="1:4" hidden="1" x14ac:dyDescent="0.3">
      <c r="A1571">
        <v>1569</v>
      </c>
      <c r="B1571" s="1" t="s">
        <v>1859</v>
      </c>
      <c r="C1571" t="s">
        <v>219</v>
      </c>
      <c r="D1571" s="1" t="s">
        <v>1860</v>
      </c>
    </row>
    <row r="1572" spans="1:4" hidden="1" x14ac:dyDescent="0.3">
      <c r="A1572">
        <v>1570</v>
      </c>
      <c r="B1572" t="s">
        <v>1861</v>
      </c>
      <c r="C1572" t="s">
        <v>112</v>
      </c>
      <c r="D1572">
        <v>657.25763111054403</v>
      </c>
    </row>
    <row r="1573" spans="1:4" hidden="1" x14ac:dyDescent="0.3">
      <c r="A1573">
        <v>1571</v>
      </c>
      <c r="B1573" t="s">
        <v>1862</v>
      </c>
      <c r="C1573" t="s">
        <v>114</v>
      </c>
      <c r="D1573">
        <v>128.65121956617</v>
      </c>
    </row>
    <row r="1574" spans="1:4" hidden="1" x14ac:dyDescent="0.3">
      <c r="A1574">
        <v>1572</v>
      </c>
      <c r="B1574" s="1" t="s">
        <v>1863</v>
      </c>
      <c r="C1574" t="s">
        <v>116</v>
      </c>
      <c r="D1574" s="1" t="s">
        <v>1864</v>
      </c>
    </row>
    <row r="1575" spans="1:4" hidden="1" x14ac:dyDescent="0.3">
      <c r="A1575">
        <v>1573</v>
      </c>
      <c r="B1575" t="s">
        <v>1865</v>
      </c>
      <c r="C1575" t="s">
        <v>119</v>
      </c>
      <c r="D1575">
        <v>79991327.066046804</v>
      </c>
    </row>
    <row r="1576" spans="1:4" hidden="1" x14ac:dyDescent="0.3">
      <c r="A1576">
        <v>1574</v>
      </c>
      <c r="B1576" t="s">
        <v>1866</v>
      </c>
      <c r="C1576" t="s">
        <v>121</v>
      </c>
      <c r="D1576">
        <v>39996343.726263598</v>
      </c>
    </row>
    <row r="1577" spans="1:4" hidden="1" x14ac:dyDescent="0.3">
      <c r="A1577">
        <v>1575</v>
      </c>
      <c r="B1577" s="1" t="s">
        <v>1867</v>
      </c>
      <c r="C1577" t="s">
        <v>123</v>
      </c>
      <c r="D1577" s="1" t="s">
        <v>1868</v>
      </c>
    </row>
    <row r="1578" spans="1:4" hidden="1" x14ac:dyDescent="0.3">
      <c r="A1578">
        <v>1576</v>
      </c>
      <c r="B1578" t="s">
        <v>1869</v>
      </c>
      <c r="C1578" t="s">
        <v>126</v>
      </c>
      <c r="D1578">
        <v>0.79989274336972505</v>
      </c>
    </row>
    <row r="1579" spans="1:4" hidden="1" x14ac:dyDescent="0.3">
      <c r="A1579">
        <v>1577</v>
      </c>
      <c r="B1579" t="s">
        <v>1870</v>
      </c>
      <c r="C1579" t="s">
        <v>128</v>
      </c>
      <c r="D1579">
        <v>0.39995317344271403</v>
      </c>
    </row>
    <row r="1580" spans="1:4" hidden="1" x14ac:dyDescent="0.3">
      <c r="A1580">
        <v>1578</v>
      </c>
      <c r="B1580" s="1" t="s">
        <v>1871</v>
      </c>
      <c r="C1580" t="s">
        <v>130</v>
      </c>
      <c r="D1580" s="1" t="s">
        <v>1872</v>
      </c>
    </row>
    <row r="1581" spans="1:4" hidden="1" x14ac:dyDescent="0.3">
      <c r="A1581">
        <v>1579</v>
      </c>
      <c r="B1581" s="1" t="s">
        <v>3</v>
      </c>
      <c r="C1581" t="s">
        <v>4</v>
      </c>
      <c r="D1581" t="s">
        <v>5</v>
      </c>
    </row>
    <row r="1582" spans="1:4" hidden="1" x14ac:dyDescent="0.3">
      <c r="A1582">
        <v>1580</v>
      </c>
      <c r="B1582" t="s">
        <v>6</v>
      </c>
      <c r="C1582" t="s">
        <v>7</v>
      </c>
      <c r="D1582">
        <v>1950.52</v>
      </c>
    </row>
    <row r="1583" spans="1:4" hidden="1" x14ac:dyDescent="0.3">
      <c r="A1583">
        <v>1581</v>
      </c>
      <c r="B1583" s="1" t="s">
        <v>132</v>
      </c>
      <c r="C1583" t="s">
        <v>9</v>
      </c>
      <c r="D1583" s="1" t="s">
        <v>133</v>
      </c>
    </row>
    <row r="1584" spans="1:4" hidden="1" x14ac:dyDescent="0.3">
      <c r="A1584">
        <v>1582</v>
      </c>
      <c r="B1584" t="s">
        <v>13</v>
      </c>
      <c r="C1584" t="s">
        <v>14</v>
      </c>
      <c r="D1584">
        <v>90.82421875</v>
      </c>
    </row>
    <row r="1585" spans="1:4" hidden="1" x14ac:dyDescent="0.3">
      <c r="A1585">
        <v>1583</v>
      </c>
      <c r="B1585" t="s">
        <v>15</v>
      </c>
      <c r="C1585" t="s">
        <v>16</v>
      </c>
      <c r="D1585">
        <v>4.2527792330373497</v>
      </c>
    </row>
    <row r="1586" spans="1:4" hidden="1" x14ac:dyDescent="0.3">
      <c r="A1586">
        <v>1584</v>
      </c>
      <c r="B1586" s="1" t="s">
        <v>134</v>
      </c>
      <c r="C1586" t="s">
        <v>135</v>
      </c>
      <c r="D1586" s="1" t="s">
        <v>136</v>
      </c>
    </row>
    <row r="1587" spans="1:4" hidden="1" x14ac:dyDescent="0.3">
      <c r="A1587">
        <v>1585</v>
      </c>
      <c r="B1587" t="s">
        <v>21</v>
      </c>
      <c r="C1587" t="s">
        <v>22</v>
      </c>
      <c r="D1587">
        <v>62.9</v>
      </c>
    </row>
    <row r="1588" spans="1:4" hidden="1" x14ac:dyDescent="0.3">
      <c r="A1588">
        <v>1586</v>
      </c>
      <c r="B1588" t="s">
        <v>1873</v>
      </c>
      <c r="C1588" t="s">
        <v>24</v>
      </c>
      <c r="D1588">
        <v>3.9876727749052501</v>
      </c>
    </row>
    <row r="1589" spans="1:4" hidden="1" x14ac:dyDescent="0.3">
      <c r="A1589">
        <v>1587</v>
      </c>
      <c r="B1589" s="1" t="s">
        <v>1874</v>
      </c>
      <c r="C1589" t="s">
        <v>139</v>
      </c>
      <c r="D1589" s="1" t="s">
        <v>1875</v>
      </c>
    </row>
    <row r="1590" spans="1:4" hidden="1" x14ac:dyDescent="0.3">
      <c r="A1590">
        <v>1588</v>
      </c>
      <c r="B1590" t="s">
        <v>1876</v>
      </c>
      <c r="C1590" t="s">
        <v>35</v>
      </c>
      <c r="D1590">
        <v>-1.1715373035079599</v>
      </c>
    </row>
    <row r="1591" spans="1:4" hidden="1" x14ac:dyDescent="0.3">
      <c r="A1591">
        <v>1589</v>
      </c>
      <c r="B1591" t="s">
        <v>1877</v>
      </c>
      <c r="C1591" t="s">
        <v>143</v>
      </c>
      <c r="D1591">
        <v>0.55148290723137505</v>
      </c>
    </row>
    <row r="1592" spans="1:4" hidden="1" x14ac:dyDescent="0.3">
      <c r="A1592">
        <v>1590</v>
      </c>
      <c r="B1592" s="1" t="s">
        <v>1878</v>
      </c>
      <c r="C1592" t="s">
        <v>145</v>
      </c>
      <c r="D1592" s="1" t="s">
        <v>1879</v>
      </c>
    </row>
    <row r="1593" spans="1:4" hidden="1" x14ac:dyDescent="0.3">
      <c r="A1593">
        <v>1591</v>
      </c>
      <c r="B1593" t="s">
        <v>1880</v>
      </c>
      <c r="C1593" t="s">
        <v>30</v>
      </c>
      <c r="D1593">
        <v>1.0692688692416701</v>
      </c>
    </row>
    <row r="1594" spans="1:4" hidden="1" x14ac:dyDescent="0.3">
      <c r="A1594">
        <v>1592</v>
      </c>
      <c r="B1594" t="s">
        <v>1881</v>
      </c>
      <c r="C1594" t="s">
        <v>32</v>
      </c>
      <c r="D1594">
        <v>0.35854694658368003</v>
      </c>
    </row>
    <row r="1595" spans="1:4" hidden="1" x14ac:dyDescent="0.3">
      <c r="A1595">
        <v>1593</v>
      </c>
      <c r="B1595" s="1" t="s">
        <v>1882</v>
      </c>
      <c r="C1595" t="s">
        <v>149</v>
      </c>
      <c r="D1595" s="1" t="s">
        <v>1883</v>
      </c>
    </row>
    <row r="1596" spans="1:4" hidden="1" x14ac:dyDescent="0.3">
      <c r="A1596">
        <v>1594</v>
      </c>
      <c r="B1596" t="s">
        <v>1884</v>
      </c>
      <c r="C1596" t="s">
        <v>40</v>
      </c>
      <c r="D1596">
        <v>1.1022684342662801</v>
      </c>
    </row>
    <row r="1597" spans="1:4" hidden="1" x14ac:dyDescent="0.3">
      <c r="A1597">
        <v>1595</v>
      </c>
      <c r="B1597" t="s">
        <v>1885</v>
      </c>
      <c r="C1597" t="s">
        <v>42</v>
      </c>
      <c r="D1597">
        <v>0.45474588060533599</v>
      </c>
    </row>
    <row r="1598" spans="1:4" hidden="1" x14ac:dyDescent="0.3">
      <c r="A1598">
        <v>1596</v>
      </c>
      <c r="B1598" s="1" t="s">
        <v>1886</v>
      </c>
      <c r="C1598" t="s">
        <v>153</v>
      </c>
      <c r="D1598" s="1" t="s">
        <v>1887</v>
      </c>
    </row>
    <row r="1599" spans="1:4" hidden="1" x14ac:dyDescent="0.3">
      <c r="A1599">
        <v>1597</v>
      </c>
      <c r="B1599" t="s">
        <v>154</v>
      </c>
      <c r="C1599" t="s">
        <v>155</v>
      </c>
      <c r="D1599">
        <v>1</v>
      </c>
    </row>
    <row r="1600" spans="1:4" hidden="1" x14ac:dyDescent="0.3">
      <c r="A1600">
        <v>1598</v>
      </c>
      <c r="B1600" t="s">
        <v>156</v>
      </c>
      <c r="C1600" t="s">
        <v>157</v>
      </c>
      <c r="D1600">
        <v>1</v>
      </c>
    </row>
    <row r="1601" spans="1:4" hidden="1" x14ac:dyDescent="0.3">
      <c r="A1601">
        <v>1599</v>
      </c>
      <c r="B1601" s="1" t="s">
        <v>1888</v>
      </c>
      <c r="C1601" t="s">
        <v>159</v>
      </c>
      <c r="D1601" s="1" t="s">
        <v>1889</v>
      </c>
    </row>
    <row r="1602" spans="1:4" hidden="1" x14ac:dyDescent="0.3">
      <c r="A1602">
        <v>1600</v>
      </c>
      <c r="B1602" t="s">
        <v>1890</v>
      </c>
      <c r="C1602" t="s">
        <v>162</v>
      </c>
      <c r="D1602">
        <v>1.00078323942034</v>
      </c>
    </row>
    <row r="1603" spans="1:4" hidden="1" x14ac:dyDescent="0.3">
      <c r="A1603">
        <v>1601</v>
      </c>
      <c r="B1603" t="s">
        <v>1891</v>
      </c>
      <c r="C1603" t="s">
        <v>164</v>
      </c>
      <c r="D1603">
        <v>0.99877077057894603</v>
      </c>
    </row>
    <row r="1604" spans="1:4" hidden="1" x14ac:dyDescent="0.3">
      <c r="A1604">
        <v>1602</v>
      </c>
      <c r="B1604" s="1" t="s">
        <v>1892</v>
      </c>
      <c r="C1604" t="s">
        <v>166</v>
      </c>
      <c r="D1604" s="1" t="s">
        <v>1893</v>
      </c>
    </row>
    <row r="1605" spans="1:4" hidden="1" x14ac:dyDescent="0.3">
      <c r="A1605">
        <v>1603</v>
      </c>
      <c r="B1605" s="1" t="s">
        <v>1894</v>
      </c>
      <c r="C1605" t="s">
        <v>55</v>
      </c>
      <c r="D1605" s="1" t="s">
        <v>1895</v>
      </c>
    </row>
    <row r="1606" spans="1:4" hidden="1" x14ac:dyDescent="0.3">
      <c r="A1606">
        <v>1604</v>
      </c>
      <c r="B1606" s="1" t="s">
        <v>1896</v>
      </c>
      <c r="C1606" t="s">
        <v>52</v>
      </c>
      <c r="D1606" s="1" t="s">
        <v>1897</v>
      </c>
    </row>
    <row r="1607" spans="1:4" hidden="1" x14ac:dyDescent="0.3">
      <c r="A1607">
        <v>1605</v>
      </c>
      <c r="B1607" s="1" t="s">
        <v>1898</v>
      </c>
      <c r="C1607" t="s">
        <v>58</v>
      </c>
      <c r="D1607" s="1" t="s">
        <v>1899</v>
      </c>
    </row>
    <row r="1608" spans="1:4" hidden="1" x14ac:dyDescent="0.3">
      <c r="A1608">
        <v>1606</v>
      </c>
      <c r="B1608" t="s">
        <v>1900</v>
      </c>
      <c r="C1608" t="s">
        <v>61</v>
      </c>
      <c r="D1608">
        <v>149918761.88760599</v>
      </c>
    </row>
    <row r="1609" spans="1:4" hidden="1" x14ac:dyDescent="0.3">
      <c r="A1609">
        <v>1607</v>
      </c>
      <c r="B1609" t="s">
        <v>1901</v>
      </c>
      <c r="C1609" t="s">
        <v>63</v>
      </c>
      <c r="D1609">
        <v>79991327.066046804</v>
      </c>
    </row>
    <row r="1610" spans="1:4" hidden="1" x14ac:dyDescent="0.3">
      <c r="A1610">
        <v>1608</v>
      </c>
      <c r="B1610" t="s">
        <v>1902</v>
      </c>
      <c r="C1610" t="s">
        <v>65</v>
      </c>
      <c r="D1610">
        <v>39996343.726263598</v>
      </c>
    </row>
    <row r="1611" spans="1:4" hidden="1" x14ac:dyDescent="0.3">
      <c r="A1611">
        <v>1609</v>
      </c>
      <c r="B1611" s="1" t="s">
        <v>1903</v>
      </c>
      <c r="C1611" t="s">
        <v>67</v>
      </c>
      <c r="D1611" s="1" t="s">
        <v>1904</v>
      </c>
    </row>
    <row r="1612" spans="1:4" hidden="1" x14ac:dyDescent="0.3">
      <c r="A1612">
        <v>1610</v>
      </c>
      <c r="B1612" s="1" t="s">
        <v>1905</v>
      </c>
      <c r="C1612" t="s">
        <v>70</v>
      </c>
      <c r="D1612" s="1" t="s">
        <v>1906</v>
      </c>
    </row>
    <row r="1613" spans="1:4" hidden="1" x14ac:dyDescent="0.3">
      <c r="A1613">
        <v>1611</v>
      </c>
      <c r="B1613" t="s">
        <v>1907</v>
      </c>
      <c r="C1613" t="s">
        <v>73</v>
      </c>
      <c r="D1613">
        <v>0.99995531242903202</v>
      </c>
    </row>
    <row r="1614" spans="1:4" hidden="1" x14ac:dyDescent="0.3">
      <c r="A1614">
        <v>1612</v>
      </c>
      <c r="B1614" t="s">
        <v>74</v>
      </c>
      <c r="C1614" t="s">
        <v>75</v>
      </c>
      <c r="D1614">
        <v>2.7397260273972599E-3</v>
      </c>
    </row>
    <row r="1615" spans="1:4" hidden="1" x14ac:dyDescent="0.3">
      <c r="A1615">
        <v>1613</v>
      </c>
      <c r="B1615" t="s">
        <v>76</v>
      </c>
      <c r="C1615" t="s">
        <v>77</v>
      </c>
      <c r="D1615">
        <v>0</v>
      </c>
    </row>
    <row r="1616" spans="1:4" hidden="1" x14ac:dyDescent="0.3">
      <c r="A1616">
        <v>1614</v>
      </c>
      <c r="B1616" t="s">
        <v>503</v>
      </c>
      <c r="C1616" t="s">
        <v>79</v>
      </c>
      <c r="D1616" s="2">
        <v>2.2204460492503101E-16</v>
      </c>
    </row>
    <row r="1617" spans="1:4" hidden="1" x14ac:dyDescent="0.3">
      <c r="A1617">
        <v>1615</v>
      </c>
      <c r="B1617" s="1" t="s">
        <v>1908</v>
      </c>
      <c r="C1617" t="s">
        <v>81</v>
      </c>
      <c r="D1617" s="1" t="s">
        <v>1909</v>
      </c>
    </row>
    <row r="1618" spans="1:4" hidden="1" x14ac:dyDescent="0.3">
      <c r="A1618">
        <v>1616</v>
      </c>
      <c r="B1618" t="s">
        <v>1910</v>
      </c>
      <c r="C1618" t="s">
        <v>84</v>
      </c>
      <c r="D1618">
        <v>0.99995278117850706</v>
      </c>
    </row>
    <row r="1619" spans="1:4" hidden="1" x14ac:dyDescent="0.3">
      <c r="A1619">
        <v>1617</v>
      </c>
      <c r="B1619" s="1" t="s">
        <v>1911</v>
      </c>
      <c r="C1619" t="s">
        <v>86</v>
      </c>
      <c r="D1619" s="1" t="s">
        <v>1912</v>
      </c>
    </row>
    <row r="1620" spans="1:4" hidden="1" x14ac:dyDescent="0.3">
      <c r="A1620">
        <v>1618</v>
      </c>
      <c r="B1620" t="s">
        <v>1913</v>
      </c>
      <c r="C1620" t="s">
        <v>89</v>
      </c>
      <c r="D1620">
        <v>100004722.105121</v>
      </c>
    </row>
    <row r="1621" spans="1:4" hidden="1" x14ac:dyDescent="0.3">
      <c r="A1621">
        <v>1619</v>
      </c>
      <c r="B1621" s="1" t="s">
        <v>1914</v>
      </c>
      <c r="C1621" t="s">
        <v>91</v>
      </c>
      <c r="D1621" s="1" t="s">
        <v>1860</v>
      </c>
    </row>
    <row r="1622" spans="1:4" hidden="1" x14ac:dyDescent="0.3">
      <c r="A1622">
        <v>1620</v>
      </c>
      <c r="B1622" t="s">
        <v>1915</v>
      </c>
      <c r="C1622" t="s">
        <v>94</v>
      </c>
      <c r="D1622">
        <v>79991327.066046804</v>
      </c>
    </row>
    <row r="1623" spans="1:4" hidden="1" x14ac:dyDescent="0.3">
      <c r="A1623">
        <v>1621</v>
      </c>
      <c r="B1623" t="s">
        <v>1916</v>
      </c>
      <c r="C1623" t="s">
        <v>96</v>
      </c>
      <c r="D1623">
        <v>39996343.726263598</v>
      </c>
    </row>
    <row r="1624" spans="1:4" hidden="1" x14ac:dyDescent="0.3">
      <c r="A1624">
        <v>1622</v>
      </c>
      <c r="B1624" t="s">
        <v>1917</v>
      </c>
      <c r="C1624" t="s">
        <v>98</v>
      </c>
      <c r="D1624">
        <v>29931091.095295701</v>
      </c>
    </row>
    <row r="1625" spans="1:4" hidden="1" x14ac:dyDescent="0.3">
      <c r="A1625">
        <v>1623</v>
      </c>
      <c r="B1625" s="1" t="s">
        <v>1918</v>
      </c>
      <c r="C1625" t="s">
        <v>100</v>
      </c>
      <c r="D1625" s="1" t="s">
        <v>1919</v>
      </c>
    </row>
    <row r="1626" spans="1:4" hidden="1" x14ac:dyDescent="0.3">
      <c r="A1626">
        <v>1624</v>
      </c>
      <c r="B1626" t="s">
        <v>1920</v>
      </c>
      <c r="C1626" t="s">
        <v>103</v>
      </c>
      <c r="D1626">
        <v>9.9464192264372107E-3</v>
      </c>
    </row>
    <row r="1627" spans="1:4" hidden="1" x14ac:dyDescent="0.3">
      <c r="A1627">
        <v>1625</v>
      </c>
      <c r="B1627" t="s">
        <v>1921</v>
      </c>
      <c r="C1627" t="s">
        <v>105</v>
      </c>
      <c r="D1627">
        <v>2.6495587877918099E-3</v>
      </c>
    </row>
    <row r="1628" spans="1:4" hidden="1" x14ac:dyDescent="0.3">
      <c r="A1628">
        <v>1626</v>
      </c>
      <c r="B1628" t="s">
        <v>1922</v>
      </c>
      <c r="C1628" t="s">
        <v>107</v>
      </c>
      <c r="D1628">
        <v>2.1944997729396998E-2</v>
      </c>
    </row>
    <row r="1629" spans="1:4" hidden="1" x14ac:dyDescent="0.3">
      <c r="A1629">
        <v>1627</v>
      </c>
      <c r="B1629" s="1" t="s">
        <v>1923</v>
      </c>
      <c r="C1629" t="s">
        <v>109</v>
      </c>
      <c r="D1629" s="1" t="s">
        <v>1924</v>
      </c>
    </row>
    <row r="1630" spans="1:4" x14ac:dyDescent="0.3">
      <c r="A1630">
        <v>1628</v>
      </c>
      <c r="B1630" t="s">
        <v>1925</v>
      </c>
      <c r="C1630" t="s">
        <v>197</v>
      </c>
      <c r="D1630">
        <v>149918674.251046</v>
      </c>
    </row>
    <row r="1631" spans="1:4" hidden="1" x14ac:dyDescent="0.3">
      <c r="A1631">
        <v>1629</v>
      </c>
      <c r="B1631" t="s">
        <v>1926</v>
      </c>
      <c r="C1631" t="s">
        <v>199</v>
      </c>
      <c r="D1631">
        <v>202.486966391115</v>
      </c>
    </row>
    <row r="1632" spans="1:4" hidden="1" x14ac:dyDescent="0.3">
      <c r="A1632">
        <v>1630</v>
      </c>
      <c r="B1632" t="s">
        <v>1927</v>
      </c>
      <c r="C1632" t="s">
        <v>201</v>
      </c>
      <c r="D1632">
        <v>101.245257012736</v>
      </c>
    </row>
    <row r="1633" spans="1:4" hidden="1" x14ac:dyDescent="0.3">
      <c r="A1633">
        <v>1631</v>
      </c>
      <c r="B1633" s="1" t="s">
        <v>1928</v>
      </c>
      <c r="C1633" t="s">
        <v>203</v>
      </c>
      <c r="D1633" s="1" t="s">
        <v>1929</v>
      </c>
    </row>
    <row r="1634" spans="1:4" hidden="1" x14ac:dyDescent="0.3">
      <c r="A1634">
        <v>1632</v>
      </c>
      <c r="B1634" t="s">
        <v>1930</v>
      </c>
      <c r="C1634" t="s">
        <v>206</v>
      </c>
      <c r="D1634">
        <v>79991057.046622396</v>
      </c>
    </row>
    <row r="1635" spans="1:4" hidden="1" x14ac:dyDescent="0.3">
      <c r="A1635">
        <v>1633</v>
      </c>
      <c r="B1635" t="s">
        <v>1931</v>
      </c>
      <c r="C1635" t="s">
        <v>208</v>
      </c>
      <c r="D1635">
        <v>39996229.257356897</v>
      </c>
    </row>
    <row r="1636" spans="1:4" hidden="1" x14ac:dyDescent="0.3">
      <c r="A1636">
        <v>1634</v>
      </c>
      <c r="B1636" t="s">
        <v>1932</v>
      </c>
      <c r="C1636" t="s">
        <v>210</v>
      </c>
      <c r="D1636">
        <v>29931008.448384799</v>
      </c>
    </row>
    <row r="1637" spans="1:4" hidden="1" x14ac:dyDescent="0.3">
      <c r="A1637">
        <v>1635</v>
      </c>
      <c r="B1637" s="1" t="s">
        <v>1933</v>
      </c>
      <c r="C1637" t="s">
        <v>212</v>
      </c>
      <c r="D1637" s="1" t="s">
        <v>1934</v>
      </c>
    </row>
    <row r="1638" spans="1:4" hidden="1" x14ac:dyDescent="0.3">
      <c r="A1638">
        <v>1636</v>
      </c>
      <c r="B1638" t="s">
        <v>1935</v>
      </c>
      <c r="C1638" t="s">
        <v>215</v>
      </c>
      <c r="D1638">
        <v>100004468.95680299</v>
      </c>
    </row>
    <row r="1639" spans="1:4" hidden="1" x14ac:dyDescent="0.3">
      <c r="A1639">
        <v>1637</v>
      </c>
      <c r="B1639" t="s">
        <v>1936</v>
      </c>
      <c r="C1639" t="s">
        <v>217</v>
      </c>
      <c r="D1639">
        <v>253.14831797778601</v>
      </c>
    </row>
    <row r="1640" spans="1:4" hidden="1" x14ac:dyDescent="0.3">
      <c r="A1640">
        <v>1638</v>
      </c>
      <c r="B1640" s="1" t="s">
        <v>1937</v>
      </c>
      <c r="C1640" t="s">
        <v>219</v>
      </c>
      <c r="D1640" s="1" t="s">
        <v>1938</v>
      </c>
    </row>
    <row r="1641" spans="1:4" hidden="1" x14ac:dyDescent="0.3">
      <c r="A1641">
        <v>1639</v>
      </c>
      <c r="B1641" t="s">
        <v>1939</v>
      </c>
      <c r="C1641" t="s">
        <v>112</v>
      </c>
      <c r="D1641">
        <v>-67.532458023824503</v>
      </c>
    </row>
    <row r="1642" spans="1:4" hidden="1" x14ac:dyDescent="0.3">
      <c r="A1642">
        <v>1640</v>
      </c>
      <c r="B1642" t="s">
        <v>1940</v>
      </c>
      <c r="C1642" t="s">
        <v>114</v>
      </c>
      <c r="D1642">
        <v>-13.223649745611899</v>
      </c>
    </row>
    <row r="1643" spans="1:4" hidden="1" x14ac:dyDescent="0.3">
      <c r="A1643">
        <v>1641</v>
      </c>
      <c r="B1643" s="1" t="s">
        <v>1941</v>
      </c>
      <c r="C1643" t="s">
        <v>116</v>
      </c>
      <c r="D1643" s="1" t="s">
        <v>1942</v>
      </c>
    </row>
    <row r="1644" spans="1:4" hidden="1" x14ac:dyDescent="0.3">
      <c r="A1644">
        <v>1642</v>
      </c>
      <c r="B1644" t="s">
        <v>1943</v>
      </c>
      <c r="C1644" t="s">
        <v>119</v>
      </c>
      <c r="D1644">
        <v>79991057.046622396</v>
      </c>
    </row>
    <row r="1645" spans="1:4" hidden="1" x14ac:dyDescent="0.3">
      <c r="A1645">
        <v>1643</v>
      </c>
      <c r="B1645" t="s">
        <v>1944</v>
      </c>
      <c r="C1645" t="s">
        <v>121</v>
      </c>
      <c r="D1645">
        <v>39996229.257356897</v>
      </c>
    </row>
    <row r="1646" spans="1:4" hidden="1" x14ac:dyDescent="0.3">
      <c r="A1646">
        <v>1644</v>
      </c>
      <c r="B1646" s="1" t="s">
        <v>1945</v>
      </c>
      <c r="C1646" t="s">
        <v>123</v>
      </c>
      <c r="D1646" s="1" t="s">
        <v>1946</v>
      </c>
    </row>
    <row r="1647" spans="1:4" hidden="1" x14ac:dyDescent="0.3">
      <c r="A1647">
        <v>1645</v>
      </c>
      <c r="B1647" t="s">
        <v>1947</v>
      </c>
      <c r="C1647" t="s">
        <v>126</v>
      </c>
      <c r="D1647">
        <v>0.79991259533588799</v>
      </c>
    </row>
    <row r="1648" spans="1:4" hidden="1" x14ac:dyDescent="0.3">
      <c r="A1648">
        <v>1646</v>
      </c>
      <c r="B1648" t="s">
        <v>1948</v>
      </c>
      <c r="C1648" t="s">
        <v>128</v>
      </c>
      <c r="D1648">
        <v>0.39996330502613903</v>
      </c>
    </row>
    <row r="1649" spans="1:4" hidden="1" x14ac:dyDescent="0.3">
      <c r="A1649">
        <v>1647</v>
      </c>
      <c r="B1649" s="1" t="s">
        <v>1949</v>
      </c>
      <c r="C1649" t="s">
        <v>130</v>
      </c>
      <c r="D1649" s="1" t="s">
        <v>1950</v>
      </c>
    </row>
    <row r="1650" spans="1:4" hidden="1" x14ac:dyDescent="0.3">
      <c r="A1650">
        <v>1648</v>
      </c>
      <c r="B1650" s="1" t="s">
        <v>3</v>
      </c>
      <c r="C1650" t="s">
        <v>4</v>
      </c>
      <c r="D1650" t="s">
        <v>5</v>
      </c>
    </row>
    <row r="1651" spans="1:4" hidden="1" x14ac:dyDescent="0.3">
      <c r="A1651">
        <v>1649</v>
      </c>
      <c r="B1651" t="s">
        <v>6</v>
      </c>
      <c r="C1651" t="s">
        <v>7</v>
      </c>
      <c r="D1651">
        <v>1950.52</v>
      </c>
    </row>
    <row r="1652" spans="1:4" hidden="1" x14ac:dyDescent="0.3">
      <c r="A1652">
        <v>1650</v>
      </c>
      <c r="B1652" s="1" t="s">
        <v>132</v>
      </c>
      <c r="C1652" t="s">
        <v>9</v>
      </c>
      <c r="D1652" s="1" t="s">
        <v>133</v>
      </c>
    </row>
    <row r="1653" spans="1:4" hidden="1" x14ac:dyDescent="0.3">
      <c r="A1653">
        <v>1651</v>
      </c>
      <c r="B1653" t="s">
        <v>13</v>
      </c>
      <c r="C1653" t="s">
        <v>14</v>
      </c>
      <c r="D1653">
        <v>90.82421875</v>
      </c>
    </row>
    <row r="1654" spans="1:4" hidden="1" x14ac:dyDescent="0.3">
      <c r="A1654">
        <v>1652</v>
      </c>
      <c r="B1654" t="s">
        <v>15</v>
      </c>
      <c r="C1654" t="s">
        <v>16</v>
      </c>
      <c r="D1654">
        <v>4.2527792330373497</v>
      </c>
    </row>
    <row r="1655" spans="1:4" hidden="1" x14ac:dyDescent="0.3">
      <c r="A1655">
        <v>1653</v>
      </c>
      <c r="B1655" s="1" t="s">
        <v>134</v>
      </c>
      <c r="C1655" t="s">
        <v>135</v>
      </c>
      <c r="D1655" s="1" t="s">
        <v>136</v>
      </c>
    </row>
    <row r="1656" spans="1:4" hidden="1" x14ac:dyDescent="0.3">
      <c r="A1656">
        <v>1654</v>
      </c>
      <c r="B1656" t="s">
        <v>21</v>
      </c>
      <c r="C1656" t="s">
        <v>22</v>
      </c>
      <c r="D1656">
        <v>62.9</v>
      </c>
    </row>
    <row r="1657" spans="1:4" hidden="1" x14ac:dyDescent="0.3">
      <c r="A1657">
        <v>1655</v>
      </c>
      <c r="B1657" t="s">
        <v>1951</v>
      </c>
      <c r="C1657" t="s">
        <v>24</v>
      </c>
      <c r="D1657">
        <v>3.9858861860599499</v>
      </c>
    </row>
    <row r="1658" spans="1:4" hidden="1" x14ac:dyDescent="0.3">
      <c r="A1658">
        <v>1656</v>
      </c>
      <c r="B1658" s="1" t="s">
        <v>1952</v>
      </c>
      <c r="C1658" t="s">
        <v>139</v>
      </c>
      <c r="D1658" s="1" t="s">
        <v>1953</v>
      </c>
    </row>
    <row r="1659" spans="1:4" hidden="1" x14ac:dyDescent="0.3">
      <c r="A1659">
        <v>1657</v>
      </c>
      <c r="B1659" t="s">
        <v>1954</v>
      </c>
      <c r="C1659" t="s">
        <v>35</v>
      </c>
      <c r="D1659">
        <v>-1.19052377071535</v>
      </c>
    </row>
    <row r="1660" spans="1:4" hidden="1" x14ac:dyDescent="0.3">
      <c r="A1660">
        <v>1658</v>
      </c>
      <c r="B1660" t="s">
        <v>1955</v>
      </c>
      <c r="C1660" t="s">
        <v>143</v>
      </c>
      <c r="D1660">
        <v>0.55108401525107298</v>
      </c>
    </row>
    <row r="1661" spans="1:4" hidden="1" x14ac:dyDescent="0.3">
      <c r="A1661">
        <v>1659</v>
      </c>
      <c r="B1661" s="1" t="s">
        <v>1956</v>
      </c>
      <c r="C1661" t="s">
        <v>145</v>
      </c>
      <c r="D1661" s="1" t="s">
        <v>1957</v>
      </c>
    </row>
    <row r="1662" spans="1:4" hidden="1" x14ac:dyDescent="0.3">
      <c r="A1662">
        <v>1660</v>
      </c>
      <c r="B1662" t="s">
        <v>1958</v>
      </c>
      <c r="C1662" t="s">
        <v>30</v>
      </c>
      <c r="D1662">
        <v>1.0865979276173201</v>
      </c>
    </row>
    <row r="1663" spans="1:4" hidden="1" x14ac:dyDescent="0.3">
      <c r="A1663">
        <v>1661</v>
      </c>
      <c r="B1663" t="s">
        <v>1959</v>
      </c>
      <c r="C1663" t="s">
        <v>32</v>
      </c>
      <c r="D1663">
        <v>0.35913001623198698</v>
      </c>
    </row>
    <row r="1664" spans="1:4" hidden="1" x14ac:dyDescent="0.3">
      <c r="A1664">
        <v>1662</v>
      </c>
      <c r="B1664" s="1" t="s">
        <v>1960</v>
      </c>
      <c r="C1664" t="s">
        <v>149</v>
      </c>
      <c r="D1664" s="1" t="s">
        <v>1961</v>
      </c>
    </row>
    <row r="1665" spans="1:4" hidden="1" x14ac:dyDescent="0.3">
      <c r="A1665">
        <v>1663</v>
      </c>
      <c r="B1665" t="s">
        <v>1962</v>
      </c>
      <c r="C1665" t="s">
        <v>40</v>
      </c>
      <c r="D1665">
        <v>1.1039258430980301</v>
      </c>
    </row>
    <row r="1666" spans="1:4" hidden="1" x14ac:dyDescent="0.3">
      <c r="A1666">
        <v>1664</v>
      </c>
      <c r="B1666" t="s">
        <v>1963</v>
      </c>
      <c r="C1666" t="s">
        <v>42</v>
      </c>
      <c r="D1666">
        <v>0.45547532945999503</v>
      </c>
    </row>
    <row r="1667" spans="1:4" hidden="1" x14ac:dyDescent="0.3">
      <c r="A1667">
        <v>1665</v>
      </c>
      <c r="B1667" s="1" t="s">
        <v>1964</v>
      </c>
      <c r="C1667" t="s">
        <v>153</v>
      </c>
      <c r="D1667" s="1" t="s">
        <v>1965</v>
      </c>
    </row>
    <row r="1668" spans="1:4" hidden="1" x14ac:dyDescent="0.3">
      <c r="A1668">
        <v>1666</v>
      </c>
      <c r="B1668" t="s">
        <v>154</v>
      </c>
      <c r="C1668" t="s">
        <v>155</v>
      </c>
      <c r="D1668">
        <v>1</v>
      </c>
    </row>
    <row r="1669" spans="1:4" hidden="1" x14ac:dyDescent="0.3">
      <c r="A1669">
        <v>1667</v>
      </c>
      <c r="B1669" t="s">
        <v>156</v>
      </c>
      <c r="C1669" t="s">
        <v>157</v>
      </c>
      <c r="D1669">
        <v>1</v>
      </c>
    </row>
    <row r="1670" spans="1:4" hidden="1" x14ac:dyDescent="0.3">
      <c r="A1670">
        <v>1668</v>
      </c>
      <c r="B1670" s="1" t="s">
        <v>1966</v>
      </c>
      <c r="C1670" t="s">
        <v>159</v>
      </c>
      <c r="D1670" s="1" t="s">
        <v>1967</v>
      </c>
    </row>
    <row r="1671" spans="1:4" hidden="1" x14ac:dyDescent="0.3">
      <c r="A1671">
        <v>1669</v>
      </c>
      <c r="B1671" t="s">
        <v>1968</v>
      </c>
      <c r="C1671" t="s">
        <v>162</v>
      </c>
      <c r="D1671">
        <v>0.99974289631007596</v>
      </c>
    </row>
    <row r="1672" spans="1:4" hidden="1" x14ac:dyDescent="0.3">
      <c r="A1672">
        <v>1670</v>
      </c>
      <c r="B1672" t="s">
        <v>1969</v>
      </c>
      <c r="C1672" t="s">
        <v>164</v>
      </c>
      <c r="D1672">
        <v>1.0004291862344299</v>
      </c>
    </row>
    <row r="1673" spans="1:4" hidden="1" x14ac:dyDescent="0.3">
      <c r="A1673">
        <v>1671</v>
      </c>
      <c r="B1673" s="1" t="s">
        <v>1970</v>
      </c>
      <c r="C1673" t="s">
        <v>166</v>
      </c>
      <c r="D1673" s="1" t="s">
        <v>1971</v>
      </c>
    </row>
    <row r="1674" spans="1:4" hidden="1" x14ac:dyDescent="0.3">
      <c r="A1674">
        <v>1672</v>
      </c>
      <c r="B1674" s="1" t="s">
        <v>1972</v>
      </c>
      <c r="C1674" t="s">
        <v>55</v>
      </c>
      <c r="D1674" s="1" t="s">
        <v>1973</v>
      </c>
    </row>
    <row r="1675" spans="1:4" hidden="1" x14ac:dyDescent="0.3">
      <c r="A1675">
        <v>1673</v>
      </c>
      <c r="B1675" s="1" t="s">
        <v>1974</v>
      </c>
      <c r="C1675" t="s">
        <v>52</v>
      </c>
      <c r="D1675" s="1" t="s">
        <v>1975</v>
      </c>
    </row>
    <row r="1676" spans="1:4" hidden="1" x14ac:dyDescent="0.3">
      <c r="A1676">
        <v>1674</v>
      </c>
      <c r="B1676" s="1" t="s">
        <v>1976</v>
      </c>
      <c r="C1676" t="s">
        <v>58</v>
      </c>
      <c r="D1676" s="1" t="s">
        <v>1977</v>
      </c>
    </row>
    <row r="1677" spans="1:4" hidden="1" x14ac:dyDescent="0.3">
      <c r="A1677">
        <v>1675</v>
      </c>
      <c r="B1677" t="s">
        <v>1978</v>
      </c>
      <c r="C1677" t="s">
        <v>61</v>
      </c>
      <c r="D1677">
        <v>149917495.28657901</v>
      </c>
    </row>
    <row r="1678" spans="1:4" hidden="1" x14ac:dyDescent="0.3">
      <c r="A1678">
        <v>1676</v>
      </c>
      <c r="B1678" t="s">
        <v>1979</v>
      </c>
      <c r="C1678" t="s">
        <v>63</v>
      </c>
      <c r="D1678">
        <v>79991057.046622396</v>
      </c>
    </row>
    <row r="1679" spans="1:4" hidden="1" x14ac:dyDescent="0.3">
      <c r="A1679">
        <v>1677</v>
      </c>
      <c r="B1679" t="s">
        <v>1980</v>
      </c>
      <c r="C1679" t="s">
        <v>65</v>
      </c>
      <c r="D1679">
        <v>39996229.257356897</v>
      </c>
    </row>
    <row r="1680" spans="1:4" hidden="1" x14ac:dyDescent="0.3">
      <c r="A1680">
        <v>1678</v>
      </c>
      <c r="B1680" s="1" t="s">
        <v>1981</v>
      </c>
      <c r="C1680" t="s">
        <v>67</v>
      </c>
      <c r="D1680" s="1" t="s">
        <v>1982</v>
      </c>
    </row>
    <row r="1681" spans="1:4" hidden="1" x14ac:dyDescent="0.3">
      <c r="A1681">
        <v>1679</v>
      </c>
      <c r="B1681" s="1" t="s">
        <v>1983</v>
      </c>
      <c r="C1681" t="s">
        <v>70</v>
      </c>
      <c r="D1681" s="1" t="s">
        <v>1984</v>
      </c>
    </row>
    <row r="1682" spans="1:4" hidden="1" x14ac:dyDescent="0.3">
      <c r="A1682">
        <v>1680</v>
      </c>
      <c r="B1682" t="s">
        <v>1985</v>
      </c>
      <c r="C1682" t="s">
        <v>73</v>
      </c>
      <c r="D1682">
        <v>0.99995278117850706</v>
      </c>
    </row>
    <row r="1683" spans="1:4" hidden="1" x14ac:dyDescent="0.3">
      <c r="A1683">
        <v>1681</v>
      </c>
      <c r="B1683" t="s">
        <v>74</v>
      </c>
      <c r="C1683" t="s">
        <v>75</v>
      </c>
      <c r="D1683">
        <v>2.7397260273972599E-3</v>
      </c>
    </row>
    <row r="1684" spans="1:4" hidden="1" x14ac:dyDescent="0.3">
      <c r="A1684">
        <v>1682</v>
      </c>
      <c r="B1684" t="s">
        <v>76</v>
      </c>
      <c r="C1684" t="s">
        <v>77</v>
      </c>
      <c r="D1684">
        <v>0</v>
      </c>
    </row>
    <row r="1685" spans="1:4" hidden="1" x14ac:dyDescent="0.3">
      <c r="A1685">
        <v>1683</v>
      </c>
      <c r="B1685" t="s">
        <v>78</v>
      </c>
      <c r="C1685" t="s">
        <v>79</v>
      </c>
      <c r="D1685">
        <v>0</v>
      </c>
    </row>
    <row r="1686" spans="1:4" hidden="1" x14ac:dyDescent="0.3">
      <c r="A1686">
        <v>1684</v>
      </c>
      <c r="B1686" s="1" t="s">
        <v>1986</v>
      </c>
      <c r="C1686" t="s">
        <v>81</v>
      </c>
      <c r="D1686" s="1" t="s">
        <v>1987</v>
      </c>
    </row>
    <row r="1687" spans="1:4" hidden="1" x14ac:dyDescent="0.3">
      <c r="A1687">
        <v>1685</v>
      </c>
      <c r="B1687" t="s">
        <v>1988</v>
      </c>
      <c r="C1687" t="s">
        <v>84</v>
      </c>
      <c r="D1687">
        <v>0.99992726656450603</v>
      </c>
    </row>
    <row r="1688" spans="1:4" hidden="1" x14ac:dyDescent="0.3">
      <c r="A1688">
        <v>1686</v>
      </c>
      <c r="B1688" s="1" t="s">
        <v>1989</v>
      </c>
      <c r="C1688" t="s">
        <v>86</v>
      </c>
      <c r="D1688" s="1" t="s">
        <v>1990</v>
      </c>
    </row>
    <row r="1689" spans="1:4" hidden="1" x14ac:dyDescent="0.3">
      <c r="A1689">
        <v>1687</v>
      </c>
      <c r="B1689" t="s">
        <v>1991</v>
      </c>
      <c r="C1689" t="s">
        <v>89</v>
      </c>
      <c r="D1689">
        <v>100007273.872603</v>
      </c>
    </row>
    <row r="1690" spans="1:4" hidden="1" x14ac:dyDescent="0.3">
      <c r="A1690">
        <v>1688</v>
      </c>
      <c r="B1690" s="1" t="s">
        <v>1992</v>
      </c>
      <c r="C1690" t="s">
        <v>91</v>
      </c>
      <c r="D1690" s="1" t="s">
        <v>1938</v>
      </c>
    </row>
    <row r="1691" spans="1:4" hidden="1" x14ac:dyDescent="0.3">
      <c r="A1691">
        <v>1689</v>
      </c>
      <c r="B1691" t="s">
        <v>1993</v>
      </c>
      <c r="C1691" t="s">
        <v>94</v>
      </c>
      <c r="D1691">
        <v>79991057.046622396</v>
      </c>
    </row>
    <row r="1692" spans="1:4" hidden="1" x14ac:dyDescent="0.3">
      <c r="A1692">
        <v>1690</v>
      </c>
      <c r="B1692" t="s">
        <v>1994</v>
      </c>
      <c r="C1692" t="s">
        <v>96</v>
      </c>
      <c r="D1692">
        <v>39996229.257356897</v>
      </c>
    </row>
    <row r="1693" spans="1:4" hidden="1" x14ac:dyDescent="0.3">
      <c r="A1693">
        <v>1691</v>
      </c>
      <c r="B1693" t="s">
        <v>1995</v>
      </c>
      <c r="C1693" t="s">
        <v>98</v>
      </c>
      <c r="D1693">
        <v>29930208.982599702</v>
      </c>
    </row>
    <row r="1694" spans="1:4" hidden="1" x14ac:dyDescent="0.3">
      <c r="A1694">
        <v>1692</v>
      </c>
      <c r="B1694" s="1" t="s">
        <v>1996</v>
      </c>
      <c r="C1694" t="s">
        <v>100</v>
      </c>
      <c r="D1694" s="1" t="s">
        <v>1997</v>
      </c>
    </row>
    <row r="1695" spans="1:4" hidden="1" x14ac:dyDescent="0.3">
      <c r="A1695">
        <v>1693</v>
      </c>
      <c r="B1695" t="s">
        <v>1998</v>
      </c>
      <c r="C1695" t="s">
        <v>103</v>
      </c>
      <c r="D1695">
        <v>9.9706479589277194E-3</v>
      </c>
    </row>
    <row r="1696" spans="1:4" hidden="1" x14ac:dyDescent="0.3">
      <c r="A1696">
        <v>1694</v>
      </c>
      <c r="B1696" t="s">
        <v>1999</v>
      </c>
      <c r="C1696" t="s">
        <v>105</v>
      </c>
      <c r="D1696">
        <v>2.6582181373005298E-3</v>
      </c>
    </row>
    <row r="1697" spans="1:4" hidden="1" x14ac:dyDescent="0.3">
      <c r="A1697">
        <v>1695</v>
      </c>
      <c r="B1697" t="s">
        <v>2000</v>
      </c>
      <c r="C1697" t="s">
        <v>107</v>
      </c>
      <c r="D1697">
        <v>2.1958571662831501E-2</v>
      </c>
    </row>
    <row r="1698" spans="1:4" hidden="1" x14ac:dyDescent="0.3">
      <c r="A1698">
        <v>1696</v>
      </c>
      <c r="B1698" s="1" t="s">
        <v>2001</v>
      </c>
      <c r="C1698" t="s">
        <v>109</v>
      </c>
      <c r="D1698" s="1" t="s">
        <v>2002</v>
      </c>
    </row>
    <row r="1699" spans="1:4" x14ac:dyDescent="0.3">
      <c r="A1699">
        <v>1697</v>
      </c>
      <c r="B1699" t="s">
        <v>2003</v>
      </c>
      <c r="C1699" t="s">
        <v>197</v>
      </c>
      <c r="D1699">
        <v>149916612.196576</v>
      </c>
    </row>
    <row r="1700" spans="1:4" hidden="1" x14ac:dyDescent="0.3">
      <c r="A1700">
        <v>1698</v>
      </c>
      <c r="B1700" t="s">
        <v>2004</v>
      </c>
      <c r="C1700" t="s">
        <v>199</v>
      </c>
      <c r="D1700">
        <v>2041.0199499170501</v>
      </c>
    </row>
    <row r="1701" spans="1:4" hidden="1" x14ac:dyDescent="0.3">
      <c r="A1701">
        <v>1699</v>
      </c>
      <c r="B1701" t="s">
        <v>2005</v>
      </c>
      <c r="C1701" t="s">
        <v>201</v>
      </c>
      <c r="D1701">
        <v>1020.5331429609701</v>
      </c>
    </row>
    <row r="1702" spans="1:4" hidden="1" x14ac:dyDescent="0.3">
      <c r="A1702">
        <v>1700</v>
      </c>
      <c r="B1702" s="1" t="s">
        <v>2006</v>
      </c>
      <c r="C1702" t="s">
        <v>203</v>
      </c>
      <c r="D1702" s="1" t="s">
        <v>2007</v>
      </c>
    </row>
    <row r="1703" spans="1:4" hidden="1" x14ac:dyDescent="0.3">
      <c r="A1703">
        <v>1701</v>
      </c>
      <c r="B1703" t="s">
        <v>2008</v>
      </c>
      <c r="C1703" t="s">
        <v>206</v>
      </c>
      <c r="D1703">
        <v>79988335.289112195</v>
      </c>
    </row>
    <row r="1704" spans="1:4" hidden="1" x14ac:dyDescent="0.3">
      <c r="A1704">
        <v>1702</v>
      </c>
      <c r="B1704" t="s">
        <v>2009</v>
      </c>
      <c r="C1704" t="s">
        <v>208</v>
      </c>
      <c r="D1704">
        <v>39995075.607238203</v>
      </c>
    </row>
    <row r="1705" spans="1:4" hidden="1" x14ac:dyDescent="0.3">
      <c r="A1705">
        <v>1703</v>
      </c>
      <c r="B1705" t="s">
        <v>2010</v>
      </c>
      <c r="C1705" t="s">
        <v>210</v>
      </c>
      <c r="D1705">
        <v>29929376.0551093</v>
      </c>
    </row>
    <row r="1706" spans="1:4" hidden="1" x14ac:dyDescent="0.3">
      <c r="A1706">
        <v>1704</v>
      </c>
      <c r="B1706" s="1" t="s">
        <v>2011</v>
      </c>
      <c r="C1706" t="s">
        <v>212</v>
      </c>
      <c r="D1706" s="1" t="s">
        <v>2012</v>
      </c>
    </row>
    <row r="1707" spans="1:4" hidden="1" x14ac:dyDescent="0.3">
      <c r="A1707">
        <v>1705</v>
      </c>
      <c r="B1707" t="s">
        <v>2013</v>
      </c>
      <c r="C1707" t="s">
        <v>215</v>
      </c>
      <c r="D1707">
        <v>100004722.105121</v>
      </c>
    </row>
    <row r="1708" spans="1:4" hidden="1" x14ac:dyDescent="0.3">
      <c r="A1708">
        <v>1706</v>
      </c>
      <c r="B1708" t="s">
        <v>2014</v>
      </c>
      <c r="C1708" t="s">
        <v>217</v>
      </c>
      <c r="D1708">
        <v>2551.7674816548802</v>
      </c>
    </row>
    <row r="1709" spans="1:4" hidden="1" x14ac:dyDescent="0.3">
      <c r="A1709">
        <v>1707</v>
      </c>
      <c r="B1709" s="1" t="s">
        <v>2015</v>
      </c>
      <c r="C1709" t="s">
        <v>219</v>
      </c>
      <c r="D1709" s="1" t="s">
        <v>2016</v>
      </c>
    </row>
    <row r="1710" spans="1:4" hidden="1" x14ac:dyDescent="0.3">
      <c r="A1710">
        <v>1708</v>
      </c>
      <c r="B1710" t="s">
        <v>2017</v>
      </c>
      <c r="C1710" t="s">
        <v>112</v>
      </c>
      <c r="D1710">
        <v>-680.73756023774797</v>
      </c>
    </row>
    <row r="1711" spans="1:4" hidden="1" x14ac:dyDescent="0.3">
      <c r="A1711">
        <v>1709</v>
      </c>
      <c r="B1711" t="s">
        <v>2018</v>
      </c>
      <c r="C1711" t="s">
        <v>114</v>
      </c>
      <c r="D1711">
        <v>-133.116975737936</v>
      </c>
    </row>
    <row r="1712" spans="1:4" hidden="1" x14ac:dyDescent="0.3">
      <c r="A1712">
        <v>1710</v>
      </c>
      <c r="B1712" s="1" t="s">
        <v>2019</v>
      </c>
      <c r="C1712" t="s">
        <v>116</v>
      </c>
      <c r="D1712" s="1" t="s">
        <v>2020</v>
      </c>
    </row>
    <row r="1713" spans="1:4" hidden="1" x14ac:dyDescent="0.3">
      <c r="A1713">
        <v>1711</v>
      </c>
      <c r="B1713" t="s">
        <v>2021</v>
      </c>
      <c r="C1713" t="s">
        <v>119</v>
      </c>
      <c r="D1713">
        <v>79988335.289112195</v>
      </c>
    </row>
    <row r="1714" spans="1:4" hidden="1" x14ac:dyDescent="0.3">
      <c r="A1714">
        <v>1712</v>
      </c>
      <c r="B1714" t="s">
        <v>2022</v>
      </c>
      <c r="C1714" t="s">
        <v>121</v>
      </c>
      <c r="D1714">
        <v>39995075.607238203</v>
      </c>
    </row>
    <row r="1715" spans="1:4" hidden="1" x14ac:dyDescent="0.3">
      <c r="A1715">
        <v>1713</v>
      </c>
      <c r="B1715" s="1" t="s">
        <v>2023</v>
      </c>
      <c r="C1715" t="s">
        <v>123</v>
      </c>
      <c r="D1715" s="1" t="s">
        <v>2024</v>
      </c>
    </row>
    <row r="1716" spans="1:4" hidden="1" x14ac:dyDescent="0.3">
      <c r="A1716">
        <v>1714</v>
      </c>
      <c r="B1716" t="s">
        <v>2025</v>
      </c>
      <c r="C1716" t="s">
        <v>126</v>
      </c>
      <c r="D1716">
        <v>0.79990376309062206</v>
      </c>
    </row>
    <row r="1717" spans="1:4" hidden="1" x14ac:dyDescent="0.3">
      <c r="A1717">
        <v>1715</v>
      </c>
      <c r="B1717" t="s">
        <v>2026</v>
      </c>
      <c r="C1717" t="s">
        <v>128</v>
      </c>
      <c r="D1717">
        <v>0.39996096140381199</v>
      </c>
    </row>
    <row r="1718" spans="1:4" hidden="1" x14ac:dyDescent="0.3">
      <c r="A1718">
        <v>1716</v>
      </c>
      <c r="B1718" s="1" t="s">
        <v>2027</v>
      </c>
      <c r="C1718" t="s">
        <v>130</v>
      </c>
      <c r="D1718" s="1" t="s">
        <v>2028</v>
      </c>
    </row>
    <row r="1719" spans="1:4" hidden="1" x14ac:dyDescent="0.3">
      <c r="A1719">
        <v>1717</v>
      </c>
      <c r="B1719" s="1" t="s">
        <v>3</v>
      </c>
      <c r="C1719" t="s">
        <v>4</v>
      </c>
      <c r="D1719" t="s">
        <v>5</v>
      </c>
    </row>
    <row r="1720" spans="1:4" hidden="1" x14ac:dyDescent="0.3">
      <c r="A1720">
        <v>1718</v>
      </c>
      <c r="B1720" t="s">
        <v>6</v>
      </c>
      <c r="C1720" t="s">
        <v>7</v>
      </c>
      <c r="D1720">
        <v>1950.52</v>
      </c>
    </row>
    <row r="1721" spans="1:4" hidden="1" x14ac:dyDescent="0.3">
      <c r="A1721">
        <v>1719</v>
      </c>
      <c r="B1721" s="1" t="s">
        <v>132</v>
      </c>
      <c r="C1721" t="s">
        <v>9</v>
      </c>
      <c r="D1721" s="1" t="s">
        <v>133</v>
      </c>
    </row>
    <row r="1722" spans="1:4" hidden="1" x14ac:dyDescent="0.3">
      <c r="A1722">
        <v>1720</v>
      </c>
      <c r="B1722" t="s">
        <v>13</v>
      </c>
      <c r="C1722" t="s">
        <v>14</v>
      </c>
      <c r="D1722">
        <v>90.82421875</v>
      </c>
    </row>
    <row r="1723" spans="1:4" hidden="1" x14ac:dyDescent="0.3">
      <c r="A1723">
        <v>1721</v>
      </c>
      <c r="B1723" t="s">
        <v>15</v>
      </c>
      <c r="C1723" t="s">
        <v>16</v>
      </c>
      <c r="D1723">
        <v>4.2527792330373497</v>
      </c>
    </row>
    <row r="1724" spans="1:4" hidden="1" x14ac:dyDescent="0.3">
      <c r="A1724">
        <v>1722</v>
      </c>
      <c r="B1724" s="1" t="s">
        <v>134</v>
      </c>
      <c r="C1724" t="s">
        <v>135</v>
      </c>
      <c r="D1724" s="1" t="s">
        <v>136</v>
      </c>
    </row>
    <row r="1725" spans="1:4" hidden="1" x14ac:dyDescent="0.3">
      <c r="A1725">
        <v>1723</v>
      </c>
      <c r="B1725" t="s">
        <v>21</v>
      </c>
      <c r="C1725" t="s">
        <v>22</v>
      </c>
      <c r="D1725">
        <v>62.9</v>
      </c>
    </row>
    <row r="1726" spans="1:4" hidden="1" x14ac:dyDescent="0.3">
      <c r="A1726">
        <v>1724</v>
      </c>
      <c r="B1726" t="s">
        <v>2029</v>
      </c>
      <c r="C1726" t="s">
        <v>24</v>
      </c>
      <c r="D1726">
        <v>3.9836767999674301</v>
      </c>
    </row>
    <row r="1727" spans="1:4" hidden="1" x14ac:dyDescent="0.3">
      <c r="A1727">
        <v>1725</v>
      </c>
      <c r="B1727" s="1" t="s">
        <v>2030</v>
      </c>
      <c r="C1727" t="s">
        <v>139</v>
      </c>
      <c r="D1727" s="1" t="s">
        <v>2031</v>
      </c>
    </row>
    <row r="1728" spans="1:4" hidden="1" x14ac:dyDescent="0.3">
      <c r="A1728">
        <v>1726</v>
      </c>
      <c r="B1728" t="s">
        <v>2032</v>
      </c>
      <c r="C1728" t="s">
        <v>35</v>
      </c>
      <c r="D1728">
        <v>-1.2051012629997799</v>
      </c>
    </row>
    <row r="1729" spans="1:4" hidden="1" x14ac:dyDescent="0.3">
      <c r="A1729">
        <v>1727</v>
      </c>
      <c r="B1729" t="s">
        <v>2033</v>
      </c>
      <c r="C1729" t="s">
        <v>143</v>
      </c>
      <c r="D1729">
        <v>0.55379368839978804</v>
      </c>
    </row>
    <row r="1730" spans="1:4" hidden="1" x14ac:dyDescent="0.3">
      <c r="A1730">
        <v>1728</v>
      </c>
      <c r="B1730" s="1" t="s">
        <v>2034</v>
      </c>
      <c r="C1730" t="s">
        <v>145</v>
      </c>
      <c r="D1730" s="1" t="s">
        <v>2035</v>
      </c>
    </row>
    <row r="1731" spans="1:4" hidden="1" x14ac:dyDescent="0.3">
      <c r="A1731">
        <v>1729</v>
      </c>
      <c r="B1731" t="s">
        <v>2036</v>
      </c>
      <c r="C1731" t="s">
        <v>30</v>
      </c>
      <c r="D1731">
        <v>1.0999028890937299</v>
      </c>
    </row>
    <row r="1732" spans="1:4" hidden="1" x14ac:dyDescent="0.3">
      <c r="A1732">
        <v>1730</v>
      </c>
      <c r="B1732" t="s">
        <v>2037</v>
      </c>
      <c r="C1732" t="s">
        <v>32</v>
      </c>
      <c r="D1732">
        <v>0.35524070409368402</v>
      </c>
    </row>
    <row r="1733" spans="1:4" hidden="1" x14ac:dyDescent="0.3">
      <c r="A1733">
        <v>1731</v>
      </c>
      <c r="B1733" s="1" t="s">
        <v>2038</v>
      </c>
      <c r="C1733" t="s">
        <v>149</v>
      </c>
      <c r="D1733" s="1" t="s">
        <v>2039</v>
      </c>
    </row>
    <row r="1734" spans="1:4" hidden="1" x14ac:dyDescent="0.3">
      <c r="A1734">
        <v>1732</v>
      </c>
      <c r="B1734" t="s">
        <v>2040</v>
      </c>
      <c r="C1734" t="s">
        <v>40</v>
      </c>
      <c r="D1734">
        <v>1.10519837390604</v>
      </c>
    </row>
    <row r="1735" spans="1:4" hidden="1" x14ac:dyDescent="0.3">
      <c r="A1735">
        <v>1733</v>
      </c>
      <c r="B1735" t="s">
        <v>2041</v>
      </c>
      <c r="C1735" t="s">
        <v>42</v>
      </c>
      <c r="D1735">
        <v>0.45048590664026</v>
      </c>
    </row>
    <row r="1736" spans="1:4" hidden="1" x14ac:dyDescent="0.3">
      <c r="A1736">
        <v>1734</v>
      </c>
      <c r="B1736" s="1" t="s">
        <v>2042</v>
      </c>
      <c r="C1736" t="s">
        <v>153</v>
      </c>
      <c r="D1736" s="1" t="s">
        <v>2043</v>
      </c>
    </row>
    <row r="1737" spans="1:4" hidden="1" x14ac:dyDescent="0.3">
      <c r="A1737">
        <v>1735</v>
      </c>
      <c r="B1737" t="s">
        <v>154</v>
      </c>
      <c r="C1737" t="s">
        <v>155</v>
      </c>
      <c r="D1737">
        <v>1</v>
      </c>
    </row>
    <row r="1738" spans="1:4" hidden="1" x14ac:dyDescent="0.3">
      <c r="A1738">
        <v>1736</v>
      </c>
      <c r="B1738" t="s">
        <v>156</v>
      </c>
      <c r="C1738" t="s">
        <v>157</v>
      </c>
      <c r="D1738">
        <v>1</v>
      </c>
    </row>
    <row r="1739" spans="1:4" hidden="1" x14ac:dyDescent="0.3">
      <c r="A1739">
        <v>1737</v>
      </c>
      <c r="B1739" s="1" t="s">
        <v>2044</v>
      </c>
      <c r="C1739" t="s">
        <v>159</v>
      </c>
      <c r="D1739" s="1" t="s">
        <v>2045</v>
      </c>
    </row>
    <row r="1740" spans="1:4" hidden="1" x14ac:dyDescent="0.3">
      <c r="A1740">
        <v>1738</v>
      </c>
      <c r="B1740" t="s">
        <v>2046</v>
      </c>
      <c r="C1740" t="s">
        <v>162</v>
      </c>
      <c r="D1740">
        <v>1.0017469544667199</v>
      </c>
    </row>
    <row r="1741" spans="1:4" hidden="1" x14ac:dyDescent="0.3">
      <c r="A1741">
        <v>1739</v>
      </c>
      <c r="B1741" t="s">
        <v>2047</v>
      </c>
      <c r="C1741" t="s">
        <v>164</v>
      </c>
      <c r="D1741">
        <v>0.99713838110272501</v>
      </c>
    </row>
    <row r="1742" spans="1:4" hidden="1" x14ac:dyDescent="0.3">
      <c r="A1742">
        <v>1740</v>
      </c>
      <c r="B1742" s="1" t="s">
        <v>2048</v>
      </c>
      <c r="C1742" t="s">
        <v>166</v>
      </c>
      <c r="D1742" s="1" t="s">
        <v>2049</v>
      </c>
    </row>
    <row r="1743" spans="1:4" hidden="1" x14ac:dyDescent="0.3">
      <c r="A1743">
        <v>1741</v>
      </c>
      <c r="B1743" s="1" t="s">
        <v>2050</v>
      </c>
      <c r="C1743" t="s">
        <v>55</v>
      </c>
      <c r="D1743" s="1" t="s">
        <v>2051</v>
      </c>
    </row>
    <row r="1744" spans="1:4" hidden="1" x14ac:dyDescent="0.3">
      <c r="A1744">
        <v>1742</v>
      </c>
      <c r="B1744" s="1" t="s">
        <v>2052</v>
      </c>
      <c r="C1744" t="s">
        <v>52</v>
      </c>
      <c r="D1744" s="1" t="s">
        <v>2053</v>
      </c>
    </row>
    <row r="1745" spans="1:4" hidden="1" x14ac:dyDescent="0.3">
      <c r="A1745">
        <v>1743</v>
      </c>
      <c r="B1745" s="1" t="s">
        <v>2054</v>
      </c>
      <c r="C1745" t="s">
        <v>58</v>
      </c>
      <c r="D1745" s="1" t="s">
        <v>2055</v>
      </c>
    </row>
    <row r="1746" spans="1:4" hidden="1" x14ac:dyDescent="0.3">
      <c r="A1746">
        <v>1744</v>
      </c>
      <c r="B1746" t="s">
        <v>2056</v>
      </c>
      <c r="C1746" t="s">
        <v>61</v>
      </c>
      <c r="D1746">
        <v>149911798.31916401</v>
      </c>
    </row>
    <row r="1747" spans="1:4" hidden="1" x14ac:dyDescent="0.3">
      <c r="A1747">
        <v>1745</v>
      </c>
      <c r="B1747" t="s">
        <v>2057</v>
      </c>
      <c r="C1747" t="s">
        <v>63</v>
      </c>
      <c r="D1747">
        <v>79988335.289112195</v>
      </c>
    </row>
    <row r="1748" spans="1:4" hidden="1" x14ac:dyDescent="0.3">
      <c r="A1748">
        <v>1746</v>
      </c>
      <c r="B1748" t="s">
        <v>2058</v>
      </c>
      <c r="C1748" t="s">
        <v>65</v>
      </c>
      <c r="D1748">
        <v>39995075.607238203</v>
      </c>
    </row>
    <row r="1749" spans="1:4" hidden="1" x14ac:dyDescent="0.3">
      <c r="A1749">
        <v>1747</v>
      </c>
      <c r="B1749" s="1" t="s">
        <v>2059</v>
      </c>
      <c r="C1749" t="s">
        <v>67</v>
      </c>
      <c r="D1749" s="1" t="s">
        <v>2060</v>
      </c>
    </row>
    <row r="1750" spans="1:4" hidden="1" x14ac:dyDescent="0.3">
      <c r="A1750">
        <v>1748</v>
      </c>
      <c r="B1750" s="1" t="s">
        <v>2061</v>
      </c>
      <c r="C1750" t="s">
        <v>70</v>
      </c>
      <c r="D1750" s="1" t="s">
        <v>2062</v>
      </c>
    </row>
    <row r="1751" spans="1:4" hidden="1" x14ac:dyDescent="0.3">
      <c r="A1751">
        <v>1749</v>
      </c>
      <c r="B1751" t="s">
        <v>2063</v>
      </c>
      <c r="C1751" t="s">
        <v>73</v>
      </c>
      <c r="D1751">
        <v>0.99992726656450603</v>
      </c>
    </row>
    <row r="1752" spans="1:4" hidden="1" x14ac:dyDescent="0.3">
      <c r="A1752">
        <v>1750</v>
      </c>
      <c r="B1752" t="s">
        <v>74</v>
      </c>
      <c r="C1752" t="s">
        <v>75</v>
      </c>
      <c r="D1752">
        <v>2.7397260273972599E-3</v>
      </c>
    </row>
    <row r="1753" spans="1:4" hidden="1" x14ac:dyDescent="0.3">
      <c r="A1753">
        <v>1751</v>
      </c>
      <c r="B1753" t="s">
        <v>76</v>
      </c>
      <c r="C1753" t="s">
        <v>77</v>
      </c>
      <c r="D1753">
        <v>0</v>
      </c>
    </row>
    <row r="1754" spans="1:4" hidden="1" x14ac:dyDescent="0.3">
      <c r="A1754">
        <v>1752</v>
      </c>
      <c r="B1754" t="s">
        <v>503</v>
      </c>
      <c r="C1754" t="s">
        <v>79</v>
      </c>
      <c r="D1754" s="2">
        <v>2.2204460492503101E-16</v>
      </c>
    </row>
    <row r="1755" spans="1:4" hidden="1" x14ac:dyDescent="0.3">
      <c r="A1755">
        <v>1753</v>
      </c>
      <c r="B1755" s="1" t="s">
        <v>2064</v>
      </c>
      <c r="C1755" t="s">
        <v>81</v>
      </c>
      <c r="D1755" s="1" t="s">
        <v>2065</v>
      </c>
    </row>
    <row r="1756" spans="1:4" hidden="1" x14ac:dyDescent="0.3">
      <c r="A1756">
        <v>1754</v>
      </c>
      <c r="B1756" t="s">
        <v>2066</v>
      </c>
      <c r="C1756" t="s">
        <v>84</v>
      </c>
      <c r="D1756">
        <v>0.99998313913449299</v>
      </c>
    </row>
    <row r="1757" spans="1:4" hidden="1" x14ac:dyDescent="0.3">
      <c r="A1757">
        <v>1755</v>
      </c>
      <c r="B1757" s="1" t="s">
        <v>2067</v>
      </c>
      <c r="C1757" t="s">
        <v>86</v>
      </c>
      <c r="D1757" s="1" t="s">
        <v>2068</v>
      </c>
    </row>
    <row r="1758" spans="1:4" hidden="1" x14ac:dyDescent="0.3">
      <c r="A1758">
        <v>1756</v>
      </c>
      <c r="B1758" t="s">
        <v>2069</v>
      </c>
      <c r="C1758" t="s">
        <v>89</v>
      </c>
      <c r="D1758">
        <v>100001686.11498</v>
      </c>
    </row>
    <row r="1759" spans="1:4" hidden="1" x14ac:dyDescent="0.3">
      <c r="A1759">
        <v>1757</v>
      </c>
      <c r="B1759" s="1" t="s">
        <v>2070</v>
      </c>
      <c r="C1759" t="s">
        <v>91</v>
      </c>
      <c r="D1759" s="1" t="s">
        <v>2016</v>
      </c>
    </row>
    <row r="1760" spans="1:4" hidden="1" x14ac:dyDescent="0.3">
      <c r="A1760">
        <v>1758</v>
      </c>
      <c r="B1760" t="s">
        <v>2071</v>
      </c>
      <c r="C1760" t="s">
        <v>94</v>
      </c>
      <c r="D1760">
        <v>79988335.289112195</v>
      </c>
    </row>
    <row r="1761" spans="1:4" hidden="1" x14ac:dyDescent="0.3">
      <c r="A1761">
        <v>1759</v>
      </c>
      <c r="B1761" t="s">
        <v>2072</v>
      </c>
      <c r="C1761" t="s">
        <v>96</v>
      </c>
      <c r="D1761">
        <v>39995075.607238203</v>
      </c>
    </row>
    <row r="1762" spans="1:4" hidden="1" x14ac:dyDescent="0.3">
      <c r="A1762">
        <v>1760</v>
      </c>
      <c r="B1762" t="s">
        <v>2073</v>
      </c>
      <c r="C1762" t="s">
        <v>98</v>
      </c>
      <c r="D1762">
        <v>29928387.422813602</v>
      </c>
    </row>
    <row r="1763" spans="1:4" hidden="1" x14ac:dyDescent="0.3">
      <c r="A1763">
        <v>1761</v>
      </c>
      <c r="B1763" s="1" t="s">
        <v>2074</v>
      </c>
      <c r="C1763" t="s">
        <v>100</v>
      </c>
      <c r="D1763" s="1" t="s">
        <v>2075</v>
      </c>
    </row>
    <row r="1764" spans="1:4" hidden="1" x14ac:dyDescent="0.3">
      <c r="A1764">
        <v>1762</v>
      </c>
      <c r="B1764" t="s">
        <v>2076</v>
      </c>
      <c r="C1764" t="s">
        <v>103</v>
      </c>
      <c r="D1764">
        <v>1.0028722769675201E-2</v>
      </c>
    </row>
    <row r="1765" spans="1:4" hidden="1" x14ac:dyDescent="0.3">
      <c r="A1765">
        <v>1763</v>
      </c>
      <c r="B1765" t="s">
        <v>2077</v>
      </c>
      <c r="C1765" t="s">
        <v>105</v>
      </c>
      <c r="D1765">
        <v>2.6423176475208602E-3</v>
      </c>
    </row>
    <row r="1766" spans="1:4" hidden="1" x14ac:dyDescent="0.3">
      <c r="A1766">
        <v>1764</v>
      </c>
      <c r="B1766" t="s">
        <v>2078</v>
      </c>
      <c r="C1766" t="s">
        <v>107</v>
      </c>
      <c r="D1766">
        <v>2.1975357512833499E-2</v>
      </c>
    </row>
    <row r="1767" spans="1:4" hidden="1" x14ac:dyDescent="0.3">
      <c r="A1767">
        <v>1765</v>
      </c>
      <c r="B1767" s="1" t="s">
        <v>2079</v>
      </c>
      <c r="C1767" t="s">
        <v>109</v>
      </c>
      <c r="D1767" s="1" t="s">
        <v>2080</v>
      </c>
    </row>
    <row r="1768" spans="1:4" x14ac:dyDescent="0.3">
      <c r="A1768">
        <v>1766</v>
      </c>
      <c r="B1768" t="s">
        <v>2081</v>
      </c>
      <c r="C1768" t="s">
        <v>197</v>
      </c>
      <c r="D1768">
        <v>149913733.29021999</v>
      </c>
    </row>
    <row r="1769" spans="1:4" hidden="1" x14ac:dyDescent="0.3">
      <c r="A1769">
        <v>1767</v>
      </c>
      <c r="B1769" t="s">
        <v>2082</v>
      </c>
      <c r="C1769" t="s">
        <v>199</v>
      </c>
      <c r="D1769">
        <v>-4469.55890361006</v>
      </c>
    </row>
    <row r="1770" spans="1:4" hidden="1" x14ac:dyDescent="0.3">
      <c r="A1770">
        <v>1768</v>
      </c>
      <c r="B1770" t="s">
        <v>2083</v>
      </c>
      <c r="C1770" t="s">
        <v>201</v>
      </c>
      <c r="D1770">
        <v>-2234.8058836963701</v>
      </c>
    </row>
    <row r="1771" spans="1:4" hidden="1" x14ac:dyDescent="0.3">
      <c r="A1771">
        <v>1769</v>
      </c>
      <c r="B1771" s="1" t="s">
        <v>2084</v>
      </c>
      <c r="C1771" t="s">
        <v>203</v>
      </c>
      <c r="D1771" s="1" t="s">
        <v>2085</v>
      </c>
    </row>
    <row r="1772" spans="1:4" hidden="1" x14ac:dyDescent="0.3">
      <c r="A1772">
        <v>1770</v>
      </c>
      <c r="B1772" t="s">
        <v>2086</v>
      </c>
      <c r="C1772" t="s">
        <v>206</v>
      </c>
      <c r="D1772">
        <v>79994235.884011999</v>
      </c>
    </row>
    <row r="1773" spans="1:4" hidden="1" x14ac:dyDescent="0.3">
      <c r="A1773">
        <v>1771</v>
      </c>
      <c r="B1773" t="s">
        <v>2087</v>
      </c>
      <c r="C1773" t="s">
        <v>208</v>
      </c>
      <c r="D1773">
        <v>39997591.008587301</v>
      </c>
    </row>
    <row r="1774" spans="1:4" hidden="1" x14ac:dyDescent="0.3">
      <c r="A1774">
        <v>1772</v>
      </c>
      <c r="B1774" t="s">
        <v>2088</v>
      </c>
      <c r="C1774" t="s">
        <v>210</v>
      </c>
      <c r="D1774">
        <v>29930283.072440598</v>
      </c>
    </row>
    <row r="1775" spans="1:4" hidden="1" x14ac:dyDescent="0.3">
      <c r="A1775">
        <v>1773</v>
      </c>
      <c r="B1775" s="1" t="s">
        <v>2089</v>
      </c>
      <c r="C1775" t="s">
        <v>212</v>
      </c>
      <c r="D1775" s="1" t="s">
        <v>2090</v>
      </c>
    </row>
    <row r="1776" spans="1:4" hidden="1" x14ac:dyDescent="0.3">
      <c r="A1776">
        <v>1774</v>
      </c>
      <c r="B1776" t="s">
        <v>2091</v>
      </c>
      <c r="C1776" t="s">
        <v>215</v>
      </c>
      <c r="D1776">
        <v>100007273.872603</v>
      </c>
    </row>
    <row r="1777" spans="1:4" hidden="1" x14ac:dyDescent="0.3">
      <c r="A1777">
        <v>1775</v>
      </c>
      <c r="B1777" t="s">
        <v>2092</v>
      </c>
      <c r="C1777" t="s">
        <v>217</v>
      </c>
      <c r="D1777">
        <v>-5587.7576230764298</v>
      </c>
    </row>
    <row r="1778" spans="1:4" hidden="1" x14ac:dyDescent="0.3">
      <c r="A1778">
        <v>1776</v>
      </c>
      <c r="B1778" s="1" t="s">
        <v>2093</v>
      </c>
      <c r="C1778" t="s">
        <v>219</v>
      </c>
      <c r="D1778" s="1" t="s">
        <v>2094</v>
      </c>
    </row>
    <row r="1779" spans="1:4" hidden="1" x14ac:dyDescent="0.3">
      <c r="A1779">
        <v>1777</v>
      </c>
      <c r="B1779" t="s">
        <v>2095</v>
      </c>
      <c r="C1779" t="s">
        <v>112</v>
      </c>
      <c r="D1779">
        <v>1431.0359961425299</v>
      </c>
    </row>
    <row r="1780" spans="1:4" hidden="1" x14ac:dyDescent="0.3">
      <c r="A1780">
        <v>1778</v>
      </c>
      <c r="B1780" t="s">
        <v>2096</v>
      </c>
      <c r="C1780" t="s">
        <v>114</v>
      </c>
      <c r="D1780">
        <v>280.59546546773402</v>
      </c>
    </row>
    <row r="1781" spans="1:4" hidden="1" x14ac:dyDescent="0.3">
      <c r="A1781">
        <v>1779</v>
      </c>
      <c r="B1781" s="1" t="s">
        <v>2097</v>
      </c>
      <c r="C1781" t="s">
        <v>116</v>
      </c>
      <c r="D1781" s="1" t="s">
        <v>2098</v>
      </c>
    </row>
    <row r="1782" spans="1:4" hidden="1" x14ac:dyDescent="0.3">
      <c r="A1782">
        <v>1780</v>
      </c>
      <c r="B1782" t="s">
        <v>2099</v>
      </c>
      <c r="C1782" t="s">
        <v>119</v>
      </c>
      <c r="D1782">
        <v>79994235.884011999</v>
      </c>
    </row>
    <row r="1783" spans="1:4" hidden="1" x14ac:dyDescent="0.3">
      <c r="A1783">
        <v>1781</v>
      </c>
      <c r="B1783" t="s">
        <v>2100</v>
      </c>
      <c r="C1783" t="s">
        <v>121</v>
      </c>
      <c r="D1783">
        <v>39997591.008587301</v>
      </c>
    </row>
    <row r="1784" spans="1:4" hidden="1" x14ac:dyDescent="0.3">
      <c r="A1784">
        <v>1782</v>
      </c>
      <c r="B1784" s="1" t="s">
        <v>2101</v>
      </c>
      <c r="C1784" t="s">
        <v>123</v>
      </c>
      <c r="D1784" s="1" t="s">
        <v>2102</v>
      </c>
    </row>
    <row r="1785" spans="1:4" hidden="1" x14ac:dyDescent="0.3">
      <c r="A1785">
        <v>1783</v>
      </c>
      <c r="B1785" t="s">
        <v>2103</v>
      </c>
      <c r="C1785" t="s">
        <v>126</v>
      </c>
      <c r="D1785">
        <v>0.79989766325108402</v>
      </c>
    </row>
    <row r="1786" spans="1:4" hidden="1" x14ac:dyDescent="0.3">
      <c r="A1786">
        <v>1784</v>
      </c>
      <c r="B1786" t="s">
        <v>2104</v>
      </c>
      <c r="C1786" t="s">
        <v>128</v>
      </c>
      <c r="D1786">
        <v>0.39995356202703602</v>
      </c>
    </row>
    <row r="1787" spans="1:4" hidden="1" x14ac:dyDescent="0.3">
      <c r="A1787">
        <v>1785</v>
      </c>
      <c r="B1787" s="1" t="s">
        <v>2105</v>
      </c>
      <c r="C1787" t="s">
        <v>130</v>
      </c>
      <c r="D1787" s="1" t="s">
        <v>2106</v>
      </c>
    </row>
    <row r="1788" spans="1:4" hidden="1" x14ac:dyDescent="0.3">
      <c r="A1788">
        <v>1786</v>
      </c>
      <c r="B1788" s="1" t="s">
        <v>3</v>
      </c>
      <c r="C1788" t="s">
        <v>4</v>
      </c>
      <c r="D1788" t="s">
        <v>5</v>
      </c>
    </row>
    <row r="1789" spans="1:4" hidden="1" x14ac:dyDescent="0.3">
      <c r="A1789">
        <v>1787</v>
      </c>
      <c r="B1789" t="s">
        <v>6</v>
      </c>
      <c r="C1789" t="s">
        <v>7</v>
      </c>
      <c r="D1789">
        <v>1950.52</v>
      </c>
    </row>
    <row r="1790" spans="1:4" hidden="1" x14ac:dyDescent="0.3">
      <c r="A1790">
        <v>1788</v>
      </c>
      <c r="B1790" s="1" t="s">
        <v>132</v>
      </c>
      <c r="C1790" t="s">
        <v>9</v>
      </c>
      <c r="D1790" s="1" t="s">
        <v>133</v>
      </c>
    </row>
    <row r="1791" spans="1:4" hidden="1" x14ac:dyDescent="0.3">
      <c r="A1791">
        <v>1789</v>
      </c>
      <c r="B1791" t="s">
        <v>13</v>
      </c>
      <c r="C1791" t="s">
        <v>14</v>
      </c>
      <c r="D1791">
        <v>90.82421875</v>
      </c>
    </row>
    <row r="1792" spans="1:4" hidden="1" x14ac:dyDescent="0.3">
      <c r="A1792">
        <v>1790</v>
      </c>
      <c r="B1792" t="s">
        <v>15</v>
      </c>
      <c r="C1792" t="s">
        <v>16</v>
      </c>
      <c r="D1792">
        <v>4.2527792330373497</v>
      </c>
    </row>
    <row r="1793" spans="1:4" hidden="1" x14ac:dyDescent="0.3">
      <c r="A1793">
        <v>1791</v>
      </c>
      <c r="B1793" s="1" t="s">
        <v>134</v>
      </c>
      <c r="C1793" t="s">
        <v>135</v>
      </c>
      <c r="D1793" s="1" t="s">
        <v>136</v>
      </c>
    </row>
    <row r="1794" spans="1:4" hidden="1" x14ac:dyDescent="0.3">
      <c r="A1794">
        <v>1792</v>
      </c>
      <c r="B1794" t="s">
        <v>21</v>
      </c>
      <c r="C1794" t="s">
        <v>22</v>
      </c>
      <c r="D1794">
        <v>62.9</v>
      </c>
    </row>
    <row r="1795" spans="1:4" hidden="1" x14ac:dyDescent="0.3">
      <c r="A1795">
        <v>1793</v>
      </c>
      <c r="B1795" t="s">
        <v>2107</v>
      </c>
      <c r="C1795" t="s">
        <v>24</v>
      </c>
      <c r="D1795">
        <v>3.9645551123258</v>
      </c>
    </row>
    <row r="1796" spans="1:4" hidden="1" x14ac:dyDescent="0.3">
      <c r="A1796">
        <v>1794</v>
      </c>
      <c r="B1796" s="1" t="s">
        <v>2108</v>
      </c>
      <c r="C1796" t="s">
        <v>139</v>
      </c>
      <c r="D1796" s="1" t="s">
        <v>2109</v>
      </c>
    </row>
    <row r="1797" spans="1:4" hidden="1" x14ac:dyDescent="0.3">
      <c r="A1797">
        <v>1795</v>
      </c>
      <c r="B1797" t="s">
        <v>2110</v>
      </c>
      <c r="C1797" t="s">
        <v>35</v>
      </c>
      <c r="D1797">
        <v>-1.2449022471401501</v>
      </c>
    </row>
    <row r="1798" spans="1:4" hidden="1" x14ac:dyDescent="0.3">
      <c r="A1798">
        <v>1796</v>
      </c>
      <c r="B1798" t="s">
        <v>2111</v>
      </c>
      <c r="C1798" t="s">
        <v>143</v>
      </c>
      <c r="D1798">
        <v>0.55345075840490998</v>
      </c>
    </row>
    <row r="1799" spans="1:4" hidden="1" x14ac:dyDescent="0.3">
      <c r="A1799">
        <v>1797</v>
      </c>
      <c r="B1799" s="1" t="s">
        <v>2112</v>
      </c>
      <c r="C1799" t="s">
        <v>145</v>
      </c>
      <c r="D1799" s="1" t="s">
        <v>2113</v>
      </c>
    </row>
    <row r="1800" spans="1:4" hidden="1" x14ac:dyDescent="0.3">
      <c r="A1800">
        <v>1798</v>
      </c>
      <c r="B1800" t="s">
        <v>2114</v>
      </c>
      <c r="C1800" t="s">
        <v>30</v>
      </c>
      <c r="D1800">
        <v>1.1362294773970201</v>
      </c>
    </row>
    <row r="1801" spans="1:4" hidden="1" x14ac:dyDescent="0.3">
      <c r="A1801">
        <v>1799</v>
      </c>
      <c r="B1801" t="s">
        <v>2115</v>
      </c>
      <c r="C1801" t="s">
        <v>32</v>
      </c>
      <c r="D1801">
        <v>0.35596943549912402</v>
      </c>
    </row>
    <row r="1802" spans="1:4" hidden="1" x14ac:dyDescent="0.3">
      <c r="A1802">
        <v>1800</v>
      </c>
      <c r="B1802" s="1" t="s">
        <v>2116</v>
      </c>
      <c r="C1802" t="s">
        <v>149</v>
      </c>
      <c r="D1802" s="1" t="s">
        <v>2117</v>
      </c>
    </row>
    <row r="1803" spans="1:4" hidden="1" x14ac:dyDescent="0.3">
      <c r="A1803">
        <v>1801</v>
      </c>
      <c r="B1803" t="s">
        <v>2118</v>
      </c>
      <c r="C1803" t="s">
        <v>40</v>
      </c>
      <c r="D1803">
        <v>1.10867276974312</v>
      </c>
    </row>
    <row r="1804" spans="1:4" hidden="1" x14ac:dyDescent="0.3">
      <c r="A1804">
        <v>1802</v>
      </c>
      <c r="B1804" t="s">
        <v>2119</v>
      </c>
      <c r="C1804" t="s">
        <v>42</v>
      </c>
      <c r="D1804">
        <v>0.45087604228480799</v>
      </c>
    </row>
    <row r="1805" spans="1:4" hidden="1" x14ac:dyDescent="0.3">
      <c r="A1805">
        <v>1803</v>
      </c>
      <c r="B1805" s="1" t="s">
        <v>2120</v>
      </c>
      <c r="C1805" t="s">
        <v>153</v>
      </c>
      <c r="D1805" s="1" t="s">
        <v>2121</v>
      </c>
    </row>
    <row r="1806" spans="1:4" hidden="1" x14ac:dyDescent="0.3">
      <c r="A1806">
        <v>1804</v>
      </c>
      <c r="B1806" t="s">
        <v>154</v>
      </c>
      <c r="C1806" t="s">
        <v>155</v>
      </c>
      <c r="D1806">
        <v>1</v>
      </c>
    </row>
    <row r="1807" spans="1:4" hidden="1" x14ac:dyDescent="0.3">
      <c r="A1807">
        <v>1805</v>
      </c>
      <c r="B1807" t="s">
        <v>156</v>
      </c>
      <c r="C1807" t="s">
        <v>157</v>
      </c>
      <c r="D1807">
        <v>1</v>
      </c>
    </row>
    <row r="1808" spans="1:4" hidden="1" x14ac:dyDescent="0.3">
      <c r="A1808">
        <v>1806</v>
      </c>
      <c r="B1808" s="1" t="s">
        <v>2122</v>
      </c>
      <c r="C1808" t="s">
        <v>159</v>
      </c>
      <c r="D1808" s="1" t="s">
        <v>2123</v>
      </c>
    </row>
    <row r="1809" spans="1:4" hidden="1" x14ac:dyDescent="0.3">
      <c r="A1809">
        <v>1807</v>
      </c>
      <c r="B1809" t="s">
        <v>2124</v>
      </c>
      <c r="C1809" t="s">
        <v>162</v>
      </c>
      <c r="D1809">
        <v>0.99977929502646401</v>
      </c>
    </row>
    <row r="1810" spans="1:4" hidden="1" x14ac:dyDescent="0.3">
      <c r="A1810">
        <v>1808</v>
      </c>
      <c r="B1810" t="s">
        <v>2125</v>
      </c>
      <c r="C1810" t="s">
        <v>164</v>
      </c>
      <c r="D1810">
        <v>1.0005377136350999</v>
      </c>
    </row>
    <row r="1811" spans="1:4" hidden="1" x14ac:dyDescent="0.3">
      <c r="A1811">
        <v>1809</v>
      </c>
      <c r="B1811" s="1" t="s">
        <v>2126</v>
      </c>
      <c r="C1811" t="s">
        <v>166</v>
      </c>
      <c r="D1811" s="1" t="s">
        <v>2127</v>
      </c>
    </row>
    <row r="1812" spans="1:4" hidden="1" x14ac:dyDescent="0.3">
      <c r="A1812">
        <v>1810</v>
      </c>
      <c r="B1812" s="1" t="s">
        <v>2128</v>
      </c>
      <c r="C1812" t="s">
        <v>55</v>
      </c>
      <c r="D1812" s="1" t="s">
        <v>2129</v>
      </c>
    </row>
    <row r="1813" spans="1:4" hidden="1" x14ac:dyDescent="0.3">
      <c r="A1813">
        <v>1811</v>
      </c>
      <c r="B1813" s="1" t="s">
        <v>2130</v>
      </c>
      <c r="C1813" t="s">
        <v>52</v>
      </c>
      <c r="D1813" s="1" t="s">
        <v>2131</v>
      </c>
    </row>
    <row r="1814" spans="1:4" hidden="1" x14ac:dyDescent="0.3">
      <c r="A1814">
        <v>1812</v>
      </c>
      <c r="B1814" s="1" t="s">
        <v>2132</v>
      </c>
      <c r="C1814" t="s">
        <v>58</v>
      </c>
      <c r="D1814" s="1" t="s">
        <v>2133</v>
      </c>
    </row>
    <row r="1815" spans="1:4" hidden="1" x14ac:dyDescent="0.3">
      <c r="A1815">
        <v>1813</v>
      </c>
      <c r="B1815" t="s">
        <v>2134</v>
      </c>
      <c r="C1815" t="s">
        <v>61</v>
      </c>
      <c r="D1815">
        <v>149913553.05621901</v>
      </c>
    </row>
    <row r="1816" spans="1:4" hidden="1" x14ac:dyDescent="0.3">
      <c r="A1816">
        <v>1814</v>
      </c>
      <c r="B1816" t="s">
        <v>2135</v>
      </c>
      <c r="C1816" t="s">
        <v>63</v>
      </c>
      <c r="D1816">
        <v>79994235.884011999</v>
      </c>
    </row>
    <row r="1817" spans="1:4" hidden="1" x14ac:dyDescent="0.3">
      <c r="A1817">
        <v>1815</v>
      </c>
      <c r="B1817" t="s">
        <v>2136</v>
      </c>
      <c r="C1817" t="s">
        <v>65</v>
      </c>
      <c r="D1817">
        <v>39997591.008587301</v>
      </c>
    </row>
    <row r="1818" spans="1:4" hidden="1" x14ac:dyDescent="0.3">
      <c r="A1818">
        <v>1816</v>
      </c>
      <c r="B1818" s="1" t="s">
        <v>2137</v>
      </c>
      <c r="C1818" t="s">
        <v>67</v>
      </c>
      <c r="D1818" s="1" t="s">
        <v>2138</v>
      </c>
    </row>
    <row r="1819" spans="1:4" hidden="1" x14ac:dyDescent="0.3">
      <c r="A1819">
        <v>1817</v>
      </c>
      <c r="B1819" s="1" t="s">
        <v>2139</v>
      </c>
      <c r="C1819" t="s">
        <v>70</v>
      </c>
      <c r="D1819" s="1" t="s">
        <v>2140</v>
      </c>
    </row>
    <row r="1820" spans="1:4" hidden="1" x14ac:dyDescent="0.3">
      <c r="A1820">
        <v>1818</v>
      </c>
      <c r="B1820" t="s">
        <v>2141</v>
      </c>
      <c r="C1820" t="s">
        <v>73</v>
      </c>
      <c r="D1820">
        <v>0.99998313913449299</v>
      </c>
    </row>
    <row r="1821" spans="1:4" hidden="1" x14ac:dyDescent="0.3">
      <c r="A1821">
        <v>1819</v>
      </c>
      <c r="B1821" t="s">
        <v>74</v>
      </c>
      <c r="C1821" t="s">
        <v>75</v>
      </c>
      <c r="D1821">
        <v>2.7397260273972599E-3</v>
      </c>
    </row>
    <row r="1822" spans="1:4" hidden="1" x14ac:dyDescent="0.3">
      <c r="A1822">
        <v>1820</v>
      </c>
      <c r="B1822" t="s">
        <v>76</v>
      </c>
      <c r="C1822" t="s">
        <v>77</v>
      </c>
      <c r="D1822">
        <v>0</v>
      </c>
    </row>
    <row r="1823" spans="1:4" hidden="1" x14ac:dyDescent="0.3">
      <c r="A1823">
        <v>1821</v>
      </c>
      <c r="B1823" t="s">
        <v>78</v>
      </c>
      <c r="C1823" t="s">
        <v>79</v>
      </c>
      <c r="D1823">
        <v>0</v>
      </c>
    </row>
    <row r="1824" spans="1:4" hidden="1" x14ac:dyDescent="0.3">
      <c r="A1824">
        <v>1822</v>
      </c>
      <c r="B1824" s="1" t="s">
        <v>2142</v>
      </c>
      <c r="C1824" t="s">
        <v>81</v>
      </c>
      <c r="D1824" s="1" t="s">
        <v>2143</v>
      </c>
    </row>
    <row r="1825" spans="1:4" hidden="1" x14ac:dyDescent="0.3">
      <c r="A1825">
        <v>1823</v>
      </c>
      <c r="B1825" t="s">
        <v>2144</v>
      </c>
      <c r="C1825" t="s">
        <v>84</v>
      </c>
      <c r="D1825">
        <v>1.00001755897278</v>
      </c>
    </row>
    <row r="1826" spans="1:4" hidden="1" x14ac:dyDescent="0.3">
      <c r="A1826">
        <v>1824</v>
      </c>
      <c r="B1826" s="1" t="s">
        <v>2145</v>
      </c>
      <c r="C1826" t="s">
        <v>86</v>
      </c>
      <c r="D1826" s="1" t="s">
        <v>2146</v>
      </c>
    </row>
    <row r="1827" spans="1:4" hidden="1" x14ac:dyDescent="0.3">
      <c r="A1827">
        <v>1825</v>
      </c>
      <c r="B1827" t="s">
        <v>2147</v>
      </c>
      <c r="C1827" t="s">
        <v>89</v>
      </c>
      <c r="D1827">
        <v>99998244.133552194</v>
      </c>
    </row>
    <row r="1828" spans="1:4" hidden="1" x14ac:dyDescent="0.3">
      <c r="A1828">
        <v>1826</v>
      </c>
      <c r="B1828" s="1" t="s">
        <v>2148</v>
      </c>
      <c r="C1828" t="s">
        <v>91</v>
      </c>
      <c r="D1828" s="1" t="s">
        <v>2094</v>
      </c>
    </row>
    <row r="1829" spans="1:4" hidden="1" x14ac:dyDescent="0.3">
      <c r="A1829">
        <v>1827</v>
      </c>
      <c r="B1829" t="s">
        <v>2149</v>
      </c>
      <c r="C1829" t="s">
        <v>94</v>
      </c>
      <c r="D1829">
        <v>79994235.884011999</v>
      </c>
    </row>
    <row r="1830" spans="1:4" hidden="1" x14ac:dyDescent="0.3">
      <c r="A1830">
        <v>1828</v>
      </c>
      <c r="B1830" t="s">
        <v>2150</v>
      </c>
      <c r="C1830" t="s">
        <v>96</v>
      </c>
      <c r="D1830">
        <v>39997591.008587301</v>
      </c>
    </row>
    <row r="1831" spans="1:4" hidden="1" x14ac:dyDescent="0.3">
      <c r="A1831">
        <v>1829</v>
      </c>
      <c r="B1831" t="s">
        <v>2151</v>
      </c>
      <c r="C1831" t="s">
        <v>98</v>
      </c>
      <c r="D1831">
        <v>29921726.163620401</v>
      </c>
    </row>
    <row r="1832" spans="1:4" hidden="1" x14ac:dyDescent="0.3">
      <c r="A1832">
        <v>1830</v>
      </c>
      <c r="B1832" s="1" t="s">
        <v>2152</v>
      </c>
      <c r="C1832" t="s">
        <v>100</v>
      </c>
      <c r="D1832" s="1" t="s">
        <v>2153</v>
      </c>
    </row>
    <row r="1833" spans="1:4" hidden="1" x14ac:dyDescent="0.3">
      <c r="A1833">
        <v>1831</v>
      </c>
      <c r="B1833" t="s">
        <v>2154</v>
      </c>
      <c r="C1833" t="s">
        <v>103</v>
      </c>
      <c r="D1833">
        <v>9.9969013120406597E-3</v>
      </c>
    </row>
    <row r="1834" spans="1:4" hidden="1" x14ac:dyDescent="0.3">
      <c r="A1834">
        <v>1832</v>
      </c>
      <c r="B1834" t="s">
        <v>2155</v>
      </c>
      <c r="C1834" t="s">
        <v>105</v>
      </c>
      <c r="D1834">
        <v>2.64688552314204E-3</v>
      </c>
    </row>
    <row r="1835" spans="1:4" hidden="1" x14ac:dyDescent="0.3">
      <c r="A1835">
        <v>1833</v>
      </c>
      <c r="B1835" t="s">
        <v>2156</v>
      </c>
      <c r="C1835" t="s">
        <v>107</v>
      </c>
      <c r="D1835">
        <v>2.2120618136442099E-2</v>
      </c>
    </row>
    <row r="1836" spans="1:4" hidden="1" x14ac:dyDescent="0.3">
      <c r="A1836">
        <v>1834</v>
      </c>
      <c r="B1836" s="1" t="s">
        <v>2157</v>
      </c>
      <c r="C1836" t="s">
        <v>109</v>
      </c>
      <c r="D1836" s="1" t="s">
        <v>2158</v>
      </c>
    </row>
    <row r="1837" spans="1:4" x14ac:dyDescent="0.3">
      <c r="A1837">
        <v>1835</v>
      </c>
      <c r="B1837" t="s">
        <v>2159</v>
      </c>
      <c r="C1837" t="s">
        <v>197</v>
      </c>
      <c r="D1837">
        <v>149914744.28904799</v>
      </c>
    </row>
    <row r="1838" spans="1:4" hidden="1" x14ac:dyDescent="0.3">
      <c r="A1838">
        <v>1836</v>
      </c>
      <c r="B1838" t="s">
        <v>2160</v>
      </c>
      <c r="C1838" t="s">
        <v>199</v>
      </c>
      <c r="D1838">
        <v>-2753.46543870915</v>
      </c>
    </row>
    <row r="1839" spans="1:4" hidden="1" x14ac:dyDescent="0.3">
      <c r="A1839">
        <v>1837</v>
      </c>
      <c r="B1839" t="s">
        <v>2161</v>
      </c>
      <c r="C1839" t="s">
        <v>201</v>
      </c>
      <c r="D1839">
        <v>-1376.7397620547299</v>
      </c>
    </row>
    <row r="1840" spans="1:4" hidden="1" x14ac:dyDescent="0.3">
      <c r="A1840">
        <v>1838</v>
      </c>
      <c r="B1840" s="1" t="s">
        <v>2162</v>
      </c>
      <c r="C1840" t="s">
        <v>203</v>
      </c>
      <c r="D1840" s="1" t="s">
        <v>2163</v>
      </c>
    </row>
    <row r="1841" spans="1:4" hidden="1" x14ac:dyDescent="0.3">
      <c r="A1841">
        <v>1839</v>
      </c>
      <c r="B1841" t="s">
        <v>2164</v>
      </c>
      <c r="C1841" t="s">
        <v>206</v>
      </c>
      <c r="D1841">
        <v>79997871.082628995</v>
      </c>
    </row>
    <row r="1842" spans="1:4" hidden="1" x14ac:dyDescent="0.3">
      <c r="A1842">
        <v>1840</v>
      </c>
      <c r="B1842" t="s">
        <v>2165</v>
      </c>
      <c r="C1842" t="s">
        <v>208</v>
      </c>
      <c r="D1842">
        <v>39999140.156564601</v>
      </c>
    </row>
    <row r="1843" spans="1:4" hidden="1" x14ac:dyDescent="0.3">
      <c r="A1843">
        <v>1841</v>
      </c>
      <c r="B1843" t="s">
        <v>2166</v>
      </c>
      <c r="C1843" t="s">
        <v>210</v>
      </c>
      <c r="D1843">
        <v>29922893.178115401</v>
      </c>
    </row>
    <row r="1844" spans="1:4" hidden="1" x14ac:dyDescent="0.3">
      <c r="A1844">
        <v>1842</v>
      </c>
      <c r="B1844" s="1" t="s">
        <v>2167</v>
      </c>
      <c r="C1844" t="s">
        <v>212</v>
      </c>
      <c r="D1844" s="1" t="s">
        <v>2168</v>
      </c>
    </row>
    <row r="1845" spans="1:4" hidden="1" x14ac:dyDescent="0.3">
      <c r="A1845">
        <v>1843</v>
      </c>
      <c r="B1845" t="s">
        <v>2169</v>
      </c>
      <c r="C1845" t="s">
        <v>215</v>
      </c>
      <c r="D1845">
        <v>100001686.11498</v>
      </c>
    </row>
    <row r="1846" spans="1:4" hidden="1" x14ac:dyDescent="0.3">
      <c r="A1846">
        <v>1844</v>
      </c>
      <c r="B1846" t="s">
        <v>2170</v>
      </c>
      <c r="C1846" t="s">
        <v>217</v>
      </c>
      <c r="D1846">
        <v>-3441.9814278036301</v>
      </c>
    </row>
    <row r="1847" spans="1:4" hidden="1" x14ac:dyDescent="0.3">
      <c r="A1847">
        <v>1845</v>
      </c>
      <c r="B1847" s="1" t="s">
        <v>2171</v>
      </c>
      <c r="C1847" t="s">
        <v>219</v>
      </c>
      <c r="D1847" s="1" t="s">
        <v>2172</v>
      </c>
    </row>
    <row r="1848" spans="1:4" hidden="1" x14ac:dyDescent="0.3">
      <c r="A1848">
        <v>1846</v>
      </c>
      <c r="B1848" t="s">
        <v>2173</v>
      </c>
      <c r="C1848" t="s">
        <v>112</v>
      </c>
      <c r="D1848">
        <v>881.73317831452005</v>
      </c>
    </row>
    <row r="1849" spans="1:4" hidden="1" x14ac:dyDescent="0.3">
      <c r="A1849">
        <v>1847</v>
      </c>
      <c r="B1849" t="s">
        <v>2174</v>
      </c>
      <c r="C1849" t="s">
        <v>114</v>
      </c>
      <c r="D1849">
        <v>172.40821520171801</v>
      </c>
    </row>
    <row r="1850" spans="1:4" hidden="1" x14ac:dyDescent="0.3">
      <c r="A1850">
        <v>1848</v>
      </c>
      <c r="B1850" s="1" t="s">
        <v>2175</v>
      </c>
      <c r="C1850" t="s">
        <v>116</v>
      </c>
      <c r="D1850" s="1" t="s">
        <v>2176</v>
      </c>
    </row>
    <row r="1851" spans="1:4" hidden="1" x14ac:dyDescent="0.3">
      <c r="A1851">
        <v>1849</v>
      </c>
      <c r="B1851" t="s">
        <v>2177</v>
      </c>
      <c r="C1851" t="s">
        <v>119</v>
      </c>
      <c r="D1851">
        <v>79997871.082628995</v>
      </c>
    </row>
    <row r="1852" spans="1:4" hidden="1" x14ac:dyDescent="0.3">
      <c r="A1852">
        <v>1850</v>
      </c>
      <c r="B1852" t="s">
        <v>2178</v>
      </c>
      <c r="C1852" t="s">
        <v>121</v>
      </c>
      <c r="D1852">
        <v>39999140.156564601</v>
      </c>
    </row>
    <row r="1853" spans="1:4" hidden="1" x14ac:dyDescent="0.3">
      <c r="A1853">
        <v>1851</v>
      </c>
      <c r="B1853" s="1" t="s">
        <v>2179</v>
      </c>
      <c r="C1853" t="s">
        <v>123</v>
      </c>
      <c r="D1853" s="1" t="s">
        <v>2180</v>
      </c>
    </row>
    <row r="1854" spans="1:4" hidden="1" x14ac:dyDescent="0.3">
      <c r="A1854">
        <v>1852</v>
      </c>
      <c r="B1854" t="s">
        <v>2181</v>
      </c>
      <c r="C1854" t="s">
        <v>126</v>
      </c>
      <c r="D1854">
        <v>0.79995117617190303</v>
      </c>
    </row>
    <row r="1855" spans="1:4" hidden="1" x14ac:dyDescent="0.3">
      <c r="A1855">
        <v>1853</v>
      </c>
      <c r="B1855" t="s">
        <v>2182</v>
      </c>
      <c r="C1855" t="s">
        <v>128</v>
      </c>
      <c r="D1855">
        <v>0.39997763416802501</v>
      </c>
    </row>
    <row r="1856" spans="1:4" hidden="1" x14ac:dyDescent="0.3">
      <c r="A1856">
        <v>1854</v>
      </c>
      <c r="B1856" s="1" t="s">
        <v>2183</v>
      </c>
      <c r="C1856" t="s">
        <v>130</v>
      </c>
      <c r="D1856" s="1" t="s">
        <v>2184</v>
      </c>
    </row>
    <row r="1857" spans="1:4" hidden="1" x14ac:dyDescent="0.3">
      <c r="A1857">
        <v>1855</v>
      </c>
      <c r="B1857" s="1" t="s">
        <v>3</v>
      </c>
      <c r="C1857" t="s">
        <v>4</v>
      </c>
      <c r="D1857" t="s">
        <v>5</v>
      </c>
    </row>
    <row r="1858" spans="1:4" hidden="1" x14ac:dyDescent="0.3">
      <c r="A1858">
        <v>1856</v>
      </c>
      <c r="B1858" t="s">
        <v>6</v>
      </c>
      <c r="C1858" t="s">
        <v>7</v>
      </c>
      <c r="D1858">
        <v>1950.52</v>
      </c>
    </row>
    <row r="1859" spans="1:4" hidden="1" x14ac:dyDescent="0.3">
      <c r="A1859">
        <v>1857</v>
      </c>
      <c r="B1859" s="1" t="s">
        <v>132</v>
      </c>
      <c r="C1859" t="s">
        <v>9</v>
      </c>
      <c r="D1859" s="1" t="s">
        <v>133</v>
      </c>
    </row>
    <row r="1860" spans="1:4" hidden="1" x14ac:dyDescent="0.3">
      <c r="A1860">
        <v>1858</v>
      </c>
      <c r="B1860" t="s">
        <v>13</v>
      </c>
      <c r="C1860" t="s">
        <v>14</v>
      </c>
      <c r="D1860">
        <v>90.82421875</v>
      </c>
    </row>
    <row r="1861" spans="1:4" hidden="1" x14ac:dyDescent="0.3">
      <c r="A1861">
        <v>1859</v>
      </c>
      <c r="B1861" t="s">
        <v>15</v>
      </c>
      <c r="C1861" t="s">
        <v>16</v>
      </c>
      <c r="D1861">
        <v>4.2527792330373497</v>
      </c>
    </row>
    <row r="1862" spans="1:4" hidden="1" x14ac:dyDescent="0.3">
      <c r="A1862">
        <v>1860</v>
      </c>
      <c r="B1862" s="1" t="s">
        <v>134</v>
      </c>
      <c r="C1862" t="s">
        <v>135</v>
      </c>
      <c r="D1862" s="1" t="s">
        <v>136</v>
      </c>
    </row>
    <row r="1863" spans="1:4" hidden="1" x14ac:dyDescent="0.3">
      <c r="A1863">
        <v>1861</v>
      </c>
      <c r="B1863" t="s">
        <v>21</v>
      </c>
      <c r="C1863" t="s">
        <v>22</v>
      </c>
      <c r="D1863">
        <v>62.9</v>
      </c>
    </row>
    <row r="1864" spans="1:4" hidden="1" x14ac:dyDescent="0.3">
      <c r="A1864">
        <v>1862</v>
      </c>
      <c r="B1864" t="s">
        <v>2185</v>
      </c>
      <c r="C1864" t="s">
        <v>24</v>
      </c>
      <c r="D1864">
        <v>3.9830635199261502</v>
      </c>
    </row>
    <row r="1865" spans="1:4" hidden="1" x14ac:dyDescent="0.3">
      <c r="A1865">
        <v>1863</v>
      </c>
      <c r="B1865" s="1" t="s">
        <v>2186</v>
      </c>
      <c r="C1865" t="s">
        <v>139</v>
      </c>
      <c r="D1865" s="1" t="s">
        <v>2187</v>
      </c>
    </row>
    <row r="1866" spans="1:4" hidden="1" x14ac:dyDescent="0.3">
      <c r="A1866">
        <v>1864</v>
      </c>
      <c r="B1866" t="s">
        <v>2188</v>
      </c>
      <c r="C1866" t="s">
        <v>35</v>
      </c>
      <c r="D1866">
        <v>-1.15298961371049</v>
      </c>
    </row>
    <row r="1867" spans="1:4" hidden="1" x14ac:dyDescent="0.3">
      <c r="A1867">
        <v>1865</v>
      </c>
      <c r="B1867" t="s">
        <v>2189</v>
      </c>
      <c r="C1867" t="s">
        <v>143</v>
      </c>
      <c r="D1867">
        <v>0.54374910248428698</v>
      </c>
    </row>
    <row r="1868" spans="1:4" hidden="1" x14ac:dyDescent="0.3">
      <c r="A1868">
        <v>1866</v>
      </c>
      <c r="B1868" s="1" t="s">
        <v>2190</v>
      </c>
      <c r="C1868" t="s">
        <v>145</v>
      </c>
      <c r="D1868" s="1" t="s">
        <v>2191</v>
      </c>
    </row>
    <row r="1869" spans="1:4" hidden="1" x14ac:dyDescent="0.3">
      <c r="A1869">
        <v>1867</v>
      </c>
      <c r="B1869" t="s">
        <v>2192</v>
      </c>
      <c r="C1869" t="s">
        <v>30</v>
      </c>
      <c r="D1869">
        <v>1.0523402855445101</v>
      </c>
    </row>
    <row r="1870" spans="1:4" hidden="1" x14ac:dyDescent="0.3">
      <c r="A1870">
        <v>1868</v>
      </c>
      <c r="B1870" t="s">
        <v>2193</v>
      </c>
      <c r="C1870" t="s">
        <v>32</v>
      </c>
      <c r="D1870">
        <v>0.36996295888386299</v>
      </c>
    </row>
    <row r="1871" spans="1:4" hidden="1" x14ac:dyDescent="0.3">
      <c r="A1871">
        <v>1869</v>
      </c>
      <c r="B1871" s="1" t="s">
        <v>2194</v>
      </c>
      <c r="C1871" t="s">
        <v>149</v>
      </c>
      <c r="D1871" s="1" t="s">
        <v>2195</v>
      </c>
    </row>
    <row r="1872" spans="1:4" hidden="1" x14ac:dyDescent="0.3">
      <c r="A1872">
        <v>1870</v>
      </c>
      <c r="B1872" t="s">
        <v>2196</v>
      </c>
      <c r="C1872" t="s">
        <v>40</v>
      </c>
      <c r="D1872">
        <v>1.1006493281659799</v>
      </c>
    </row>
    <row r="1873" spans="1:4" hidden="1" x14ac:dyDescent="0.3">
      <c r="A1873">
        <v>1871</v>
      </c>
      <c r="B1873" t="s">
        <v>2197</v>
      </c>
      <c r="C1873" t="s">
        <v>42</v>
      </c>
      <c r="D1873">
        <v>0.46912053648410701</v>
      </c>
    </row>
    <row r="1874" spans="1:4" hidden="1" x14ac:dyDescent="0.3">
      <c r="A1874">
        <v>1872</v>
      </c>
      <c r="B1874" s="1" t="s">
        <v>2198</v>
      </c>
      <c r="C1874" t="s">
        <v>153</v>
      </c>
      <c r="D1874" s="1" t="s">
        <v>2199</v>
      </c>
    </row>
    <row r="1875" spans="1:4" hidden="1" x14ac:dyDescent="0.3">
      <c r="A1875">
        <v>1873</v>
      </c>
      <c r="B1875" t="s">
        <v>154</v>
      </c>
      <c r="C1875" t="s">
        <v>155</v>
      </c>
      <c r="D1875">
        <v>1</v>
      </c>
    </row>
    <row r="1876" spans="1:4" hidden="1" x14ac:dyDescent="0.3">
      <c r="A1876">
        <v>1874</v>
      </c>
      <c r="B1876" t="s">
        <v>156</v>
      </c>
      <c r="C1876" t="s">
        <v>157</v>
      </c>
      <c r="D1876">
        <v>1</v>
      </c>
    </row>
    <row r="1877" spans="1:4" hidden="1" x14ac:dyDescent="0.3">
      <c r="A1877">
        <v>1875</v>
      </c>
      <c r="B1877" s="1" t="s">
        <v>2200</v>
      </c>
      <c r="C1877" t="s">
        <v>159</v>
      </c>
      <c r="D1877" s="1" t="s">
        <v>2201</v>
      </c>
    </row>
    <row r="1878" spans="1:4" hidden="1" x14ac:dyDescent="0.3">
      <c r="A1878">
        <v>1876</v>
      </c>
      <c r="B1878" t="s">
        <v>2202</v>
      </c>
      <c r="C1878" t="s">
        <v>162</v>
      </c>
      <c r="D1878">
        <v>0.99375477087501296</v>
      </c>
    </row>
    <row r="1879" spans="1:4" hidden="1" x14ac:dyDescent="0.3">
      <c r="A1879">
        <v>1877</v>
      </c>
      <c r="B1879" t="s">
        <v>2203</v>
      </c>
      <c r="C1879" t="s">
        <v>164</v>
      </c>
      <c r="D1879">
        <v>1.0103199401242999</v>
      </c>
    </row>
    <row r="1880" spans="1:4" hidden="1" x14ac:dyDescent="0.3">
      <c r="A1880">
        <v>1878</v>
      </c>
      <c r="B1880" s="1" t="s">
        <v>2204</v>
      </c>
      <c r="C1880" t="s">
        <v>166</v>
      </c>
      <c r="D1880" s="1" t="s">
        <v>2205</v>
      </c>
    </row>
    <row r="1881" spans="1:4" hidden="1" x14ac:dyDescent="0.3">
      <c r="A1881">
        <v>1879</v>
      </c>
      <c r="B1881" s="1" t="s">
        <v>2206</v>
      </c>
      <c r="C1881" t="s">
        <v>55</v>
      </c>
      <c r="D1881" s="1" t="s">
        <v>2207</v>
      </c>
    </row>
    <row r="1882" spans="1:4" hidden="1" x14ac:dyDescent="0.3">
      <c r="A1882">
        <v>1880</v>
      </c>
      <c r="B1882" s="1" t="s">
        <v>2208</v>
      </c>
      <c r="C1882" t="s">
        <v>52</v>
      </c>
      <c r="D1882" s="1" t="s">
        <v>2209</v>
      </c>
    </row>
    <row r="1883" spans="1:4" hidden="1" x14ac:dyDescent="0.3">
      <c r="A1883">
        <v>1881</v>
      </c>
      <c r="B1883" s="1" t="s">
        <v>2210</v>
      </c>
      <c r="C1883" t="s">
        <v>58</v>
      </c>
      <c r="D1883" s="1" t="s">
        <v>2211</v>
      </c>
    </row>
    <row r="1884" spans="1:4" hidden="1" x14ac:dyDescent="0.3">
      <c r="A1884">
        <v>1882</v>
      </c>
      <c r="B1884" t="s">
        <v>2212</v>
      </c>
      <c r="C1884" t="s">
        <v>61</v>
      </c>
      <c r="D1884">
        <v>149928187.20783299</v>
      </c>
    </row>
    <row r="1885" spans="1:4" hidden="1" x14ac:dyDescent="0.3">
      <c r="A1885">
        <v>1883</v>
      </c>
      <c r="B1885" t="s">
        <v>2213</v>
      </c>
      <c r="C1885" t="s">
        <v>63</v>
      </c>
      <c r="D1885">
        <v>79997871.082628995</v>
      </c>
    </row>
    <row r="1886" spans="1:4" hidden="1" x14ac:dyDescent="0.3">
      <c r="A1886">
        <v>1884</v>
      </c>
      <c r="B1886" t="s">
        <v>2214</v>
      </c>
      <c r="C1886" t="s">
        <v>65</v>
      </c>
      <c r="D1886">
        <v>39999140.156564601</v>
      </c>
    </row>
    <row r="1887" spans="1:4" hidden="1" x14ac:dyDescent="0.3">
      <c r="A1887">
        <v>1885</v>
      </c>
      <c r="B1887" s="1" t="s">
        <v>2215</v>
      </c>
      <c r="C1887" t="s">
        <v>67</v>
      </c>
      <c r="D1887" s="1" t="s">
        <v>2216</v>
      </c>
    </row>
    <row r="1888" spans="1:4" hidden="1" x14ac:dyDescent="0.3">
      <c r="A1888">
        <v>1886</v>
      </c>
      <c r="B1888" s="1" t="s">
        <v>2217</v>
      </c>
      <c r="C1888" t="s">
        <v>70</v>
      </c>
      <c r="D1888" s="1" t="s">
        <v>2218</v>
      </c>
    </row>
    <row r="1889" spans="1:4" hidden="1" x14ac:dyDescent="0.3">
      <c r="A1889">
        <v>1887</v>
      </c>
      <c r="B1889" t="s">
        <v>2219</v>
      </c>
      <c r="C1889" t="s">
        <v>73</v>
      </c>
      <c r="D1889">
        <v>1.00001755897278</v>
      </c>
    </row>
    <row r="1890" spans="1:4" hidden="1" x14ac:dyDescent="0.3">
      <c r="A1890">
        <v>1888</v>
      </c>
      <c r="B1890" t="s">
        <v>74</v>
      </c>
      <c r="C1890" t="s">
        <v>75</v>
      </c>
      <c r="D1890">
        <v>2.7397260273972599E-3</v>
      </c>
    </row>
    <row r="1891" spans="1:4" hidden="1" x14ac:dyDescent="0.3">
      <c r="A1891">
        <v>1889</v>
      </c>
      <c r="B1891" t="s">
        <v>76</v>
      </c>
      <c r="C1891" t="s">
        <v>77</v>
      </c>
      <c r="D1891">
        <v>0</v>
      </c>
    </row>
    <row r="1892" spans="1:4" hidden="1" x14ac:dyDescent="0.3">
      <c r="A1892">
        <v>1890</v>
      </c>
      <c r="B1892" t="s">
        <v>78</v>
      </c>
      <c r="C1892" t="s">
        <v>79</v>
      </c>
      <c r="D1892">
        <v>0</v>
      </c>
    </row>
    <row r="1893" spans="1:4" hidden="1" x14ac:dyDescent="0.3">
      <c r="A1893">
        <v>1891</v>
      </c>
      <c r="B1893" s="1" t="s">
        <v>2220</v>
      </c>
      <c r="C1893" t="s">
        <v>81</v>
      </c>
      <c r="D1893" s="1" t="s">
        <v>2221</v>
      </c>
    </row>
    <row r="1894" spans="1:4" hidden="1" x14ac:dyDescent="0.3">
      <c r="A1894">
        <v>1892</v>
      </c>
      <c r="B1894" t="s">
        <v>2222</v>
      </c>
      <c r="C1894" t="s">
        <v>84</v>
      </c>
      <c r="D1894">
        <v>1.0000378169253701</v>
      </c>
    </row>
    <row r="1895" spans="1:4" hidden="1" x14ac:dyDescent="0.3">
      <c r="A1895">
        <v>1893</v>
      </c>
      <c r="B1895" s="1" t="s">
        <v>2223</v>
      </c>
      <c r="C1895" t="s">
        <v>86</v>
      </c>
      <c r="D1895" s="1" t="s">
        <v>2224</v>
      </c>
    </row>
    <row r="1896" spans="1:4" hidden="1" x14ac:dyDescent="0.3">
      <c r="A1896">
        <v>1894</v>
      </c>
      <c r="B1896" t="s">
        <v>2225</v>
      </c>
      <c r="C1896" t="s">
        <v>89</v>
      </c>
      <c r="D1896">
        <v>99996218.450468704</v>
      </c>
    </row>
    <row r="1897" spans="1:4" hidden="1" x14ac:dyDescent="0.3">
      <c r="A1897">
        <v>1895</v>
      </c>
      <c r="B1897" s="1" t="s">
        <v>2226</v>
      </c>
      <c r="C1897" t="s">
        <v>91</v>
      </c>
      <c r="D1897" s="1" t="s">
        <v>2172</v>
      </c>
    </row>
    <row r="1898" spans="1:4" hidden="1" x14ac:dyDescent="0.3">
      <c r="A1898">
        <v>1896</v>
      </c>
      <c r="B1898" t="s">
        <v>2227</v>
      </c>
      <c r="C1898" t="s">
        <v>94</v>
      </c>
      <c r="D1898">
        <v>79997871.082628995</v>
      </c>
    </row>
    <row r="1899" spans="1:4" hidden="1" x14ac:dyDescent="0.3">
      <c r="A1899">
        <v>1897</v>
      </c>
      <c r="B1899" t="s">
        <v>2228</v>
      </c>
      <c r="C1899" t="s">
        <v>96</v>
      </c>
      <c r="D1899">
        <v>39999140.156564601</v>
      </c>
    </row>
    <row r="1900" spans="1:4" hidden="1" x14ac:dyDescent="0.3">
      <c r="A1900">
        <v>1898</v>
      </c>
      <c r="B1900" t="s">
        <v>2229</v>
      </c>
      <c r="C1900" t="s">
        <v>98</v>
      </c>
      <c r="D1900">
        <v>29931175.9686401</v>
      </c>
    </row>
    <row r="1901" spans="1:4" hidden="1" x14ac:dyDescent="0.3">
      <c r="A1901">
        <v>1899</v>
      </c>
      <c r="B1901" s="1" t="s">
        <v>2230</v>
      </c>
      <c r="C1901" t="s">
        <v>100</v>
      </c>
      <c r="D1901" s="1" t="s">
        <v>2231</v>
      </c>
    </row>
    <row r="1902" spans="1:4" hidden="1" x14ac:dyDescent="0.3">
      <c r="A1902">
        <v>1900</v>
      </c>
      <c r="B1902" t="s">
        <v>2232</v>
      </c>
      <c r="C1902" t="s">
        <v>103</v>
      </c>
      <c r="D1902">
        <v>9.8172579921471902E-3</v>
      </c>
    </row>
    <row r="1903" spans="1:4" hidden="1" x14ac:dyDescent="0.3">
      <c r="A1903">
        <v>1901</v>
      </c>
      <c r="B1903" t="s">
        <v>2233</v>
      </c>
      <c r="C1903" t="s">
        <v>105</v>
      </c>
      <c r="D1903">
        <v>2.6644535786511702E-3</v>
      </c>
    </row>
    <row r="1904" spans="1:4" hidden="1" x14ac:dyDescent="0.3">
      <c r="A1904">
        <v>1902</v>
      </c>
      <c r="B1904" t="s">
        <v>2234</v>
      </c>
      <c r="C1904" t="s">
        <v>107</v>
      </c>
      <c r="D1904">
        <v>2.19800168477726E-2</v>
      </c>
    </row>
    <row r="1905" spans="1:4" hidden="1" x14ac:dyDescent="0.3">
      <c r="A1905">
        <v>1903</v>
      </c>
      <c r="B1905" s="1" t="s">
        <v>2235</v>
      </c>
      <c r="C1905" t="s">
        <v>109</v>
      </c>
      <c r="D1905" s="1" t="s">
        <v>2236</v>
      </c>
    </row>
    <row r="1906" spans="1:4" x14ac:dyDescent="0.3">
      <c r="A1906">
        <v>1904</v>
      </c>
      <c r="B1906" t="s">
        <v>2237</v>
      </c>
      <c r="C1906" t="s">
        <v>197</v>
      </c>
      <c r="D1906">
        <v>149928886.90998799</v>
      </c>
    </row>
    <row r="1907" spans="1:4" hidden="1" x14ac:dyDescent="0.3">
      <c r="A1907">
        <v>1905</v>
      </c>
      <c r="B1907" t="s">
        <v>2238</v>
      </c>
      <c r="C1907" t="s">
        <v>199</v>
      </c>
      <c r="D1907">
        <v>-1620.57557204924</v>
      </c>
    </row>
    <row r="1908" spans="1:4" hidden="1" x14ac:dyDescent="0.3">
      <c r="A1908">
        <v>1906</v>
      </c>
      <c r="B1908" t="s">
        <v>2239</v>
      </c>
      <c r="C1908" t="s">
        <v>201</v>
      </c>
      <c r="D1908">
        <v>-810.28858069398905</v>
      </c>
    </row>
    <row r="1909" spans="1:4" hidden="1" x14ac:dyDescent="0.3">
      <c r="A1909">
        <v>1907</v>
      </c>
      <c r="B1909" s="1" t="s">
        <v>2240</v>
      </c>
      <c r="C1909" t="s">
        <v>203</v>
      </c>
      <c r="D1909" s="1" t="s">
        <v>2241</v>
      </c>
    </row>
    <row r="1910" spans="1:4" hidden="1" x14ac:dyDescent="0.3">
      <c r="A1910">
        <v>1908</v>
      </c>
      <c r="B1910" t="s">
        <v>2242</v>
      </c>
      <c r="C1910" t="s">
        <v>206</v>
      </c>
      <c r="D1910">
        <v>80000032.094201207</v>
      </c>
    </row>
    <row r="1911" spans="1:4" hidden="1" x14ac:dyDescent="0.3">
      <c r="A1911">
        <v>1909</v>
      </c>
      <c r="B1911" t="s">
        <v>2243</v>
      </c>
      <c r="C1911" t="s">
        <v>208</v>
      </c>
      <c r="D1911">
        <v>40000055.276110299</v>
      </c>
    </row>
    <row r="1912" spans="1:4" hidden="1" x14ac:dyDescent="0.3">
      <c r="A1912">
        <v>1910</v>
      </c>
      <c r="B1912" t="s">
        <v>2244</v>
      </c>
      <c r="C1912" t="s">
        <v>210</v>
      </c>
      <c r="D1912">
        <v>29931836.738629598</v>
      </c>
    </row>
    <row r="1913" spans="1:4" hidden="1" x14ac:dyDescent="0.3">
      <c r="A1913">
        <v>1911</v>
      </c>
      <c r="B1913" s="1" t="s">
        <v>2245</v>
      </c>
      <c r="C1913" t="s">
        <v>212</v>
      </c>
      <c r="D1913" s="1" t="s">
        <v>2246</v>
      </c>
    </row>
    <row r="1914" spans="1:4" hidden="1" x14ac:dyDescent="0.3">
      <c r="A1914">
        <v>1912</v>
      </c>
      <c r="B1914" t="s">
        <v>2247</v>
      </c>
      <c r="C1914" t="s">
        <v>215</v>
      </c>
      <c r="D1914">
        <v>99998244.133552194</v>
      </c>
    </row>
    <row r="1915" spans="1:4" hidden="1" x14ac:dyDescent="0.3">
      <c r="A1915">
        <v>1913</v>
      </c>
      <c r="B1915" t="s">
        <v>2248</v>
      </c>
      <c r="C1915" t="s">
        <v>217</v>
      </c>
      <c r="D1915">
        <v>-2025.6830834746299</v>
      </c>
    </row>
    <row r="1916" spans="1:4" hidden="1" x14ac:dyDescent="0.3">
      <c r="A1916">
        <v>1914</v>
      </c>
      <c r="B1916" s="1" t="s">
        <v>2249</v>
      </c>
      <c r="C1916" t="s">
        <v>219</v>
      </c>
      <c r="D1916" s="1" t="s">
        <v>2250</v>
      </c>
    </row>
    <row r="1917" spans="1:4" hidden="1" x14ac:dyDescent="0.3">
      <c r="A1917">
        <v>1915</v>
      </c>
      <c r="B1917" t="s">
        <v>2251</v>
      </c>
      <c r="C1917" t="s">
        <v>112</v>
      </c>
      <c r="D1917">
        <v>540.43600013024104</v>
      </c>
    </row>
    <row r="1918" spans="1:4" hidden="1" x14ac:dyDescent="0.3">
      <c r="A1918">
        <v>1916</v>
      </c>
      <c r="B1918" t="s">
        <v>2252</v>
      </c>
      <c r="C1918" t="s">
        <v>114</v>
      </c>
      <c r="D1918">
        <v>104.830965002258</v>
      </c>
    </row>
    <row r="1919" spans="1:4" hidden="1" x14ac:dyDescent="0.3">
      <c r="A1919">
        <v>1917</v>
      </c>
      <c r="B1919" s="1" t="s">
        <v>2253</v>
      </c>
      <c r="C1919" t="s">
        <v>116</v>
      </c>
      <c r="D1919" s="1" t="s">
        <v>2254</v>
      </c>
    </row>
    <row r="1920" spans="1:4" hidden="1" x14ac:dyDescent="0.3">
      <c r="A1920">
        <v>1918</v>
      </c>
      <c r="B1920" t="s">
        <v>2255</v>
      </c>
      <c r="C1920" t="s">
        <v>119</v>
      </c>
      <c r="D1920">
        <v>80000032.094201207</v>
      </c>
    </row>
    <row r="1921" spans="1:4" hidden="1" x14ac:dyDescent="0.3">
      <c r="A1921">
        <v>1919</v>
      </c>
      <c r="B1921" t="s">
        <v>2256</v>
      </c>
      <c r="C1921" t="s">
        <v>121</v>
      </c>
      <c r="D1921">
        <v>40000055.276110299</v>
      </c>
    </row>
    <row r="1922" spans="1:4" hidden="1" x14ac:dyDescent="0.3">
      <c r="A1922">
        <v>1920</v>
      </c>
      <c r="B1922" s="1" t="s">
        <v>2257</v>
      </c>
      <c r="C1922" t="s">
        <v>123</v>
      </c>
      <c r="D1922" s="1" t="s">
        <v>2258</v>
      </c>
    </row>
    <row r="1923" spans="1:4" hidden="1" x14ac:dyDescent="0.3">
      <c r="A1923">
        <v>1921</v>
      </c>
      <c r="B1923" t="s">
        <v>2259</v>
      </c>
      <c r="C1923" t="s">
        <v>126</v>
      </c>
      <c r="D1923">
        <v>0.79998411518629198</v>
      </c>
    </row>
    <row r="1924" spans="1:4" hidden="1" x14ac:dyDescent="0.3">
      <c r="A1924">
        <v>1922</v>
      </c>
      <c r="B1924" t="s">
        <v>2260</v>
      </c>
      <c r="C1924" t="s">
        <v>128</v>
      </c>
      <c r="D1924">
        <v>0.39999244987529597</v>
      </c>
    </row>
    <row r="1925" spans="1:4" hidden="1" x14ac:dyDescent="0.3">
      <c r="A1925">
        <v>1923</v>
      </c>
      <c r="B1925" s="1" t="s">
        <v>2261</v>
      </c>
      <c r="C1925" t="s">
        <v>130</v>
      </c>
      <c r="D1925" s="1" t="s">
        <v>2262</v>
      </c>
    </row>
    <row r="1926" spans="1:4" hidden="1" x14ac:dyDescent="0.3">
      <c r="A1926">
        <v>1924</v>
      </c>
      <c r="B1926" s="1" t="s">
        <v>3</v>
      </c>
      <c r="C1926" t="s">
        <v>4</v>
      </c>
      <c r="D1926" t="s">
        <v>5</v>
      </c>
    </row>
    <row r="1927" spans="1:4" hidden="1" x14ac:dyDescent="0.3">
      <c r="A1927">
        <v>1925</v>
      </c>
      <c r="B1927" t="s">
        <v>6</v>
      </c>
      <c r="C1927" t="s">
        <v>7</v>
      </c>
      <c r="D1927">
        <v>1950.52</v>
      </c>
    </row>
    <row r="1928" spans="1:4" hidden="1" x14ac:dyDescent="0.3">
      <c r="A1928">
        <v>1926</v>
      </c>
      <c r="B1928" s="1" t="s">
        <v>132</v>
      </c>
      <c r="C1928" t="s">
        <v>9</v>
      </c>
      <c r="D1928" s="1" t="s">
        <v>133</v>
      </c>
    </row>
    <row r="1929" spans="1:4" hidden="1" x14ac:dyDescent="0.3">
      <c r="A1929">
        <v>1927</v>
      </c>
      <c r="B1929" t="s">
        <v>13</v>
      </c>
      <c r="C1929" t="s">
        <v>14</v>
      </c>
      <c r="D1929">
        <v>90.82421875</v>
      </c>
    </row>
    <row r="1930" spans="1:4" hidden="1" x14ac:dyDescent="0.3">
      <c r="A1930">
        <v>1928</v>
      </c>
      <c r="B1930" t="s">
        <v>15</v>
      </c>
      <c r="C1930" t="s">
        <v>16</v>
      </c>
      <c r="D1930">
        <v>4.2527792330373497</v>
      </c>
    </row>
    <row r="1931" spans="1:4" hidden="1" x14ac:dyDescent="0.3">
      <c r="A1931">
        <v>1929</v>
      </c>
      <c r="B1931" s="1" t="s">
        <v>134</v>
      </c>
      <c r="C1931" t="s">
        <v>135</v>
      </c>
      <c r="D1931" s="1" t="s">
        <v>136</v>
      </c>
    </row>
    <row r="1932" spans="1:4" hidden="1" x14ac:dyDescent="0.3">
      <c r="A1932">
        <v>1930</v>
      </c>
      <c r="B1932" t="s">
        <v>21</v>
      </c>
      <c r="C1932" t="s">
        <v>22</v>
      </c>
      <c r="D1932">
        <v>62.9</v>
      </c>
    </row>
    <row r="1933" spans="1:4" hidden="1" x14ac:dyDescent="0.3">
      <c r="A1933">
        <v>1931</v>
      </c>
      <c r="B1933" t="s">
        <v>2263</v>
      </c>
      <c r="C1933" t="s">
        <v>24</v>
      </c>
      <c r="D1933">
        <v>3.9838477631031299</v>
      </c>
    </row>
    <row r="1934" spans="1:4" hidden="1" x14ac:dyDescent="0.3">
      <c r="A1934">
        <v>1932</v>
      </c>
      <c r="B1934" s="1" t="s">
        <v>2264</v>
      </c>
      <c r="C1934" t="s">
        <v>139</v>
      </c>
      <c r="D1934" s="1" t="s">
        <v>2265</v>
      </c>
    </row>
    <row r="1935" spans="1:4" hidden="1" x14ac:dyDescent="0.3">
      <c r="A1935">
        <v>1933</v>
      </c>
      <c r="B1935" t="s">
        <v>2266</v>
      </c>
      <c r="C1935" t="s">
        <v>35</v>
      </c>
      <c r="D1935">
        <v>-1.1756075425078401</v>
      </c>
    </row>
    <row r="1936" spans="1:4" hidden="1" x14ac:dyDescent="0.3">
      <c r="A1936">
        <v>1934</v>
      </c>
      <c r="B1936" t="s">
        <v>2267</v>
      </c>
      <c r="C1936" t="s">
        <v>143</v>
      </c>
      <c r="D1936">
        <v>0.54337287866858797</v>
      </c>
    </row>
    <row r="1937" spans="1:4" hidden="1" x14ac:dyDescent="0.3">
      <c r="A1937">
        <v>1935</v>
      </c>
      <c r="B1937" s="1" t="s">
        <v>2268</v>
      </c>
      <c r="C1937" t="s">
        <v>145</v>
      </c>
      <c r="D1937" s="1" t="s">
        <v>2269</v>
      </c>
    </row>
    <row r="1938" spans="1:4" hidden="1" x14ac:dyDescent="0.3">
      <c r="A1938">
        <v>1936</v>
      </c>
      <c r="B1938" t="s">
        <v>2270</v>
      </c>
      <c r="C1938" t="s">
        <v>30</v>
      </c>
      <c r="D1938">
        <v>1.0729837999057701</v>
      </c>
    </row>
    <row r="1939" spans="1:4" hidden="1" x14ac:dyDescent="0.3">
      <c r="A1939">
        <v>1937</v>
      </c>
      <c r="B1939" t="s">
        <v>2271</v>
      </c>
      <c r="C1939" t="s">
        <v>32</v>
      </c>
      <c r="D1939">
        <v>0.370493081880513</v>
      </c>
    </row>
    <row r="1940" spans="1:4" hidden="1" x14ac:dyDescent="0.3">
      <c r="A1940">
        <v>1938</v>
      </c>
      <c r="B1940" s="1" t="s">
        <v>2272</v>
      </c>
      <c r="C1940" t="s">
        <v>149</v>
      </c>
      <c r="D1940" s="1" t="s">
        <v>2273</v>
      </c>
    </row>
    <row r="1941" spans="1:4" hidden="1" x14ac:dyDescent="0.3">
      <c r="A1941">
        <v>1939</v>
      </c>
      <c r="B1941" t="s">
        <v>2274</v>
      </c>
      <c r="C1941" t="s">
        <v>40</v>
      </c>
      <c r="D1941">
        <v>1.10262374260206</v>
      </c>
    </row>
    <row r="1942" spans="1:4" hidden="1" x14ac:dyDescent="0.3">
      <c r="A1942">
        <v>1940</v>
      </c>
      <c r="B1942" t="s">
        <v>2275</v>
      </c>
      <c r="C1942" t="s">
        <v>42</v>
      </c>
      <c r="D1942">
        <v>0.46986376929371598</v>
      </c>
    </row>
    <row r="1943" spans="1:4" hidden="1" x14ac:dyDescent="0.3">
      <c r="A1943">
        <v>1941</v>
      </c>
      <c r="B1943" s="1" t="s">
        <v>2276</v>
      </c>
      <c r="C1943" t="s">
        <v>153</v>
      </c>
      <c r="D1943" s="1" t="s">
        <v>2277</v>
      </c>
    </row>
    <row r="1944" spans="1:4" hidden="1" x14ac:dyDescent="0.3">
      <c r="A1944">
        <v>1942</v>
      </c>
      <c r="B1944" t="s">
        <v>154</v>
      </c>
      <c r="C1944" t="s">
        <v>155</v>
      </c>
      <c r="D1944">
        <v>1</v>
      </c>
    </row>
    <row r="1945" spans="1:4" hidden="1" x14ac:dyDescent="0.3">
      <c r="A1945">
        <v>1943</v>
      </c>
      <c r="B1945" t="s">
        <v>156</v>
      </c>
      <c r="C1945" t="s">
        <v>157</v>
      </c>
      <c r="D1945">
        <v>1</v>
      </c>
    </row>
    <row r="1946" spans="1:4" hidden="1" x14ac:dyDescent="0.3">
      <c r="A1946">
        <v>1944</v>
      </c>
      <c r="B1946" s="1" t="s">
        <v>2278</v>
      </c>
      <c r="C1946" t="s">
        <v>159</v>
      </c>
      <c r="D1946" s="1" t="s">
        <v>2279</v>
      </c>
    </row>
    <row r="1947" spans="1:4" hidden="1" x14ac:dyDescent="0.3">
      <c r="A1947">
        <v>1945</v>
      </c>
      <c r="B1947" t="s">
        <v>2280</v>
      </c>
      <c r="C1947" t="s">
        <v>162</v>
      </c>
      <c r="D1947">
        <v>0.99975629212344497</v>
      </c>
    </row>
    <row r="1948" spans="1:4" hidden="1" x14ac:dyDescent="0.3">
      <c r="A1948">
        <v>1946</v>
      </c>
      <c r="B1948" t="s">
        <v>2281</v>
      </c>
      <c r="C1948" t="s">
        <v>164</v>
      </c>
      <c r="D1948">
        <v>1.00038696155484</v>
      </c>
    </row>
    <row r="1949" spans="1:4" hidden="1" x14ac:dyDescent="0.3">
      <c r="A1949">
        <v>1947</v>
      </c>
      <c r="B1949" s="1" t="s">
        <v>2282</v>
      </c>
      <c r="C1949" t="s">
        <v>166</v>
      </c>
      <c r="D1949" s="1" t="s">
        <v>2283</v>
      </c>
    </row>
    <row r="1950" spans="1:4" hidden="1" x14ac:dyDescent="0.3">
      <c r="A1950">
        <v>1948</v>
      </c>
      <c r="B1950" s="1" t="s">
        <v>2284</v>
      </c>
      <c r="C1950" t="s">
        <v>55</v>
      </c>
      <c r="D1950" s="1" t="s">
        <v>2285</v>
      </c>
    </row>
    <row r="1951" spans="1:4" hidden="1" x14ac:dyDescent="0.3">
      <c r="A1951">
        <v>1949</v>
      </c>
      <c r="B1951" s="1" t="s">
        <v>2286</v>
      </c>
      <c r="C1951" t="s">
        <v>52</v>
      </c>
      <c r="D1951" s="1" t="s">
        <v>2287</v>
      </c>
    </row>
    <row r="1952" spans="1:4" hidden="1" x14ac:dyDescent="0.3">
      <c r="A1952">
        <v>1950</v>
      </c>
      <c r="B1952" s="1" t="s">
        <v>2288</v>
      </c>
      <c r="C1952" t="s">
        <v>58</v>
      </c>
      <c r="D1952" s="1" t="s">
        <v>2289</v>
      </c>
    </row>
    <row r="1953" spans="1:4" hidden="1" x14ac:dyDescent="0.3">
      <c r="A1953">
        <v>1951</v>
      </c>
      <c r="B1953" t="s">
        <v>2290</v>
      </c>
      <c r="C1953" t="s">
        <v>61</v>
      </c>
      <c r="D1953">
        <v>149932275.07729501</v>
      </c>
    </row>
    <row r="1954" spans="1:4" hidden="1" x14ac:dyDescent="0.3">
      <c r="A1954">
        <v>1952</v>
      </c>
      <c r="B1954" t="s">
        <v>2291</v>
      </c>
      <c r="C1954" t="s">
        <v>63</v>
      </c>
      <c r="D1954">
        <v>80000032.094201207</v>
      </c>
    </row>
    <row r="1955" spans="1:4" hidden="1" x14ac:dyDescent="0.3">
      <c r="A1955">
        <v>1953</v>
      </c>
      <c r="B1955" t="s">
        <v>2292</v>
      </c>
      <c r="C1955" t="s">
        <v>65</v>
      </c>
      <c r="D1955">
        <v>40000055.276110299</v>
      </c>
    </row>
    <row r="1956" spans="1:4" hidden="1" x14ac:dyDescent="0.3">
      <c r="A1956">
        <v>1954</v>
      </c>
      <c r="B1956" s="1" t="s">
        <v>2293</v>
      </c>
      <c r="C1956" t="s">
        <v>67</v>
      </c>
      <c r="D1956" s="1" t="s">
        <v>2294</v>
      </c>
    </row>
    <row r="1957" spans="1:4" hidden="1" x14ac:dyDescent="0.3">
      <c r="A1957">
        <v>1955</v>
      </c>
      <c r="B1957" s="1" t="s">
        <v>2295</v>
      </c>
      <c r="C1957" t="s">
        <v>70</v>
      </c>
      <c r="D1957" s="1" t="s">
        <v>2296</v>
      </c>
    </row>
    <row r="1958" spans="1:4" hidden="1" x14ac:dyDescent="0.3">
      <c r="A1958">
        <v>1956</v>
      </c>
      <c r="B1958" t="s">
        <v>2297</v>
      </c>
      <c r="C1958" t="s">
        <v>73</v>
      </c>
      <c r="D1958">
        <v>1.0000378169253701</v>
      </c>
    </row>
    <row r="1959" spans="1:4" hidden="1" x14ac:dyDescent="0.3">
      <c r="A1959">
        <v>1957</v>
      </c>
      <c r="B1959" t="s">
        <v>74</v>
      </c>
      <c r="C1959" t="s">
        <v>75</v>
      </c>
      <c r="D1959">
        <v>2.7397260273972599E-3</v>
      </c>
    </row>
    <row r="1960" spans="1:4" hidden="1" x14ac:dyDescent="0.3">
      <c r="A1960">
        <v>1958</v>
      </c>
      <c r="B1960" t="s">
        <v>76</v>
      </c>
      <c r="C1960" t="s">
        <v>77</v>
      </c>
      <c r="D1960">
        <v>0</v>
      </c>
    </row>
    <row r="1961" spans="1:4" hidden="1" x14ac:dyDescent="0.3">
      <c r="A1961">
        <v>1959</v>
      </c>
      <c r="B1961" t="s">
        <v>78</v>
      </c>
      <c r="C1961" t="s">
        <v>79</v>
      </c>
      <c r="D1961">
        <v>0</v>
      </c>
    </row>
    <row r="1962" spans="1:4" hidden="1" x14ac:dyDescent="0.3">
      <c r="A1962">
        <v>1960</v>
      </c>
      <c r="B1962" s="1" t="s">
        <v>2298</v>
      </c>
      <c r="C1962" t="s">
        <v>81</v>
      </c>
      <c r="D1962" s="1" t="s">
        <v>2299</v>
      </c>
    </row>
    <row r="1963" spans="1:4" hidden="1" x14ac:dyDescent="0.3">
      <c r="A1963">
        <v>1961</v>
      </c>
      <c r="B1963" t="s">
        <v>2300</v>
      </c>
      <c r="C1963" t="s">
        <v>84</v>
      </c>
      <c r="D1963">
        <v>1.0000159120890899</v>
      </c>
    </row>
    <row r="1964" spans="1:4" hidden="1" x14ac:dyDescent="0.3">
      <c r="A1964">
        <v>1962</v>
      </c>
      <c r="B1964" s="1" t="s">
        <v>2301</v>
      </c>
      <c r="C1964" t="s">
        <v>86</v>
      </c>
      <c r="D1964" s="1" t="s">
        <v>2302</v>
      </c>
    </row>
    <row r="1965" spans="1:4" hidden="1" x14ac:dyDescent="0.3">
      <c r="A1965">
        <v>1963</v>
      </c>
      <c r="B1965" t="s">
        <v>2303</v>
      </c>
      <c r="C1965" t="s">
        <v>89</v>
      </c>
      <c r="D1965">
        <v>99998408.816410005</v>
      </c>
    </row>
    <row r="1966" spans="1:4" hidden="1" x14ac:dyDescent="0.3">
      <c r="A1966">
        <v>1964</v>
      </c>
      <c r="B1966" s="1" t="s">
        <v>2304</v>
      </c>
      <c r="C1966" t="s">
        <v>91</v>
      </c>
      <c r="D1966" s="1" t="s">
        <v>2250</v>
      </c>
    </row>
    <row r="1967" spans="1:4" hidden="1" x14ac:dyDescent="0.3">
      <c r="A1967">
        <v>1965</v>
      </c>
      <c r="B1967" t="s">
        <v>2305</v>
      </c>
      <c r="C1967" t="s">
        <v>94</v>
      </c>
      <c r="D1967">
        <v>80000032.094201207</v>
      </c>
    </row>
    <row r="1968" spans="1:4" hidden="1" x14ac:dyDescent="0.3">
      <c r="A1968">
        <v>1966</v>
      </c>
      <c r="B1968" t="s">
        <v>2306</v>
      </c>
      <c r="C1968" t="s">
        <v>96</v>
      </c>
      <c r="D1968">
        <v>40000055.276110299</v>
      </c>
    </row>
    <row r="1969" spans="1:4" hidden="1" x14ac:dyDescent="0.3">
      <c r="A1969">
        <v>1967</v>
      </c>
      <c r="B1969" t="s">
        <v>2307</v>
      </c>
      <c r="C1969" t="s">
        <v>98</v>
      </c>
      <c r="D1969">
        <v>29932187.706983902</v>
      </c>
    </row>
    <row r="1970" spans="1:4" hidden="1" x14ac:dyDescent="0.3">
      <c r="A1970">
        <v>1968</v>
      </c>
      <c r="B1970" s="1" t="s">
        <v>2308</v>
      </c>
      <c r="C1970" t="s">
        <v>100</v>
      </c>
      <c r="D1970" s="1" t="s">
        <v>2309</v>
      </c>
    </row>
    <row r="1971" spans="1:4" hidden="1" x14ac:dyDescent="0.3">
      <c r="A1971">
        <v>1969</v>
      </c>
      <c r="B1971" t="s">
        <v>2310</v>
      </c>
      <c r="C1971" t="s">
        <v>103</v>
      </c>
      <c r="D1971">
        <v>9.8841897104023201E-3</v>
      </c>
    </row>
    <row r="1972" spans="1:4" hidden="1" x14ac:dyDescent="0.3">
      <c r="A1972">
        <v>1970</v>
      </c>
      <c r="B1972" t="s">
        <v>2311</v>
      </c>
      <c r="C1972" t="s">
        <v>105</v>
      </c>
      <c r="D1972">
        <v>2.6806703656005802E-3</v>
      </c>
    </row>
    <row r="1973" spans="1:4" hidden="1" x14ac:dyDescent="0.3">
      <c r="A1973">
        <v>1971</v>
      </c>
      <c r="B1973" t="s">
        <v>2312</v>
      </c>
      <c r="C1973" t="s">
        <v>107</v>
      </c>
      <c r="D1973">
        <v>2.1974058631682399E-2</v>
      </c>
    </row>
    <row r="1974" spans="1:4" hidden="1" x14ac:dyDescent="0.3">
      <c r="A1974">
        <v>1972</v>
      </c>
      <c r="B1974" s="1" t="s">
        <v>2313</v>
      </c>
      <c r="C1974" t="s">
        <v>109</v>
      </c>
      <c r="D1974" s="1" t="s">
        <v>2314</v>
      </c>
    </row>
    <row r="1975" spans="1:4" x14ac:dyDescent="0.3">
      <c r="A1975">
        <v>1973</v>
      </c>
      <c r="B1975" t="s">
        <v>2315</v>
      </c>
      <c r="C1975" t="s">
        <v>197</v>
      </c>
      <c r="D1975">
        <v>149931516.98662299</v>
      </c>
    </row>
    <row r="1976" spans="1:4" hidden="1" x14ac:dyDescent="0.3">
      <c r="A1976">
        <v>1974</v>
      </c>
      <c r="B1976" t="s">
        <v>2316</v>
      </c>
      <c r="C1976" t="s">
        <v>199</v>
      </c>
      <c r="D1976">
        <v>1752.30904826651</v>
      </c>
    </row>
    <row r="1977" spans="1:4" hidden="1" x14ac:dyDescent="0.3">
      <c r="A1977">
        <v>1975</v>
      </c>
      <c r="B1977" t="s">
        <v>2317</v>
      </c>
      <c r="C1977" t="s">
        <v>201</v>
      </c>
      <c r="D1977">
        <v>876.15912520701602</v>
      </c>
    </row>
    <row r="1978" spans="1:4" hidden="1" x14ac:dyDescent="0.3">
      <c r="A1978">
        <v>1976</v>
      </c>
      <c r="B1978" s="1" t="s">
        <v>2318</v>
      </c>
      <c r="C1978" t="s">
        <v>203</v>
      </c>
      <c r="D1978" s="1" t="s">
        <v>2319</v>
      </c>
    </row>
    <row r="1979" spans="1:4" hidden="1" x14ac:dyDescent="0.3">
      <c r="A1979">
        <v>1977</v>
      </c>
      <c r="B1979" t="s">
        <v>2320</v>
      </c>
      <c r="C1979" t="s">
        <v>206</v>
      </c>
      <c r="D1979">
        <v>79997718.682164893</v>
      </c>
    </row>
    <row r="1980" spans="1:4" hidden="1" x14ac:dyDescent="0.3">
      <c r="A1980">
        <v>1978</v>
      </c>
      <c r="B1980" t="s">
        <v>2321</v>
      </c>
      <c r="C1980" t="s">
        <v>208</v>
      </c>
      <c r="D1980">
        <v>39999069.392730802</v>
      </c>
    </row>
    <row r="1981" spans="1:4" hidden="1" x14ac:dyDescent="0.3">
      <c r="A1981">
        <v>1979</v>
      </c>
      <c r="B1981" t="s">
        <v>2322</v>
      </c>
      <c r="C1981" t="s">
        <v>210</v>
      </c>
      <c r="D1981">
        <v>29931444.810588799</v>
      </c>
    </row>
    <row r="1982" spans="1:4" hidden="1" x14ac:dyDescent="0.3">
      <c r="A1982">
        <v>1980</v>
      </c>
      <c r="B1982" s="1" t="s">
        <v>2323</v>
      </c>
      <c r="C1982" t="s">
        <v>212</v>
      </c>
      <c r="D1982" s="1" t="s">
        <v>2324</v>
      </c>
    </row>
    <row r="1983" spans="1:4" hidden="1" x14ac:dyDescent="0.3">
      <c r="A1983">
        <v>1981</v>
      </c>
      <c r="B1983" t="s">
        <v>2325</v>
      </c>
      <c r="C1983" t="s">
        <v>215</v>
      </c>
      <c r="D1983">
        <v>99996218.450468704</v>
      </c>
    </row>
    <row r="1984" spans="1:4" hidden="1" x14ac:dyDescent="0.3">
      <c r="A1984">
        <v>1982</v>
      </c>
      <c r="B1984" t="s">
        <v>2326</v>
      </c>
      <c r="C1984" t="s">
        <v>217</v>
      </c>
      <c r="D1984">
        <v>2190.36594130098</v>
      </c>
    </row>
    <row r="1985" spans="1:4" hidden="1" x14ac:dyDescent="0.3">
      <c r="A1985">
        <v>1983</v>
      </c>
      <c r="B1985" s="1" t="s">
        <v>2327</v>
      </c>
      <c r="C1985" t="s">
        <v>219</v>
      </c>
      <c r="D1985" s="1" t="s">
        <v>2328</v>
      </c>
    </row>
    <row r="1986" spans="1:4" hidden="1" x14ac:dyDescent="0.3">
      <c r="A1986">
        <v>1984</v>
      </c>
      <c r="B1986" t="s">
        <v>2329</v>
      </c>
      <c r="C1986" t="s">
        <v>112</v>
      </c>
      <c r="D1986">
        <v>-561.10298804887805</v>
      </c>
    </row>
    <row r="1987" spans="1:4" hidden="1" x14ac:dyDescent="0.3">
      <c r="A1987">
        <v>1985</v>
      </c>
      <c r="B1987" t="s">
        <v>2330</v>
      </c>
      <c r="C1987" t="s">
        <v>114</v>
      </c>
      <c r="D1987">
        <v>-109.724254323677</v>
      </c>
    </row>
    <row r="1988" spans="1:4" hidden="1" x14ac:dyDescent="0.3">
      <c r="A1988">
        <v>1986</v>
      </c>
      <c r="B1988" s="1" t="s">
        <v>2331</v>
      </c>
      <c r="C1988" t="s">
        <v>116</v>
      </c>
      <c r="D1988" s="1" t="s">
        <v>2332</v>
      </c>
    </row>
    <row r="1989" spans="1:4" hidden="1" x14ac:dyDescent="0.3">
      <c r="A1989">
        <v>1987</v>
      </c>
      <c r="B1989" t="s">
        <v>2333</v>
      </c>
      <c r="C1989" t="s">
        <v>119</v>
      </c>
      <c r="D1989">
        <v>79997718.682164893</v>
      </c>
    </row>
    <row r="1990" spans="1:4" hidden="1" x14ac:dyDescent="0.3">
      <c r="A1990">
        <v>1988</v>
      </c>
      <c r="B1990" t="s">
        <v>2334</v>
      </c>
      <c r="C1990" t="s">
        <v>121</v>
      </c>
      <c r="D1990">
        <v>39999069.392730802</v>
      </c>
    </row>
    <row r="1991" spans="1:4" hidden="1" x14ac:dyDescent="0.3">
      <c r="A1991">
        <v>1989</v>
      </c>
      <c r="B1991" s="1" t="s">
        <v>2335</v>
      </c>
      <c r="C1991" t="s">
        <v>123</v>
      </c>
      <c r="D1991" s="1" t="s">
        <v>2336</v>
      </c>
    </row>
    <row r="1992" spans="1:4" hidden="1" x14ac:dyDescent="0.3">
      <c r="A1992">
        <v>1990</v>
      </c>
      <c r="B1992" t="s">
        <v>2337</v>
      </c>
      <c r="C1992" t="s">
        <v>126</v>
      </c>
      <c r="D1992">
        <v>0.79999470991213195</v>
      </c>
    </row>
    <row r="1993" spans="1:4" hidden="1" x14ac:dyDescent="0.3">
      <c r="A1993">
        <v>1991</v>
      </c>
      <c r="B1993" t="s">
        <v>2338</v>
      </c>
      <c r="C1993" t="s">
        <v>128</v>
      </c>
      <c r="D1993">
        <v>0.39999945551855998</v>
      </c>
    </row>
    <row r="1994" spans="1:4" hidden="1" x14ac:dyDescent="0.3">
      <c r="A1994">
        <v>1992</v>
      </c>
      <c r="B1994" s="1" t="s">
        <v>2339</v>
      </c>
      <c r="C1994" t="s">
        <v>130</v>
      </c>
      <c r="D1994" s="1" t="s">
        <v>2340</v>
      </c>
    </row>
    <row r="1995" spans="1:4" hidden="1" x14ac:dyDescent="0.3">
      <c r="A1995">
        <v>1993</v>
      </c>
      <c r="B1995" s="1" t="s">
        <v>3</v>
      </c>
      <c r="C1995" t="s">
        <v>4</v>
      </c>
      <c r="D1995" t="s">
        <v>5</v>
      </c>
    </row>
    <row r="1996" spans="1:4" hidden="1" x14ac:dyDescent="0.3">
      <c r="A1996">
        <v>1994</v>
      </c>
      <c r="B1996" t="s">
        <v>2341</v>
      </c>
      <c r="C1996" t="s">
        <v>7</v>
      </c>
      <c r="D1996">
        <v>1170.3119999999999</v>
      </c>
    </row>
    <row r="1997" spans="1:4" hidden="1" x14ac:dyDescent="0.3">
      <c r="A1997">
        <v>1995</v>
      </c>
      <c r="B1997" s="1" t="s">
        <v>2342</v>
      </c>
      <c r="C1997" t="s">
        <v>9</v>
      </c>
      <c r="D1997" s="1" t="s">
        <v>2343</v>
      </c>
    </row>
    <row r="1998" spans="1:4" hidden="1" x14ac:dyDescent="0.3">
      <c r="A1998">
        <v>1996</v>
      </c>
      <c r="B1998" t="s">
        <v>13</v>
      </c>
      <c r="C1998" t="s">
        <v>14</v>
      </c>
      <c r="D1998">
        <v>90.82421875</v>
      </c>
    </row>
    <row r="1999" spans="1:4" hidden="1" x14ac:dyDescent="0.3">
      <c r="A1999">
        <v>1997</v>
      </c>
      <c r="B1999" t="s">
        <v>15</v>
      </c>
      <c r="C1999" t="s">
        <v>16</v>
      </c>
      <c r="D1999">
        <v>4.2527792330373497</v>
      </c>
    </row>
    <row r="2000" spans="1:4" hidden="1" x14ac:dyDescent="0.3">
      <c r="A2000">
        <v>1998</v>
      </c>
      <c r="B2000" s="1" t="s">
        <v>134</v>
      </c>
      <c r="C2000" t="s">
        <v>135</v>
      </c>
      <c r="D2000" s="1" t="s">
        <v>136</v>
      </c>
    </row>
    <row r="2001" spans="1:4" hidden="1" x14ac:dyDescent="0.3">
      <c r="A2001">
        <v>1999</v>
      </c>
      <c r="B2001" t="s">
        <v>2344</v>
      </c>
      <c r="C2001" t="s">
        <v>22</v>
      </c>
      <c r="D2001">
        <v>12.58</v>
      </c>
    </row>
    <row r="2002" spans="1:4" hidden="1" x14ac:dyDescent="0.3">
      <c r="A2002">
        <v>2000</v>
      </c>
      <c r="B2002" t="s">
        <v>2345</v>
      </c>
      <c r="C2002" t="s">
        <v>24</v>
      </c>
      <c r="D2002">
        <v>7.9930371318412297</v>
      </c>
    </row>
    <row r="2003" spans="1:4" hidden="1" x14ac:dyDescent="0.3">
      <c r="A2003">
        <v>2001</v>
      </c>
      <c r="B2003" s="1" t="s">
        <v>2346</v>
      </c>
      <c r="C2003" t="s">
        <v>139</v>
      </c>
      <c r="D2003" s="1" t="s">
        <v>2347</v>
      </c>
    </row>
    <row r="2004" spans="1:4" hidden="1" x14ac:dyDescent="0.3">
      <c r="A2004">
        <v>2002</v>
      </c>
      <c r="B2004" t="s">
        <v>2348</v>
      </c>
      <c r="C2004" t="s">
        <v>35</v>
      </c>
      <c r="D2004">
        <v>-0.30589270642539101</v>
      </c>
    </row>
    <row r="2005" spans="1:4" hidden="1" x14ac:dyDescent="0.3">
      <c r="A2005">
        <v>2003</v>
      </c>
      <c r="B2005" t="s">
        <v>2349</v>
      </c>
      <c r="C2005" t="s">
        <v>143</v>
      </c>
      <c r="D2005">
        <v>0.69065966585467198</v>
      </c>
    </row>
    <row r="2006" spans="1:4" hidden="1" x14ac:dyDescent="0.3">
      <c r="A2006">
        <v>2004</v>
      </c>
      <c r="B2006" s="1" t="s">
        <v>2350</v>
      </c>
      <c r="C2006" t="s">
        <v>145</v>
      </c>
      <c r="D2006" s="1" t="s">
        <v>2351</v>
      </c>
    </row>
    <row r="2007" spans="1:4" hidden="1" x14ac:dyDescent="0.3">
      <c r="A2007">
        <v>2005</v>
      </c>
      <c r="B2007" t="s">
        <v>2352</v>
      </c>
      <c r="C2007" t="s">
        <v>30</v>
      </c>
      <c r="D2007">
        <v>0.46531673572461202</v>
      </c>
    </row>
    <row r="2008" spans="1:4" hidden="1" x14ac:dyDescent="0.3">
      <c r="A2008">
        <v>2006</v>
      </c>
      <c r="B2008" t="s">
        <v>2353</v>
      </c>
      <c r="C2008" t="s">
        <v>32</v>
      </c>
      <c r="D2008">
        <v>0.36296519288342</v>
      </c>
    </row>
    <row r="2009" spans="1:4" hidden="1" x14ac:dyDescent="0.3">
      <c r="A2009">
        <v>2007</v>
      </c>
      <c r="B2009" s="1" t="s">
        <v>2354</v>
      </c>
      <c r="C2009" t="s">
        <v>149</v>
      </c>
      <c r="D2009" s="1" t="s">
        <v>2355</v>
      </c>
    </row>
    <row r="2010" spans="1:4" hidden="1" x14ac:dyDescent="0.3">
      <c r="A2010">
        <v>2008</v>
      </c>
      <c r="B2010" t="s">
        <v>2356</v>
      </c>
      <c r="C2010" t="s">
        <v>40</v>
      </c>
      <c r="D2010">
        <v>0.84057597070077905</v>
      </c>
    </row>
    <row r="2011" spans="1:4" hidden="1" x14ac:dyDescent="0.3">
      <c r="A2011">
        <v>2009</v>
      </c>
      <c r="B2011" t="s">
        <v>2357</v>
      </c>
      <c r="C2011" t="s">
        <v>42</v>
      </c>
      <c r="D2011">
        <v>8.4925931267469307E-2</v>
      </c>
    </row>
    <row r="2012" spans="1:4" hidden="1" x14ac:dyDescent="0.3">
      <c r="A2012">
        <v>2010</v>
      </c>
      <c r="B2012" s="1" t="s">
        <v>2358</v>
      </c>
      <c r="C2012" t="s">
        <v>153</v>
      </c>
      <c r="D2012" s="1" t="s">
        <v>2359</v>
      </c>
    </row>
    <row r="2013" spans="1:4" hidden="1" x14ac:dyDescent="0.3">
      <c r="A2013">
        <v>2011</v>
      </c>
      <c r="B2013" t="s">
        <v>2360</v>
      </c>
      <c r="C2013" t="s">
        <v>155</v>
      </c>
      <c r="D2013">
        <v>0.6</v>
      </c>
    </row>
    <row r="2014" spans="1:4" hidden="1" x14ac:dyDescent="0.3">
      <c r="A2014">
        <v>2012</v>
      </c>
      <c r="B2014" t="s">
        <v>156</v>
      </c>
      <c r="C2014" t="s">
        <v>157</v>
      </c>
      <c r="D2014">
        <v>1</v>
      </c>
    </row>
    <row r="2015" spans="1:4" hidden="1" x14ac:dyDescent="0.3">
      <c r="A2015">
        <v>2013</v>
      </c>
      <c r="B2015" s="1" t="s">
        <v>2361</v>
      </c>
      <c r="C2015" t="s">
        <v>159</v>
      </c>
      <c r="D2015" s="1" t="s">
        <v>2362</v>
      </c>
    </row>
    <row r="2016" spans="1:4" hidden="1" x14ac:dyDescent="0.3">
      <c r="A2016">
        <v>2014</v>
      </c>
      <c r="B2016" t="s">
        <v>2363</v>
      </c>
      <c r="C2016" t="s">
        <v>162</v>
      </c>
      <c r="D2016">
        <v>1.0954317580811299</v>
      </c>
    </row>
    <row r="2017" spans="1:4" hidden="1" x14ac:dyDescent="0.3">
      <c r="A2017">
        <v>2015</v>
      </c>
      <c r="B2017" t="s">
        <v>2364</v>
      </c>
      <c r="C2017" t="s">
        <v>164</v>
      </c>
      <c r="D2017">
        <v>0.99450716745920098</v>
      </c>
    </row>
    <row r="2018" spans="1:4" hidden="1" x14ac:dyDescent="0.3">
      <c r="A2018">
        <v>2016</v>
      </c>
      <c r="B2018" s="1" t="s">
        <v>2365</v>
      </c>
      <c r="C2018" t="s">
        <v>166</v>
      </c>
      <c r="D2018" s="1" t="s">
        <v>2366</v>
      </c>
    </row>
    <row r="2019" spans="1:4" hidden="1" x14ac:dyDescent="0.3">
      <c r="A2019">
        <v>2017</v>
      </c>
      <c r="B2019" s="1" t="s">
        <v>2367</v>
      </c>
      <c r="C2019" t="s">
        <v>55</v>
      </c>
      <c r="D2019" s="1" t="s">
        <v>2368</v>
      </c>
    </row>
    <row r="2020" spans="1:4" hidden="1" x14ac:dyDescent="0.3">
      <c r="A2020">
        <v>2018</v>
      </c>
      <c r="B2020" s="1" t="s">
        <v>2369</v>
      </c>
      <c r="C2020" t="s">
        <v>52</v>
      </c>
      <c r="D2020" s="1" t="s">
        <v>2370</v>
      </c>
    </row>
    <row r="2021" spans="1:4" hidden="1" x14ac:dyDescent="0.3">
      <c r="A2021">
        <v>2019</v>
      </c>
      <c r="B2021" s="1" t="s">
        <v>2371</v>
      </c>
      <c r="C2021" t="s">
        <v>58</v>
      </c>
      <c r="D2021" s="1" t="s">
        <v>2372</v>
      </c>
    </row>
    <row r="2022" spans="1:4" hidden="1" x14ac:dyDescent="0.3">
      <c r="A2022">
        <v>2020</v>
      </c>
      <c r="B2022" t="s">
        <v>2373</v>
      </c>
      <c r="C2022" t="s">
        <v>61</v>
      </c>
      <c r="D2022">
        <v>97204418.607832</v>
      </c>
    </row>
    <row r="2023" spans="1:4" hidden="1" x14ac:dyDescent="0.3">
      <c r="A2023">
        <v>2021</v>
      </c>
      <c r="B2023" t="s">
        <v>2374</v>
      </c>
      <c r="C2023" t="s">
        <v>63</v>
      </c>
      <c r="D2023">
        <v>47998631.209298901</v>
      </c>
    </row>
    <row r="2024" spans="1:4" hidden="1" x14ac:dyDescent="0.3">
      <c r="A2024">
        <v>2022</v>
      </c>
      <c r="B2024" t="s">
        <v>2375</v>
      </c>
      <c r="C2024" t="s">
        <v>65</v>
      </c>
      <c r="D2024">
        <v>39999069.392730802</v>
      </c>
    </row>
    <row r="2025" spans="1:4" hidden="1" x14ac:dyDescent="0.3">
      <c r="A2025">
        <v>2023</v>
      </c>
      <c r="B2025" s="1" t="s">
        <v>2376</v>
      </c>
      <c r="C2025" t="s">
        <v>67</v>
      </c>
      <c r="D2025" s="1" t="s">
        <v>2377</v>
      </c>
    </row>
    <row r="2026" spans="1:4" hidden="1" x14ac:dyDescent="0.3">
      <c r="A2026">
        <v>2024</v>
      </c>
      <c r="B2026" s="1" t="s">
        <v>2378</v>
      </c>
      <c r="C2026" t="s">
        <v>70</v>
      </c>
      <c r="D2026" s="1" t="s">
        <v>2379</v>
      </c>
    </row>
    <row r="2027" spans="1:4" hidden="1" x14ac:dyDescent="0.3">
      <c r="A2027">
        <v>2025</v>
      </c>
      <c r="B2027" t="s">
        <v>2380</v>
      </c>
      <c r="C2027" t="s">
        <v>73</v>
      </c>
      <c r="D2027">
        <v>1.0000159120890899</v>
      </c>
    </row>
    <row r="2028" spans="1:4" hidden="1" x14ac:dyDescent="0.3">
      <c r="A2028">
        <v>2026</v>
      </c>
      <c r="B2028" t="s">
        <v>74</v>
      </c>
      <c r="C2028" t="s">
        <v>75</v>
      </c>
      <c r="D2028">
        <v>2.7397260273972599E-3</v>
      </c>
    </row>
    <row r="2029" spans="1:4" hidden="1" x14ac:dyDescent="0.3">
      <c r="A2029">
        <v>2027</v>
      </c>
      <c r="B2029" t="s">
        <v>76</v>
      </c>
      <c r="C2029" t="s">
        <v>77</v>
      </c>
      <c r="D2029">
        <v>0</v>
      </c>
    </row>
    <row r="2030" spans="1:4" hidden="1" x14ac:dyDescent="0.3">
      <c r="A2030">
        <v>2028</v>
      </c>
      <c r="B2030" t="s">
        <v>2381</v>
      </c>
      <c r="C2030" t="s">
        <v>79</v>
      </c>
      <c r="D2030" s="2">
        <v>-1.11022302462515E-16</v>
      </c>
    </row>
    <row r="2031" spans="1:4" hidden="1" x14ac:dyDescent="0.3">
      <c r="A2031">
        <v>2029</v>
      </c>
      <c r="B2031" s="1" t="s">
        <v>2382</v>
      </c>
      <c r="C2031" t="s">
        <v>81</v>
      </c>
      <c r="D2031" s="1" t="s">
        <v>2383</v>
      </c>
    </row>
    <row r="2032" spans="1:4" hidden="1" x14ac:dyDescent="0.3">
      <c r="A2032">
        <v>2030</v>
      </c>
      <c r="B2032" t="s">
        <v>2384</v>
      </c>
      <c r="C2032" t="s">
        <v>84</v>
      </c>
      <c r="D2032">
        <v>0.99999926979722498</v>
      </c>
    </row>
    <row r="2033" spans="1:4" hidden="1" x14ac:dyDescent="0.3">
      <c r="A2033">
        <v>2031</v>
      </c>
      <c r="B2033" s="1" t="s">
        <v>2385</v>
      </c>
      <c r="C2033" t="s">
        <v>86</v>
      </c>
      <c r="D2033" s="1" t="s">
        <v>2386</v>
      </c>
    </row>
    <row r="2034" spans="1:4" hidden="1" x14ac:dyDescent="0.3">
      <c r="A2034">
        <v>2032</v>
      </c>
      <c r="B2034" t="s">
        <v>2387</v>
      </c>
      <c r="C2034" t="s">
        <v>89</v>
      </c>
      <c r="D2034">
        <v>100000073.02033</v>
      </c>
    </row>
    <row r="2035" spans="1:4" hidden="1" x14ac:dyDescent="0.3">
      <c r="A2035">
        <v>2033</v>
      </c>
      <c r="B2035" s="1" t="s">
        <v>2388</v>
      </c>
      <c r="C2035" t="s">
        <v>91</v>
      </c>
      <c r="D2035" s="1" t="s">
        <v>2328</v>
      </c>
    </row>
    <row r="2036" spans="1:4" hidden="1" x14ac:dyDescent="0.3">
      <c r="A2036">
        <v>2034</v>
      </c>
      <c r="B2036" t="s">
        <v>2389</v>
      </c>
      <c r="C2036" t="s">
        <v>94</v>
      </c>
      <c r="D2036">
        <v>47998631.209298901</v>
      </c>
    </row>
    <row r="2037" spans="1:4" hidden="1" x14ac:dyDescent="0.3">
      <c r="A2037">
        <v>2035</v>
      </c>
      <c r="B2037" t="s">
        <v>2390</v>
      </c>
      <c r="C2037" t="s">
        <v>96</v>
      </c>
      <c r="D2037">
        <v>39999069.392730802</v>
      </c>
    </row>
    <row r="2038" spans="1:4" hidden="1" x14ac:dyDescent="0.3">
      <c r="A2038">
        <v>2036</v>
      </c>
      <c r="B2038" t="s">
        <v>2391</v>
      </c>
      <c r="C2038" t="s">
        <v>98</v>
      </c>
      <c r="D2038">
        <v>9206718.0058022793</v>
      </c>
    </row>
    <row r="2039" spans="1:4" hidden="1" x14ac:dyDescent="0.3">
      <c r="A2039">
        <v>2037</v>
      </c>
      <c r="B2039" s="1" t="s">
        <v>2392</v>
      </c>
      <c r="C2039" t="s">
        <v>100</v>
      </c>
      <c r="D2039" s="1" t="s">
        <v>2393</v>
      </c>
    </row>
    <row r="2040" spans="1:4" hidden="1" x14ac:dyDescent="0.3">
      <c r="A2040">
        <v>2038</v>
      </c>
      <c r="B2040" t="s">
        <v>2394</v>
      </c>
      <c r="C2040" t="s">
        <v>103</v>
      </c>
      <c r="D2040">
        <v>9.9275488786818404E-3</v>
      </c>
    </row>
    <row r="2041" spans="1:4" hidden="1" x14ac:dyDescent="0.3">
      <c r="A2041">
        <v>2039</v>
      </c>
      <c r="B2041" t="s">
        <v>2395</v>
      </c>
      <c r="C2041" t="s">
        <v>105</v>
      </c>
      <c r="D2041">
        <v>2.6447070002872698E-3</v>
      </c>
    </row>
    <row r="2042" spans="1:4" hidden="1" x14ac:dyDescent="0.3">
      <c r="A2042">
        <v>2040</v>
      </c>
      <c r="B2042" t="s">
        <v>2396</v>
      </c>
      <c r="C2042" t="s">
        <v>107</v>
      </c>
      <c r="D2042">
        <v>2.2115828575602299E-2</v>
      </c>
    </row>
    <row r="2043" spans="1:4" hidden="1" x14ac:dyDescent="0.3">
      <c r="A2043">
        <v>2041</v>
      </c>
      <c r="B2043" s="1" t="s">
        <v>2397</v>
      </c>
      <c r="C2043" t="s">
        <v>109</v>
      </c>
      <c r="D2043" s="1" t="s">
        <v>2398</v>
      </c>
    </row>
    <row r="2044" spans="1:4" x14ac:dyDescent="0.3">
      <c r="A2044">
        <v>2042</v>
      </c>
      <c r="B2044" t="s">
        <v>2399</v>
      </c>
      <c r="C2044" t="s">
        <v>197</v>
      </c>
      <c r="D2044">
        <v>97203842.418752</v>
      </c>
    </row>
    <row r="2045" spans="1:4" hidden="1" x14ac:dyDescent="0.3">
      <c r="A2045">
        <v>2043</v>
      </c>
      <c r="B2045" t="s">
        <v>2400</v>
      </c>
      <c r="C2045" t="s">
        <v>199</v>
      </c>
      <c r="D2045">
        <v>798.79090358974395</v>
      </c>
    </row>
    <row r="2046" spans="1:4" hidden="1" x14ac:dyDescent="0.3">
      <c r="A2046">
        <v>2044</v>
      </c>
      <c r="B2046" t="s">
        <v>2401</v>
      </c>
      <c r="C2046" t="s">
        <v>201</v>
      </c>
      <c r="D2046">
        <v>665.65989659475895</v>
      </c>
    </row>
    <row r="2047" spans="1:4" hidden="1" x14ac:dyDescent="0.3">
      <c r="A2047">
        <v>2045</v>
      </c>
      <c r="B2047" s="1" t="s">
        <v>2402</v>
      </c>
      <c r="C2047" t="s">
        <v>203</v>
      </c>
      <c r="D2047" s="1" t="s">
        <v>2403</v>
      </c>
    </row>
    <row r="2048" spans="1:4" hidden="1" x14ac:dyDescent="0.3">
      <c r="A2048">
        <v>2046</v>
      </c>
      <c r="B2048" t="s">
        <v>2404</v>
      </c>
      <c r="C2048" t="s">
        <v>206</v>
      </c>
      <c r="D2048">
        <v>47997615.161711998</v>
      </c>
    </row>
    <row r="2049" spans="1:4" hidden="1" x14ac:dyDescent="0.3">
      <c r="A2049">
        <v>2047</v>
      </c>
      <c r="B2049" t="s">
        <v>2405</v>
      </c>
      <c r="C2049" t="s">
        <v>208</v>
      </c>
      <c r="D2049">
        <v>39998061.322127499</v>
      </c>
    </row>
    <row r="2050" spans="1:4" hidden="1" x14ac:dyDescent="0.3">
      <c r="A2050">
        <v>2048</v>
      </c>
      <c r="B2050" t="s">
        <v>2406</v>
      </c>
      <c r="C2050" t="s">
        <v>210</v>
      </c>
      <c r="D2050">
        <v>9206548.2659369707</v>
      </c>
    </row>
    <row r="2051" spans="1:4" hidden="1" x14ac:dyDescent="0.3">
      <c r="A2051">
        <v>2049</v>
      </c>
      <c r="B2051" s="1" t="s">
        <v>2407</v>
      </c>
      <c r="C2051" t="s">
        <v>212</v>
      </c>
      <c r="D2051" s="1" t="s">
        <v>2408</v>
      </c>
    </row>
    <row r="2052" spans="1:4" hidden="1" x14ac:dyDescent="0.3">
      <c r="A2052">
        <v>2050</v>
      </c>
      <c r="B2052" t="s">
        <v>2409</v>
      </c>
      <c r="C2052" t="s">
        <v>215</v>
      </c>
      <c r="D2052">
        <v>99998408.816410005</v>
      </c>
    </row>
    <row r="2053" spans="1:4" hidden="1" x14ac:dyDescent="0.3">
      <c r="A2053">
        <v>2051</v>
      </c>
      <c r="B2053" t="s">
        <v>2410</v>
      </c>
      <c r="C2053" t="s">
        <v>217</v>
      </c>
      <c r="D2053">
        <v>1664.2039206922</v>
      </c>
    </row>
    <row r="2054" spans="1:4" hidden="1" x14ac:dyDescent="0.3">
      <c r="A2054">
        <v>2052</v>
      </c>
      <c r="B2054" s="1" t="s">
        <v>2411</v>
      </c>
      <c r="C2054" t="s">
        <v>219</v>
      </c>
      <c r="D2054" s="1" t="s">
        <v>2412</v>
      </c>
    </row>
    <row r="2055" spans="1:4" hidden="1" x14ac:dyDescent="0.3">
      <c r="A2055">
        <v>2053</v>
      </c>
      <c r="B2055" t="s">
        <v>2413</v>
      </c>
      <c r="C2055" t="s">
        <v>112</v>
      </c>
      <c r="D2055">
        <v>-217.256683302022</v>
      </c>
    </row>
    <row r="2056" spans="1:4" hidden="1" x14ac:dyDescent="0.3">
      <c r="A2056">
        <v>2054</v>
      </c>
      <c r="B2056" t="s">
        <v>2414</v>
      </c>
      <c r="C2056" t="s">
        <v>114</v>
      </c>
      <c r="D2056">
        <v>-342.410706606818</v>
      </c>
    </row>
    <row r="2057" spans="1:4" hidden="1" x14ac:dyDescent="0.3">
      <c r="A2057">
        <v>2055</v>
      </c>
      <c r="B2057" s="1" t="s">
        <v>2415</v>
      </c>
      <c r="C2057" t="s">
        <v>116</v>
      </c>
      <c r="D2057" s="1" t="s">
        <v>2416</v>
      </c>
    </row>
    <row r="2058" spans="1:4" hidden="1" x14ac:dyDescent="0.3">
      <c r="A2058">
        <v>2056</v>
      </c>
      <c r="B2058" t="s">
        <v>2417</v>
      </c>
      <c r="C2058" t="s">
        <v>119</v>
      </c>
      <c r="D2058">
        <v>47997615.161711998</v>
      </c>
    </row>
    <row r="2059" spans="1:4" hidden="1" x14ac:dyDescent="0.3">
      <c r="A2059">
        <v>2057</v>
      </c>
      <c r="B2059" t="s">
        <v>2418</v>
      </c>
      <c r="C2059" t="s">
        <v>121</v>
      </c>
      <c r="D2059">
        <v>39998061.322127499</v>
      </c>
    </row>
    <row r="2060" spans="1:4" hidden="1" x14ac:dyDescent="0.3">
      <c r="A2060">
        <v>2058</v>
      </c>
      <c r="B2060" s="1" t="s">
        <v>2419</v>
      </c>
      <c r="C2060" t="s">
        <v>123</v>
      </c>
      <c r="D2060" s="1" t="s">
        <v>2420</v>
      </c>
    </row>
    <row r="2061" spans="1:4" hidden="1" x14ac:dyDescent="0.3">
      <c r="A2061">
        <v>2059</v>
      </c>
      <c r="B2061" t="s">
        <v>2421</v>
      </c>
      <c r="C2061" t="s">
        <v>126</v>
      </c>
      <c r="D2061">
        <v>0.47998413952615598</v>
      </c>
    </row>
    <row r="2062" spans="1:4" hidden="1" x14ac:dyDescent="0.3">
      <c r="A2062">
        <v>2060</v>
      </c>
      <c r="B2062" t="s">
        <v>2422</v>
      </c>
      <c r="C2062" t="s">
        <v>128</v>
      </c>
      <c r="D2062">
        <v>0.39998726982024202</v>
      </c>
    </row>
    <row r="2063" spans="1:4" hidden="1" x14ac:dyDescent="0.3">
      <c r="A2063">
        <v>2061</v>
      </c>
      <c r="B2063" s="1" t="s">
        <v>2423</v>
      </c>
      <c r="C2063" t="s">
        <v>130</v>
      </c>
      <c r="D2063" s="1" t="s">
        <v>2424</v>
      </c>
    </row>
  </sheetData>
  <autoFilter ref="A1:D2063" xr:uid="{4C538422-8683-4491-B717-CABD008DD209}">
    <filterColumn colId="2">
      <filters>
        <filter val="total_value_of_collaterals is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749BD-8F3A-4EF5-B150-12A04D536881}">
  <dimension ref="A1:E37"/>
  <sheetViews>
    <sheetView tabSelected="1" topLeftCell="A25" workbookViewId="0">
      <selection activeCell="B36" sqref="B36"/>
    </sheetView>
  </sheetViews>
  <sheetFormatPr defaultRowHeight="14.4" x14ac:dyDescent="0.3"/>
  <cols>
    <col min="2" max="2" width="9.21875" bestFit="1" customWidth="1"/>
    <col min="3" max="3" width="14.88671875" bestFit="1" customWidth="1"/>
  </cols>
  <sheetData>
    <row r="1" spans="1:5" x14ac:dyDescent="0.3">
      <c r="A1" t="s">
        <v>2</v>
      </c>
      <c r="B1" t="s">
        <v>70</v>
      </c>
    </row>
    <row r="2" spans="1:5" x14ac:dyDescent="0.3">
      <c r="A2" t="s">
        <v>5</v>
      </c>
      <c r="B2">
        <v>1.5</v>
      </c>
      <c r="C2">
        <v>150000000</v>
      </c>
    </row>
    <row r="3" spans="1:5" x14ac:dyDescent="0.3">
      <c r="A3" t="s">
        <v>5</v>
      </c>
      <c r="B3">
        <v>1.49993965085148</v>
      </c>
      <c r="C3">
        <v>149993838.72959799</v>
      </c>
      <c r="D3">
        <f>STDEV(B2:B3)</f>
        <v>4.2673292157357703E-5</v>
      </c>
      <c r="E3">
        <f>STDEV(C2:C3)</f>
        <v>4356.6760819882456</v>
      </c>
    </row>
    <row r="4" spans="1:5" x14ac:dyDescent="0.3">
      <c r="A4" t="s">
        <v>5</v>
      </c>
      <c r="B4">
        <v>1.49988258669922</v>
      </c>
      <c r="C4">
        <v>149989859.930143</v>
      </c>
      <c r="D4">
        <f t="shared" ref="D4:D31" si="0">STDEV(B3:B4)</f>
        <v>4.0350449025652813E-5</v>
      </c>
      <c r="E4">
        <f t="shared" ref="E4:E31" si="1">STDEV(C3:C4)</f>
        <v>2813.4360756026817</v>
      </c>
    </row>
    <row r="5" spans="1:5" x14ac:dyDescent="0.3">
      <c r="A5" t="s">
        <v>5</v>
      </c>
      <c r="B5">
        <v>1.4999040847748699</v>
      </c>
      <c r="C5">
        <v>149989510.72989699</v>
      </c>
      <c r="D5">
        <f t="shared" si="0"/>
        <v>1.5201435074494321E-5</v>
      </c>
      <c r="E5">
        <f t="shared" si="1"/>
        <v>246.92186194303025</v>
      </c>
    </row>
    <row r="6" spans="1:5" x14ac:dyDescent="0.3">
      <c r="A6" t="s">
        <v>5</v>
      </c>
      <c r="B6">
        <v>1.4998363044211001</v>
      </c>
      <c r="C6">
        <v>149983083.273283</v>
      </c>
      <c r="D6">
        <f t="shared" si="0"/>
        <v>4.7927947781894021E-5</v>
      </c>
      <c r="E6">
        <f t="shared" si="1"/>
        <v>4544.8981575330172</v>
      </c>
    </row>
    <row r="7" spans="1:5" x14ac:dyDescent="0.3">
      <c r="A7" t="s">
        <v>5</v>
      </c>
      <c r="B7">
        <v>1.49974306703341</v>
      </c>
      <c r="C7">
        <v>149975498.31542701</v>
      </c>
      <c r="D7">
        <f t="shared" si="0"/>
        <v>6.5928789095767986E-5</v>
      </c>
      <c r="E7">
        <f t="shared" si="1"/>
        <v>5363.3751349914019</v>
      </c>
    </row>
    <row r="8" spans="1:5" x14ac:dyDescent="0.3">
      <c r="A8" t="s">
        <v>5</v>
      </c>
      <c r="B8">
        <v>1.49974362027732</v>
      </c>
      <c r="C8">
        <v>149974397.54036099</v>
      </c>
      <c r="D8">
        <f t="shared" si="0"/>
        <v>3.9120252042356432E-7</v>
      </c>
      <c r="E8">
        <f t="shared" si="1"/>
        <v>778.36551374247131</v>
      </c>
    </row>
    <row r="9" spans="1:5" x14ac:dyDescent="0.3">
      <c r="A9" t="s">
        <v>5</v>
      </c>
      <c r="B9">
        <v>1.49967798758657</v>
      </c>
      <c r="C9">
        <v>149968692.366597</v>
      </c>
      <c r="D9">
        <f t="shared" si="0"/>
        <v>4.6409320696840979E-5</v>
      </c>
      <c r="E9">
        <f t="shared" si="1"/>
        <v>4034.1670563651933</v>
      </c>
    </row>
    <row r="10" spans="1:5" x14ac:dyDescent="0.3">
      <c r="A10" t="s">
        <v>5</v>
      </c>
      <c r="B10">
        <v>1.4996565906271699</v>
      </c>
      <c r="C10">
        <v>149964677.12179899</v>
      </c>
      <c r="D10">
        <f t="shared" si="0"/>
        <v>1.5129935088560088E-5</v>
      </c>
      <c r="E10">
        <f t="shared" si="1"/>
        <v>2839.2068247930811</v>
      </c>
    </row>
    <row r="11" spans="1:5" x14ac:dyDescent="0.3">
      <c r="A11" t="s">
        <v>5</v>
      </c>
      <c r="B11">
        <v>1.49954475946388</v>
      </c>
      <c r="C11">
        <v>149954358.02638301</v>
      </c>
      <c r="D11">
        <f t="shared" si="0"/>
        <v>7.9076573910299357E-5</v>
      </c>
      <c r="E11">
        <f t="shared" si="1"/>
        <v>7296.7023443502103</v>
      </c>
    </row>
    <row r="12" spans="1:5" x14ac:dyDescent="0.3">
      <c r="A12" t="s">
        <v>5</v>
      </c>
      <c r="B12">
        <v>1.4995505148839501</v>
      </c>
      <c r="C12">
        <v>149953997.13453299</v>
      </c>
      <c r="D12">
        <f t="shared" si="0"/>
        <v>4.0696965601349683E-6</v>
      </c>
      <c r="E12">
        <f t="shared" si="1"/>
        <v>255.18907442725541</v>
      </c>
    </row>
    <row r="13" spans="1:5" x14ac:dyDescent="0.3">
      <c r="A13" t="s">
        <v>5</v>
      </c>
      <c r="B13">
        <v>1.49942648630586</v>
      </c>
      <c r="C13">
        <v>149943636.648036</v>
      </c>
      <c r="D13">
        <f t="shared" si="0"/>
        <v>8.770144862845587E-5</v>
      </c>
      <c r="E13">
        <f t="shared" si="1"/>
        <v>7325.9702584097231</v>
      </c>
    </row>
    <row r="14" spans="1:5" x14ac:dyDescent="0.3">
      <c r="A14" t="s">
        <v>5</v>
      </c>
      <c r="B14">
        <v>1.49941681786784</v>
      </c>
      <c r="C14">
        <v>149941101.992239</v>
      </c>
      <c r="D14">
        <f t="shared" si="0"/>
        <v>6.8366180874039381E-6</v>
      </c>
      <c r="E14">
        <f t="shared" si="1"/>
        <v>1792.2723020358164</v>
      </c>
    </row>
    <row r="15" spans="1:5" x14ac:dyDescent="0.3">
      <c r="A15" t="s">
        <v>5</v>
      </c>
      <c r="B15">
        <v>1.49932463109826</v>
      </c>
      <c r="C15">
        <v>149931116.05739301</v>
      </c>
      <c r="D15">
        <f t="shared" si="0"/>
        <v>6.5185889905703225E-5</v>
      </c>
      <c r="E15">
        <f t="shared" si="1"/>
        <v>7061.1222460823155</v>
      </c>
    </row>
    <row r="16" spans="1:5" x14ac:dyDescent="0.3">
      <c r="A16" t="s">
        <v>5</v>
      </c>
      <c r="B16">
        <v>1.4991955779166899</v>
      </c>
      <c r="C16">
        <v>149919494.69913</v>
      </c>
      <c r="D16">
        <f t="shared" si="0"/>
        <v>9.1254379821904035E-5</v>
      </c>
      <c r="E16">
        <f t="shared" si="1"/>
        <v>8217.5412343767512</v>
      </c>
    </row>
    <row r="17" spans="1:5" x14ac:dyDescent="0.3">
      <c r="A17" t="s">
        <v>5</v>
      </c>
      <c r="B17">
        <v>1.4991486982351501</v>
      </c>
      <c r="C17">
        <v>149916086.19297901</v>
      </c>
      <c r="D17">
        <f t="shared" si="0"/>
        <v>3.3148940716675539E-5</v>
      </c>
      <c r="E17">
        <f t="shared" si="1"/>
        <v>2410.1778130815997</v>
      </c>
    </row>
    <row r="18" spans="1:5" x14ac:dyDescent="0.3">
      <c r="A18" t="s">
        <v>5</v>
      </c>
      <c r="B18">
        <v>1.4991570987518901</v>
      </c>
      <c r="C18">
        <v>149914972.745967</v>
      </c>
      <c r="D18">
        <f t="shared" si="0"/>
        <v>5.9400623523276822E-6</v>
      </c>
      <c r="E18">
        <f t="shared" si="1"/>
        <v>787.32593268221615</v>
      </c>
    </row>
    <row r="19" spans="1:5" x14ac:dyDescent="0.3">
      <c r="A19" t="s">
        <v>5</v>
      </c>
      <c r="B19">
        <v>1.4990461590755699</v>
      </c>
      <c r="C19">
        <v>149904517.30001</v>
      </c>
      <c r="D19">
        <f t="shared" si="0"/>
        <v>7.844619742861385E-5</v>
      </c>
      <c r="E19">
        <f t="shared" si="1"/>
        <v>7393.1167365277242</v>
      </c>
    </row>
    <row r="20" spans="1:5" x14ac:dyDescent="0.3">
      <c r="A20" t="s">
        <v>5</v>
      </c>
      <c r="B20">
        <v>1.49910930882039</v>
      </c>
      <c r="C20">
        <v>149909000.456848</v>
      </c>
      <c r="D20">
        <f t="shared" si="0"/>
        <v>4.4653612792438708E-5</v>
      </c>
      <c r="E20">
        <f t="shared" si="1"/>
        <v>3170.0706012725136</v>
      </c>
    </row>
    <row r="21" spans="1:5" x14ac:dyDescent="0.3">
      <c r="A21" t="s">
        <v>5</v>
      </c>
      <c r="B21">
        <v>1.49923991267755</v>
      </c>
      <c r="C21">
        <v>149923096.827732</v>
      </c>
      <c r="D21">
        <f t="shared" si="0"/>
        <v>9.2350873046966937E-5</v>
      </c>
      <c r="E21">
        <f t="shared" si="1"/>
        <v>9967.6394421978948</v>
      </c>
    </row>
    <row r="22" spans="1:5" x14ac:dyDescent="0.3">
      <c r="A22" t="s">
        <v>5</v>
      </c>
      <c r="B22">
        <v>1.4993691439605401</v>
      </c>
      <c r="C22">
        <v>149937805.10890701</v>
      </c>
      <c r="D22">
        <f t="shared" si="0"/>
        <v>9.1380316543764842E-5</v>
      </c>
      <c r="E22">
        <f t="shared" si="1"/>
        <v>10400.325358453214</v>
      </c>
    </row>
    <row r="23" spans="1:5" x14ac:dyDescent="0.3">
      <c r="A23" t="s">
        <v>5</v>
      </c>
      <c r="B23">
        <v>1.4993454284613399</v>
      </c>
      <c r="C23">
        <v>149933427.13890401</v>
      </c>
      <c r="D23">
        <f t="shared" si="0"/>
        <v>1.676939030369718E-5</v>
      </c>
      <c r="E23">
        <f t="shared" si="1"/>
        <v>3095.6922769588423</v>
      </c>
    </row>
    <row r="24" spans="1:5" x14ac:dyDescent="0.3">
      <c r="A24" t="s">
        <v>5</v>
      </c>
      <c r="B24">
        <v>1.49922046849317</v>
      </c>
      <c r="C24">
        <v>149922935.161917</v>
      </c>
      <c r="D24">
        <f t="shared" si="0"/>
        <v>8.8360040869761488E-5</v>
      </c>
      <c r="E24">
        <f t="shared" si="1"/>
        <v>7418.9480755639279</v>
      </c>
    </row>
    <row r="25" spans="1:5" x14ac:dyDescent="0.3">
      <c r="A25" t="s">
        <v>5</v>
      </c>
      <c r="B25">
        <v>1.49918761887606</v>
      </c>
      <c r="C25">
        <v>149918674.251046</v>
      </c>
      <c r="D25">
        <f t="shared" si="0"/>
        <v>2.3228187017884704E-5</v>
      </c>
      <c r="E25">
        <f t="shared" si="1"/>
        <v>3012.9189709149409</v>
      </c>
    </row>
    <row r="26" spans="1:5" x14ac:dyDescent="0.3">
      <c r="A26" t="s">
        <v>5</v>
      </c>
      <c r="B26">
        <v>1.4991749528657901</v>
      </c>
      <c r="C26">
        <v>149916612.196576</v>
      </c>
      <c r="D26">
        <f t="shared" si="0"/>
        <v>8.9562217524573191E-6</v>
      </c>
      <c r="E26">
        <f t="shared" si="1"/>
        <v>1458.092698914907</v>
      </c>
    </row>
    <row r="27" spans="1:5" x14ac:dyDescent="0.3">
      <c r="A27" t="s">
        <v>5</v>
      </c>
      <c r="B27">
        <v>1.4991179831916399</v>
      </c>
      <c r="C27">
        <v>149913733.29021999</v>
      </c>
      <c r="D27">
        <f t="shared" si="0"/>
        <v>4.0283642913553673E-5</v>
      </c>
      <c r="E27">
        <f t="shared" si="1"/>
        <v>2035.6942067335042</v>
      </c>
    </row>
    <row r="28" spans="1:5" x14ac:dyDescent="0.3">
      <c r="A28" t="s">
        <v>5</v>
      </c>
      <c r="B28">
        <v>1.4991355305621901</v>
      </c>
      <c r="C28">
        <v>149914744.28904799</v>
      </c>
      <c r="D28">
        <f t="shared" si="0"/>
        <v>1.2407864708006138E-5</v>
      </c>
      <c r="E28">
        <f t="shared" si="1"/>
        <v>714.88412704611733</v>
      </c>
    </row>
    <row r="29" spans="1:5" x14ac:dyDescent="0.3">
      <c r="A29" t="s">
        <v>5</v>
      </c>
      <c r="B29">
        <v>1.4992818720783301</v>
      </c>
      <c r="C29">
        <v>149928886.90998799</v>
      </c>
      <c r="D29">
        <f t="shared" si="0"/>
        <v>1.0347907843172442E-4</v>
      </c>
      <c r="E29">
        <f t="shared" si="1"/>
        <v>10000.343170424736</v>
      </c>
    </row>
    <row r="30" spans="1:5" x14ac:dyDescent="0.3">
      <c r="A30" t="s">
        <v>5</v>
      </c>
      <c r="B30">
        <v>1.4993227507729501</v>
      </c>
      <c r="C30">
        <v>149931516.98662299</v>
      </c>
      <c r="D30">
        <f t="shared" si="0"/>
        <v>2.8905602171852223E-5</v>
      </c>
      <c r="E30">
        <f t="shared" si="1"/>
        <v>1859.7450236509812</v>
      </c>
    </row>
    <row r="31" spans="1:5" x14ac:dyDescent="0.3">
      <c r="A31" t="s">
        <v>5</v>
      </c>
      <c r="B31">
        <v>0.97204418607831999</v>
      </c>
      <c r="C31">
        <v>97203842.418752</v>
      </c>
      <c r="D31">
        <f t="shared" si="0"/>
        <v>0.37284224866988275</v>
      </c>
      <c r="E31">
        <f t="shared" si="1"/>
        <v>37284096.243138954</v>
      </c>
    </row>
    <row r="32" spans="1:5" x14ac:dyDescent="0.3">
      <c r="A32" s="3" t="s">
        <v>2425</v>
      </c>
      <c r="B32" s="4">
        <f>MIN($B$2:B31)</f>
        <v>0.97204418607831999</v>
      </c>
      <c r="C32" s="3">
        <f>MIN($C$2:C31)</f>
        <v>97203842.418752</v>
      </c>
    </row>
    <row r="33" spans="1:3" x14ac:dyDescent="0.3">
      <c r="A33" s="3" t="s">
        <v>2426</v>
      </c>
      <c r="B33" s="4">
        <f>MAX($B$2:B31)</f>
        <v>1.5</v>
      </c>
      <c r="C33" s="3">
        <f>MAX($C$2:C31)</f>
        <v>150000000</v>
      </c>
    </row>
    <row r="34" spans="1:3" x14ac:dyDescent="0.3">
      <c r="A34" s="3" t="s">
        <v>2427</v>
      </c>
      <c r="B34" s="4">
        <f>AVERAGE($B$2:B31)</f>
        <v>1.4818581264236168</v>
      </c>
      <c r="C34" s="3">
        <f>AVERAGE($C$2:C31)</f>
        <v>148185770.46134457</v>
      </c>
    </row>
    <row r="35" spans="1:3" x14ac:dyDescent="0.3">
      <c r="A35" s="3" t="s">
        <v>2428</v>
      </c>
      <c r="B35" s="4">
        <f>AVERAGE($D$2:D31)</f>
        <v>1.2900644678596116E-2</v>
      </c>
      <c r="C35" s="3">
        <f>AVERAGE($E$2:E31)</f>
        <v>1289818.8641979317</v>
      </c>
    </row>
    <row r="36" spans="1:3" x14ac:dyDescent="0.3">
      <c r="A36" s="3" t="s">
        <v>2429</v>
      </c>
      <c r="B36" s="4">
        <f>-1.96*B35</f>
        <v>-2.5285263570048386E-2</v>
      </c>
      <c r="C36" s="3">
        <f>-1.96*C35</f>
        <v>-2528044.973827946</v>
      </c>
    </row>
    <row r="37" spans="1:3" x14ac:dyDescent="0.3">
      <c r="A37" s="3"/>
      <c r="B37" s="4">
        <f>B36/B34</f>
        <v>-1.7063214837626177E-2</v>
      </c>
      <c r="C37" s="3">
        <f>C36/C34</f>
        <v>-1.7059971183180551E-2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extreme_test_30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u3546092@connect.hku.hk</cp:lastModifiedBy>
  <dcterms:created xsi:type="dcterms:W3CDTF">2026-02-21T06:14:20Z</dcterms:created>
  <dcterms:modified xsi:type="dcterms:W3CDTF">2026-02-21T14:34:45Z</dcterms:modified>
</cp:coreProperties>
</file>